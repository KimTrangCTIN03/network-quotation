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ĐàoThịKimTrang\network-quotation-web\data\"/>
    </mc:Choice>
  </mc:AlternateContent>
  <xr:revisionPtr revIDLastSave="0" documentId="8_{1EA7EFD4-5BC7-47E4-BF39-83C484510DC6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Router" sheetId="1" r:id="rId1"/>
    <sheet name="SwitchCampus" sheetId="2" r:id="rId2"/>
    <sheet name="NexusSwitch" sheetId="3" r:id="rId3"/>
    <sheet name="ModularSwitch" sheetId="4" r:id="rId4"/>
    <sheet name="WiFi" sheetId="5" r:id="rId5"/>
    <sheet name="SFP" sheetId="6" r:id="rId6"/>
    <sheet name="AllDevices" sheetId="7" r:id="rId7"/>
    <sheet name="Cisco" sheetId="8" r:id="rId8"/>
    <sheet name="Juniper" sheetId="9" r:id="rId9"/>
    <sheet name="AllListPrice" sheetId="10" r:id="rId10"/>
    <sheet name="Specs" sheetId="11" r:id="rId11"/>
  </sheets>
  <definedNames>
    <definedName name="_xlnm._FilterDatabase" localSheetId="6" hidden="1">AllDevices!$A$1:$Z$84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86" i="10" l="1"/>
  <c r="C186" i="10"/>
  <c r="B186" i="10"/>
  <c r="A186" i="10"/>
  <c r="D185" i="10"/>
  <c r="C185" i="10"/>
  <c r="B185" i="10"/>
  <c r="A185" i="10"/>
  <c r="D184" i="10"/>
  <c r="C184" i="10"/>
  <c r="B184" i="10"/>
  <c r="A184" i="10"/>
  <c r="D183" i="10"/>
  <c r="B183" i="10"/>
  <c r="A183" i="10"/>
  <c r="D182" i="10"/>
  <c r="B182" i="10"/>
  <c r="A182" i="10"/>
  <c r="D181" i="10"/>
  <c r="B181" i="10"/>
  <c r="A181" i="10"/>
  <c r="D180" i="10"/>
  <c r="B180" i="10"/>
  <c r="A180" i="10"/>
  <c r="D179" i="10"/>
  <c r="B179" i="10"/>
  <c r="A179" i="10"/>
  <c r="D178" i="10"/>
  <c r="B178" i="10"/>
  <c r="A178" i="10"/>
  <c r="D177" i="10"/>
  <c r="B177" i="10"/>
  <c r="A177" i="10"/>
  <c r="D176" i="10"/>
  <c r="B176" i="10"/>
  <c r="A176" i="10"/>
  <c r="D175" i="10"/>
  <c r="B175" i="10"/>
  <c r="A175" i="10"/>
  <c r="D174" i="10"/>
  <c r="B174" i="10"/>
  <c r="A174" i="10"/>
  <c r="D173" i="10"/>
  <c r="B173" i="10"/>
  <c r="A173" i="10"/>
  <c r="D172" i="10"/>
  <c r="B172" i="10"/>
  <c r="A172" i="10"/>
  <c r="D171" i="10"/>
  <c r="B171" i="10"/>
  <c r="A171" i="10"/>
  <c r="D170" i="10"/>
  <c r="B170" i="10"/>
  <c r="A170" i="10"/>
  <c r="D169" i="10"/>
  <c r="B169" i="10"/>
  <c r="A169" i="10"/>
  <c r="D168" i="10"/>
  <c r="B168" i="10"/>
  <c r="A168" i="10"/>
  <c r="D167" i="10"/>
  <c r="B167" i="10"/>
  <c r="A167" i="10"/>
  <c r="D166" i="10"/>
  <c r="B166" i="10"/>
  <c r="A166" i="10"/>
  <c r="D165" i="10"/>
  <c r="B165" i="10"/>
  <c r="A165" i="10"/>
  <c r="D164" i="10"/>
  <c r="B164" i="10"/>
  <c r="A164" i="10"/>
  <c r="D163" i="10"/>
  <c r="B163" i="10"/>
  <c r="A163" i="10"/>
  <c r="D162" i="10"/>
  <c r="B162" i="10"/>
  <c r="A162" i="10"/>
  <c r="D161" i="10"/>
  <c r="B161" i="10"/>
  <c r="A161" i="10"/>
  <c r="D160" i="10"/>
  <c r="B160" i="10"/>
  <c r="A160" i="10"/>
  <c r="D159" i="10"/>
  <c r="B159" i="10"/>
  <c r="A159" i="10"/>
  <c r="D158" i="10"/>
  <c r="B158" i="10"/>
  <c r="A158" i="10"/>
  <c r="D157" i="10"/>
  <c r="B157" i="10"/>
  <c r="A157" i="10"/>
  <c r="D156" i="10"/>
  <c r="B156" i="10"/>
  <c r="A156" i="10"/>
  <c r="D155" i="10"/>
  <c r="B155" i="10"/>
  <c r="A155" i="10"/>
  <c r="D154" i="10"/>
  <c r="B154" i="10"/>
  <c r="A154" i="10"/>
  <c r="D153" i="10"/>
  <c r="B153" i="10"/>
  <c r="A153" i="10"/>
  <c r="D152" i="10"/>
  <c r="B152" i="10"/>
  <c r="A152" i="10"/>
  <c r="D151" i="10"/>
  <c r="B151" i="10"/>
  <c r="A151" i="10"/>
  <c r="D150" i="10"/>
  <c r="B150" i="10"/>
  <c r="A150" i="10"/>
  <c r="D149" i="10"/>
  <c r="B149" i="10"/>
  <c r="A149" i="10"/>
  <c r="D148" i="10"/>
  <c r="B148" i="10"/>
  <c r="A148" i="10"/>
  <c r="D147" i="10"/>
  <c r="B147" i="10"/>
  <c r="A147" i="10"/>
  <c r="D146" i="10"/>
  <c r="B146" i="10"/>
  <c r="A146" i="10"/>
  <c r="D145" i="10"/>
  <c r="B145" i="10"/>
  <c r="A145" i="10"/>
  <c r="D144" i="10"/>
  <c r="B144" i="10"/>
  <c r="A144" i="10"/>
  <c r="D143" i="10"/>
  <c r="B143" i="10"/>
  <c r="A143" i="10"/>
  <c r="D142" i="10"/>
  <c r="B142" i="10"/>
  <c r="A142" i="10"/>
  <c r="D141" i="10"/>
  <c r="B141" i="10"/>
  <c r="A141" i="10"/>
  <c r="D140" i="10"/>
  <c r="B140" i="10"/>
  <c r="A140" i="10"/>
  <c r="D139" i="10"/>
  <c r="B139" i="10"/>
  <c r="A139" i="10"/>
  <c r="D138" i="10"/>
  <c r="B138" i="10"/>
  <c r="A138" i="10"/>
  <c r="D137" i="10"/>
  <c r="B137" i="10"/>
  <c r="A137" i="10"/>
  <c r="D136" i="10"/>
  <c r="B136" i="10"/>
  <c r="A136" i="10"/>
  <c r="D135" i="10"/>
  <c r="B135" i="10"/>
  <c r="A135" i="10"/>
  <c r="D134" i="10"/>
  <c r="B134" i="10"/>
  <c r="A134" i="10"/>
  <c r="D133" i="10"/>
  <c r="B133" i="10"/>
  <c r="A133" i="10"/>
  <c r="D132" i="10"/>
  <c r="B132" i="10"/>
  <c r="A132" i="10"/>
  <c r="D131" i="10"/>
  <c r="B131" i="10"/>
  <c r="A131" i="10"/>
  <c r="D130" i="10"/>
  <c r="B130" i="10"/>
  <c r="A130" i="10"/>
  <c r="D129" i="10"/>
  <c r="B129" i="10"/>
  <c r="A129" i="10"/>
  <c r="D128" i="10"/>
  <c r="B128" i="10"/>
  <c r="A128" i="10"/>
  <c r="D127" i="10"/>
  <c r="B127" i="10"/>
  <c r="A127" i="10"/>
  <c r="D126" i="10"/>
  <c r="B126" i="10"/>
  <c r="A126" i="10"/>
  <c r="D125" i="10"/>
  <c r="B125" i="10"/>
  <c r="A125" i="10"/>
  <c r="D124" i="10"/>
  <c r="B124" i="10"/>
  <c r="A124" i="10"/>
  <c r="D123" i="10"/>
  <c r="B123" i="10"/>
  <c r="A123" i="10"/>
  <c r="D122" i="10"/>
  <c r="B122" i="10"/>
  <c r="A122" i="10"/>
  <c r="D121" i="10"/>
  <c r="B121" i="10"/>
  <c r="A121" i="10"/>
  <c r="D120" i="10"/>
  <c r="B120" i="10"/>
  <c r="A120" i="10"/>
  <c r="D119" i="10"/>
  <c r="B119" i="10"/>
  <c r="A119" i="10"/>
  <c r="D118" i="10"/>
  <c r="B118" i="10"/>
  <c r="A118" i="10"/>
  <c r="D117" i="10"/>
  <c r="B117" i="10"/>
  <c r="A117" i="10"/>
  <c r="D116" i="10"/>
  <c r="B116" i="10"/>
  <c r="A116" i="10"/>
  <c r="D115" i="10"/>
  <c r="B115" i="10"/>
  <c r="A115" i="10"/>
  <c r="D114" i="10"/>
  <c r="B114" i="10"/>
  <c r="A114" i="10"/>
  <c r="D113" i="10"/>
  <c r="B113" i="10"/>
  <c r="A113" i="10"/>
  <c r="D112" i="10"/>
  <c r="B112" i="10"/>
  <c r="A112" i="10"/>
  <c r="D111" i="10"/>
  <c r="B111" i="10"/>
  <c r="A111" i="10"/>
  <c r="D110" i="10"/>
  <c r="B110" i="10"/>
  <c r="A110" i="10"/>
  <c r="D109" i="10"/>
  <c r="B109" i="10"/>
  <c r="A109" i="10"/>
  <c r="D108" i="10"/>
  <c r="B108" i="10"/>
  <c r="A108" i="10"/>
  <c r="D107" i="10"/>
  <c r="B107" i="10"/>
  <c r="A107" i="10"/>
  <c r="D106" i="10"/>
  <c r="B106" i="10"/>
  <c r="A106" i="10"/>
  <c r="D105" i="10"/>
  <c r="B105" i="10"/>
  <c r="A105" i="10"/>
  <c r="D104" i="10"/>
  <c r="B104" i="10"/>
  <c r="A104" i="10"/>
  <c r="D103" i="10"/>
  <c r="B103" i="10"/>
  <c r="A103" i="10"/>
  <c r="D102" i="10"/>
  <c r="B102" i="10"/>
  <c r="A102" i="10"/>
  <c r="D101" i="10"/>
  <c r="B101" i="10"/>
  <c r="A101" i="10"/>
  <c r="D100" i="10"/>
  <c r="B100" i="10"/>
  <c r="A100" i="10"/>
  <c r="D99" i="10"/>
  <c r="B99" i="10"/>
  <c r="A99" i="10"/>
  <c r="D98" i="10"/>
  <c r="B98" i="10"/>
  <c r="A98" i="10"/>
  <c r="D97" i="10"/>
  <c r="B97" i="10"/>
  <c r="A97" i="10"/>
  <c r="D96" i="10"/>
  <c r="B96" i="10"/>
  <c r="A96" i="10"/>
  <c r="D95" i="10"/>
  <c r="B95" i="10"/>
  <c r="A95" i="10"/>
  <c r="D94" i="10"/>
  <c r="B94" i="10"/>
  <c r="A94" i="10"/>
  <c r="D93" i="10"/>
  <c r="B93" i="10"/>
  <c r="A93" i="10"/>
  <c r="D92" i="10"/>
  <c r="B92" i="10"/>
  <c r="A92" i="10"/>
  <c r="D91" i="10"/>
  <c r="B91" i="10"/>
  <c r="A91" i="10"/>
  <c r="D90" i="10"/>
  <c r="B90" i="10"/>
  <c r="A90" i="10"/>
  <c r="D89" i="10"/>
  <c r="B89" i="10"/>
  <c r="A89" i="10"/>
  <c r="D88" i="10"/>
  <c r="B88" i="10"/>
  <c r="A88" i="10"/>
  <c r="D87" i="10"/>
  <c r="B87" i="10"/>
  <c r="A87" i="10"/>
  <c r="D86" i="10"/>
  <c r="B86" i="10"/>
  <c r="A86" i="10"/>
  <c r="D85" i="10"/>
  <c r="B85" i="10"/>
  <c r="A85" i="10"/>
  <c r="D84" i="10"/>
  <c r="B84" i="10"/>
  <c r="A84" i="10"/>
  <c r="D83" i="10"/>
  <c r="B83" i="10"/>
  <c r="A83" i="10"/>
  <c r="D82" i="10"/>
  <c r="B82" i="10"/>
  <c r="A82" i="10"/>
  <c r="D81" i="10"/>
  <c r="B81" i="10"/>
  <c r="A81" i="10"/>
  <c r="D80" i="10"/>
  <c r="B80" i="10"/>
  <c r="A80" i="10"/>
  <c r="D79" i="10"/>
  <c r="B79" i="10"/>
  <c r="A79" i="10"/>
  <c r="D78" i="10"/>
  <c r="B78" i="10"/>
  <c r="A78" i="10"/>
  <c r="D77" i="10"/>
  <c r="B77" i="10"/>
  <c r="A77" i="10"/>
  <c r="D76" i="10"/>
  <c r="B76" i="10"/>
  <c r="A76" i="10"/>
  <c r="D75" i="10"/>
  <c r="B75" i="10"/>
  <c r="A75" i="10"/>
  <c r="D74" i="10"/>
  <c r="B74" i="10"/>
  <c r="A74" i="10"/>
  <c r="D73" i="10"/>
  <c r="B73" i="10"/>
  <c r="A73" i="10"/>
  <c r="D72" i="10"/>
  <c r="B72" i="10"/>
  <c r="A72" i="10"/>
  <c r="D71" i="10"/>
  <c r="B71" i="10"/>
  <c r="A71" i="10"/>
  <c r="D70" i="10"/>
  <c r="B70" i="10"/>
  <c r="A70" i="10"/>
  <c r="D69" i="10"/>
  <c r="B69" i="10"/>
  <c r="A69" i="10"/>
  <c r="D68" i="10"/>
  <c r="B68" i="10"/>
  <c r="A68" i="10"/>
  <c r="D67" i="10"/>
  <c r="B67" i="10"/>
  <c r="A67" i="10"/>
  <c r="D66" i="10"/>
  <c r="B66" i="10"/>
  <c r="A66" i="10"/>
  <c r="D65" i="10"/>
  <c r="B65" i="10"/>
  <c r="A65" i="10"/>
  <c r="D64" i="10"/>
  <c r="B64" i="10"/>
  <c r="A64" i="10"/>
  <c r="D63" i="10"/>
  <c r="B63" i="10"/>
  <c r="A63" i="10"/>
  <c r="D62" i="10"/>
  <c r="B62" i="10"/>
  <c r="A62" i="10"/>
  <c r="D61" i="10"/>
  <c r="B61" i="10"/>
  <c r="A61" i="10"/>
  <c r="D60" i="10"/>
  <c r="B60" i="10"/>
  <c r="A60" i="10"/>
  <c r="D59" i="10"/>
  <c r="B59" i="10"/>
  <c r="A59" i="10"/>
  <c r="D58" i="10"/>
  <c r="B58" i="10"/>
  <c r="A58" i="10"/>
  <c r="D57" i="10"/>
  <c r="B57" i="10"/>
  <c r="A57" i="10"/>
  <c r="D56" i="10"/>
  <c r="B56" i="10"/>
  <c r="A56" i="10"/>
  <c r="D55" i="10"/>
  <c r="B55" i="10"/>
  <c r="A55" i="10"/>
  <c r="D54" i="10"/>
  <c r="B54" i="10"/>
  <c r="A54" i="10"/>
  <c r="D53" i="10"/>
  <c r="B53" i="10"/>
  <c r="A53" i="10"/>
  <c r="D52" i="10"/>
  <c r="B52" i="10"/>
  <c r="A52" i="10"/>
  <c r="D51" i="10"/>
  <c r="B51" i="10"/>
  <c r="A51" i="10"/>
  <c r="D50" i="10"/>
  <c r="B50" i="10"/>
  <c r="A50" i="10"/>
  <c r="D49" i="10"/>
  <c r="B49" i="10"/>
  <c r="A49" i="10"/>
  <c r="D48" i="10"/>
  <c r="B48" i="10"/>
  <c r="A48" i="10"/>
  <c r="D47" i="10"/>
  <c r="B47" i="10"/>
  <c r="A47" i="10"/>
  <c r="D46" i="10"/>
  <c r="B46" i="10"/>
  <c r="A46" i="10"/>
  <c r="D45" i="10"/>
  <c r="B45" i="10"/>
  <c r="A45" i="10"/>
  <c r="D44" i="10"/>
  <c r="B44" i="10"/>
  <c r="A44" i="10"/>
  <c r="D43" i="10"/>
  <c r="B43" i="10"/>
  <c r="A43" i="10"/>
  <c r="D42" i="10"/>
  <c r="B42" i="10"/>
  <c r="A42" i="10"/>
  <c r="D41" i="10"/>
  <c r="B41" i="10"/>
  <c r="A41" i="10"/>
  <c r="D40" i="10"/>
  <c r="B40" i="10"/>
  <c r="A40" i="10"/>
  <c r="D39" i="10"/>
  <c r="B39" i="10"/>
  <c r="A39" i="10"/>
  <c r="D38" i="10"/>
  <c r="B38" i="10"/>
  <c r="A38" i="10"/>
  <c r="D37" i="10"/>
  <c r="B37" i="10"/>
  <c r="A37" i="10"/>
  <c r="D36" i="10"/>
  <c r="B36" i="10"/>
  <c r="A36" i="10"/>
  <c r="D35" i="10"/>
  <c r="B35" i="10"/>
  <c r="A35" i="10"/>
  <c r="D34" i="10"/>
  <c r="B34" i="10"/>
  <c r="A34" i="10"/>
  <c r="D33" i="10"/>
  <c r="B33" i="10"/>
  <c r="A33" i="10"/>
  <c r="D32" i="10"/>
  <c r="B32" i="10"/>
  <c r="A32" i="10"/>
  <c r="D31" i="10"/>
  <c r="B31" i="10"/>
  <c r="A31" i="10"/>
  <c r="D30" i="10"/>
  <c r="B30" i="10"/>
  <c r="A30" i="10"/>
  <c r="D29" i="10"/>
  <c r="B29" i="10"/>
  <c r="A29" i="10"/>
  <c r="D28" i="10"/>
  <c r="B28" i="10"/>
  <c r="A28" i="10"/>
  <c r="D27" i="10"/>
  <c r="B27" i="10"/>
  <c r="A27" i="10"/>
  <c r="D26" i="10"/>
  <c r="B26" i="10"/>
  <c r="A26" i="10"/>
  <c r="D25" i="10"/>
  <c r="B25" i="10"/>
  <c r="A25" i="10"/>
  <c r="D24" i="10"/>
  <c r="B24" i="10"/>
  <c r="A24" i="10"/>
  <c r="D23" i="10"/>
  <c r="B23" i="10"/>
  <c r="A23" i="10"/>
  <c r="D22" i="10"/>
  <c r="B22" i="10"/>
  <c r="A22" i="10"/>
  <c r="D21" i="10"/>
  <c r="B21" i="10"/>
  <c r="A21" i="10"/>
  <c r="D20" i="10"/>
  <c r="B20" i="10"/>
  <c r="A20" i="10"/>
  <c r="D19" i="10"/>
  <c r="B19" i="10"/>
  <c r="A19" i="10"/>
  <c r="D18" i="10"/>
  <c r="B18" i="10"/>
  <c r="A18" i="10"/>
  <c r="D17" i="10"/>
  <c r="B17" i="10"/>
  <c r="A17" i="10"/>
  <c r="D16" i="10"/>
  <c r="B16" i="10"/>
  <c r="A16" i="10"/>
  <c r="D15" i="10"/>
  <c r="B15" i="10"/>
  <c r="A15" i="10"/>
  <c r="D14" i="10"/>
  <c r="B14" i="10"/>
  <c r="A14" i="10"/>
  <c r="D13" i="10"/>
  <c r="B13" i="10"/>
  <c r="A13" i="10"/>
  <c r="D12" i="10"/>
  <c r="B12" i="10"/>
  <c r="A12" i="10"/>
  <c r="D11" i="10"/>
  <c r="B11" i="10"/>
  <c r="A11" i="10"/>
  <c r="D10" i="10"/>
  <c r="B10" i="10"/>
  <c r="A10" i="10"/>
  <c r="D9" i="10"/>
  <c r="B9" i="10"/>
  <c r="A9" i="10"/>
  <c r="D8" i="10"/>
  <c r="B8" i="10"/>
  <c r="A8" i="10"/>
  <c r="D7" i="10"/>
  <c r="B7" i="10"/>
  <c r="A7" i="10"/>
  <c r="D6" i="10"/>
  <c r="B6" i="10"/>
  <c r="A6" i="10"/>
  <c r="D5" i="10"/>
  <c r="B5" i="10"/>
  <c r="A5" i="10"/>
  <c r="D4" i="10"/>
  <c r="B4" i="10"/>
  <c r="A4" i="10"/>
  <c r="D3" i="10"/>
  <c r="C3" i="10"/>
  <c r="B3" i="10"/>
  <c r="A3" i="10"/>
  <c r="D2" i="10"/>
  <c r="C2" i="10"/>
  <c r="B2" i="10"/>
  <c r="A2" i="10"/>
  <c r="X5" i="6" s="1"/>
  <c r="D4" i="9"/>
  <c r="C4" i="9"/>
  <c r="B4" i="9"/>
  <c r="A4" i="9"/>
  <c r="D3" i="9"/>
  <c r="C3" i="9"/>
  <c r="B3" i="9"/>
  <c r="A3" i="9"/>
  <c r="D2" i="9"/>
  <c r="C2" i="9"/>
  <c r="B2" i="9"/>
  <c r="A2" i="9"/>
  <c r="D1" i="9"/>
  <c r="C1" i="9"/>
  <c r="B1" i="9"/>
  <c r="A1" i="9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D183" i="8"/>
  <c r="B183" i="8"/>
  <c r="A183" i="8"/>
  <c r="D182" i="8"/>
  <c r="B182" i="8"/>
  <c r="A182" i="8"/>
  <c r="D181" i="8"/>
  <c r="B181" i="8"/>
  <c r="A181" i="8"/>
  <c r="D180" i="8"/>
  <c r="B180" i="8"/>
  <c r="A180" i="8"/>
  <c r="D179" i="8"/>
  <c r="B179" i="8"/>
  <c r="A179" i="8"/>
  <c r="D178" i="8"/>
  <c r="B178" i="8"/>
  <c r="A178" i="8"/>
  <c r="D177" i="8"/>
  <c r="B177" i="8"/>
  <c r="A177" i="8"/>
  <c r="D176" i="8"/>
  <c r="B176" i="8"/>
  <c r="A176" i="8"/>
  <c r="D175" i="8"/>
  <c r="B175" i="8"/>
  <c r="A175" i="8"/>
  <c r="D174" i="8"/>
  <c r="B174" i="8"/>
  <c r="A174" i="8"/>
  <c r="D173" i="8"/>
  <c r="B173" i="8"/>
  <c r="A173" i="8"/>
  <c r="D172" i="8"/>
  <c r="B172" i="8"/>
  <c r="A172" i="8"/>
  <c r="D171" i="8"/>
  <c r="B171" i="8"/>
  <c r="A171" i="8"/>
  <c r="D170" i="8"/>
  <c r="B170" i="8"/>
  <c r="A170" i="8"/>
  <c r="D169" i="8"/>
  <c r="B169" i="8"/>
  <c r="A169" i="8"/>
  <c r="D168" i="8"/>
  <c r="B168" i="8"/>
  <c r="A168" i="8"/>
  <c r="D167" i="8"/>
  <c r="B167" i="8"/>
  <c r="A167" i="8"/>
  <c r="D166" i="8"/>
  <c r="B166" i="8"/>
  <c r="A166" i="8"/>
  <c r="D165" i="8"/>
  <c r="B165" i="8"/>
  <c r="A165" i="8"/>
  <c r="D164" i="8"/>
  <c r="B164" i="8"/>
  <c r="A164" i="8"/>
  <c r="D163" i="8"/>
  <c r="B163" i="8"/>
  <c r="A163" i="8"/>
  <c r="D162" i="8"/>
  <c r="B162" i="8"/>
  <c r="A162" i="8"/>
  <c r="D161" i="8"/>
  <c r="B161" i="8"/>
  <c r="A161" i="8"/>
  <c r="D160" i="8"/>
  <c r="B160" i="8"/>
  <c r="A160" i="8"/>
  <c r="D159" i="8"/>
  <c r="B159" i="8"/>
  <c r="A159" i="8"/>
  <c r="D158" i="8"/>
  <c r="B158" i="8"/>
  <c r="A158" i="8"/>
  <c r="D157" i="8"/>
  <c r="B157" i="8"/>
  <c r="A157" i="8"/>
  <c r="D156" i="8"/>
  <c r="B156" i="8"/>
  <c r="A156" i="8"/>
  <c r="D155" i="8"/>
  <c r="B155" i="8"/>
  <c r="A155" i="8"/>
  <c r="D154" i="8"/>
  <c r="B154" i="8"/>
  <c r="A154" i="8"/>
  <c r="D153" i="8"/>
  <c r="B153" i="8"/>
  <c r="A153" i="8"/>
  <c r="D152" i="8"/>
  <c r="B152" i="8"/>
  <c r="A152" i="8"/>
  <c r="D151" i="8"/>
  <c r="B151" i="8"/>
  <c r="A151" i="8"/>
  <c r="D150" i="8"/>
  <c r="B150" i="8"/>
  <c r="A150" i="8"/>
  <c r="D149" i="8"/>
  <c r="B149" i="8"/>
  <c r="A149" i="8"/>
  <c r="D148" i="8"/>
  <c r="B148" i="8"/>
  <c r="A148" i="8"/>
  <c r="D147" i="8"/>
  <c r="B147" i="8"/>
  <c r="A147" i="8"/>
  <c r="D146" i="8"/>
  <c r="B146" i="8"/>
  <c r="A146" i="8"/>
  <c r="D145" i="8"/>
  <c r="B145" i="8"/>
  <c r="A145" i="8"/>
  <c r="D144" i="8"/>
  <c r="B144" i="8"/>
  <c r="A144" i="8"/>
  <c r="D143" i="8"/>
  <c r="B143" i="8"/>
  <c r="A143" i="8"/>
  <c r="D142" i="8"/>
  <c r="B142" i="8"/>
  <c r="A142" i="8"/>
  <c r="D141" i="8"/>
  <c r="B141" i="8"/>
  <c r="A141" i="8"/>
  <c r="D140" i="8"/>
  <c r="B140" i="8"/>
  <c r="A140" i="8"/>
  <c r="D139" i="8"/>
  <c r="B139" i="8"/>
  <c r="A139" i="8"/>
  <c r="D138" i="8"/>
  <c r="B138" i="8"/>
  <c r="A138" i="8"/>
  <c r="D137" i="8"/>
  <c r="B137" i="8"/>
  <c r="A137" i="8"/>
  <c r="D136" i="8"/>
  <c r="B136" i="8"/>
  <c r="A136" i="8"/>
  <c r="D135" i="8"/>
  <c r="B135" i="8"/>
  <c r="A135" i="8"/>
  <c r="D134" i="8"/>
  <c r="B134" i="8"/>
  <c r="A134" i="8"/>
  <c r="D133" i="8"/>
  <c r="B133" i="8"/>
  <c r="A133" i="8"/>
  <c r="D132" i="8"/>
  <c r="B132" i="8"/>
  <c r="A132" i="8"/>
  <c r="D131" i="8"/>
  <c r="B131" i="8"/>
  <c r="A131" i="8"/>
  <c r="D130" i="8"/>
  <c r="B130" i="8"/>
  <c r="A130" i="8"/>
  <c r="D129" i="8"/>
  <c r="B129" i="8"/>
  <c r="A129" i="8"/>
  <c r="D128" i="8"/>
  <c r="B128" i="8"/>
  <c r="A128" i="8"/>
  <c r="D127" i="8"/>
  <c r="B127" i="8"/>
  <c r="A127" i="8"/>
  <c r="D126" i="8"/>
  <c r="B126" i="8"/>
  <c r="A126" i="8"/>
  <c r="D125" i="8"/>
  <c r="B125" i="8"/>
  <c r="A125" i="8"/>
  <c r="D124" i="8"/>
  <c r="B124" i="8"/>
  <c r="A124" i="8"/>
  <c r="D123" i="8"/>
  <c r="B123" i="8"/>
  <c r="A123" i="8"/>
  <c r="D122" i="8"/>
  <c r="B122" i="8"/>
  <c r="A122" i="8"/>
  <c r="D121" i="8"/>
  <c r="B121" i="8"/>
  <c r="A121" i="8"/>
  <c r="D120" i="8"/>
  <c r="B120" i="8"/>
  <c r="A120" i="8"/>
  <c r="D119" i="8"/>
  <c r="B119" i="8"/>
  <c r="A119" i="8"/>
  <c r="D118" i="8"/>
  <c r="B118" i="8"/>
  <c r="A118" i="8"/>
  <c r="D117" i="8"/>
  <c r="B117" i="8"/>
  <c r="A117" i="8"/>
  <c r="D116" i="8"/>
  <c r="B116" i="8"/>
  <c r="A116" i="8"/>
  <c r="D115" i="8"/>
  <c r="B115" i="8"/>
  <c r="A115" i="8"/>
  <c r="D114" i="8"/>
  <c r="B114" i="8"/>
  <c r="A114" i="8"/>
  <c r="D113" i="8"/>
  <c r="B113" i="8"/>
  <c r="A113" i="8"/>
  <c r="D112" i="8"/>
  <c r="B112" i="8"/>
  <c r="A112" i="8"/>
  <c r="D111" i="8"/>
  <c r="B111" i="8"/>
  <c r="A111" i="8"/>
  <c r="D110" i="8"/>
  <c r="B110" i="8"/>
  <c r="A110" i="8"/>
  <c r="D109" i="8"/>
  <c r="B109" i="8"/>
  <c r="A109" i="8"/>
  <c r="D108" i="8"/>
  <c r="B108" i="8"/>
  <c r="A108" i="8"/>
  <c r="D107" i="8"/>
  <c r="B107" i="8"/>
  <c r="A107" i="8"/>
  <c r="D106" i="8"/>
  <c r="B106" i="8"/>
  <c r="A106" i="8"/>
  <c r="D105" i="8"/>
  <c r="B105" i="8"/>
  <c r="A105" i="8"/>
  <c r="D104" i="8"/>
  <c r="B104" i="8"/>
  <c r="A104" i="8"/>
  <c r="D103" i="8"/>
  <c r="B103" i="8"/>
  <c r="A103" i="8"/>
  <c r="D102" i="8"/>
  <c r="B102" i="8"/>
  <c r="A102" i="8"/>
  <c r="D101" i="8"/>
  <c r="B101" i="8"/>
  <c r="A101" i="8"/>
  <c r="D100" i="8"/>
  <c r="B100" i="8"/>
  <c r="A100" i="8"/>
  <c r="D99" i="8"/>
  <c r="B99" i="8"/>
  <c r="A99" i="8"/>
  <c r="D98" i="8"/>
  <c r="B98" i="8"/>
  <c r="A98" i="8"/>
  <c r="D97" i="8"/>
  <c r="B97" i="8"/>
  <c r="A97" i="8"/>
  <c r="D96" i="8"/>
  <c r="B96" i="8"/>
  <c r="A96" i="8"/>
  <c r="D95" i="8"/>
  <c r="B95" i="8"/>
  <c r="A95" i="8"/>
  <c r="D94" i="8"/>
  <c r="B94" i="8"/>
  <c r="A94" i="8"/>
  <c r="D93" i="8"/>
  <c r="B93" i="8"/>
  <c r="A93" i="8"/>
  <c r="D92" i="8"/>
  <c r="B92" i="8"/>
  <c r="A92" i="8"/>
  <c r="D91" i="8"/>
  <c r="B91" i="8"/>
  <c r="A91" i="8"/>
  <c r="D90" i="8"/>
  <c r="B90" i="8"/>
  <c r="A90" i="8"/>
  <c r="D89" i="8"/>
  <c r="B89" i="8"/>
  <c r="A89" i="8"/>
  <c r="D88" i="8"/>
  <c r="B88" i="8"/>
  <c r="A88" i="8"/>
  <c r="D87" i="8"/>
  <c r="B87" i="8"/>
  <c r="A87" i="8"/>
  <c r="D86" i="8"/>
  <c r="B86" i="8"/>
  <c r="A86" i="8"/>
  <c r="D85" i="8"/>
  <c r="B85" i="8"/>
  <c r="A85" i="8"/>
  <c r="D84" i="8"/>
  <c r="B84" i="8"/>
  <c r="A84" i="8"/>
  <c r="D83" i="8"/>
  <c r="B83" i="8"/>
  <c r="A83" i="8"/>
  <c r="D82" i="8"/>
  <c r="B82" i="8"/>
  <c r="A82" i="8"/>
  <c r="D81" i="8"/>
  <c r="B81" i="8"/>
  <c r="A81" i="8"/>
  <c r="D80" i="8"/>
  <c r="B80" i="8"/>
  <c r="A80" i="8"/>
  <c r="D79" i="8"/>
  <c r="B79" i="8"/>
  <c r="A79" i="8"/>
  <c r="D78" i="8"/>
  <c r="B78" i="8"/>
  <c r="A78" i="8"/>
  <c r="D77" i="8"/>
  <c r="B77" i="8"/>
  <c r="A77" i="8"/>
  <c r="D76" i="8"/>
  <c r="B76" i="8"/>
  <c r="A76" i="8"/>
  <c r="D75" i="8"/>
  <c r="B75" i="8"/>
  <c r="A75" i="8"/>
  <c r="D74" i="8"/>
  <c r="B74" i="8"/>
  <c r="A74" i="8"/>
  <c r="D73" i="8"/>
  <c r="B73" i="8"/>
  <c r="A73" i="8"/>
  <c r="D72" i="8"/>
  <c r="B72" i="8"/>
  <c r="A72" i="8"/>
  <c r="D71" i="8"/>
  <c r="B71" i="8"/>
  <c r="A71" i="8"/>
  <c r="D70" i="8"/>
  <c r="B70" i="8"/>
  <c r="A70" i="8"/>
  <c r="D69" i="8"/>
  <c r="B69" i="8"/>
  <c r="A69" i="8"/>
  <c r="D68" i="8"/>
  <c r="B68" i="8"/>
  <c r="A68" i="8"/>
  <c r="D67" i="8"/>
  <c r="B67" i="8"/>
  <c r="A67" i="8"/>
  <c r="D66" i="8"/>
  <c r="B66" i="8"/>
  <c r="A66" i="8"/>
  <c r="D65" i="8"/>
  <c r="B65" i="8"/>
  <c r="A65" i="8"/>
  <c r="D64" i="8"/>
  <c r="B64" i="8"/>
  <c r="A64" i="8"/>
  <c r="D63" i="8"/>
  <c r="B63" i="8"/>
  <c r="A63" i="8"/>
  <c r="D62" i="8"/>
  <c r="B62" i="8"/>
  <c r="A62" i="8"/>
  <c r="D61" i="8"/>
  <c r="B61" i="8"/>
  <c r="A61" i="8"/>
  <c r="D60" i="8"/>
  <c r="B60" i="8"/>
  <c r="A60" i="8"/>
  <c r="D59" i="8"/>
  <c r="B59" i="8"/>
  <c r="A59" i="8"/>
  <c r="D58" i="8"/>
  <c r="B58" i="8"/>
  <c r="A58" i="8"/>
  <c r="D57" i="8"/>
  <c r="B57" i="8"/>
  <c r="A57" i="8"/>
  <c r="D56" i="8"/>
  <c r="B56" i="8"/>
  <c r="A56" i="8"/>
  <c r="D55" i="8"/>
  <c r="B55" i="8"/>
  <c r="A55" i="8"/>
  <c r="D54" i="8"/>
  <c r="B54" i="8"/>
  <c r="A54" i="8"/>
  <c r="D53" i="8"/>
  <c r="B53" i="8"/>
  <c r="A53" i="8"/>
  <c r="D52" i="8"/>
  <c r="B52" i="8"/>
  <c r="A52" i="8"/>
  <c r="D51" i="8"/>
  <c r="B51" i="8"/>
  <c r="A51" i="8"/>
  <c r="D50" i="8"/>
  <c r="B50" i="8"/>
  <c r="A50" i="8"/>
  <c r="D49" i="8"/>
  <c r="B49" i="8"/>
  <c r="A49" i="8"/>
  <c r="D48" i="8"/>
  <c r="B48" i="8"/>
  <c r="A48" i="8"/>
  <c r="D47" i="8"/>
  <c r="B47" i="8"/>
  <c r="A47" i="8"/>
  <c r="D46" i="8"/>
  <c r="B46" i="8"/>
  <c r="A46" i="8"/>
  <c r="D45" i="8"/>
  <c r="B45" i="8"/>
  <c r="A45" i="8"/>
  <c r="D44" i="8"/>
  <c r="B44" i="8"/>
  <c r="A44" i="8"/>
  <c r="D43" i="8"/>
  <c r="B43" i="8"/>
  <c r="A43" i="8"/>
  <c r="D42" i="8"/>
  <c r="B42" i="8"/>
  <c r="A42" i="8"/>
  <c r="D41" i="8"/>
  <c r="B41" i="8"/>
  <c r="A41" i="8"/>
  <c r="D40" i="8"/>
  <c r="B40" i="8"/>
  <c r="A40" i="8"/>
  <c r="D39" i="8"/>
  <c r="B39" i="8"/>
  <c r="A39" i="8"/>
  <c r="D38" i="8"/>
  <c r="B38" i="8"/>
  <c r="A38" i="8"/>
  <c r="D37" i="8"/>
  <c r="B37" i="8"/>
  <c r="A37" i="8"/>
  <c r="D36" i="8"/>
  <c r="B36" i="8"/>
  <c r="A36" i="8"/>
  <c r="D35" i="8"/>
  <c r="B35" i="8"/>
  <c r="A35" i="8"/>
  <c r="D34" i="8"/>
  <c r="B34" i="8"/>
  <c r="A34" i="8"/>
  <c r="D33" i="8"/>
  <c r="B33" i="8"/>
  <c r="A33" i="8"/>
  <c r="D32" i="8"/>
  <c r="B32" i="8"/>
  <c r="A32" i="8"/>
  <c r="D31" i="8"/>
  <c r="B31" i="8"/>
  <c r="A31" i="8"/>
  <c r="D30" i="8"/>
  <c r="B30" i="8"/>
  <c r="A30" i="8"/>
  <c r="D29" i="8"/>
  <c r="B29" i="8"/>
  <c r="A29" i="8"/>
  <c r="D28" i="8"/>
  <c r="B28" i="8"/>
  <c r="A28" i="8"/>
  <c r="D27" i="8"/>
  <c r="B27" i="8"/>
  <c r="A27" i="8"/>
  <c r="D26" i="8"/>
  <c r="B26" i="8"/>
  <c r="A26" i="8"/>
  <c r="D25" i="8"/>
  <c r="B25" i="8"/>
  <c r="A25" i="8"/>
  <c r="D24" i="8"/>
  <c r="B24" i="8"/>
  <c r="A24" i="8"/>
  <c r="D23" i="8"/>
  <c r="B23" i="8"/>
  <c r="A23" i="8"/>
  <c r="D22" i="8"/>
  <c r="B22" i="8"/>
  <c r="A22" i="8"/>
  <c r="D21" i="8"/>
  <c r="B21" i="8"/>
  <c r="A21" i="8"/>
  <c r="D20" i="8"/>
  <c r="B20" i="8"/>
  <c r="A20" i="8"/>
  <c r="D19" i="8"/>
  <c r="B19" i="8"/>
  <c r="A19" i="8"/>
  <c r="D18" i="8"/>
  <c r="B18" i="8"/>
  <c r="A18" i="8"/>
  <c r="D17" i="8"/>
  <c r="B17" i="8"/>
  <c r="A17" i="8"/>
  <c r="D16" i="8"/>
  <c r="B16" i="8"/>
  <c r="A16" i="8"/>
  <c r="D15" i="8"/>
  <c r="B15" i="8"/>
  <c r="A15" i="8"/>
  <c r="D14" i="8"/>
  <c r="B14" i="8"/>
  <c r="A14" i="8"/>
  <c r="D13" i="8"/>
  <c r="B13" i="8"/>
  <c r="A13" i="8"/>
  <c r="D12" i="8"/>
  <c r="B12" i="8"/>
  <c r="A12" i="8"/>
  <c r="D11" i="8"/>
  <c r="B11" i="8"/>
  <c r="A11" i="8"/>
  <c r="D10" i="8"/>
  <c r="B10" i="8"/>
  <c r="A10" i="8"/>
  <c r="D9" i="8"/>
  <c r="B9" i="8"/>
  <c r="A9" i="8"/>
  <c r="D8" i="8"/>
  <c r="B8" i="8"/>
  <c r="A8" i="8"/>
  <c r="D7" i="8"/>
  <c r="B7" i="8"/>
  <c r="A7" i="8"/>
  <c r="D6" i="8"/>
  <c r="B6" i="8"/>
  <c r="A6" i="8"/>
  <c r="D5" i="8"/>
  <c r="B5" i="8"/>
  <c r="A5" i="8"/>
  <c r="D4" i="8"/>
  <c r="B4" i="8"/>
  <c r="A4" i="8"/>
  <c r="D3" i="8"/>
  <c r="C3" i="8"/>
  <c r="B3" i="8"/>
  <c r="A3" i="8"/>
  <c r="D2" i="8"/>
  <c r="C2" i="8"/>
  <c r="B2" i="8"/>
  <c r="A2" i="8"/>
  <c r="D1" i="8"/>
  <c r="C1" i="8"/>
  <c r="B1" i="8"/>
  <c r="A1" i="8"/>
  <c r="A95" i="7"/>
  <c r="A94" i="7"/>
  <c r="B93" i="7"/>
  <c r="A93" i="7"/>
  <c r="A92" i="7"/>
  <c r="B92" i="7" s="1"/>
  <c r="A91" i="7"/>
  <c r="A90" i="7"/>
  <c r="B89" i="7"/>
  <c r="A89" i="7"/>
  <c r="A88" i="7"/>
  <c r="B88" i="7" s="1"/>
  <c r="A87" i="7"/>
  <c r="A86" i="7"/>
  <c r="B85" i="7"/>
  <c r="A85" i="7"/>
  <c r="A84" i="7"/>
  <c r="B84" i="7" s="1"/>
  <c r="A83" i="7"/>
  <c r="A82" i="7"/>
  <c r="B81" i="7"/>
  <c r="A81" i="7"/>
  <c r="A80" i="7"/>
  <c r="B80" i="7" s="1"/>
  <c r="A79" i="7"/>
  <c r="A78" i="7"/>
  <c r="B77" i="7"/>
  <c r="A77" i="7"/>
  <c r="A76" i="7"/>
  <c r="B76" i="7" s="1"/>
  <c r="A75" i="7"/>
  <c r="A74" i="7"/>
  <c r="B73" i="7"/>
  <c r="A73" i="7"/>
  <c r="A72" i="7"/>
  <c r="B72" i="7" s="1"/>
  <c r="A71" i="7"/>
  <c r="A70" i="7"/>
  <c r="B69" i="7"/>
  <c r="A69" i="7"/>
  <c r="A68" i="7"/>
  <c r="B68" i="7" s="1"/>
  <c r="A67" i="7"/>
  <c r="A66" i="7"/>
  <c r="B65" i="7"/>
  <c r="A65" i="7"/>
  <c r="A64" i="7"/>
  <c r="B64" i="7" s="1"/>
  <c r="A63" i="7"/>
  <c r="A62" i="7"/>
  <c r="B61" i="7"/>
  <c r="A61" i="7"/>
  <c r="A60" i="7"/>
  <c r="B60" i="7" s="1"/>
  <c r="A59" i="7"/>
  <c r="A58" i="7"/>
  <c r="B57" i="7"/>
  <c r="A57" i="7"/>
  <c r="A56" i="7"/>
  <c r="B56" i="7" s="1"/>
  <c r="A55" i="7"/>
  <c r="A54" i="7"/>
  <c r="B53" i="7"/>
  <c r="A53" i="7"/>
  <c r="A52" i="7"/>
  <c r="B52" i="7" s="1"/>
  <c r="A51" i="7"/>
  <c r="A50" i="7"/>
  <c r="B49" i="7"/>
  <c r="A49" i="7"/>
  <c r="A48" i="7"/>
  <c r="B48" i="7" s="1"/>
  <c r="A47" i="7"/>
  <c r="A46" i="7"/>
  <c r="B45" i="7"/>
  <c r="A45" i="7"/>
  <c r="A44" i="7"/>
  <c r="B44" i="7" s="1"/>
  <c r="A43" i="7"/>
  <c r="A42" i="7"/>
  <c r="B41" i="7"/>
  <c r="A41" i="7"/>
  <c r="A40" i="7"/>
  <c r="B40" i="7" s="1"/>
  <c r="A39" i="7"/>
  <c r="A38" i="7"/>
  <c r="B37" i="7"/>
  <c r="A37" i="7"/>
  <c r="A36" i="7"/>
  <c r="B36" i="7" s="1"/>
  <c r="A35" i="7"/>
  <c r="A34" i="7"/>
  <c r="B33" i="7"/>
  <c r="A33" i="7"/>
  <c r="A32" i="7"/>
  <c r="B32" i="7" s="1"/>
  <c r="A31" i="7"/>
  <c r="A30" i="7"/>
  <c r="B29" i="7"/>
  <c r="A29" i="7"/>
  <c r="A28" i="7"/>
  <c r="B28" i="7" s="1"/>
  <c r="A27" i="7"/>
  <c r="A26" i="7"/>
  <c r="B25" i="7"/>
  <c r="A25" i="7"/>
  <c r="A24" i="7"/>
  <c r="B24" i="7" s="1"/>
  <c r="A23" i="7"/>
  <c r="A22" i="7"/>
  <c r="B21" i="7"/>
  <c r="A21" i="7"/>
  <c r="A20" i="7"/>
  <c r="B20" i="7" s="1"/>
  <c r="A19" i="7"/>
  <c r="A18" i="7"/>
  <c r="B17" i="7"/>
  <c r="A17" i="7"/>
  <c r="A16" i="7"/>
  <c r="B16" i="7" s="1"/>
  <c r="A15" i="7"/>
  <c r="A14" i="7"/>
  <c r="B13" i="7"/>
  <c r="A13" i="7"/>
  <c r="A12" i="7"/>
  <c r="B12" i="7" s="1"/>
  <c r="A11" i="7"/>
  <c r="A10" i="7"/>
  <c r="B9" i="7"/>
  <c r="A9" i="7"/>
  <c r="A8" i="7"/>
  <c r="B8" i="7" s="1"/>
  <c r="A7" i="7"/>
  <c r="A6" i="7"/>
  <c r="B5" i="7"/>
  <c r="A5" i="7"/>
  <c r="A4" i="7"/>
  <c r="B4" i="7" s="1"/>
  <c r="A3" i="7"/>
  <c r="A2" i="7"/>
  <c r="Y5" i="6"/>
  <c r="Q5" i="6"/>
  <c r="I5" i="6"/>
  <c r="A3" i="6"/>
  <c r="A2" i="6"/>
  <c r="A1" i="6"/>
  <c r="AM12" i="5"/>
  <c r="AE12" i="5"/>
  <c r="W12" i="5"/>
  <c r="O12" i="5"/>
  <c r="G12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0" i="5"/>
  <c r="A17" i="5" s="1"/>
  <c r="A9" i="5"/>
  <c r="A16" i="5" s="1"/>
  <c r="A5" i="5"/>
  <c r="A4" i="5"/>
  <c r="A3" i="5"/>
  <c r="A2" i="5"/>
  <c r="A1" i="5"/>
  <c r="E28" i="4"/>
  <c r="D28" i="4"/>
  <c r="C28" i="4"/>
  <c r="E27" i="4"/>
  <c r="D27" i="4"/>
  <c r="C27" i="4"/>
  <c r="E26" i="4"/>
  <c r="D26" i="4"/>
  <c r="C26" i="4"/>
  <c r="B26" i="4"/>
  <c r="A26" i="4"/>
  <c r="E25" i="4"/>
  <c r="D25" i="4"/>
  <c r="C25" i="4"/>
  <c r="B25" i="4"/>
  <c r="E24" i="4"/>
  <c r="D24" i="4"/>
  <c r="C24" i="4"/>
  <c r="E23" i="4"/>
  <c r="D23" i="4"/>
  <c r="C23" i="4"/>
  <c r="E22" i="4"/>
  <c r="D22" i="4"/>
  <c r="C22" i="4"/>
  <c r="C21" i="4"/>
  <c r="E20" i="4"/>
  <c r="D20" i="4"/>
  <c r="C20" i="4"/>
  <c r="E19" i="4"/>
  <c r="D19" i="4"/>
  <c r="C19" i="4"/>
  <c r="H14" i="4"/>
  <c r="G14" i="4"/>
  <c r="F14" i="4"/>
  <c r="E14" i="4"/>
  <c r="D14" i="4"/>
  <c r="H13" i="4"/>
  <c r="A10" i="4"/>
  <c r="A28" i="4" s="1"/>
  <c r="B9" i="4"/>
  <c r="B27" i="4" s="1"/>
  <c r="A9" i="4"/>
  <c r="A27" i="4" s="1"/>
  <c r="A8" i="4"/>
  <c r="A7" i="4"/>
  <c r="A25" i="4" s="1"/>
  <c r="B6" i="4"/>
  <c r="B24" i="4" s="1"/>
  <c r="A6" i="4"/>
  <c r="A24" i="4" s="1"/>
  <c r="B5" i="4"/>
  <c r="B23" i="4" s="1"/>
  <c r="A5" i="4"/>
  <c r="A23" i="4" s="1"/>
  <c r="B4" i="4"/>
  <c r="B22" i="4" s="1"/>
  <c r="A4" i="4"/>
  <c r="A22" i="4" s="1"/>
  <c r="B3" i="4"/>
  <c r="F13" i="4" s="1"/>
  <c r="A3" i="4"/>
  <c r="A21" i="4" s="1"/>
  <c r="G2" i="4"/>
  <c r="G13" i="4" s="1"/>
  <c r="F2" i="4"/>
  <c r="E2" i="4"/>
  <c r="E13" i="4" s="1"/>
  <c r="D2" i="4"/>
  <c r="B2" i="4"/>
  <c r="B20" i="4" s="1"/>
  <c r="A2" i="4"/>
  <c r="A20" i="4" s="1"/>
  <c r="A1" i="4"/>
  <c r="C28" i="3"/>
  <c r="C27" i="3"/>
  <c r="C26" i="3"/>
  <c r="B26" i="3"/>
  <c r="C25" i="3"/>
  <c r="B25" i="3"/>
  <c r="A25" i="3"/>
  <c r="C24" i="3"/>
  <c r="A24" i="3"/>
  <c r="C23" i="3"/>
  <c r="C22" i="3"/>
  <c r="B22" i="3"/>
  <c r="C21" i="3"/>
  <c r="B21" i="3"/>
  <c r="C20" i="3"/>
  <c r="C19" i="3"/>
  <c r="G14" i="3"/>
  <c r="E14" i="3"/>
  <c r="D14" i="3"/>
  <c r="A10" i="3"/>
  <c r="A28" i="3" s="1"/>
  <c r="B9" i="3"/>
  <c r="B27" i="3" s="1"/>
  <c r="A9" i="3"/>
  <c r="A27" i="3" s="1"/>
  <c r="A8" i="3"/>
  <c r="A26" i="3" s="1"/>
  <c r="A7" i="3"/>
  <c r="B6" i="3"/>
  <c r="A6" i="3"/>
  <c r="B5" i="3"/>
  <c r="B23" i="3" s="1"/>
  <c r="A5" i="3"/>
  <c r="A23" i="3" s="1"/>
  <c r="B4" i="3"/>
  <c r="A4" i="3"/>
  <c r="A22" i="3" s="1"/>
  <c r="B3" i="3"/>
  <c r="A3" i="3"/>
  <c r="A21" i="3" s="1"/>
  <c r="B2" i="3"/>
  <c r="G13" i="3" s="1"/>
  <c r="A2" i="3"/>
  <c r="A20" i="3" s="1"/>
  <c r="C28" i="2"/>
  <c r="M27" i="2"/>
  <c r="L27" i="2"/>
  <c r="K27" i="2"/>
  <c r="J27" i="2"/>
  <c r="I27" i="2"/>
  <c r="H27" i="2"/>
  <c r="G27" i="2"/>
  <c r="F27" i="2"/>
  <c r="E27" i="2"/>
  <c r="D27" i="2"/>
  <c r="C27" i="2"/>
  <c r="C26" i="2"/>
  <c r="B26" i="2"/>
  <c r="M25" i="2"/>
  <c r="L25" i="2"/>
  <c r="K25" i="2"/>
  <c r="J25" i="2"/>
  <c r="I25" i="2"/>
  <c r="H25" i="2"/>
  <c r="G25" i="2"/>
  <c r="F25" i="2"/>
  <c r="E25" i="2"/>
  <c r="D25" i="2"/>
  <c r="C25" i="2"/>
  <c r="B25" i="2"/>
  <c r="C24" i="2"/>
  <c r="B24" i="2"/>
  <c r="M23" i="2"/>
  <c r="L23" i="2"/>
  <c r="K23" i="2"/>
  <c r="J23" i="2"/>
  <c r="I23" i="2"/>
  <c r="H23" i="2"/>
  <c r="G23" i="2"/>
  <c r="F23" i="2"/>
  <c r="E23" i="2"/>
  <c r="D23" i="2"/>
  <c r="C23" i="2"/>
  <c r="M22" i="2"/>
  <c r="L22" i="2"/>
  <c r="K22" i="2"/>
  <c r="J22" i="2"/>
  <c r="I22" i="2"/>
  <c r="H22" i="2"/>
  <c r="G22" i="2"/>
  <c r="F22" i="2"/>
  <c r="E22" i="2"/>
  <c r="D22" i="2"/>
  <c r="C22" i="2"/>
  <c r="M21" i="2"/>
  <c r="L21" i="2"/>
  <c r="K21" i="2"/>
  <c r="J21" i="2"/>
  <c r="I21" i="2"/>
  <c r="H21" i="2"/>
  <c r="G21" i="2"/>
  <c r="F21" i="2"/>
  <c r="E21" i="2"/>
  <c r="D21" i="2"/>
  <c r="C21" i="2"/>
  <c r="M20" i="2"/>
  <c r="L20" i="2"/>
  <c r="K20" i="2"/>
  <c r="J20" i="2"/>
  <c r="I20" i="2"/>
  <c r="H20" i="2"/>
  <c r="G20" i="2"/>
  <c r="F20" i="2"/>
  <c r="E20" i="2"/>
  <c r="D20" i="2"/>
  <c r="C20" i="2"/>
  <c r="M19" i="2"/>
  <c r="L19" i="2"/>
  <c r="K19" i="2"/>
  <c r="J19" i="2"/>
  <c r="I19" i="2"/>
  <c r="H19" i="2"/>
  <c r="G19" i="2"/>
  <c r="F19" i="2"/>
  <c r="E19" i="2"/>
  <c r="D19" i="2"/>
  <c r="C19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W13" i="2"/>
  <c r="BV13" i="2"/>
  <c r="BT13" i="2"/>
  <c r="BN13" i="2"/>
  <c r="BL13" i="2"/>
  <c r="BI13" i="2"/>
  <c r="BF13" i="2"/>
  <c r="BD13" i="2"/>
  <c r="BA13" i="2"/>
  <c r="AX13" i="2"/>
  <c r="AW13" i="2"/>
  <c r="AS13" i="2"/>
  <c r="AO13" i="2"/>
  <c r="AK13" i="2"/>
  <c r="AI13" i="2"/>
  <c r="AG13" i="2"/>
  <c r="AA13" i="2"/>
  <c r="Y13" i="2"/>
  <c r="X13" i="2"/>
  <c r="S13" i="2"/>
  <c r="P13" i="2"/>
  <c r="K13" i="2"/>
  <c r="J13" i="2"/>
  <c r="H13" i="2"/>
  <c r="A10" i="2"/>
  <c r="A28" i="2" s="1"/>
  <c r="B9" i="2"/>
  <c r="B27" i="2" s="1"/>
  <c r="A9" i="2"/>
  <c r="A27" i="2" s="1"/>
  <c r="A8" i="2"/>
  <c r="A26" i="2" s="1"/>
  <c r="A7" i="2"/>
  <c r="A25" i="2" s="1"/>
  <c r="B6" i="2"/>
  <c r="A6" i="2"/>
  <c r="A24" i="2" s="1"/>
  <c r="B5" i="2"/>
  <c r="B23" i="2" s="1"/>
  <c r="A5" i="2"/>
  <c r="A23" i="2" s="1"/>
  <c r="B4" i="2"/>
  <c r="B22" i="2" s="1"/>
  <c r="A4" i="2"/>
  <c r="A22" i="2" s="1"/>
  <c r="B3" i="2"/>
  <c r="B21" i="2" s="1"/>
  <c r="A3" i="2"/>
  <c r="A21" i="2" s="1"/>
  <c r="B2" i="2"/>
  <c r="BQ13" i="2" s="1"/>
  <c r="A2" i="2"/>
  <c r="A20" i="2" s="1"/>
  <c r="A1" i="2"/>
  <c r="G24" i="1"/>
  <c r="F24" i="1"/>
  <c r="E24" i="1"/>
  <c r="D24" i="1"/>
  <c r="C24" i="1"/>
  <c r="C23" i="1"/>
  <c r="A23" i="1"/>
  <c r="G22" i="1"/>
  <c r="F22" i="1"/>
  <c r="E22" i="1"/>
  <c r="D22" i="1"/>
  <c r="C22" i="1"/>
  <c r="G21" i="1"/>
  <c r="F21" i="1"/>
  <c r="E21" i="1"/>
  <c r="D21" i="1"/>
  <c r="C21" i="1"/>
  <c r="A21" i="1"/>
  <c r="G20" i="1"/>
  <c r="F20" i="1"/>
  <c r="E20" i="1"/>
  <c r="D20" i="1"/>
  <c r="C20" i="1"/>
  <c r="G19" i="1"/>
  <c r="F19" i="1"/>
  <c r="E19" i="1"/>
  <c r="D19" i="1"/>
  <c r="C19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W13" i="1"/>
  <c r="U13" i="1"/>
  <c r="T13" i="1"/>
  <c r="R13" i="1"/>
  <c r="O13" i="1"/>
  <c r="M13" i="1"/>
  <c r="L13" i="1"/>
  <c r="J13" i="1"/>
  <c r="G13" i="1"/>
  <c r="E13" i="1"/>
  <c r="D13" i="1"/>
  <c r="A10" i="1"/>
  <c r="A9" i="1"/>
  <c r="A8" i="1"/>
  <c r="A7" i="1"/>
  <c r="A6" i="1"/>
  <c r="A5" i="1"/>
  <c r="A4" i="1"/>
  <c r="A22" i="1" s="1"/>
  <c r="A3" i="1"/>
  <c r="B2" i="1"/>
  <c r="S13" i="1" s="1"/>
  <c r="A2" i="1"/>
  <c r="A20" i="1" s="1"/>
  <c r="A1" i="1"/>
  <c r="F13" i="1" l="1"/>
  <c r="N13" i="1"/>
  <c r="V13" i="1"/>
  <c r="M13" i="2"/>
  <c r="Z13" i="2"/>
  <c r="AN13" i="2"/>
  <c r="AY13" i="2"/>
  <c r="BM13" i="2"/>
  <c r="BY13" i="2"/>
  <c r="H13" i="1"/>
  <c r="P13" i="1"/>
  <c r="X13" i="1"/>
  <c r="Q13" i="2"/>
  <c r="AC13" i="2"/>
  <c r="AP13" i="2"/>
  <c r="BO13" i="2"/>
  <c r="I13" i="1"/>
  <c r="I15" i="1" s="1"/>
  <c r="I16" i="1" s="1"/>
  <c r="Q13" i="1"/>
  <c r="E13" i="2"/>
  <c r="R13" i="2"/>
  <c r="AF13" i="2"/>
  <c r="AQ13" i="2"/>
  <c r="BE13" i="2"/>
  <c r="E15" i="4"/>
  <c r="E16" i="4" s="1"/>
  <c r="K13" i="1"/>
  <c r="BS13" i="2"/>
  <c r="BK13" i="2"/>
  <c r="BC13" i="2"/>
  <c r="AU13" i="2"/>
  <c r="AM13" i="2"/>
  <c r="AE13" i="2"/>
  <c r="W13" i="2"/>
  <c r="O13" i="2"/>
  <c r="G13" i="2"/>
  <c r="B20" i="2"/>
  <c r="BR13" i="2"/>
  <c r="BJ13" i="2"/>
  <c r="BB13" i="2"/>
  <c r="AT13" i="2"/>
  <c r="AL13" i="2"/>
  <c r="AD13" i="2"/>
  <c r="V13" i="2"/>
  <c r="N13" i="2"/>
  <c r="F13" i="2"/>
  <c r="BX13" i="2"/>
  <c r="BP13" i="2"/>
  <c r="BH13" i="2"/>
  <c r="AZ13" i="2"/>
  <c r="AR13" i="2"/>
  <c r="AJ13" i="2"/>
  <c r="AB13" i="2"/>
  <c r="T13" i="2"/>
  <c r="L13" i="2"/>
  <c r="D13" i="2"/>
  <c r="I13" i="2"/>
  <c r="I15" i="2" s="1"/>
  <c r="I16" i="2" s="1"/>
  <c r="U13" i="2"/>
  <c r="AH13" i="2"/>
  <c r="AV13" i="2"/>
  <c r="BG13" i="2"/>
  <c r="BU13" i="2"/>
  <c r="B24" i="3"/>
  <c r="E13" i="3"/>
  <c r="B20" i="3"/>
  <c r="B21" i="4"/>
  <c r="H12" i="5"/>
  <c r="P12" i="5"/>
  <c r="X12" i="5"/>
  <c r="AF12" i="5"/>
  <c r="AN12" i="5"/>
  <c r="B5" i="6"/>
  <c r="J5" i="6"/>
  <c r="R5" i="6"/>
  <c r="I12" i="5"/>
  <c r="Q12" i="5"/>
  <c r="Y12" i="5"/>
  <c r="AG12" i="5"/>
  <c r="AO12" i="5"/>
  <c r="C5" i="6"/>
  <c r="K5" i="6"/>
  <c r="S5" i="6"/>
  <c r="B2" i="7"/>
  <c r="B6" i="7"/>
  <c r="B10" i="7"/>
  <c r="B14" i="7"/>
  <c r="B18" i="7"/>
  <c r="B22" i="7"/>
  <c r="B26" i="7"/>
  <c r="B30" i="7"/>
  <c r="B34" i="7"/>
  <c r="B38" i="7"/>
  <c r="B42" i="7"/>
  <c r="B46" i="7"/>
  <c r="B50" i="7"/>
  <c r="B54" i="7"/>
  <c r="B58" i="7"/>
  <c r="B62" i="7"/>
  <c r="B66" i="7"/>
  <c r="B70" i="7"/>
  <c r="B74" i="7"/>
  <c r="B78" i="7"/>
  <c r="B82" i="7"/>
  <c r="B86" i="7"/>
  <c r="B90" i="7"/>
  <c r="B94" i="7"/>
  <c r="D13" i="4"/>
  <c r="D15" i="4" s="1"/>
  <c r="D16" i="4" s="1"/>
  <c r="B12" i="5"/>
  <c r="J12" i="5"/>
  <c r="R12" i="5"/>
  <c r="Z12" i="5"/>
  <c r="AH12" i="5"/>
  <c r="AP12" i="5"/>
  <c r="D5" i="6"/>
  <c r="L5" i="6"/>
  <c r="T5" i="6"/>
  <c r="D13" i="3"/>
  <c r="D15" i="3" s="1"/>
  <c r="D16" i="3" s="1"/>
  <c r="C12" i="5"/>
  <c r="K12" i="5"/>
  <c r="S12" i="5"/>
  <c r="AA12" i="5"/>
  <c r="AI12" i="5"/>
  <c r="E5" i="6"/>
  <c r="M5" i="6"/>
  <c r="U5" i="6"/>
  <c r="B3" i="7"/>
  <c r="B7" i="7"/>
  <c r="B11" i="7"/>
  <c r="B15" i="7"/>
  <c r="B19" i="7"/>
  <c r="B23" i="7"/>
  <c r="B27" i="7"/>
  <c r="B31" i="7"/>
  <c r="B35" i="7"/>
  <c r="B39" i="7"/>
  <c r="B43" i="7"/>
  <c r="B47" i="7"/>
  <c r="B51" i="7"/>
  <c r="B55" i="7"/>
  <c r="B59" i="7"/>
  <c r="B63" i="7"/>
  <c r="B67" i="7"/>
  <c r="B71" i="7"/>
  <c r="B75" i="7"/>
  <c r="B79" i="7"/>
  <c r="B83" i="7"/>
  <c r="B87" i="7"/>
  <c r="B91" i="7"/>
  <c r="B95" i="7"/>
  <c r="D12" i="5"/>
  <c r="L12" i="5"/>
  <c r="T12" i="5"/>
  <c r="AB12" i="5"/>
  <c r="AJ12" i="5"/>
  <c r="F5" i="6"/>
  <c r="N5" i="6"/>
  <c r="V5" i="6"/>
  <c r="B96" i="7"/>
  <c r="E12" i="5"/>
  <c r="M12" i="5"/>
  <c r="U12" i="5"/>
  <c r="AC12" i="5"/>
  <c r="AK12" i="5"/>
  <c r="G5" i="6"/>
  <c r="O5" i="6"/>
  <c r="W5" i="6"/>
  <c r="B97" i="7"/>
  <c r="F12" i="5"/>
  <c r="N12" i="5"/>
  <c r="V12" i="5"/>
  <c r="AD12" i="5"/>
  <c r="AL12" i="5"/>
  <c r="H5" i="6"/>
  <c r="P5" i="6"/>
  <c r="BH15" i="2" l="1"/>
  <c r="BH16" i="2" s="1"/>
  <c r="AT15" i="2"/>
  <c r="AT16" i="2" s="1"/>
  <c r="AE15" i="2"/>
  <c r="AE16" i="2" s="1"/>
  <c r="S15" i="2"/>
  <c r="S16" i="2" s="1"/>
  <c r="P15" i="1"/>
  <c r="P16" i="1" s="1"/>
  <c r="AO15" i="2"/>
  <c r="AO16" i="2" s="1"/>
  <c r="BM15" i="2"/>
  <c r="BM16" i="2" s="1"/>
  <c r="K15" i="2"/>
  <c r="K16" i="2" s="1"/>
  <c r="U15" i="1"/>
  <c r="U16" i="1" s="1"/>
  <c r="E15" i="3"/>
  <c r="E16" i="3" s="1"/>
  <c r="D15" i="2"/>
  <c r="D16" i="2" s="1"/>
  <c r="BP15" i="2"/>
  <c r="BP16" i="2" s="1"/>
  <c r="BB15" i="2"/>
  <c r="BB16" i="2" s="1"/>
  <c r="AM15" i="2"/>
  <c r="AM16" i="2" s="1"/>
  <c r="Y15" i="2"/>
  <c r="Y16" i="2" s="1"/>
  <c r="X15" i="2"/>
  <c r="X16" i="2" s="1"/>
  <c r="BD15" i="2"/>
  <c r="BD16" i="2" s="1"/>
  <c r="H15" i="1"/>
  <c r="H16" i="1" s="1"/>
  <c r="P15" i="2"/>
  <c r="P16" i="2" s="1"/>
  <c r="AY15" i="2"/>
  <c r="AY16" i="2" s="1"/>
  <c r="H15" i="4"/>
  <c r="H16" i="4" s="1"/>
  <c r="O15" i="1"/>
  <c r="O16" i="1" s="1"/>
  <c r="L15" i="2"/>
  <c r="L16" i="2" s="1"/>
  <c r="BX15" i="2"/>
  <c r="BX16" i="2" s="1"/>
  <c r="BJ15" i="2"/>
  <c r="BJ16" i="2" s="1"/>
  <c r="AU15" i="2"/>
  <c r="AU16" i="2" s="1"/>
  <c r="G15" i="3"/>
  <c r="G16" i="3" s="1"/>
  <c r="BE15" i="2"/>
  <c r="BE16" i="2" s="1"/>
  <c r="F15" i="4"/>
  <c r="F16" i="4" s="1"/>
  <c r="C1" i="4" s="1" a="1"/>
  <c r="C1" i="4" s="1"/>
  <c r="AA15" i="2"/>
  <c r="AA16" i="2" s="1"/>
  <c r="BW15" i="2"/>
  <c r="BW16" i="2" s="1"/>
  <c r="AN15" i="2"/>
  <c r="AN16" i="2" s="1"/>
  <c r="AX15" i="2"/>
  <c r="AX16" i="2" s="1"/>
  <c r="T15" i="1"/>
  <c r="T16" i="1" s="1"/>
  <c r="BU15" i="2"/>
  <c r="BU16" i="2" s="1"/>
  <c r="T15" i="2"/>
  <c r="T16" i="2" s="1"/>
  <c r="F15" i="2"/>
  <c r="F16" i="2" s="1"/>
  <c r="BR15" i="2"/>
  <c r="BR16" i="2" s="1"/>
  <c r="BC15" i="2"/>
  <c r="BC16" i="2" s="1"/>
  <c r="BT15" i="2"/>
  <c r="BT16" i="2" s="1"/>
  <c r="AQ15" i="2"/>
  <c r="AQ16" i="2" s="1"/>
  <c r="BO15" i="2"/>
  <c r="BO16" i="2" s="1"/>
  <c r="BL15" i="2"/>
  <c r="BL16" i="2" s="1"/>
  <c r="BV15" i="2"/>
  <c r="BV16" i="2" s="1"/>
  <c r="Z15" i="2"/>
  <c r="Z16" i="2" s="1"/>
  <c r="W15" i="1"/>
  <c r="W16" i="1" s="1"/>
  <c r="R15" i="1"/>
  <c r="R16" i="1" s="1"/>
  <c r="C1" i="3" a="1"/>
  <c r="C1" i="3" s="1"/>
  <c r="BG15" i="2"/>
  <c r="BG16" i="2" s="1"/>
  <c r="AB15" i="2"/>
  <c r="AB16" i="2" s="1"/>
  <c r="N15" i="2"/>
  <c r="N16" i="2" s="1"/>
  <c r="BK15" i="2"/>
  <c r="BK16" i="2" s="1"/>
  <c r="AS15" i="2"/>
  <c r="AS16" i="2" s="1"/>
  <c r="AF15" i="2"/>
  <c r="AF16" i="2" s="1"/>
  <c r="AP15" i="2"/>
  <c r="AP16" i="2" s="1"/>
  <c r="BI15" i="2"/>
  <c r="BI16" i="2" s="1"/>
  <c r="AW15" i="2"/>
  <c r="AW16" i="2" s="1"/>
  <c r="M15" i="2"/>
  <c r="M16" i="2" s="1"/>
  <c r="G15" i="1"/>
  <c r="G16" i="1" s="1"/>
  <c r="BQ15" i="2"/>
  <c r="BQ16" i="2" s="1"/>
  <c r="AV15" i="2"/>
  <c r="AV16" i="2" s="1"/>
  <c r="AJ15" i="2"/>
  <c r="AJ16" i="2" s="1"/>
  <c r="V15" i="2"/>
  <c r="V16" i="2" s="1"/>
  <c r="G15" i="2"/>
  <c r="G16" i="2" s="1"/>
  <c r="BS15" i="2"/>
  <c r="BS16" i="2" s="1"/>
  <c r="AG15" i="2"/>
  <c r="AG16" i="2" s="1"/>
  <c r="R15" i="2"/>
  <c r="R16" i="2" s="1"/>
  <c r="AC15" i="2"/>
  <c r="AC16" i="2" s="1"/>
  <c r="AI15" i="2"/>
  <c r="AI16" i="2" s="1"/>
  <c r="J15" i="2"/>
  <c r="J16" i="2" s="1"/>
  <c r="V15" i="1"/>
  <c r="V16" i="1" s="1"/>
  <c r="E15" i="1"/>
  <c r="E16" i="1" s="1"/>
  <c r="M15" i="1"/>
  <c r="M16" i="1" s="1"/>
  <c r="AH15" i="2"/>
  <c r="AH16" i="2" s="1"/>
  <c r="AR15" i="2"/>
  <c r="AR16" i="2" s="1"/>
  <c r="AD15" i="2"/>
  <c r="AD16" i="2" s="1"/>
  <c r="O15" i="2"/>
  <c r="O16" i="2" s="1"/>
  <c r="K15" i="1"/>
  <c r="K16" i="1" s="1"/>
  <c r="H15" i="2"/>
  <c r="H16" i="2" s="1"/>
  <c r="E15" i="2"/>
  <c r="E16" i="2" s="1"/>
  <c r="Q15" i="2"/>
  <c r="Q16" i="2" s="1"/>
  <c r="BN15" i="2"/>
  <c r="BN16" i="2" s="1"/>
  <c r="G15" i="4"/>
  <c r="G16" i="4" s="1"/>
  <c r="N15" i="1"/>
  <c r="N16" i="1" s="1"/>
  <c r="D15" i="1"/>
  <c r="D16" i="1" s="1"/>
  <c r="J15" i="1"/>
  <c r="J16" i="1" s="1"/>
  <c r="U15" i="2"/>
  <c r="U16" i="2" s="1"/>
  <c r="AZ15" i="2"/>
  <c r="AZ16" i="2" s="1"/>
  <c r="AL15" i="2"/>
  <c r="AL16" i="2" s="1"/>
  <c r="W15" i="2"/>
  <c r="W16" i="2" s="1"/>
  <c r="BF15" i="2"/>
  <c r="BF16" i="2" s="1"/>
  <c r="AK15" i="2"/>
  <c r="AK16" i="2" s="1"/>
  <c r="Q15" i="1"/>
  <c r="Q16" i="1" s="1"/>
  <c r="X15" i="1"/>
  <c r="X16" i="1" s="1"/>
  <c r="BA15" i="2"/>
  <c r="BA16" i="2" s="1"/>
  <c r="BY15" i="2"/>
  <c r="BY16" i="2" s="1"/>
  <c r="F15" i="1"/>
  <c r="F16" i="1" s="1"/>
  <c r="S15" i="1"/>
  <c r="S16" i="1" s="1"/>
  <c r="L15" i="1"/>
  <c r="L16" i="1" s="1"/>
  <c r="G17" i="4" l="1"/>
  <c r="C9" i="4"/>
  <c r="C3" i="4"/>
  <c r="F17" i="4"/>
  <c r="E17" i="4"/>
  <c r="C5" i="4"/>
  <c r="D17" i="4"/>
  <c r="C8" i="4"/>
  <c r="C11" i="4"/>
  <c r="C7" i="4"/>
  <c r="C4" i="4"/>
  <c r="C14" i="4"/>
  <c r="C10" i="4"/>
  <c r="C2" i="4"/>
  <c r="C6" i="4"/>
  <c r="H17" i="4"/>
  <c r="G17" i="3"/>
  <c r="E17" i="3"/>
  <c r="C5" i="3"/>
  <c r="D17" i="3"/>
  <c r="C8" i="3"/>
  <c r="C2" i="3"/>
  <c r="C11" i="3"/>
  <c r="C7" i="3"/>
  <c r="C4" i="3"/>
  <c r="C10" i="3"/>
  <c r="C6" i="3"/>
  <c r="C14" i="3"/>
  <c r="C9" i="3"/>
  <c r="C3" i="3"/>
  <c r="C1" i="1" a="1"/>
  <c r="C1" i="1" s="1"/>
  <c r="C1" i="2" a="1"/>
  <c r="C1" i="2" s="1"/>
  <c r="C13" i="3" l="1"/>
  <c r="C15" i="3" s="1"/>
  <c r="C13" i="4"/>
  <c r="C15" i="4" s="1"/>
  <c r="BY17" i="2"/>
  <c r="BQ17" i="2"/>
  <c r="BI17" i="2"/>
  <c r="BA17" i="2"/>
  <c r="AS17" i="2"/>
  <c r="AK17" i="2"/>
  <c r="AC17" i="2"/>
  <c r="U17" i="2"/>
  <c r="M17" i="2"/>
  <c r="E17" i="2"/>
  <c r="BX17" i="2"/>
  <c r="BP17" i="2"/>
  <c r="BH17" i="2"/>
  <c r="AZ17" i="2"/>
  <c r="AR17" i="2"/>
  <c r="AJ17" i="2"/>
  <c r="AB17" i="2"/>
  <c r="T17" i="2"/>
  <c r="L17" i="2"/>
  <c r="D17" i="2"/>
  <c r="BW17" i="2"/>
  <c r="BO17" i="2"/>
  <c r="BG17" i="2"/>
  <c r="AY17" i="2"/>
  <c r="AQ17" i="2"/>
  <c r="AI17" i="2"/>
  <c r="AA17" i="2"/>
  <c r="S17" i="2"/>
  <c r="K17" i="2"/>
  <c r="C9" i="2"/>
  <c r="BV17" i="2"/>
  <c r="BN17" i="2"/>
  <c r="BF17" i="2"/>
  <c r="AX17" i="2"/>
  <c r="AP17" i="2"/>
  <c r="AH17" i="2"/>
  <c r="Z17" i="2"/>
  <c r="R17" i="2"/>
  <c r="J17" i="2"/>
  <c r="C14" i="2"/>
  <c r="BU17" i="2"/>
  <c r="BM17" i="2"/>
  <c r="BE17" i="2"/>
  <c r="AW17" i="2"/>
  <c r="AO17" i="2"/>
  <c r="AG17" i="2"/>
  <c r="Y17" i="2"/>
  <c r="Q17" i="2"/>
  <c r="I17" i="2"/>
  <c r="BT17" i="2"/>
  <c r="BL17" i="2"/>
  <c r="BD17" i="2"/>
  <c r="AV17" i="2"/>
  <c r="AN17" i="2"/>
  <c r="AF17" i="2"/>
  <c r="X17" i="2"/>
  <c r="P17" i="2"/>
  <c r="H17" i="2"/>
  <c r="C8" i="2"/>
  <c r="C2" i="2"/>
  <c r="BS17" i="2"/>
  <c r="BK17" i="2"/>
  <c r="BC17" i="2"/>
  <c r="AU17" i="2"/>
  <c r="AM17" i="2"/>
  <c r="AE17" i="2"/>
  <c r="W17" i="2"/>
  <c r="O17" i="2"/>
  <c r="G17" i="2"/>
  <c r="BJ17" i="2"/>
  <c r="BB17" i="2"/>
  <c r="AT17" i="2"/>
  <c r="C7" i="2"/>
  <c r="C4" i="2"/>
  <c r="AL17" i="2"/>
  <c r="AD17" i="2"/>
  <c r="C11" i="2"/>
  <c r="C6" i="2"/>
  <c r="N17" i="2"/>
  <c r="BR17" i="2"/>
  <c r="F17" i="2"/>
  <c r="C5" i="2"/>
  <c r="V17" i="2"/>
  <c r="C10" i="2"/>
  <c r="C3" i="2"/>
  <c r="S17" i="1"/>
  <c r="K17" i="1"/>
  <c r="C7" i="1"/>
  <c r="C3" i="1"/>
  <c r="J17" i="1"/>
  <c r="C11" i="1"/>
  <c r="M17" i="1"/>
  <c r="R17" i="1"/>
  <c r="E17" i="1"/>
  <c r="Q17" i="1"/>
  <c r="I17" i="1"/>
  <c r="C14" i="1"/>
  <c r="C10" i="1"/>
  <c r="C6" i="1"/>
  <c r="C2" i="1"/>
  <c r="C13" i="1" s="1"/>
  <c r="C15" i="1" s="1"/>
  <c r="C16" i="1" s="1"/>
  <c r="X17" i="1"/>
  <c r="P17" i="1"/>
  <c r="H17" i="1"/>
  <c r="W17" i="1"/>
  <c r="O17" i="1"/>
  <c r="G17" i="1"/>
  <c r="C9" i="1"/>
  <c r="C5" i="1"/>
  <c r="U17" i="1"/>
  <c r="C8" i="1"/>
  <c r="C4" i="1"/>
  <c r="D17" i="1"/>
  <c r="V17" i="1"/>
  <c r="N17" i="1"/>
  <c r="F17" i="1"/>
  <c r="L17" i="1"/>
  <c r="T17" i="1"/>
  <c r="C13" i="2" l="1"/>
  <c r="C15" i="2" s="1"/>
  <c r="C17" i="1"/>
  <c r="C16" i="4"/>
  <c r="C17" i="4"/>
  <c r="C16" i="3"/>
  <c r="C17" i="3"/>
  <c r="C16" i="2" l="1"/>
  <c r="C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tc={5a91d731-f939-4058-b8d3-be1fdb4bb6dd}</author>
    <author>tc={68eb9eda-ff63-4a35-8c52-4c07e8383b73}</author>
    <author>tc={47c4e68c-fbca-411c-8d1b-0b4aadaaaf96}</author>
    <author>tc={0bf0c1e9-3f1a-4a41-94cf-98062932bb86}</author>
  </authors>
  <commentList>
    <comment ref="A1" authorId="0" shapeId="0" xr:uid="{5A91D731-F939-4058-B8D3-BE1FDB4BB6DD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Dùng chung cổng 10G
</t>
        </r>
      </text>
    </comment>
    <comment ref="U3" authorId="1" shapeId="0" xr:uid="{68EB9EDA-FF63-4A35-8C52-4C07E8383B73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Dùng chung cổng 10G
</t>
        </r>
      </text>
    </comment>
    <comment ref="V3" authorId="2" shapeId="0" xr:uid="{47C4E68C-FBCA-411C-8D1B-0B4AADAAAF96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Dùng chung cổng 10G
</t>
        </r>
      </text>
    </comment>
    <comment ref="A4" authorId="3" shapeId="0" xr:uid="{0BF0C1E9-3F1A-4A41-94CF-98062932BB86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Chạy được 1G/10G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tc={a9f5cd4b-96cb-4966-964b-d3a6a1e13e0a}</author>
  </authors>
  <commentList>
    <comment ref="W1" authorId="0" shapeId="0" xr:uid="{A9F5CD4B-96CB-4966-964B-D3A6A1E13E0A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Lookup theo P/N 100GQSFP-LR4-4=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tc={e0707231-5d4c-4ca4-a2df-1e3b48423d24}</author>
  </authors>
  <commentList>
    <comment ref="A1" authorId="0" shapeId="0" xr:uid="{E0707231-5D4C-4CA4-A2DF-1E3B48423D24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Ghép toàn bộ List Price của tất cả các Vedor
</t>
        </r>
      </text>
    </comment>
  </commentList>
</comments>
</file>

<file path=xl/sharedStrings.xml><?xml version="1.0" encoding="utf-8"?>
<sst xmlns="http://schemas.openxmlformats.org/spreadsheetml/2006/main" count="508" uniqueCount="218">
  <si>
    <t>Requirement</t>
  </si>
  <si>
    <t>C1161-8P</t>
  </si>
  <si>
    <t>C1161X-8P</t>
  </si>
  <si>
    <t>C1131-8PWS</t>
  </si>
  <si>
    <t>C1131X-8PWS</t>
  </si>
  <si>
    <t>C1121-4P</t>
  </si>
  <si>
    <t>C1121-8P</t>
  </si>
  <si>
    <t>C1127-8PLTEP</t>
  </si>
  <si>
    <t>C1116-4P</t>
  </si>
  <si>
    <t>C1117-4P</t>
  </si>
  <si>
    <t>C1112-8P</t>
  </si>
  <si>
    <t>C1109-4PLTE2P</t>
  </si>
  <si>
    <t>C8200L-1N-4T</t>
  </si>
  <si>
    <t>C8200-1N-4T</t>
  </si>
  <si>
    <t>C8300-1N1S-6T</t>
  </si>
  <si>
    <t>C8300-2N2S-6T</t>
  </si>
  <si>
    <t>C8300-1N1S-4T2X</t>
  </si>
  <si>
    <t>C8300-2N2S-4T2X</t>
  </si>
  <si>
    <t>C8500L-8S4X</t>
  </si>
  <si>
    <t>C8500-12X</t>
  </si>
  <si>
    <t>C8500-12X4QC</t>
  </si>
  <si>
    <t>C8500-20X6C</t>
  </si>
  <si>
    <t>Router Class</t>
  </si>
  <si>
    <t>Low End</t>
  </si>
  <si>
    <t>Mid Range</t>
  </si>
  <si>
    <t>High End</t>
  </si>
  <si>
    <t>Số tiêu chí đáp ứng</t>
  </si>
  <si>
    <t>Giá dự toán</t>
  </si>
  <si>
    <t>Thiết bị đáp ứng sát nhất số lượng tiêu chí YCKT</t>
  </si>
  <si>
    <t>Thiết bị giá tốt nhất đáp ứng</t>
  </si>
  <si>
    <t>Thiết bị khác đáp ứng</t>
  </si>
  <si>
    <t>Các lựa chọn khác</t>
  </si>
  <si>
    <t>C1300-8T-E-2G</t>
  </si>
  <si>
    <t>C1300-8P-E-2G</t>
  </si>
  <si>
    <t>C1300-8FP-2G</t>
  </si>
  <si>
    <t>C1300-16T-2G</t>
  </si>
  <si>
    <t>C1300-16P-2G</t>
  </si>
  <si>
    <t>C1300-16FP-2G</t>
  </si>
  <si>
    <t>C1300-24T-4G</t>
  </si>
  <si>
    <t>C1300-24P-4G</t>
  </si>
  <si>
    <t>C1300-24FP-4G</t>
  </si>
  <si>
    <t>C1300-48T-4G</t>
  </si>
  <si>
    <t>C1300-48P-4G</t>
  </si>
  <si>
    <t>C1300-48FP-4G</t>
  </si>
  <si>
    <t>C1300-16P-4X</t>
  </si>
  <si>
    <t>C1300-24T-4X</t>
  </si>
  <si>
    <t>C1300-24P-4X</t>
  </si>
  <si>
    <t>C1300-24FP-4X</t>
  </si>
  <si>
    <t>C1300-48T-4X</t>
  </si>
  <si>
    <t>C1300-48P-4X</t>
  </si>
  <si>
    <t>C1300-48FP-4X</t>
  </si>
  <si>
    <t>C1300-12XT-2X</t>
  </si>
  <si>
    <t>C1300-12XS</t>
  </si>
  <si>
    <t>C1300-16XTS</t>
  </si>
  <si>
    <t>C1300-24XS</t>
  </si>
  <si>
    <t>C1300-24XT</t>
  </si>
  <si>
    <t>C1300-24XTS</t>
  </si>
  <si>
    <t>C1300X-24T-4X</t>
  </si>
  <si>
    <t>C1300X-48T-4X</t>
  </si>
  <si>
    <t>C1300X-24P-4X</t>
  </si>
  <si>
    <t>C1300X-48P-4X</t>
  </si>
  <si>
    <t>C9200-24T</t>
  </si>
  <si>
    <t>C9200-24P</t>
  </si>
  <si>
    <t>C9200-48T</t>
  </si>
  <si>
    <t>C9200-48P</t>
  </si>
  <si>
    <t>C9200L-24T-4G</t>
  </si>
  <si>
    <t>C9200L-24P-4G</t>
  </si>
  <si>
    <t>C9200L-48T-4G</t>
  </si>
  <si>
    <t>C9200L-48P-4G</t>
  </si>
  <si>
    <t>C9200L-24T-4X</t>
  </si>
  <si>
    <t>C9200L-24P-4X</t>
  </si>
  <si>
    <t>C9200L-48T-4X</t>
  </si>
  <si>
    <t>C9200L-48P-4X</t>
  </si>
  <si>
    <t>C9200CX-8P-2X2G</t>
  </si>
  <si>
    <t>C9200CX-12T-2X2G</t>
  </si>
  <si>
    <t>C9200CX-12P-2X2G</t>
  </si>
  <si>
    <t>C9300L-24T-4G</t>
  </si>
  <si>
    <t>C9300L-24P-4G</t>
  </si>
  <si>
    <t>C9300L-24T-4X</t>
  </si>
  <si>
    <t>C9300L-24P-4X</t>
  </si>
  <si>
    <t>C9300L-48T-4G</t>
  </si>
  <si>
    <t>C9300L-48P-4G</t>
  </si>
  <si>
    <t>C9300L-48T-4X</t>
  </si>
  <si>
    <t>C9300L-48P-4X</t>
  </si>
  <si>
    <t>C9300-24T</t>
  </si>
  <si>
    <t>C9300-24P</t>
  </si>
  <si>
    <t>C9300-24U</t>
  </si>
  <si>
    <t>C9300-24H</t>
  </si>
  <si>
    <t>C9300-24S</t>
  </si>
  <si>
    <t>C9300-24UB</t>
  </si>
  <si>
    <t>C9300-48T</t>
  </si>
  <si>
    <t>C9300-48P</t>
  </si>
  <si>
    <t>C9300-48U</t>
  </si>
  <si>
    <t>C9300-48H</t>
  </si>
  <si>
    <t>C9300-48S</t>
  </si>
  <si>
    <t>C9300-48UB</t>
  </si>
  <si>
    <t>C9500-32C</t>
  </si>
  <si>
    <t>C9500-32QC</t>
  </si>
  <si>
    <t>C9500-48Y4C</t>
  </si>
  <si>
    <t>C9500-24Y4C</t>
  </si>
  <si>
    <t>C9500X-28C8D</t>
  </si>
  <si>
    <t>C9500X-60L4D</t>
  </si>
  <si>
    <t>EX4200-24T</t>
  </si>
  <si>
    <t>EX4300-48S</t>
  </si>
  <si>
    <t>EX4600</t>
  </si>
  <si>
    <t>Y</t>
  </si>
  <si>
    <t>Switch Class</t>
  </si>
  <si>
    <t>Nexus Switch</t>
  </si>
  <si>
    <t>N9K-C9348GC-FX3</t>
  </si>
  <si>
    <t>N9K-C93108TC-FX3</t>
  </si>
  <si>
    <t>N9K-93180YC-FX3</t>
  </si>
  <si>
    <t xml:space="preserve">C9404R </t>
  </si>
  <si>
    <t>C9407R</t>
  </si>
  <si>
    <t>C9410R</t>
  </si>
  <si>
    <t>9606R</t>
  </si>
  <si>
    <t>N</t>
  </si>
  <si>
    <t>C9136I</t>
  </si>
  <si>
    <t>CW9162I</t>
  </si>
  <si>
    <t>CW9164I</t>
  </si>
  <si>
    <t>CW9166I</t>
  </si>
  <si>
    <t>CW9166D1</t>
  </si>
  <si>
    <t>CW9172I</t>
  </si>
  <si>
    <t>CW9172H</t>
  </si>
  <si>
    <t>CW9176I</t>
  </si>
  <si>
    <t>CW9176D1</t>
  </si>
  <si>
    <t>CW9178I</t>
  </si>
  <si>
    <t>C9124AXI</t>
  </si>
  <si>
    <t>C9124AXD</t>
  </si>
  <si>
    <t>C9124AXE</t>
  </si>
  <si>
    <t>CW9163E</t>
  </si>
  <si>
    <t>indoor</t>
  </si>
  <si>
    <t>outdoor</t>
  </si>
  <si>
    <t>WiFi6E</t>
  </si>
  <si>
    <t>WiFi7</t>
  </si>
  <si>
    <t>WiFi6</t>
  </si>
  <si>
    <t>Công suất phát (dBm)</t>
  </si>
  <si>
    <t>Số lượng cổng Uplink 1GE</t>
  </si>
  <si>
    <t>Số lượng cổng Uplink 10GE</t>
  </si>
  <si>
    <t>Access Point Class</t>
  </si>
  <si>
    <t>Ficer-1G-10km</t>
  </si>
  <si>
    <t>Ficer-1G-40km</t>
  </si>
  <si>
    <t>Ficer-1G-80km</t>
  </si>
  <si>
    <t>Ficer-10G-10km</t>
  </si>
  <si>
    <t>Ficer-10G-40km</t>
  </si>
  <si>
    <t>Ficer-10G-80km</t>
  </si>
  <si>
    <t>Ficer-100G-10km</t>
  </si>
  <si>
    <t>Ficer-100G-40km</t>
  </si>
  <si>
    <t>Ficer-100G-80km</t>
  </si>
  <si>
    <t>GLC-SX-MMD=</t>
  </si>
  <si>
    <t>GLC-LH-SMD=</t>
  </si>
  <si>
    <t>GLC-EX-SMD=</t>
  </si>
  <si>
    <t>GLC-ZX-SMD=</t>
  </si>
  <si>
    <t>SFP-10G-SR-S=</t>
  </si>
  <si>
    <t>SFP-10G-SR=</t>
  </si>
  <si>
    <t>SFP-10G-LR-S=</t>
  </si>
  <si>
    <t>SFP-10G-LR=</t>
  </si>
  <si>
    <t>SFP-10G-ER-S=</t>
  </si>
  <si>
    <t>SFP-10G-ER=</t>
  </si>
  <si>
    <t>SFP-10G-ZR-S=</t>
  </si>
  <si>
    <t>SFP-10G-ZR=</t>
  </si>
  <si>
    <t>QSFP-100G-LR4-S</t>
  </si>
  <si>
    <t>QSFP-100G-ER4L-S=</t>
  </si>
  <si>
    <t>QSFP-100G-ZR4-S=</t>
  </si>
  <si>
    <t>SFP Class</t>
  </si>
  <si>
    <t>All Devices</t>
  </si>
  <si>
    <t>Đã có giá List chưa ?</t>
  </si>
  <si>
    <t>Devices</t>
  </si>
  <si>
    <t>List Price</t>
  </si>
  <si>
    <t>Giá AM nhập</t>
  </si>
  <si>
    <t>Final Price</t>
  </si>
  <si>
    <t>Cân bằng tải đường truyền</t>
  </si>
  <si>
    <t>Router</t>
  </si>
  <si>
    <t>SwitchCampus</t>
  </si>
  <si>
    <t>ModularSwitch</t>
  </si>
  <si>
    <t>Wireless</t>
  </si>
  <si>
    <t>Automation</t>
  </si>
  <si>
    <t>SDWAN</t>
  </si>
  <si>
    <t>Cân bằng tải ứng dụng</t>
  </si>
  <si>
    <t>SFP</t>
  </si>
  <si>
    <t>DWDM/ DCI</t>
  </si>
  <si>
    <t>Amplifier</t>
  </si>
  <si>
    <t>Throughput (Mbps)</t>
  </si>
  <si>
    <t>Switching Bandwidth - Full Duplex (Gbps)</t>
  </si>
  <si>
    <t>Loại Access Point (indoor/outdoor)</t>
  </si>
  <si>
    <t>Hiển thị trực quan topo mạng</t>
  </si>
  <si>
    <t>Application Throughput L4/L7 (Gbps)</t>
  </si>
  <si>
    <t>Tốc độ (1G/10G/100G)</t>
  </si>
  <si>
    <t>Kiểu kết nối (Điểm - điểm, Ring, Mesh)</t>
  </si>
  <si>
    <t>Số lượng cổng WAN 1GE</t>
  </si>
  <si>
    <t>Forwarding Capacity (Mpps)</t>
  </si>
  <si>
    <t>Công nghệ WiFi (WiFi6/WiFi7)</t>
  </si>
  <si>
    <t>Cấu hình cung cấp dịch vụ tập trung (L2VPN/L3VPN)</t>
  </si>
  <si>
    <t>Layer 4 Concurrent Sessions</t>
  </si>
  <si>
    <t>Khoảng cách truyền (km)</t>
  </si>
  <si>
    <t>Số lượng hướng quang</t>
  </si>
  <si>
    <t>Số lượng cổng WAN 10GE</t>
  </si>
  <si>
    <t>Số lượng cổng 1GE đồng</t>
  </si>
  <si>
    <t>Số lượng người dùng trong phạm vi phủ sóng 1 AP</t>
  </si>
  <si>
    <t>Nâng cấp OS tự động trên diện rộng</t>
  </si>
  <si>
    <t>Layer 7 Connection per Second</t>
  </si>
  <si>
    <t>Dải hoạt động (C-band, L-band, Kết hợp cả 2)</t>
  </si>
  <si>
    <t>Số lượng kênh (bước sóng)</t>
  </si>
  <si>
    <t>Số lượng cổng LAN 1GE</t>
  </si>
  <si>
    <t>Số lượng cổng 1GE SFP</t>
  </si>
  <si>
    <t>Bán kính phủ sóng (m)</t>
  </si>
  <si>
    <t>Số lượng cổng 1GE</t>
  </si>
  <si>
    <t>Số lượng bước sóng</t>
  </si>
  <si>
    <t>Số lượng cổng kết nối Client / kênh</t>
  </si>
  <si>
    <t>Số lượng cổng LAN 10GE</t>
  </si>
  <si>
    <t>Số lượng cổng 10GE đồng</t>
  </si>
  <si>
    <t>Số lượng cổng 10GE</t>
  </si>
  <si>
    <t>Dung lượng mỗi bước sóng (100G, 200G, 400G, 800G, 1,2T, 1,6T)</t>
  </si>
  <si>
    <t>Số lượng người dùng</t>
  </si>
  <si>
    <t>Số lượng cổng 10GE quang</t>
  </si>
  <si>
    <t>Số lượng cổng 100GE</t>
  </si>
  <si>
    <t>Loại giao diện cho client (10GE, 40GE, 100GE
 400GE)</t>
  </si>
  <si>
    <t>Stacking (Y/N)</t>
  </si>
  <si>
    <t>PoE (Y/N)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</si>
</sst>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$&quot;#,##0.00"/>
  </numFmts>
  <fonts count="10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46BDC6"/>
        <bgColor rgb="FF46BDC6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/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0" borderId="0" xfId="0" applyFont="1"/>
    <xf numFmtId="0" fontId="3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164" fontId="3" fillId="4" borderId="0" xfId="0" applyNumberFormat="1" applyFont="1" applyFill="1" applyAlignment="1">
      <alignment horizontal="center"/>
    </xf>
    <xf numFmtId="164" fontId="3" fillId="0" borderId="0" xfId="0" applyNumberFormat="1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3" fontId="6" fillId="0" borderId="1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164" fontId="1" fillId="0" borderId="0" xfId="0" applyNumberFormat="1" applyFont="1" applyAlignment="1">
      <alignment horizontal="center"/>
    </xf>
    <xf numFmtId="164" fontId="3" fillId="0" borderId="0" xfId="0" applyNumberFormat="1" applyFont="1"/>
    <xf numFmtId="164" fontId="1" fillId="0" borderId="0" xfId="0" applyNumberFormat="1" applyFont="1"/>
    <xf numFmtId="0" fontId="1" fillId="6" borderId="0" xfId="0" applyFon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7" fillId="6" borderId="1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vertical="center"/>
    </xf>
    <xf numFmtId="0" fontId="8" fillId="7" borderId="1" xfId="0" applyFont="1" applyFill="1" applyBorder="1" applyAlignment="1">
      <alignment vertical="center" wrapText="1"/>
    </xf>
    <xf numFmtId="0" fontId="9" fillId="7" borderId="1" xfId="0" applyFont="1" applyFill="1" applyBorder="1" applyAlignment="1">
      <alignment vertical="center"/>
    </xf>
  </cellXfs>
  <cellStyles count="1">
    <cellStyle name="Normal" xfId="0" builtinId="0"/>
  </cellStyles>
  <dxfs count="15">
    <dxf>
      <fill>
        <patternFill patternType="solid">
          <fgColor rgb="FFFFFF00"/>
          <bgColor rgb="FFFFFF00"/>
        </patternFill>
      </fill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6">
    <tableStyle name="Specs-style" pivot="0" count="3" xr9:uid="{00000000-0011-0000-FFFF-FFFF00000000}">
      <tableStyleElement type="headerRow" dxfId="14"/>
      <tableStyleElement type="firstRowStripe" dxfId="13"/>
      <tableStyleElement type="secondRowStripe" dxfId="12"/>
    </tableStyle>
    <tableStyle name="Specs-style 2" pivot="0" count="3" xr9:uid="{00000000-0011-0000-FFFF-FFFF01000000}">
      <tableStyleElement type="headerRow" dxfId="11"/>
      <tableStyleElement type="firstRowStripe" dxfId="10"/>
      <tableStyleElement type="secondRowStripe" dxfId="9"/>
    </tableStyle>
    <tableStyle name="Specs-style 3" pivot="0" count="2" xr9:uid="{00000000-0011-0000-FFFF-FFFF02000000}">
      <tableStyleElement type="firstRowStripe" dxfId="8"/>
      <tableStyleElement type="secondRowStripe" dxfId="7"/>
    </tableStyle>
    <tableStyle name="Specs-style 4" pivot="0" count="2" xr9:uid="{00000000-0011-0000-FFFF-FFFF03000000}">
      <tableStyleElement type="firstRowStripe" dxfId="6"/>
      <tableStyleElement type="secondRowStripe" dxfId="5"/>
    </tableStyle>
    <tableStyle name="Specs-style 5" pivot="0" count="2" xr9:uid="{00000000-0011-0000-FFFF-FFFF04000000}">
      <tableStyleElement type="firstRowStripe" dxfId="4"/>
      <tableStyleElement type="secondRowStripe" dxfId="3"/>
    </tableStyle>
    <tableStyle name="Specs-style 6" pivot="0" count="2" xr9:uid="{00000000-0011-0000-FFFF-FFFF05000000}"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139700</xdr:colOff>
      <xdr:row>1</xdr:row>
      <xdr:rowOff>95250</xdr:rowOff>
    </xdr:from>
    <xdr:to>
      <xdr:col>5</xdr:col>
      <xdr:colOff>139700</xdr:colOff>
      <xdr:row>7</xdr:row>
      <xdr:rowOff>38100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915F04F4-066B-71E9-2B77-ACF51639AC22}"/>
            </a:ext>
          </a:extLst>
        </xdr:cNvPr>
        <xdr:cNvSpPr txBox="1">
          <a:spLocks noChangeArrowheads="1"/>
        </xdr:cNvSpPr>
      </xdr:nvSpPr>
      <xdr:spPr bwMode="auto">
        <a:xfrm>
          <a:off x="1949450" y="292100"/>
          <a:ext cx="4387850" cy="11239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139700</xdr:colOff>
      <xdr:row>1</xdr:row>
      <xdr:rowOff>95250</xdr:rowOff>
    </xdr:from>
    <xdr:to>
      <xdr:col>5</xdr:col>
      <xdr:colOff>139700</xdr:colOff>
      <xdr:row>7</xdr:row>
      <xdr:rowOff>38100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2BBD9C30-BBEF-7CFB-0BCC-B5A6A5D7FA0A}"/>
            </a:ext>
          </a:extLst>
        </xdr:cNvPr>
        <xdr:cNvSpPr txBox="1">
          <a:spLocks noChangeArrowheads="1"/>
        </xdr:cNvSpPr>
      </xdr:nvSpPr>
      <xdr:spPr bwMode="auto">
        <a:xfrm>
          <a:off x="1949450" y="292100"/>
          <a:ext cx="4387850" cy="11239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139700</xdr:colOff>
      <xdr:row>1</xdr:row>
      <xdr:rowOff>95250</xdr:rowOff>
    </xdr:from>
    <xdr:to>
      <xdr:col>5</xdr:col>
      <xdr:colOff>139700</xdr:colOff>
      <xdr:row>7</xdr:row>
      <xdr:rowOff>38100</xdr:rowOff>
    </xdr:to>
    <xdr:sp macro="" textlink="">
      <xdr:nvSpPr>
        <xdr:cNvPr id="1025" name="Text Box 1" hidden="1">
          <a:extLst>
            <a:ext uri="{FF2B5EF4-FFF2-40B4-BE49-F238E27FC236}">
              <a16:creationId xmlns:a16="http://schemas.microsoft.com/office/drawing/2014/main" id="{8E754974-34C6-52B6-8E7A-82FE7AA53BD3}"/>
            </a:ext>
          </a:extLst>
        </xdr:cNvPr>
        <xdr:cNvSpPr txBox="1">
          <a:spLocks noChangeArrowheads="1"/>
        </xdr:cNvSpPr>
      </xdr:nvSpPr>
      <xdr:spPr bwMode="auto">
        <a:xfrm>
          <a:off x="1949450" y="292100"/>
          <a:ext cx="4387850" cy="11239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x18tc:personList xmlns:x18tc="http://schemas.microsoft.com/office/spreadsheetml/2018/threadedcomments">
  <x18tc:person displayName="Kim Dao Trang" id="{3bf20bc1-9dd5-41f6-b593-a824b7e16156}" providerId="google-sheets"/>
  <x18tc:person displayName="Ngo Kien Cuong" id="{146ea189-90c0-4431-999d-ab58b7d3380f}" providerId="google-sheets"/>
</x18tc: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H8">
  <tableColumns count="8">
    <tableColumn id="1" xr3:uid="{00000000-0010-0000-0000-000001000000}" name="Cân bằng tải đường truyền"/>
    <tableColumn id="2" xr3:uid="{00000000-0010-0000-0000-000002000000}" name="Router"/>
    <tableColumn id="3" xr3:uid="{00000000-0010-0000-0000-000003000000}" name="SwitchCampus"/>
    <tableColumn id="4" xr3:uid="{00000000-0010-0000-0000-000004000000}" name="ModularSwitch"/>
    <tableColumn id="5" xr3:uid="{00000000-0010-0000-0000-000005000000}" name="Wireless"/>
    <tableColumn id="6" xr3:uid="{00000000-0010-0000-0000-000006000000}" name="Automation"/>
    <tableColumn id="7" xr3:uid="{00000000-0010-0000-0000-000007000000}" name="SDWAN"/>
    <tableColumn id="8" xr3:uid="{00000000-0010-0000-0000-000008000000}" name="Cân bằng tải ứng dụng"/>
  </tableColumns>
  <tableStyleInfo name="Spec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:K8">
  <tableColumns count="3">
    <tableColumn id="1" xr3:uid="{00000000-0010-0000-0100-000001000000}" name="SFP"/>
    <tableColumn id="2" xr3:uid="{00000000-0010-0000-0100-000002000000}" name="DWDM/ DCI"/>
    <tableColumn id="3" xr3:uid="{00000000-0010-0000-0100-000003000000}" name="Amplifier"/>
  </tableColumns>
  <tableStyleInfo name="Specs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9:H9" headerRowCount="0">
  <tableColumns count="8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</tableColumns>
  <tableStyleInfo name="Specs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9:K9" headerRowCount="0">
  <tableColumns count="3">
    <tableColumn id="1" xr3:uid="{00000000-0010-0000-0300-000001000000}" name="Column1"/>
    <tableColumn id="2" xr3:uid="{00000000-0010-0000-0300-000002000000}" name="Column2"/>
    <tableColumn id="3" xr3:uid="{00000000-0010-0000-0300-000003000000}" name="Column3"/>
  </tableColumns>
  <tableStyleInfo name="Specs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0:H10" headerRowCount="0">
  <tableColumns count="8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  <tableColumn id="7" xr3:uid="{00000000-0010-0000-0400-000007000000}" name="Column7"/>
    <tableColumn id="8" xr3:uid="{00000000-0010-0000-0400-000008000000}" name="Column8"/>
  </tableColumns>
  <tableStyleInfo name="Specs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0:K10" headerRowCount="0">
  <tableColumns count="3">
    <tableColumn id="1" xr3:uid="{00000000-0010-0000-0500-000001000000}" name="Column1"/>
    <tableColumn id="2" xr3:uid="{00000000-0010-0000-0500-000002000000}" name="Column2"/>
    <tableColumn id="3" xr3:uid="{00000000-0010-0000-0500-000003000000}" name="Column3"/>
  </tableColumns>
  <tableStyleInfo name="Specs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3-30T09:09:47.00" personId="{146ea189-90c0-4431-999d-ab58b7d3380f}" id="{e95b7e8d-18f2-455c-be72-b39d257fbe95}" done="0">
    <x18tc:text xml:space="preserve">Import giá Final từ file Quotation Tool (sau khi AM đã hiệu chỉnh giá)</x18tc:text>
  </x18tc:threadedComment>
  <x18tc:threadedComment ref="A4" dT="2026-03-24T08:19:39.00" personId="{146ea189-90c0-4431-999d-ab58b7d3380f}" id="{0bf0c1e9-3f1a-4a41-94cf-98062932bb86}" done="0">
    <x18tc:text xml:space="preserve">Chạy được 1G/10G</x18tc:text>
  </x18tc:threadedComment>
  <x18tc:threadedComment ref="V3" dT="2026-04-03T09:21:04.00" personId="{3bf20bc1-9dd5-41f6-b593-a824b7e16156}" id="{47c4e68c-fbca-411c-8d1b-0b4aadaaaf96}" done="0">
    <x18tc:text xml:space="preserve">Dùng chung cổng 10G</x18tc:text>
  </x18tc:threadedComment>
  <x18tc:threadedComment ref="A1" dT="2026-04-03T09:20:54.00" personId="{3bf20bc1-9dd5-41f6-b593-a824b7e16156}" id="{5a91d731-f939-4058-b8d3-be1fdb4bb6dd}" done="0">
    <x18tc:text xml:space="preserve">Dùng chung cổng 10G</x18tc:text>
  </x18tc:threadedComment>
  <x18tc:threadedComment ref="U3" dT="2026-04-03T09:20:42.00" personId="{3bf20bc1-9dd5-41f6-b593-a824b7e16156}" id="{68eb9eda-ff63-4a35-8c52-4c07e8383b73}" done="0">
    <x18tc:text xml:space="preserve">Dùng chung cổng 10G</x18tc:text>
  </x18tc:threadedComment>
  <x18tc:threadedComment ref="A1" dT="2026-03-30T09:23:14.00" personId="{146ea189-90c0-4431-999d-ab58b7d3380f}" id="{f2ee2c70-f311-45c8-ad1d-528c5ede99df}" done="0">
    <x18tc:text xml:space="preserve">Import toàn bộ giá List từ file Unit List Prices</x18tc:text>
  </x18tc:threadedComment>
  <x18tc:threadedComment ref="A1" dT="2026-03-30T09:29:35.00" personId="{146ea189-90c0-4431-999d-ab58b7d3380f}" id="{9e54816d-2bb2-4eef-92ef-47ee863506f4}" done="0">
    <x18tc:text xml:space="preserve">Import toàn bộ Final Price để tính toán (sau khi AM đã hiệu chỉnh giá)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2" dT="2026-04-17T01:15:03.00" personId="{146ea189-90c0-4431-999d-ab58b7d3380f}" id="{2a0d4097-659d-4dd7-b004-8b7820c6138b}" done="0">
    <x18tc:text xml:space="preserve">SUP1: 1.2Tbps ; SUP2: 3.2Tbps; 4 Slot</x18tc:text>
  </x18tc:threadedComment>
  <x18tc:threadedComment ref="E2" dT="2026-04-16T14:33:54.00" personId="{146ea189-90c0-4431-999d-ab58b7d3380f}" id="{b5eba0bd-813f-4b94-84e0-1cd432ccf246}" done="0">
    <x18tc:text xml:space="preserve">5 Slots ; 480Gbps/Slot</x18tc:text>
  </x18tc:threadedComment>
  <x18tc:threadedComment ref="G5" dT="2026-04-17T01:23:15.00" personId="{146ea189-90c0-4431-999d-ab58b7d3380f}" id="{f7f8ff18-7790-4323-9a3f-bee526c70b51}" done="0">
    <x18tc:text xml:space="preserve">SUP1 only</x18tc:text>
  </x18tc:threadedComment>
  <x18tc:threadedComment ref="D2" dT="2026-04-16T14:33:44.00" personId="{146ea189-90c0-4431-999d-ab58b7d3380f}" id="{48e34ef9-8978-48f6-8d74-ceca93b519e3}" done="0">
    <x18tc:text xml:space="preserve">2 Slots ; 480Gbps/Slot</x18tc:text>
  </x18tc:threadedComment>
  <x18tc:threadedComment ref="F2" dT="2026-04-16T14:34:13.00" personId="{146ea189-90c0-4431-999d-ab58b7d3380f}" id="{41f748f0-d69a-4d32-8bdd-3b25ac13c412}" done="0">
    <x18tc:text xml:space="preserve">8 Slots ; 480Gbps/Slot</x18tc:text>
  </x18tc:threadedComment>
  <x18tc:threadedComment ref="D9" dT="2026-04-16T14:31:49.00" personId="{146ea189-90c0-4431-999d-ab58b7d3380f}" id="{10aac048-3ba8-49ca-9ad8-16a9bd502ecc}" done="0">
    <x18tc:text xml:space="preserve">StackWise Virtual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W1" dT="2026-04-19T09:21:11.00" personId="{146ea189-90c0-4431-999d-ab58b7d3380f}" id="{a9f5cd4b-96cb-4966-964b-d3a6a1e13e0a}" done="0">
    <x18tc:text xml:space="preserve">Lookup theo P/N 100GQSFP-LR4-4=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3-30T12:53:03.00" personId="{146ea189-90c0-4431-999d-ab58b7d3380f}" id="{e0707231-5d4c-4ca4-a2df-1e3b48423d24}" done="0">
    <x18tc:text xml:space="preserve">Ghép toàn bộ List Price của tất cả các Vedor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F100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ColWidth="12.6328125" defaultRowHeight="15.75" customHeight="1" x14ac:dyDescent="0.25"/>
  <cols>
    <col min="1" max="1" width="25.90625" customWidth="1"/>
    <col min="3" max="42" width="16.7265625" customWidth="1"/>
  </cols>
  <sheetData>
    <row r="1" spans="1:58" x14ac:dyDescent="0.3">
      <c r="A1" s="1" t="str">
        <f>Specs!B1</f>
        <v>Router</v>
      </c>
      <c r="B1" s="2" t="s">
        <v>0</v>
      </c>
      <c r="C1" s="3" t="e">
        <f t="array" aca="1" ref="C1" ca="1">INDEX(D1:AP1, MATCH(1, D16:AP16, 0))</f>
        <v>#N/A</v>
      </c>
      <c r="D1" s="4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15.75" customHeight="1" x14ac:dyDescent="0.25">
      <c r="A2" s="8" t="str">
        <f>Specs!B2</f>
        <v>Throughput (Mbps)</v>
      </c>
      <c r="B2" s="9">
        <f ca="1">IFERROR(__xludf.DUMMYFUNCTION("IMPORTRANGE(""https://docs.google.com/spreadsheets/d/18TjePryHG687L54fIGU6Od12DGyT3mPoblPemZTZRY4"",""Router!B3:B10"")"),10000)</f>
        <v>10000</v>
      </c>
      <c r="C2" s="10" t="e">
        <f ca="1">HLOOKUP($C$1,$D$1:$AP$10,2,0)</f>
        <v>#N/A</v>
      </c>
      <c r="D2" s="11">
        <v>1889</v>
      </c>
      <c r="E2" s="12">
        <v>1889</v>
      </c>
      <c r="F2" s="12">
        <v>1889</v>
      </c>
      <c r="G2" s="12">
        <v>1889</v>
      </c>
      <c r="H2" s="12">
        <v>1426</v>
      </c>
      <c r="I2" s="12">
        <v>1889</v>
      </c>
      <c r="J2" s="12">
        <v>1889</v>
      </c>
      <c r="K2" s="12">
        <v>1889</v>
      </c>
      <c r="L2" s="12">
        <v>1889</v>
      </c>
      <c r="M2" s="12">
        <v>1889</v>
      </c>
      <c r="N2" s="12">
        <v>1169</v>
      </c>
      <c r="O2" s="12">
        <v>500</v>
      </c>
      <c r="P2" s="12">
        <v>1000</v>
      </c>
      <c r="Q2" s="12">
        <v>2000</v>
      </c>
      <c r="R2" s="12">
        <v>2000</v>
      </c>
      <c r="S2" s="12">
        <v>17000</v>
      </c>
      <c r="T2" s="12">
        <v>18800</v>
      </c>
      <c r="U2" s="12">
        <v>19000</v>
      </c>
      <c r="V2" s="12">
        <v>51000</v>
      </c>
      <c r="W2" s="12">
        <v>96000</v>
      </c>
      <c r="X2" s="12">
        <v>350000</v>
      </c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pans="1:58" ht="15.75" customHeight="1" x14ac:dyDescent="0.25">
      <c r="A3" s="8" t="str">
        <f>Specs!B3</f>
        <v>Số lượng cổng WAN 1GE</v>
      </c>
      <c r="B3" s="9"/>
      <c r="C3" s="10" t="e">
        <f ca="1">HLOOKUP($C$1,$D$1:$AP$10,3,0)</f>
        <v>#N/A</v>
      </c>
      <c r="D3" s="11">
        <v>2</v>
      </c>
      <c r="E3" s="12">
        <v>2</v>
      </c>
      <c r="F3" s="12">
        <v>2</v>
      </c>
      <c r="G3" s="12">
        <v>2</v>
      </c>
      <c r="H3" s="12">
        <v>2</v>
      </c>
      <c r="I3" s="12">
        <v>2</v>
      </c>
      <c r="J3" s="12">
        <v>1</v>
      </c>
      <c r="K3" s="12">
        <v>1</v>
      </c>
      <c r="L3" s="12">
        <v>1</v>
      </c>
      <c r="M3" s="12">
        <v>1</v>
      </c>
      <c r="N3" s="12">
        <v>1</v>
      </c>
      <c r="O3" s="12">
        <v>4</v>
      </c>
      <c r="P3" s="12">
        <v>4</v>
      </c>
      <c r="Q3" s="12">
        <v>6</v>
      </c>
      <c r="R3" s="12">
        <v>6</v>
      </c>
      <c r="S3" s="12">
        <v>4</v>
      </c>
      <c r="T3" s="12">
        <v>4</v>
      </c>
      <c r="U3" s="12">
        <v>8</v>
      </c>
      <c r="V3" s="12">
        <v>12</v>
      </c>
      <c r="W3" s="12">
        <v>12</v>
      </c>
      <c r="X3" s="12">
        <v>20</v>
      </c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pans="1:58" ht="15.75" customHeight="1" x14ac:dyDescent="0.25">
      <c r="A4" s="8" t="str">
        <f>Specs!B4</f>
        <v>Số lượng cổng WAN 10GE</v>
      </c>
      <c r="B4" s="9"/>
      <c r="C4" s="10" t="e">
        <f ca="1">HLOOKUP($C$1,$D$1:$AP$10,4,0)</f>
        <v>#N/A</v>
      </c>
      <c r="D4" s="11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/>
      <c r="P4" s="12"/>
      <c r="Q4" s="12"/>
      <c r="R4" s="12"/>
      <c r="S4" s="12">
        <v>2</v>
      </c>
      <c r="T4" s="12">
        <v>2</v>
      </c>
      <c r="U4" s="12">
        <v>4</v>
      </c>
      <c r="V4" s="12">
        <v>12</v>
      </c>
      <c r="W4" s="12">
        <v>12</v>
      </c>
      <c r="X4" s="12">
        <v>20</v>
      </c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pans="1:58" ht="15.75" customHeight="1" x14ac:dyDescent="0.25">
      <c r="A5" s="8" t="str">
        <f>Specs!B5</f>
        <v>Số lượng cổng LAN 1GE</v>
      </c>
      <c r="B5" s="9"/>
      <c r="C5" s="10" t="e">
        <f ca="1">HLOOKUP($C$1,$D$1:$AP$10,5,0)</f>
        <v>#N/A</v>
      </c>
      <c r="D5" s="11">
        <v>8</v>
      </c>
      <c r="E5" s="12">
        <v>8</v>
      </c>
      <c r="F5" s="12">
        <v>8</v>
      </c>
      <c r="G5" s="12">
        <v>8</v>
      </c>
      <c r="H5" s="12">
        <v>4</v>
      </c>
      <c r="I5" s="12">
        <v>8</v>
      </c>
      <c r="J5" s="12">
        <v>8</v>
      </c>
      <c r="K5" s="12">
        <v>4</v>
      </c>
      <c r="L5" s="12">
        <v>4</v>
      </c>
      <c r="M5" s="12">
        <v>8</v>
      </c>
      <c r="N5" s="12">
        <v>4</v>
      </c>
      <c r="O5" s="12">
        <v>8</v>
      </c>
      <c r="P5" s="12">
        <v>8</v>
      </c>
      <c r="Q5" s="12">
        <v>8</v>
      </c>
      <c r="R5" s="12">
        <v>16</v>
      </c>
      <c r="S5" s="12">
        <v>8</v>
      </c>
      <c r="T5" s="12">
        <v>16</v>
      </c>
      <c r="U5" s="12"/>
      <c r="V5" s="12"/>
      <c r="W5" s="12"/>
      <c r="X5" s="12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pans="1:58" ht="15.75" customHeight="1" x14ac:dyDescent="0.25">
      <c r="A6" s="8">
        <f>Specs!B6</f>
        <v>0</v>
      </c>
      <c r="B6" s="9"/>
      <c r="C6" s="10" t="e">
        <f ca="1">HLOOKUP($C$1,$D$1:$AP$10,6,0)</f>
        <v>#N/A</v>
      </c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pans="1:58" ht="15.75" customHeight="1" x14ac:dyDescent="0.25">
      <c r="A7" s="8">
        <f>Specs!B7</f>
        <v>0</v>
      </c>
      <c r="B7" s="9"/>
      <c r="C7" s="10" t="e">
        <f ca="1">HLOOKUP($C$1,$D$1:$AP$10,7,0)</f>
        <v>#N/A</v>
      </c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pans="1:58" ht="15.75" customHeight="1" x14ac:dyDescent="0.25">
      <c r="A8" s="8">
        <f>Specs!B8</f>
        <v>0</v>
      </c>
      <c r="B8" s="9"/>
      <c r="C8" s="10" t="e">
        <f ca="1">HLOOKUP($C$1,$D$1:$AP$10,8,0)</f>
        <v>#N/A</v>
      </c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pans="1:58" ht="15.75" customHeight="1" x14ac:dyDescent="0.25">
      <c r="A9" s="8">
        <f>Specs!B9</f>
        <v>0</v>
      </c>
      <c r="B9" s="9"/>
      <c r="C9" s="10" t="e">
        <f ca="1">HLOOKUP($C$1,$D$1:$AP$10,9,0)</f>
        <v>#N/A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pans="1:58" ht="15.75" customHeight="1" x14ac:dyDescent="0.25">
      <c r="A10" s="8">
        <f>Specs!B10</f>
        <v>0</v>
      </c>
      <c r="B10" s="9"/>
      <c r="C10" s="10" t="e">
        <f ca="1">HLOOKUP($C$1,$D$1:$AP$10,10,0)</f>
        <v>#N/A</v>
      </c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pans="1:58" x14ac:dyDescent="0.3">
      <c r="A11" s="7" t="s">
        <v>22</v>
      </c>
      <c r="B11" s="14"/>
      <c r="C11" s="15" t="e">
        <f ca="1">HLOOKUP($C$1,$D$1:$AP$11,11,0)</f>
        <v>#N/A</v>
      </c>
      <c r="D11" s="16" t="s">
        <v>23</v>
      </c>
      <c r="E11" s="16" t="s">
        <v>23</v>
      </c>
      <c r="F11" s="16" t="s">
        <v>23</v>
      </c>
      <c r="G11" s="16" t="s">
        <v>23</v>
      </c>
      <c r="H11" s="16" t="s">
        <v>23</v>
      </c>
      <c r="I11" s="16" t="s">
        <v>23</v>
      </c>
      <c r="J11" s="16" t="s">
        <v>23</v>
      </c>
      <c r="K11" s="16" t="s">
        <v>23</v>
      </c>
      <c r="L11" s="16" t="s">
        <v>23</v>
      </c>
      <c r="M11" s="16" t="s">
        <v>23</v>
      </c>
      <c r="N11" s="16" t="s">
        <v>23</v>
      </c>
      <c r="O11" s="16" t="s">
        <v>24</v>
      </c>
      <c r="P11" s="16" t="s">
        <v>24</v>
      </c>
      <c r="Q11" s="16" t="s">
        <v>24</v>
      </c>
      <c r="R11" s="16" t="s">
        <v>24</v>
      </c>
      <c r="S11" s="16" t="s">
        <v>24</v>
      </c>
      <c r="T11" s="16" t="s">
        <v>24</v>
      </c>
      <c r="U11" s="16" t="s">
        <v>25</v>
      </c>
      <c r="V11" s="16" t="s">
        <v>25</v>
      </c>
      <c r="W11" s="16" t="s">
        <v>25</v>
      </c>
      <c r="X11" s="16" t="s">
        <v>25</v>
      </c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58" ht="15.75" customHeight="1" x14ac:dyDescent="0.25">
      <c r="A12" s="17"/>
      <c r="B12" s="14"/>
      <c r="C12" s="15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58" ht="15.75" customHeight="1" x14ac:dyDescent="0.25">
      <c r="A13" s="17" t="s">
        <v>26</v>
      </c>
      <c r="B13" s="14"/>
      <c r="C13" s="15" t="e">
        <f t="shared" ref="C13:X13" ca="1" si="0">SUM(1*(C2&gt;=$B$2)+1*(C3&gt;=$B$3)+1*(C4&gt;=$B$4)+1*(C5&gt;=$B$5))</f>
        <v>#N/A</v>
      </c>
      <c r="D13" s="16">
        <f t="shared" ca="1" si="0"/>
        <v>3</v>
      </c>
      <c r="E13" s="16">
        <f t="shared" ca="1" si="0"/>
        <v>3</v>
      </c>
      <c r="F13" s="16">
        <f t="shared" ca="1" si="0"/>
        <v>3</v>
      </c>
      <c r="G13" s="16">
        <f t="shared" ca="1" si="0"/>
        <v>3</v>
      </c>
      <c r="H13" s="16">
        <f t="shared" ca="1" si="0"/>
        <v>3</v>
      </c>
      <c r="I13" s="16">
        <f t="shared" ca="1" si="0"/>
        <v>3</v>
      </c>
      <c r="J13" s="16">
        <f t="shared" ca="1" si="0"/>
        <v>3</v>
      </c>
      <c r="K13" s="16">
        <f t="shared" ca="1" si="0"/>
        <v>3</v>
      </c>
      <c r="L13" s="16">
        <f t="shared" ca="1" si="0"/>
        <v>3</v>
      </c>
      <c r="M13" s="16">
        <f t="shared" ca="1" si="0"/>
        <v>3</v>
      </c>
      <c r="N13" s="16">
        <f t="shared" ca="1" si="0"/>
        <v>3</v>
      </c>
      <c r="O13" s="16">
        <f t="shared" ca="1" si="0"/>
        <v>3</v>
      </c>
      <c r="P13" s="16">
        <f t="shared" ca="1" si="0"/>
        <v>3</v>
      </c>
      <c r="Q13" s="16">
        <f t="shared" ca="1" si="0"/>
        <v>3</v>
      </c>
      <c r="R13" s="16">
        <f t="shared" ca="1" si="0"/>
        <v>3</v>
      </c>
      <c r="S13" s="16">
        <f t="shared" ca="1" si="0"/>
        <v>4</v>
      </c>
      <c r="T13" s="16">
        <f t="shared" ca="1" si="0"/>
        <v>4</v>
      </c>
      <c r="U13" s="16">
        <f t="shared" ca="1" si="0"/>
        <v>4</v>
      </c>
      <c r="V13" s="16">
        <f t="shared" ca="1" si="0"/>
        <v>4</v>
      </c>
      <c r="W13" s="16">
        <f t="shared" ca="1" si="0"/>
        <v>4</v>
      </c>
      <c r="X13" s="16">
        <f t="shared" ca="1" si="0"/>
        <v>4</v>
      </c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58" ht="15.75" customHeight="1" x14ac:dyDescent="0.25">
      <c r="A14" s="17" t="s">
        <v>27</v>
      </c>
      <c r="B14" s="14"/>
      <c r="C14" s="18">
        <f ca="1">IFERROR(VLOOKUP(C1,Cisco!$A$2:$D$1000,4,0),0)</f>
        <v>0</v>
      </c>
      <c r="D14" s="19">
        <f ca="1">IFERROR(VLOOKUP(D1,Cisco!$A$2:$D$1000,4,0),0)</f>
        <v>9295.6299999999992</v>
      </c>
      <c r="E14" s="19">
        <f ca="1">IFERROR(VLOOKUP(E1,Cisco!$A$2:$D$1000,4,0),0)</f>
        <v>10544.1899999999</v>
      </c>
      <c r="F14" s="19">
        <f ca="1">IFERROR(VLOOKUP(F1,Cisco!$A$2:$D$1000,4,0),0)</f>
        <v>9167.7199999999993</v>
      </c>
      <c r="G14" s="19">
        <f ca="1">IFERROR(VLOOKUP(G1,Cisco!$A$2:$D$1000,4,0),0)</f>
        <v>9409.5</v>
      </c>
      <c r="H14" s="19">
        <f ca="1">IFERROR(VLOOKUP(H1,Cisco!$A$2:$D$1000,4,0),0)</f>
        <v>8116.2999999999902</v>
      </c>
      <c r="I14" s="19">
        <f ca="1">IFERROR(VLOOKUP(I1,Cisco!$A$2:$D$1000,4,0),0)</f>
        <v>8446.06</v>
      </c>
      <c r="J14" s="19">
        <f ca="1">IFERROR(VLOOKUP(J1,Cisco!$A$2:$D$1000,4,0),0)</f>
        <v>9119.7199999999993</v>
      </c>
      <c r="K14" s="19">
        <f ca="1">IFERROR(VLOOKUP(K1,Cisco!$A$2:$D$1000,4,0),0)</f>
        <v>8670.4399999999896</v>
      </c>
      <c r="L14" s="19">
        <f ca="1">IFERROR(VLOOKUP(L1,Cisco!$A$2:$D$1000,4,0),0)</f>
        <v>8670.4399999999896</v>
      </c>
      <c r="M14" s="19">
        <f ca="1">IFERROR(VLOOKUP(M1,Cisco!$A$2:$D$1000,4,0),0)</f>
        <v>9786.58</v>
      </c>
      <c r="N14" s="19">
        <f ca="1">IFERROR(VLOOKUP(N1,Cisco!$A$2:$D$1000,4,0),0)</f>
        <v>9255.74</v>
      </c>
      <c r="O14" s="19">
        <f ca="1">IFERROR(VLOOKUP(O1,Cisco!$A$2:$D$1000,4,0),0)</f>
        <v>18000</v>
      </c>
      <c r="P14" s="19">
        <f ca="1">IFERROR(VLOOKUP(P1,Cisco!$A$2:$D$1000,4,0),0)</f>
        <v>15000</v>
      </c>
      <c r="Q14" s="19">
        <f ca="1">IFERROR(VLOOKUP(Q1,Cisco!$A$2:$D$1000,4,0),0)</f>
        <v>36965.33</v>
      </c>
      <c r="R14" s="19">
        <f ca="1">IFERROR(VLOOKUP(R1,Cisco!$A$2:$D$1000,4,0),0)</f>
        <v>46344.92</v>
      </c>
      <c r="S14" s="19">
        <f ca="1">IFERROR(VLOOKUP(S1,Cisco!$A$2:$D$1000,4,0),0)</f>
        <v>71768.03</v>
      </c>
      <c r="T14" s="19">
        <f ca="1">IFERROR(VLOOKUP(T1,Cisco!$A$2:$D$1000,4,0),0)</f>
        <v>87564.41</v>
      </c>
      <c r="U14" s="19">
        <f ca="1">IFERROR(VLOOKUP(U1,Cisco!$A$2:$D$1000,4,0),0)</f>
        <v>92549.95</v>
      </c>
      <c r="V14" s="19">
        <f ca="1">IFERROR(VLOOKUP(V1,Cisco!$A$2:$D$1000,4,0),0)</f>
        <v>198921.55</v>
      </c>
      <c r="W14" s="19">
        <f ca="1">IFERROR(VLOOKUP(W1,Cisco!$A$2:$D$1000,4,0),0)</f>
        <v>284449</v>
      </c>
      <c r="X14" s="19">
        <f ca="1">IFERROR(VLOOKUP(X1,Cisco!$A$2:$D$1000,4,0),0)</f>
        <v>534067.23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</row>
    <row r="15" spans="1:58" ht="15.75" customHeight="1" x14ac:dyDescent="0.25">
      <c r="A15" s="17" t="s">
        <v>28</v>
      </c>
      <c r="B15" s="14"/>
      <c r="C15" s="15" t="e">
        <f t="shared" ref="C15:X15" ca="1" si="1">1*(C13=MAX($D$13:$AP$13))</f>
        <v>#N/A</v>
      </c>
      <c r="D15" s="16">
        <f t="shared" ca="1" si="1"/>
        <v>0</v>
      </c>
      <c r="E15" s="16">
        <f t="shared" ca="1" si="1"/>
        <v>0</v>
      </c>
      <c r="F15" s="16">
        <f t="shared" ca="1" si="1"/>
        <v>0</v>
      </c>
      <c r="G15" s="16">
        <f t="shared" ca="1" si="1"/>
        <v>0</v>
      </c>
      <c r="H15" s="16">
        <f t="shared" ca="1" si="1"/>
        <v>0</v>
      </c>
      <c r="I15" s="16">
        <f t="shared" ca="1" si="1"/>
        <v>0</v>
      </c>
      <c r="J15" s="16">
        <f t="shared" ca="1" si="1"/>
        <v>0</v>
      </c>
      <c r="K15" s="16">
        <f t="shared" ca="1" si="1"/>
        <v>0</v>
      </c>
      <c r="L15" s="16">
        <f t="shared" ca="1" si="1"/>
        <v>0</v>
      </c>
      <c r="M15" s="16">
        <f t="shared" ca="1" si="1"/>
        <v>0</v>
      </c>
      <c r="N15" s="16">
        <f t="shared" ca="1" si="1"/>
        <v>0</v>
      </c>
      <c r="O15" s="16">
        <f t="shared" ca="1" si="1"/>
        <v>0</v>
      </c>
      <c r="P15" s="16">
        <f t="shared" ca="1" si="1"/>
        <v>0</v>
      </c>
      <c r="Q15" s="16">
        <f t="shared" ca="1" si="1"/>
        <v>0</v>
      </c>
      <c r="R15" s="16">
        <f t="shared" ca="1" si="1"/>
        <v>0</v>
      </c>
      <c r="S15" s="16">
        <f t="shared" ca="1" si="1"/>
        <v>1</v>
      </c>
      <c r="T15" s="16">
        <f t="shared" ca="1" si="1"/>
        <v>1</v>
      </c>
      <c r="U15" s="16">
        <f t="shared" ca="1" si="1"/>
        <v>1</v>
      </c>
      <c r="V15" s="16">
        <f t="shared" ca="1" si="1"/>
        <v>1</v>
      </c>
      <c r="W15" s="16">
        <f t="shared" ca="1" si="1"/>
        <v>1</v>
      </c>
      <c r="X15" s="16">
        <f t="shared" ca="1" si="1"/>
        <v>1</v>
      </c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</row>
    <row r="16" spans="1:58" ht="15.75" customHeight="1" x14ac:dyDescent="0.25">
      <c r="A16" s="17" t="s">
        <v>29</v>
      </c>
      <c r="B16" s="14"/>
      <c r="C16" s="15" t="e">
        <f t="shared" ref="C16:X16" ca="1" si="2">C15*(C14=_xludf.minifs($D$14:$AP$14,$D$15:$AP$15,1))</f>
        <v>#N/A</v>
      </c>
      <c r="D16" s="16" t="e">
        <f t="shared" ca="1" si="2"/>
        <v>#NAME?</v>
      </c>
      <c r="E16" s="16" t="e">
        <f t="shared" ca="1" si="2"/>
        <v>#NAME?</v>
      </c>
      <c r="F16" s="16" t="e">
        <f t="shared" ca="1" si="2"/>
        <v>#NAME?</v>
      </c>
      <c r="G16" s="16" t="e">
        <f t="shared" ca="1" si="2"/>
        <v>#NAME?</v>
      </c>
      <c r="H16" s="16" t="e">
        <f t="shared" ca="1" si="2"/>
        <v>#NAME?</v>
      </c>
      <c r="I16" s="16" t="e">
        <f t="shared" ca="1" si="2"/>
        <v>#NAME?</v>
      </c>
      <c r="J16" s="16" t="e">
        <f t="shared" ca="1" si="2"/>
        <v>#NAME?</v>
      </c>
      <c r="K16" s="16" t="e">
        <f t="shared" ca="1" si="2"/>
        <v>#NAME?</v>
      </c>
      <c r="L16" s="16" t="e">
        <f t="shared" ca="1" si="2"/>
        <v>#NAME?</v>
      </c>
      <c r="M16" s="16" t="e">
        <f t="shared" ca="1" si="2"/>
        <v>#NAME?</v>
      </c>
      <c r="N16" s="16" t="e">
        <f t="shared" ca="1" si="2"/>
        <v>#NAME?</v>
      </c>
      <c r="O16" s="16" t="e">
        <f t="shared" ca="1" si="2"/>
        <v>#NAME?</v>
      </c>
      <c r="P16" s="16" t="e">
        <f t="shared" ca="1" si="2"/>
        <v>#NAME?</v>
      </c>
      <c r="Q16" s="16" t="e">
        <f t="shared" ca="1" si="2"/>
        <v>#NAME?</v>
      </c>
      <c r="R16" s="16" t="e">
        <f t="shared" ca="1" si="2"/>
        <v>#NAME?</v>
      </c>
      <c r="S16" s="16" t="e">
        <f t="shared" ca="1" si="2"/>
        <v>#NAME?</v>
      </c>
      <c r="T16" s="16" t="e">
        <f t="shared" ca="1" si="2"/>
        <v>#NAME?</v>
      </c>
      <c r="U16" s="16" t="e">
        <f t="shared" ca="1" si="2"/>
        <v>#NAME?</v>
      </c>
      <c r="V16" s="16" t="e">
        <f t="shared" ca="1" si="2"/>
        <v>#NAME?</v>
      </c>
      <c r="W16" s="16" t="e">
        <f t="shared" ca="1" si="2"/>
        <v>#NAME?</v>
      </c>
      <c r="X16" s="16" t="e">
        <f t="shared" ca="1" si="2"/>
        <v>#NAME?</v>
      </c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</row>
    <row r="17" spans="1:58" ht="15.75" customHeight="1" x14ac:dyDescent="0.25">
      <c r="A17" s="17" t="s">
        <v>30</v>
      </c>
      <c r="B17" s="14"/>
      <c r="C17" s="15" t="e">
        <f t="shared" ref="C17:X17" ca="1" si="3">(1-($C$1=C1))*(C15=1)</f>
        <v>#N/A</v>
      </c>
      <c r="D17" s="16" t="e">
        <f t="shared" ca="1" si="3"/>
        <v>#N/A</v>
      </c>
      <c r="E17" s="16" t="e">
        <f t="shared" ca="1" si="3"/>
        <v>#N/A</v>
      </c>
      <c r="F17" s="16" t="e">
        <f t="shared" ca="1" si="3"/>
        <v>#N/A</v>
      </c>
      <c r="G17" s="16" t="e">
        <f t="shared" ca="1" si="3"/>
        <v>#N/A</v>
      </c>
      <c r="H17" s="16" t="e">
        <f t="shared" ca="1" si="3"/>
        <v>#N/A</v>
      </c>
      <c r="I17" s="16" t="e">
        <f t="shared" ca="1" si="3"/>
        <v>#N/A</v>
      </c>
      <c r="J17" s="16" t="e">
        <f t="shared" ca="1" si="3"/>
        <v>#N/A</v>
      </c>
      <c r="K17" s="16" t="e">
        <f t="shared" ca="1" si="3"/>
        <v>#N/A</v>
      </c>
      <c r="L17" s="16" t="e">
        <f t="shared" ca="1" si="3"/>
        <v>#N/A</v>
      </c>
      <c r="M17" s="16" t="e">
        <f t="shared" ca="1" si="3"/>
        <v>#N/A</v>
      </c>
      <c r="N17" s="16" t="e">
        <f t="shared" ca="1" si="3"/>
        <v>#N/A</v>
      </c>
      <c r="O17" s="16" t="e">
        <f t="shared" ca="1" si="3"/>
        <v>#N/A</v>
      </c>
      <c r="P17" s="16" t="e">
        <f t="shared" ca="1" si="3"/>
        <v>#N/A</v>
      </c>
      <c r="Q17" s="16" t="e">
        <f t="shared" ca="1" si="3"/>
        <v>#N/A</v>
      </c>
      <c r="R17" s="16" t="e">
        <f t="shared" ca="1" si="3"/>
        <v>#N/A</v>
      </c>
      <c r="S17" s="16" t="e">
        <f t="shared" ca="1" si="3"/>
        <v>#N/A</v>
      </c>
      <c r="T17" s="16" t="e">
        <f t="shared" ca="1" si="3"/>
        <v>#N/A</v>
      </c>
      <c r="U17" s="16" t="e">
        <f t="shared" ca="1" si="3"/>
        <v>#N/A</v>
      </c>
      <c r="V17" s="16" t="e">
        <f t="shared" ca="1" si="3"/>
        <v>#N/A</v>
      </c>
      <c r="W17" s="16" t="e">
        <f t="shared" ca="1" si="3"/>
        <v>#N/A</v>
      </c>
      <c r="X17" s="16" t="e">
        <f t="shared" ca="1" si="3"/>
        <v>#N/A</v>
      </c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</row>
    <row r="18" spans="1:58" ht="15.75" customHeight="1" x14ac:dyDescent="0.25">
      <c r="B18" s="14"/>
      <c r="C18" s="15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</row>
    <row r="19" spans="1:58" x14ac:dyDescent="0.3">
      <c r="A19" s="7" t="s">
        <v>31</v>
      </c>
      <c r="B19" s="20"/>
      <c r="C19" s="21" t="str">
        <f ca="1">IFERROR(__xludf.DUMMYFUNCTION("iferror(filter(D1:AP1,$D$17:$AP$17=1),"""")"),"C8300-2N2S-4T2X")</f>
        <v>C8300-2N2S-4T2X</v>
      </c>
      <c r="D19" s="22" t="str">
        <f ca="1">IFERROR(__xludf.DUMMYFUNCTION("""COMPUTED_VALUE"""),"C8500L-8S4X")</f>
        <v>C8500L-8S4X</v>
      </c>
      <c r="E19" s="22" t="str">
        <f ca="1">IFERROR(__xludf.DUMMYFUNCTION("""COMPUTED_VALUE"""),"C8500-12X")</f>
        <v>C8500-12X</v>
      </c>
      <c r="F19" s="22" t="str">
        <f ca="1">IFERROR(__xludf.DUMMYFUNCTION("""COMPUTED_VALUE"""),"C8500-12X4QC")</f>
        <v>C8500-12X4QC</v>
      </c>
      <c r="G19" s="22" t="str">
        <f ca="1">IFERROR(__xludf.DUMMYFUNCTION("""COMPUTED_VALUE"""),"C8500-20X6C")</f>
        <v>C8500-20X6C</v>
      </c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</row>
    <row r="20" spans="1:58" ht="15.75" customHeight="1" x14ac:dyDescent="0.25">
      <c r="A20" s="17" t="str">
        <f t="shared" ref="A20:A23" si="4">A2</f>
        <v>Throughput (Mbps)</v>
      </c>
      <c r="B20" s="14"/>
      <c r="C20" s="15">
        <f ca="1">IFERROR(__xludf.DUMMYFUNCTION("iferror(filter(D2:AP2,$D$17:$AP$17=1),"""")"),18800)</f>
        <v>18800</v>
      </c>
      <c r="D20" s="16">
        <f ca="1">IFERROR(__xludf.DUMMYFUNCTION("""COMPUTED_VALUE"""),19000)</f>
        <v>19000</v>
      </c>
      <c r="E20" s="16">
        <f ca="1">IFERROR(__xludf.DUMMYFUNCTION("""COMPUTED_VALUE"""),51000)</f>
        <v>51000</v>
      </c>
      <c r="F20" s="16">
        <f ca="1">IFERROR(__xludf.DUMMYFUNCTION("""COMPUTED_VALUE"""),96000)</f>
        <v>96000</v>
      </c>
      <c r="G20" s="16">
        <f ca="1">IFERROR(__xludf.DUMMYFUNCTION("""COMPUTED_VALUE"""),350000)</f>
        <v>350000</v>
      </c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</row>
    <row r="21" spans="1:58" ht="15.75" customHeight="1" x14ac:dyDescent="0.25">
      <c r="A21" s="17" t="str">
        <f t="shared" si="4"/>
        <v>Số lượng cổng WAN 1GE</v>
      </c>
      <c r="B21" s="14"/>
      <c r="C21" s="15">
        <f ca="1">IFERROR(__xludf.DUMMYFUNCTION("iferror(filter(D3:AP3,$D$17:$AP$17=1),"""")"),4)</f>
        <v>4</v>
      </c>
      <c r="D21" s="16">
        <f ca="1">IFERROR(__xludf.DUMMYFUNCTION("""COMPUTED_VALUE"""),8)</f>
        <v>8</v>
      </c>
      <c r="E21" s="16">
        <f ca="1">IFERROR(__xludf.DUMMYFUNCTION("""COMPUTED_VALUE"""),12)</f>
        <v>12</v>
      </c>
      <c r="F21" s="16">
        <f ca="1">IFERROR(__xludf.DUMMYFUNCTION("""COMPUTED_VALUE"""),12)</f>
        <v>12</v>
      </c>
      <c r="G21" s="16">
        <f ca="1">IFERROR(__xludf.DUMMYFUNCTION("""COMPUTED_VALUE"""),20)</f>
        <v>20</v>
      </c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</row>
    <row r="22" spans="1:58" ht="12.5" x14ac:dyDescent="0.25">
      <c r="A22" s="17" t="str">
        <f t="shared" si="4"/>
        <v>Số lượng cổng WAN 10GE</v>
      </c>
      <c r="B22" s="14"/>
      <c r="C22" s="15">
        <f ca="1">IFERROR(__xludf.DUMMYFUNCTION("iferror(filter(D4:AP4,$D$17:$AP$17=1),"""")"),2)</f>
        <v>2</v>
      </c>
      <c r="D22" s="16">
        <f ca="1">IFERROR(__xludf.DUMMYFUNCTION("""COMPUTED_VALUE"""),4)</f>
        <v>4</v>
      </c>
      <c r="E22" s="16">
        <f ca="1">IFERROR(__xludf.DUMMYFUNCTION("""COMPUTED_VALUE"""),12)</f>
        <v>12</v>
      </c>
      <c r="F22" s="16">
        <f ca="1">IFERROR(__xludf.DUMMYFUNCTION("""COMPUTED_VALUE"""),12)</f>
        <v>12</v>
      </c>
      <c r="G22" s="16">
        <f ca="1">IFERROR(__xludf.DUMMYFUNCTION("""COMPUTED_VALUE"""),20)</f>
        <v>20</v>
      </c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</row>
    <row r="23" spans="1:58" ht="12.5" x14ac:dyDescent="0.25">
      <c r="A23" s="17" t="str">
        <f t="shared" si="4"/>
        <v>Số lượng cổng LAN 1GE</v>
      </c>
      <c r="B23" s="14"/>
      <c r="C23" s="15">
        <f ca="1">IFERROR(__xludf.DUMMYFUNCTION("iferror(filter(D5:AP5,$D$17:$AP$17=1),"""")"),16)</f>
        <v>16</v>
      </c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</row>
    <row r="24" spans="1:58" ht="12.5" x14ac:dyDescent="0.25">
      <c r="A24" s="17" t="s">
        <v>22</v>
      </c>
      <c r="B24" s="14"/>
      <c r="C24" s="15" t="str">
        <f ca="1">IFERROR(__xludf.DUMMYFUNCTION("iferror(filter(D11:AP11,$D$17:$AP$17=1),"""")"),"Mid Range")</f>
        <v>Mid Range</v>
      </c>
      <c r="D24" s="16" t="str">
        <f ca="1">IFERROR(__xludf.DUMMYFUNCTION("""COMPUTED_VALUE"""),"High End")</f>
        <v>High End</v>
      </c>
      <c r="E24" s="16" t="str">
        <f ca="1">IFERROR(__xludf.DUMMYFUNCTION("""COMPUTED_VALUE"""),"High End")</f>
        <v>High End</v>
      </c>
      <c r="F24" s="16" t="str">
        <f ca="1">IFERROR(__xludf.DUMMYFUNCTION("""COMPUTED_VALUE"""),"High End")</f>
        <v>High End</v>
      </c>
      <c r="G24" s="16" t="str">
        <f ca="1">IFERROR(__xludf.DUMMYFUNCTION("""COMPUTED_VALUE"""),"High End")</f>
        <v>High End</v>
      </c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</row>
    <row r="25" spans="1:58" ht="12.5" x14ac:dyDescent="0.25">
      <c r="B25" s="14"/>
      <c r="C25" s="15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</row>
    <row r="26" spans="1:58" ht="12.5" x14ac:dyDescent="0.25">
      <c r="B26" s="14"/>
      <c r="C26" s="15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  <row r="27" spans="1:58" ht="12.5" x14ac:dyDescent="0.25">
      <c r="B27" s="14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</row>
    <row r="28" spans="1:58" ht="12.5" x14ac:dyDescent="0.25">
      <c r="B28" s="14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</row>
    <row r="29" spans="1:58" ht="12.5" x14ac:dyDescent="0.25"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</row>
    <row r="30" spans="1:58" ht="12.5" x14ac:dyDescent="0.25"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</row>
    <row r="31" spans="1:58" ht="12.5" x14ac:dyDescent="0.25"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</row>
    <row r="32" spans="1:58" ht="12.5" x14ac:dyDescent="0.25"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</row>
    <row r="33" spans="2:42" ht="12.5" x14ac:dyDescent="0.25"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</row>
    <row r="34" spans="2:42" ht="12.5" x14ac:dyDescent="0.25"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</row>
    <row r="35" spans="2:42" ht="12.5" x14ac:dyDescent="0.25"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</row>
    <row r="36" spans="2:42" ht="12.5" x14ac:dyDescent="0.25"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</row>
    <row r="37" spans="2:42" ht="12.5" x14ac:dyDescent="0.25"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</row>
    <row r="38" spans="2:42" ht="12.5" x14ac:dyDescent="0.25"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</row>
    <row r="39" spans="2:42" ht="12.5" x14ac:dyDescent="0.25"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</row>
    <row r="40" spans="2:42" ht="12.5" x14ac:dyDescent="0.25"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</row>
    <row r="41" spans="2:42" ht="12.5" x14ac:dyDescent="0.25"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</row>
    <row r="42" spans="2:42" ht="12.5" x14ac:dyDescent="0.25"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</row>
    <row r="43" spans="2:42" ht="12.5" x14ac:dyDescent="0.25"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</row>
    <row r="44" spans="2:42" ht="12.5" x14ac:dyDescent="0.25"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</row>
    <row r="45" spans="2:42" ht="12.5" x14ac:dyDescent="0.25"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</row>
    <row r="46" spans="2:42" ht="12.5" x14ac:dyDescent="0.25"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</row>
    <row r="47" spans="2:42" ht="12.5" x14ac:dyDescent="0.25"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</row>
    <row r="48" spans="2:42" ht="12.5" x14ac:dyDescent="0.25"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</row>
    <row r="49" spans="2:42" ht="12.5" x14ac:dyDescent="0.25"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</row>
    <row r="50" spans="2:42" ht="12.5" x14ac:dyDescent="0.25"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</row>
    <row r="51" spans="2:42" ht="12.5" x14ac:dyDescent="0.25"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</row>
    <row r="52" spans="2:42" ht="12.5" x14ac:dyDescent="0.25"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</row>
    <row r="53" spans="2:42" ht="12.5" x14ac:dyDescent="0.25"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</row>
    <row r="54" spans="2:42" ht="12.5" x14ac:dyDescent="0.25"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</row>
    <row r="55" spans="2:42" ht="12.5" x14ac:dyDescent="0.25"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</row>
    <row r="56" spans="2:42" ht="12.5" x14ac:dyDescent="0.25"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</row>
    <row r="57" spans="2:42" ht="12.5" x14ac:dyDescent="0.25"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</row>
    <row r="58" spans="2:42" ht="12.5" x14ac:dyDescent="0.25"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</row>
    <row r="59" spans="2:42" ht="12.5" x14ac:dyDescent="0.25"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</row>
    <row r="60" spans="2:42" ht="12.5" x14ac:dyDescent="0.25"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</row>
    <row r="61" spans="2:42" ht="12.5" x14ac:dyDescent="0.25">
      <c r="B61" s="14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</row>
    <row r="62" spans="2:42" ht="12.5" x14ac:dyDescent="0.25">
      <c r="B62" s="14"/>
      <c r="C62" s="15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</row>
    <row r="63" spans="2:42" ht="12.5" x14ac:dyDescent="0.25">
      <c r="B63" s="14"/>
      <c r="C63" s="15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</row>
    <row r="64" spans="2:42" ht="12.5" x14ac:dyDescent="0.25">
      <c r="B64" s="14"/>
      <c r="C64" s="15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</row>
    <row r="65" spans="2:42" ht="12.5" x14ac:dyDescent="0.25">
      <c r="B65" s="14"/>
      <c r="C65" s="15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</row>
    <row r="66" spans="2:42" ht="12.5" x14ac:dyDescent="0.25">
      <c r="B66" s="14"/>
      <c r="C66" s="15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</row>
    <row r="67" spans="2:42" ht="12.5" x14ac:dyDescent="0.25">
      <c r="B67" s="14"/>
      <c r="C67" s="15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</row>
    <row r="68" spans="2:42" ht="12.5" x14ac:dyDescent="0.25">
      <c r="B68" s="14"/>
      <c r="C68" s="15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</row>
    <row r="69" spans="2:42" ht="12.5" x14ac:dyDescent="0.25">
      <c r="B69" s="14"/>
      <c r="C69" s="15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</row>
    <row r="70" spans="2:42" ht="12.5" x14ac:dyDescent="0.25">
      <c r="B70" s="14"/>
      <c r="C70" s="15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</row>
    <row r="71" spans="2:42" ht="12.5" x14ac:dyDescent="0.25">
      <c r="B71" s="14"/>
      <c r="C71" s="15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</row>
    <row r="72" spans="2:42" ht="12.5" x14ac:dyDescent="0.25">
      <c r="B72" s="14"/>
      <c r="C72" s="15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</row>
    <row r="73" spans="2:42" ht="12.5" x14ac:dyDescent="0.25">
      <c r="B73" s="14"/>
      <c r="C73" s="15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</row>
    <row r="74" spans="2:42" ht="12.5" x14ac:dyDescent="0.25">
      <c r="B74" s="14"/>
      <c r="C74" s="15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</row>
    <row r="75" spans="2:42" ht="12.5" x14ac:dyDescent="0.25">
      <c r="B75" s="14"/>
      <c r="C75" s="15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</row>
    <row r="76" spans="2:42" ht="12.5" x14ac:dyDescent="0.25">
      <c r="B76" s="14"/>
      <c r="C76" s="15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</row>
    <row r="77" spans="2:42" ht="12.5" x14ac:dyDescent="0.25">
      <c r="B77" s="14"/>
      <c r="C77" s="15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</row>
    <row r="78" spans="2:42" ht="12.5" x14ac:dyDescent="0.25">
      <c r="B78" s="14"/>
      <c r="C78" s="15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</row>
    <row r="79" spans="2:42" ht="12.5" x14ac:dyDescent="0.25">
      <c r="B79" s="14"/>
      <c r="C79" s="15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</row>
    <row r="80" spans="2:42" ht="12.5" x14ac:dyDescent="0.25">
      <c r="B80" s="14"/>
      <c r="C80" s="15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</row>
    <row r="81" spans="2:42" ht="12.5" x14ac:dyDescent="0.25">
      <c r="B81" s="14"/>
      <c r="C81" s="15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</row>
    <row r="82" spans="2:42" ht="12.5" x14ac:dyDescent="0.25">
      <c r="B82" s="14"/>
      <c r="C82" s="15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</row>
    <row r="83" spans="2:42" ht="12.5" x14ac:dyDescent="0.25">
      <c r="B83" s="14"/>
      <c r="C83" s="15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</row>
    <row r="84" spans="2:42" ht="12.5" x14ac:dyDescent="0.25">
      <c r="B84" s="14"/>
      <c r="C84" s="15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</row>
    <row r="85" spans="2:42" ht="12.5" x14ac:dyDescent="0.25">
      <c r="B85" s="14"/>
      <c r="C85" s="15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</row>
    <row r="86" spans="2:42" ht="12.5" x14ac:dyDescent="0.25">
      <c r="B86" s="14"/>
      <c r="C86" s="15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</row>
    <row r="87" spans="2:42" ht="12.5" x14ac:dyDescent="0.25">
      <c r="B87" s="14"/>
      <c r="C87" s="15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</row>
    <row r="88" spans="2:42" ht="12.5" x14ac:dyDescent="0.25">
      <c r="B88" s="14"/>
      <c r="C88" s="15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</row>
    <row r="89" spans="2:42" ht="12.5" x14ac:dyDescent="0.25">
      <c r="B89" s="14"/>
      <c r="C89" s="15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</row>
    <row r="90" spans="2:42" ht="12.5" x14ac:dyDescent="0.25">
      <c r="B90" s="14"/>
      <c r="C90" s="15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</row>
    <row r="91" spans="2:42" ht="12.5" x14ac:dyDescent="0.25">
      <c r="B91" s="14"/>
      <c r="C91" s="15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</row>
    <row r="92" spans="2:42" ht="12.5" x14ac:dyDescent="0.25">
      <c r="B92" s="14"/>
      <c r="C92" s="15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</row>
    <row r="93" spans="2:42" ht="12.5" x14ac:dyDescent="0.25">
      <c r="B93" s="14"/>
      <c r="C93" s="15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</row>
    <row r="94" spans="2:42" ht="12.5" x14ac:dyDescent="0.25">
      <c r="B94" s="14"/>
      <c r="C94" s="15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</row>
    <row r="95" spans="2:42" ht="12.5" x14ac:dyDescent="0.25">
      <c r="B95" s="14"/>
      <c r="C95" s="15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</row>
    <row r="96" spans="2:42" ht="12.5" x14ac:dyDescent="0.25">
      <c r="B96" s="14"/>
      <c r="C96" s="15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</row>
    <row r="97" spans="2:42" ht="12.5" x14ac:dyDescent="0.25">
      <c r="B97" s="14"/>
      <c r="C97" s="15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</row>
    <row r="98" spans="2:42" ht="12.5" x14ac:dyDescent="0.25">
      <c r="B98" s="14"/>
      <c r="C98" s="15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</row>
    <row r="99" spans="2:42" ht="12.5" x14ac:dyDescent="0.25">
      <c r="B99" s="14"/>
      <c r="C99" s="15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</row>
    <row r="100" spans="2:42" ht="12.5" x14ac:dyDescent="0.25">
      <c r="B100" s="14"/>
      <c r="C100" s="15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</row>
    <row r="101" spans="2:42" ht="12.5" x14ac:dyDescent="0.25">
      <c r="B101" s="14"/>
      <c r="C101" s="15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</row>
    <row r="102" spans="2:42" ht="12.5" x14ac:dyDescent="0.25">
      <c r="B102" s="14"/>
      <c r="C102" s="15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</row>
    <row r="103" spans="2:42" ht="12.5" x14ac:dyDescent="0.25">
      <c r="B103" s="14"/>
      <c r="C103" s="15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</row>
    <row r="104" spans="2:42" ht="12.5" x14ac:dyDescent="0.25">
      <c r="B104" s="14"/>
      <c r="C104" s="15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</row>
    <row r="105" spans="2:42" ht="12.5" x14ac:dyDescent="0.25">
      <c r="B105" s="14"/>
      <c r="C105" s="15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</row>
    <row r="106" spans="2:42" ht="12.5" x14ac:dyDescent="0.25">
      <c r="B106" s="14"/>
      <c r="C106" s="15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</row>
    <row r="107" spans="2:42" ht="12.5" x14ac:dyDescent="0.25">
      <c r="B107" s="14"/>
      <c r="C107" s="15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</row>
    <row r="108" spans="2:42" ht="12.5" x14ac:dyDescent="0.25">
      <c r="B108" s="14"/>
      <c r="C108" s="15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</row>
    <row r="109" spans="2:42" ht="12.5" x14ac:dyDescent="0.25">
      <c r="B109" s="14"/>
      <c r="C109" s="15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</row>
    <row r="110" spans="2:42" ht="12.5" x14ac:dyDescent="0.25">
      <c r="B110" s="14"/>
      <c r="C110" s="15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</row>
    <row r="111" spans="2:42" ht="12.5" x14ac:dyDescent="0.25">
      <c r="B111" s="14"/>
      <c r="C111" s="15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</row>
    <row r="112" spans="2:42" ht="12.5" x14ac:dyDescent="0.25">
      <c r="B112" s="14"/>
      <c r="C112" s="15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</row>
    <row r="113" spans="2:42" ht="12.5" x14ac:dyDescent="0.25">
      <c r="B113" s="14"/>
      <c r="C113" s="15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</row>
    <row r="114" spans="2:42" ht="12.5" x14ac:dyDescent="0.25">
      <c r="B114" s="14"/>
      <c r="C114" s="15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</row>
    <row r="115" spans="2:42" ht="12.5" x14ac:dyDescent="0.25">
      <c r="B115" s="14"/>
      <c r="C115" s="15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</row>
    <row r="116" spans="2:42" ht="12.5" x14ac:dyDescent="0.25">
      <c r="B116" s="14"/>
      <c r="C116" s="15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</row>
    <row r="117" spans="2:42" ht="12.5" x14ac:dyDescent="0.25">
      <c r="B117" s="14"/>
      <c r="C117" s="15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</row>
    <row r="118" spans="2:42" ht="12.5" x14ac:dyDescent="0.25">
      <c r="B118" s="14"/>
      <c r="C118" s="15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</row>
    <row r="119" spans="2:42" ht="12.5" x14ac:dyDescent="0.25">
      <c r="B119" s="14"/>
      <c r="C119" s="15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</row>
    <row r="120" spans="2:42" ht="12.5" x14ac:dyDescent="0.25">
      <c r="B120" s="14"/>
      <c r="C120" s="15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</row>
    <row r="121" spans="2:42" ht="12.5" x14ac:dyDescent="0.25">
      <c r="B121" s="14"/>
      <c r="C121" s="15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</row>
    <row r="122" spans="2:42" ht="12.5" x14ac:dyDescent="0.25">
      <c r="B122" s="14"/>
      <c r="C122" s="15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</row>
    <row r="123" spans="2:42" ht="12.5" x14ac:dyDescent="0.25">
      <c r="B123" s="14"/>
      <c r="C123" s="15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</row>
    <row r="124" spans="2:42" ht="12.5" x14ac:dyDescent="0.25">
      <c r="B124" s="14"/>
      <c r="C124" s="15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</row>
    <row r="125" spans="2:42" ht="12.5" x14ac:dyDescent="0.25">
      <c r="B125" s="14"/>
      <c r="C125" s="15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</row>
    <row r="126" spans="2:42" ht="12.5" x14ac:dyDescent="0.25">
      <c r="B126" s="14"/>
      <c r="C126" s="15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</row>
    <row r="127" spans="2:42" ht="12.5" x14ac:dyDescent="0.25">
      <c r="B127" s="14"/>
      <c r="C127" s="15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</row>
    <row r="128" spans="2:42" ht="12.5" x14ac:dyDescent="0.25">
      <c r="B128" s="14"/>
      <c r="C128" s="15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</row>
    <row r="129" spans="2:42" ht="12.5" x14ac:dyDescent="0.25">
      <c r="B129" s="14"/>
      <c r="C129" s="15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</row>
    <row r="130" spans="2:42" ht="12.5" x14ac:dyDescent="0.25">
      <c r="B130" s="14"/>
      <c r="C130" s="15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</row>
    <row r="131" spans="2:42" ht="12.5" x14ac:dyDescent="0.25">
      <c r="B131" s="14"/>
      <c r="C131" s="15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</row>
    <row r="132" spans="2:42" ht="12.5" x14ac:dyDescent="0.25">
      <c r="B132" s="14"/>
      <c r="C132" s="15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</row>
    <row r="133" spans="2:42" ht="12.5" x14ac:dyDescent="0.25">
      <c r="B133" s="14"/>
      <c r="C133" s="15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</row>
    <row r="134" spans="2:42" ht="12.5" x14ac:dyDescent="0.25">
      <c r="B134" s="14"/>
      <c r="C134" s="15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</row>
    <row r="135" spans="2:42" ht="12.5" x14ac:dyDescent="0.25">
      <c r="B135" s="14"/>
      <c r="C135" s="15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</row>
    <row r="136" spans="2:42" ht="12.5" x14ac:dyDescent="0.25">
      <c r="B136" s="14"/>
      <c r="C136" s="15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</row>
    <row r="137" spans="2:42" ht="12.5" x14ac:dyDescent="0.25">
      <c r="B137" s="14"/>
      <c r="C137" s="15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</row>
    <row r="138" spans="2:42" ht="12.5" x14ac:dyDescent="0.25">
      <c r="B138" s="14"/>
      <c r="C138" s="15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</row>
    <row r="139" spans="2:42" ht="12.5" x14ac:dyDescent="0.25">
      <c r="B139" s="14"/>
      <c r="C139" s="15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</row>
    <row r="140" spans="2:42" ht="12.5" x14ac:dyDescent="0.25">
      <c r="B140" s="14"/>
      <c r="C140" s="15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</row>
    <row r="141" spans="2:42" ht="12.5" x14ac:dyDescent="0.25">
      <c r="B141" s="14"/>
      <c r="C141" s="15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</row>
    <row r="142" spans="2:42" ht="12.5" x14ac:dyDescent="0.25">
      <c r="B142" s="14"/>
      <c r="C142" s="15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</row>
    <row r="143" spans="2:42" ht="12.5" x14ac:dyDescent="0.25">
      <c r="B143" s="14"/>
      <c r="C143" s="15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</row>
    <row r="144" spans="2:42" ht="12.5" x14ac:dyDescent="0.25">
      <c r="B144" s="14"/>
      <c r="C144" s="15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</row>
    <row r="145" spans="2:42" ht="12.5" x14ac:dyDescent="0.25">
      <c r="B145" s="14"/>
      <c r="C145" s="15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</row>
    <row r="146" spans="2:42" ht="12.5" x14ac:dyDescent="0.25">
      <c r="B146" s="14"/>
      <c r="C146" s="15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</row>
    <row r="147" spans="2:42" ht="12.5" x14ac:dyDescent="0.25">
      <c r="B147" s="14"/>
      <c r="C147" s="15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</row>
    <row r="148" spans="2:42" ht="12.5" x14ac:dyDescent="0.25">
      <c r="B148" s="14"/>
      <c r="C148" s="15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</row>
    <row r="149" spans="2:42" ht="12.5" x14ac:dyDescent="0.25">
      <c r="B149" s="14"/>
      <c r="C149" s="15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</row>
    <row r="150" spans="2:42" ht="12.5" x14ac:dyDescent="0.25">
      <c r="B150" s="14"/>
      <c r="C150" s="15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</row>
    <row r="151" spans="2:42" ht="12.5" x14ac:dyDescent="0.25">
      <c r="B151" s="14"/>
      <c r="C151" s="15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</row>
    <row r="152" spans="2:42" ht="12.5" x14ac:dyDescent="0.25">
      <c r="B152" s="14"/>
      <c r="C152" s="15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</row>
    <row r="153" spans="2:42" ht="12.5" x14ac:dyDescent="0.25">
      <c r="B153" s="14"/>
      <c r="C153" s="15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</row>
    <row r="154" spans="2:42" ht="12.5" x14ac:dyDescent="0.25">
      <c r="B154" s="14"/>
      <c r="C154" s="15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</row>
    <row r="155" spans="2:42" ht="12.5" x14ac:dyDescent="0.25">
      <c r="B155" s="14"/>
      <c r="C155" s="15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</row>
    <row r="156" spans="2:42" ht="12.5" x14ac:dyDescent="0.25">
      <c r="B156" s="14"/>
      <c r="C156" s="15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</row>
    <row r="157" spans="2:42" ht="12.5" x14ac:dyDescent="0.25">
      <c r="B157" s="14"/>
      <c r="C157" s="15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</row>
    <row r="158" spans="2:42" ht="12.5" x14ac:dyDescent="0.25">
      <c r="B158" s="14"/>
      <c r="C158" s="15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</row>
    <row r="159" spans="2:42" ht="12.5" x14ac:dyDescent="0.25">
      <c r="B159" s="14"/>
      <c r="C159" s="15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</row>
    <row r="160" spans="2:42" ht="12.5" x14ac:dyDescent="0.25">
      <c r="B160" s="14"/>
      <c r="C160" s="15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</row>
    <row r="161" spans="2:42" ht="12.5" x14ac:dyDescent="0.25">
      <c r="B161" s="14"/>
      <c r="C161" s="15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</row>
    <row r="162" spans="2:42" ht="12.5" x14ac:dyDescent="0.25">
      <c r="B162" s="14"/>
      <c r="C162" s="15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</row>
    <row r="163" spans="2:42" ht="12.5" x14ac:dyDescent="0.25">
      <c r="B163" s="14"/>
      <c r="C163" s="15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</row>
    <row r="164" spans="2:42" ht="12.5" x14ac:dyDescent="0.25">
      <c r="B164" s="14"/>
      <c r="C164" s="15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</row>
    <row r="165" spans="2:42" ht="12.5" x14ac:dyDescent="0.25">
      <c r="B165" s="14"/>
      <c r="C165" s="15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</row>
    <row r="166" spans="2:42" ht="12.5" x14ac:dyDescent="0.25">
      <c r="B166" s="14"/>
      <c r="C166" s="15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</row>
    <row r="167" spans="2:42" ht="12.5" x14ac:dyDescent="0.25">
      <c r="B167" s="14"/>
      <c r="C167" s="15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</row>
    <row r="168" spans="2:42" ht="12.5" x14ac:dyDescent="0.25">
      <c r="B168" s="14"/>
      <c r="C168" s="15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</row>
    <row r="169" spans="2:42" ht="12.5" x14ac:dyDescent="0.25">
      <c r="B169" s="14"/>
      <c r="C169" s="15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</row>
    <row r="170" spans="2:42" ht="12.5" x14ac:dyDescent="0.25">
      <c r="B170" s="14"/>
      <c r="C170" s="15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</row>
    <row r="171" spans="2:42" ht="12.5" x14ac:dyDescent="0.25">
      <c r="B171" s="14"/>
      <c r="C171" s="15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</row>
    <row r="172" spans="2:42" ht="12.5" x14ac:dyDescent="0.25">
      <c r="B172" s="14"/>
      <c r="C172" s="15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</row>
    <row r="173" spans="2:42" ht="12.5" x14ac:dyDescent="0.25">
      <c r="B173" s="14"/>
      <c r="C173" s="15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</row>
    <row r="174" spans="2:42" ht="12.5" x14ac:dyDescent="0.25">
      <c r="B174" s="14"/>
      <c r="C174" s="15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</row>
    <row r="175" spans="2:42" ht="12.5" x14ac:dyDescent="0.25">
      <c r="B175" s="14"/>
      <c r="C175" s="15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</row>
    <row r="176" spans="2:42" ht="12.5" x14ac:dyDescent="0.25">
      <c r="B176" s="14"/>
      <c r="C176" s="15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</row>
    <row r="177" spans="2:42" ht="12.5" x14ac:dyDescent="0.25">
      <c r="B177" s="14"/>
      <c r="C177" s="15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</row>
    <row r="178" spans="2:42" ht="12.5" x14ac:dyDescent="0.25">
      <c r="B178" s="14"/>
      <c r="C178" s="15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</row>
    <row r="179" spans="2:42" ht="12.5" x14ac:dyDescent="0.25">
      <c r="B179" s="14"/>
      <c r="C179" s="15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</row>
    <row r="180" spans="2:42" ht="12.5" x14ac:dyDescent="0.25">
      <c r="B180" s="14"/>
      <c r="C180" s="15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</row>
    <row r="181" spans="2:42" ht="12.5" x14ac:dyDescent="0.25">
      <c r="B181" s="14"/>
      <c r="C181" s="15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</row>
    <row r="182" spans="2:42" ht="12.5" x14ac:dyDescent="0.25">
      <c r="B182" s="14"/>
      <c r="C182" s="15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</row>
    <row r="183" spans="2:42" ht="12.5" x14ac:dyDescent="0.25">
      <c r="B183" s="14"/>
      <c r="C183" s="15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</row>
    <row r="184" spans="2:42" ht="12.5" x14ac:dyDescent="0.25">
      <c r="B184" s="14"/>
      <c r="C184" s="15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</row>
    <row r="185" spans="2:42" ht="12.5" x14ac:dyDescent="0.25">
      <c r="B185" s="14"/>
      <c r="C185" s="15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</row>
    <row r="186" spans="2:42" ht="12.5" x14ac:dyDescent="0.25">
      <c r="B186" s="14"/>
      <c r="C186" s="15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</row>
    <row r="187" spans="2:42" ht="12.5" x14ac:dyDescent="0.25">
      <c r="B187" s="14"/>
      <c r="C187" s="15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</row>
    <row r="188" spans="2:42" ht="12.5" x14ac:dyDescent="0.25">
      <c r="B188" s="14"/>
      <c r="C188" s="15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</row>
    <row r="189" spans="2:42" ht="12.5" x14ac:dyDescent="0.25">
      <c r="B189" s="14"/>
      <c r="C189" s="15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</row>
    <row r="190" spans="2:42" ht="12.5" x14ac:dyDescent="0.25">
      <c r="B190" s="14"/>
      <c r="C190" s="15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</row>
    <row r="191" spans="2:42" ht="12.5" x14ac:dyDescent="0.25">
      <c r="B191" s="14"/>
      <c r="C191" s="15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</row>
    <row r="192" spans="2:42" ht="12.5" x14ac:dyDescent="0.25">
      <c r="B192" s="14"/>
      <c r="C192" s="15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</row>
    <row r="193" spans="2:42" ht="12.5" x14ac:dyDescent="0.25">
      <c r="B193" s="14"/>
      <c r="C193" s="15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</row>
    <row r="194" spans="2:42" ht="12.5" x14ac:dyDescent="0.25">
      <c r="B194" s="14"/>
      <c r="C194" s="15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</row>
    <row r="195" spans="2:42" ht="12.5" x14ac:dyDescent="0.25">
      <c r="B195" s="14"/>
      <c r="C195" s="15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</row>
    <row r="196" spans="2:42" ht="12.5" x14ac:dyDescent="0.25">
      <c r="B196" s="14"/>
      <c r="C196" s="15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</row>
    <row r="197" spans="2:42" ht="12.5" x14ac:dyDescent="0.25">
      <c r="B197" s="14"/>
      <c r="C197" s="15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</row>
    <row r="198" spans="2:42" ht="12.5" x14ac:dyDescent="0.25">
      <c r="B198" s="14"/>
      <c r="C198" s="15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</row>
    <row r="199" spans="2:42" ht="12.5" x14ac:dyDescent="0.25">
      <c r="B199" s="14"/>
      <c r="C199" s="15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</row>
    <row r="200" spans="2:42" ht="12.5" x14ac:dyDescent="0.25">
      <c r="B200" s="14"/>
      <c r="C200" s="15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</row>
    <row r="201" spans="2:42" ht="12.5" x14ac:dyDescent="0.25">
      <c r="B201" s="14"/>
      <c r="C201" s="15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</row>
    <row r="202" spans="2:42" ht="12.5" x14ac:dyDescent="0.25">
      <c r="B202" s="14"/>
      <c r="C202" s="15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</row>
    <row r="203" spans="2:42" ht="12.5" x14ac:dyDescent="0.25">
      <c r="B203" s="14"/>
      <c r="C203" s="15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</row>
    <row r="204" spans="2:42" ht="12.5" x14ac:dyDescent="0.25">
      <c r="B204" s="14"/>
      <c r="C204" s="15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</row>
    <row r="205" spans="2:42" ht="12.5" x14ac:dyDescent="0.25">
      <c r="B205" s="14"/>
      <c r="C205" s="15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</row>
    <row r="206" spans="2:42" ht="12.5" x14ac:dyDescent="0.25">
      <c r="B206" s="14"/>
      <c r="C206" s="15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</row>
    <row r="207" spans="2:42" ht="12.5" x14ac:dyDescent="0.25">
      <c r="B207" s="14"/>
      <c r="C207" s="15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</row>
    <row r="208" spans="2:42" ht="12.5" x14ac:dyDescent="0.25">
      <c r="B208" s="14"/>
      <c r="C208" s="15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</row>
    <row r="209" spans="2:42" ht="12.5" x14ac:dyDescent="0.25">
      <c r="B209" s="14"/>
      <c r="C209" s="15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</row>
    <row r="210" spans="2:42" ht="12.5" x14ac:dyDescent="0.25">
      <c r="B210" s="14"/>
      <c r="C210" s="15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</row>
    <row r="211" spans="2:42" ht="12.5" x14ac:dyDescent="0.25">
      <c r="B211" s="14"/>
      <c r="C211" s="15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</row>
    <row r="212" spans="2:42" ht="12.5" x14ac:dyDescent="0.25">
      <c r="B212" s="14"/>
      <c r="C212" s="15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</row>
    <row r="213" spans="2:42" ht="12.5" x14ac:dyDescent="0.25">
      <c r="B213" s="14"/>
      <c r="C213" s="15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</row>
    <row r="214" spans="2:42" ht="12.5" x14ac:dyDescent="0.25">
      <c r="B214" s="14"/>
      <c r="C214" s="15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</row>
    <row r="215" spans="2:42" ht="12.5" x14ac:dyDescent="0.25">
      <c r="B215" s="14"/>
      <c r="C215" s="15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</row>
    <row r="216" spans="2:42" ht="12.5" x14ac:dyDescent="0.25">
      <c r="B216" s="14"/>
      <c r="C216" s="15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</row>
    <row r="217" spans="2:42" ht="12.5" x14ac:dyDescent="0.25">
      <c r="B217" s="14"/>
      <c r="C217" s="15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</row>
    <row r="218" spans="2:42" ht="12.5" x14ac:dyDescent="0.25">
      <c r="B218" s="14"/>
      <c r="C218" s="15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</row>
    <row r="219" spans="2:42" ht="12.5" x14ac:dyDescent="0.25">
      <c r="B219" s="14"/>
      <c r="C219" s="15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</row>
    <row r="220" spans="2:42" ht="12.5" x14ac:dyDescent="0.25">
      <c r="B220" s="14"/>
      <c r="C220" s="15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</row>
    <row r="221" spans="2:42" ht="12.5" x14ac:dyDescent="0.25">
      <c r="B221" s="14"/>
      <c r="C221" s="15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</row>
    <row r="222" spans="2:42" ht="12.5" x14ac:dyDescent="0.25">
      <c r="B222" s="14"/>
      <c r="C222" s="15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</row>
    <row r="223" spans="2:42" ht="12.5" x14ac:dyDescent="0.25">
      <c r="B223" s="14"/>
      <c r="C223" s="15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</row>
    <row r="224" spans="2:42" ht="12.5" x14ac:dyDescent="0.25">
      <c r="B224" s="14"/>
      <c r="C224" s="15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</row>
    <row r="225" spans="2:42" ht="12.5" x14ac:dyDescent="0.25">
      <c r="B225" s="14"/>
      <c r="C225" s="15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</row>
    <row r="226" spans="2:42" ht="12.5" x14ac:dyDescent="0.25">
      <c r="B226" s="14"/>
      <c r="C226" s="15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</row>
    <row r="227" spans="2:42" ht="12.5" x14ac:dyDescent="0.25">
      <c r="B227" s="14"/>
      <c r="C227" s="15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</row>
    <row r="228" spans="2:42" ht="12.5" x14ac:dyDescent="0.25">
      <c r="B228" s="14"/>
      <c r="C228" s="15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</row>
    <row r="229" spans="2:42" ht="12.5" x14ac:dyDescent="0.25">
      <c r="B229" s="14"/>
      <c r="C229" s="15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</row>
    <row r="230" spans="2:42" ht="12.5" x14ac:dyDescent="0.25">
      <c r="B230" s="14"/>
      <c r="C230" s="15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</row>
    <row r="231" spans="2:42" ht="12.5" x14ac:dyDescent="0.25">
      <c r="B231" s="14"/>
      <c r="C231" s="15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</row>
    <row r="232" spans="2:42" ht="12.5" x14ac:dyDescent="0.25">
      <c r="B232" s="14"/>
      <c r="C232" s="15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</row>
    <row r="233" spans="2:42" ht="12.5" x14ac:dyDescent="0.25">
      <c r="B233" s="14"/>
      <c r="C233" s="15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</row>
    <row r="234" spans="2:42" ht="12.5" x14ac:dyDescent="0.25">
      <c r="B234" s="14"/>
      <c r="C234" s="15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</row>
    <row r="235" spans="2:42" ht="12.5" x14ac:dyDescent="0.25">
      <c r="B235" s="14"/>
      <c r="C235" s="15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</row>
    <row r="236" spans="2:42" ht="12.5" x14ac:dyDescent="0.25">
      <c r="B236" s="14"/>
      <c r="C236" s="15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</row>
    <row r="237" spans="2:42" ht="12.5" x14ac:dyDescent="0.25">
      <c r="B237" s="14"/>
      <c r="C237" s="15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</row>
    <row r="238" spans="2:42" ht="12.5" x14ac:dyDescent="0.25">
      <c r="B238" s="14"/>
      <c r="C238" s="15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</row>
    <row r="239" spans="2:42" ht="12.5" x14ac:dyDescent="0.25">
      <c r="B239" s="14"/>
      <c r="C239" s="15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</row>
    <row r="240" spans="2:42" ht="12.5" x14ac:dyDescent="0.25">
      <c r="B240" s="14"/>
      <c r="C240" s="15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</row>
    <row r="241" spans="2:42" ht="12.5" x14ac:dyDescent="0.25">
      <c r="B241" s="14"/>
      <c r="C241" s="15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</row>
    <row r="242" spans="2:42" ht="12.5" x14ac:dyDescent="0.25">
      <c r="B242" s="14"/>
      <c r="C242" s="15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</row>
    <row r="243" spans="2:42" ht="12.5" x14ac:dyDescent="0.25">
      <c r="B243" s="14"/>
      <c r="C243" s="15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</row>
    <row r="244" spans="2:42" ht="12.5" x14ac:dyDescent="0.25">
      <c r="B244" s="14"/>
      <c r="C244" s="15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</row>
    <row r="245" spans="2:42" ht="12.5" x14ac:dyDescent="0.25">
      <c r="B245" s="14"/>
      <c r="C245" s="15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</row>
    <row r="246" spans="2:42" ht="12.5" x14ac:dyDescent="0.25">
      <c r="B246" s="14"/>
      <c r="C246" s="15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</row>
    <row r="247" spans="2:42" ht="12.5" x14ac:dyDescent="0.25">
      <c r="B247" s="14"/>
      <c r="C247" s="15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</row>
    <row r="248" spans="2:42" ht="12.5" x14ac:dyDescent="0.25">
      <c r="B248" s="14"/>
      <c r="C248" s="15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</row>
    <row r="249" spans="2:42" ht="12.5" x14ac:dyDescent="0.25">
      <c r="B249" s="14"/>
      <c r="C249" s="15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</row>
    <row r="250" spans="2:42" ht="12.5" x14ac:dyDescent="0.25">
      <c r="B250" s="14"/>
      <c r="C250" s="15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</row>
    <row r="251" spans="2:42" ht="12.5" x14ac:dyDescent="0.25">
      <c r="B251" s="14"/>
      <c r="C251" s="15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</row>
    <row r="252" spans="2:42" ht="12.5" x14ac:dyDescent="0.25">
      <c r="B252" s="14"/>
      <c r="C252" s="15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</row>
    <row r="253" spans="2:42" ht="12.5" x14ac:dyDescent="0.25">
      <c r="B253" s="14"/>
      <c r="C253" s="15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</row>
    <row r="254" spans="2:42" ht="12.5" x14ac:dyDescent="0.25">
      <c r="B254" s="14"/>
      <c r="C254" s="15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</row>
    <row r="255" spans="2:42" ht="12.5" x14ac:dyDescent="0.25">
      <c r="B255" s="14"/>
      <c r="C255" s="15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</row>
    <row r="256" spans="2:42" ht="12.5" x14ac:dyDescent="0.25">
      <c r="B256" s="14"/>
      <c r="C256" s="15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</row>
    <row r="257" spans="2:42" ht="12.5" x14ac:dyDescent="0.25">
      <c r="B257" s="14"/>
      <c r="C257" s="15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</row>
    <row r="258" spans="2:42" ht="12.5" x14ac:dyDescent="0.25">
      <c r="B258" s="14"/>
      <c r="C258" s="15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</row>
    <row r="259" spans="2:42" ht="12.5" x14ac:dyDescent="0.25">
      <c r="B259" s="14"/>
      <c r="C259" s="15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</row>
    <row r="260" spans="2:42" ht="12.5" x14ac:dyDescent="0.25">
      <c r="B260" s="14"/>
      <c r="C260" s="15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</row>
    <row r="261" spans="2:42" ht="12.5" x14ac:dyDescent="0.25">
      <c r="B261" s="14"/>
      <c r="C261" s="15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</row>
    <row r="262" spans="2:42" ht="12.5" x14ac:dyDescent="0.25">
      <c r="B262" s="14"/>
      <c r="C262" s="15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</row>
    <row r="263" spans="2:42" ht="12.5" x14ac:dyDescent="0.25">
      <c r="B263" s="14"/>
      <c r="C263" s="15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</row>
    <row r="264" spans="2:42" ht="12.5" x14ac:dyDescent="0.25">
      <c r="B264" s="14"/>
      <c r="C264" s="15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</row>
    <row r="265" spans="2:42" ht="12.5" x14ac:dyDescent="0.25">
      <c r="B265" s="14"/>
      <c r="C265" s="15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</row>
    <row r="266" spans="2:42" ht="12.5" x14ac:dyDescent="0.25">
      <c r="B266" s="14"/>
      <c r="C266" s="15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</row>
    <row r="267" spans="2:42" ht="12.5" x14ac:dyDescent="0.25">
      <c r="B267" s="14"/>
      <c r="C267" s="15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</row>
    <row r="268" spans="2:42" ht="12.5" x14ac:dyDescent="0.25">
      <c r="B268" s="14"/>
      <c r="C268" s="15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</row>
    <row r="269" spans="2:42" ht="12.5" x14ac:dyDescent="0.25">
      <c r="B269" s="14"/>
      <c r="C269" s="15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</row>
    <row r="270" spans="2:42" ht="12.5" x14ac:dyDescent="0.25">
      <c r="B270" s="14"/>
      <c r="C270" s="15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</row>
    <row r="271" spans="2:42" ht="12.5" x14ac:dyDescent="0.25">
      <c r="B271" s="14"/>
      <c r="C271" s="15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</row>
    <row r="272" spans="2:42" ht="12.5" x14ac:dyDescent="0.25">
      <c r="B272" s="14"/>
      <c r="C272" s="15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</row>
    <row r="273" spans="2:42" ht="12.5" x14ac:dyDescent="0.25">
      <c r="B273" s="14"/>
      <c r="C273" s="15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</row>
    <row r="274" spans="2:42" ht="12.5" x14ac:dyDescent="0.25">
      <c r="B274" s="14"/>
      <c r="C274" s="15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</row>
    <row r="275" spans="2:42" ht="12.5" x14ac:dyDescent="0.25">
      <c r="B275" s="14"/>
      <c r="C275" s="15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</row>
    <row r="276" spans="2:42" ht="12.5" x14ac:dyDescent="0.25">
      <c r="B276" s="14"/>
      <c r="C276" s="15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</row>
    <row r="277" spans="2:42" ht="12.5" x14ac:dyDescent="0.25">
      <c r="B277" s="14"/>
      <c r="C277" s="15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</row>
    <row r="278" spans="2:42" ht="12.5" x14ac:dyDescent="0.25">
      <c r="B278" s="14"/>
      <c r="C278" s="15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</row>
    <row r="279" spans="2:42" ht="12.5" x14ac:dyDescent="0.25">
      <c r="B279" s="14"/>
      <c r="C279" s="15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</row>
    <row r="280" spans="2:42" ht="12.5" x14ac:dyDescent="0.25">
      <c r="B280" s="14"/>
      <c r="C280" s="15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</row>
    <row r="281" spans="2:42" ht="12.5" x14ac:dyDescent="0.25">
      <c r="B281" s="14"/>
      <c r="C281" s="15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</row>
    <row r="282" spans="2:42" ht="12.5" x14ac:dyDescent="0.25">
      <c r="B282" s="14"/>
      <c r="C282" s="15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</row>
    <row r="283" spans="2:42" ht="12.5" x14ac:dyDescent="0.25">
      <c r="B283" s="14"/>
      <c r="C283" s="15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</row>
    <row r="284" spans="2:42" ht="12.5" x14ac:dyDescent="0.25">
      <c r="B284" s="14"/>
      <c r="C284" s="15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</row>
    <row r="285" spans="2:42" ht="12.5" x14ac:dyDescent="0.25">
      <c r="B285" s="14"/>
      <c r="C285" s="15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</row>
    <row r="286" spans="2:42" ht="12.5" x14ac:dyDescent="0.25">
      <c r="B286" s="14"/>
      <c r="C286" s="15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</row>
    <row r="287" spans="2:42" ht="12.5" x14ac:dyDescent="0.25">
      <c r="B287" s="14"/>
      <c r="C287" s="15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</row>
    <row r="288" spans="2:42" ht="12.5" x14ac:dyDescent="0.25">
      <c r="B288" s="14"/>
      <c r="C288" s="15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</row>
    <row r="289" spans="2:42" ht="12.5" x14ac:dyDescent="0.25">
      <c r="B289" s="14"/>
      <c r="C289" s="15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</row>
    <row r="290" spans="2:42" ht="12.5" x14ac:dyDescent="0.25">
      <c r="B290" s="14"/>
      <c r="C290" s="15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</row>
    <row r="291" spans="2:42" ht="12.5" x14ac:dyDescent="0.25">
      <c r="B291" s="14"/>
      <c r="C291" s="15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</row>
    <row r="292" spans="2:42" ht="12.5" x14ac:dyDescent="0.25">
      <c r="B292" s="14"/>
      <c r="C292" s="15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</row>
    <row r="293" spans="2:42" ht="12.5" x14ac:dyDescent="0.25">
      <c r="B293" s="14"/>
      <c r="C293" s="15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</row>
    <row r="294" spans="2:42" ht="12.5" x14ac:dyDescent="0.25">
      <c r="B294" s="14"/>
      <c r="C294" s="15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</row>
    <row r="295" spans="2:42" ht="12.5" x14ac:dyDescent="0.25">
      <c r="B295" s="14"/>
      <c r="C295" s="15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</row>
    <row r="296" spans="2:42" ht="12.5" x14ac:dyDescent="0.25">
      <c r="B296" s="14"/>
      <c r="C296" s="15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</row>
    <row r="297" spans="2:42" ht="12.5" x14ac:dyDescent="0.25">
      <c r="B297" s="14"/>
      <c r="C297" s="15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</row>
    <row r="298" spans="2:42" ht="12.5" x14ac:dyDescent="0.25">
      <c r="B298" s="14"/>
      <c r="C298" s="15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</row>
    <row r="299" spans="2:42" ht="12.5" x14ac:dyDescent="0.25">
      <c r="B299" s="14"/>
      <c r="C299" s="15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</row>
    <row r="300" spans="2:42" ht="12.5" x14ac:dyDescent="0.25">
      <c r="B300" s="14"/>
      <c r="C300" s="15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</row>
    <row r="301" spans="2:42" ht="12.5" x14ac:dyDescent="0.25">
      <c r="B301" s="14"/>
      <c r="C301" s="15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</row>
    <row r="302" spans="2:42" ht="12.5" x14ac:dyDescent="0.25">
      <c r="B302" s="14"/>
      <c r="C302" s="15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</row>
    <row r="303" spans="2:42" ht="12.5" x14ac:dyDescent="0.25">
      <c r="B303" s="14"/>
      <c r="C303" s="15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</row>
    <row r="304" spans="2:42" ht="12.5" x14ac:dyDescent="0.25">
      <c r="B304" s="14"/>
      <c r="C304" s="15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</row>
    <row r="305" spans="2:42" ht="12.5" x14ac:dyDescent="0.25">
      <c r="B305" s="14"/>
      <c r="C305" s="15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</row>
    <row r="306" spans="2:42" ht="12.5" x14ac:dyDescent="0.25">
      <c r="B306" s="14"/>
      <c r="C306" s="15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</row>
    <row r="307" spans="2:42" ht="12.5" x14ac:dyDescent="0.25">
      <c r="B307" s="14"/>
      <c r="C307" s="15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</row>
    <row r="308" spans="2:42" ht="12.5" x14ac:dyDescent="0.25">
      <c r="B308" s="14"/>
      <c r="C308" s="15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</row>
    <row r="309" spans="2:42" ht="12.5" x14ac:dyDescent="0.25">
      <c r="B309" s="14"/>
      <c r="C309" s="15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</row>
    <row r="310" spans="2:42" ht="12.5" x14ac:dyDescent="0.25">
      <c r="B310" s="14"/>
      <c r="C310" s="15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</row>
    <row r="311" spans="2:42" ht="12.5" x14ac:dyDescent="0.25">
      <c r="B311" s="14"/>
      <c r="C311" s="15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</row>
    <row r="312" spans="2:42" ht="12.5" x14ac:dyDescent="0.25">
      <c r="B312" s="14"/>
      <c r="C312" s="15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</row>
    <row r="313" spans="2:42" ht="12.5" x14ac:dyDescent="0.25">
      <c r="B313" s="14"/>
      <c r="C313" s="15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</row>
    <row r="314" spans="2:42" ht="12.5" x14ac:dyDescent="0.25">
      <c r="B314" s="14"/>
      <c r="C314" s="15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</row>
    <row r="315" spans="2:42" ht="12.5" x14ac:dyDescent="0.25">
      <c r="B315" s="14"/>
      <c r="C315" s="15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</row>
    <row r="316" spans="2:42" ht="12.5" x14ac:dyDescent="0.25">
      <c r="B316" s="14"/>
      <c r="C316" s="15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</row>
    <row r="317" spans="2:42" ht="12.5" x14ac:dyDescent="0.25">
      <c r="B317" s="14"/>
      <c r="C317" s="15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</row>
    <row r="318" spans="2:42" ht="12.5" x14ac:dyDescent="0.25">
      <c r="B318" s="14"/>
      <c r="C318" s="15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</row>
    <row r="319" spans="2:42" ht="12.5" x14ac:dyDescent="0.25">
      <c r="B319" s="14"/>
      <c r="C319" s="15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</row>
    <row r="320" spans="2:42" ht="12.5" x14ac:dyDescent="0.25">
      <c r="B320" s="14"/>
      <c r="C320" s="15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</row>
    <row r="321" spans="2:42" ht="12.5" x14ac:dyDescent="0.25">
      <c r="B321" s="14"/>
      <c r="C321" s="15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</row>
    <row r="322" spans="2:42" ht="12.5" x14ac:dyDescent="0.25">
      <c r="B322" s="14"/>
      <c r="C322" s="15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</row>
    <row r="323" spans="2:42" ht="12.5" x14ac:dyDescent="0.25">
      <c r="B323" s="14"/>
      <c r="C323" s="15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</row>
    <row r="324" spans="2:42" ht="12.5" x14ac:dyDescent="0.25">
      <c r="B324" s="14"/>
      <c r="C324" s="15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</row>
    <row r="325" spans="2:42" ht="12.5" x14ac:dyDescent="0.25">
      <c r="B325" s="14"/>
      <c r="C325" s="15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</row>
    <row r="326" spans="2:42" ht="12.5" x14ac:dyDescent="0.25">
      <c r="B326" s="14"/>
      <c r="C326" s="15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</row>
    <row r="327" spans="2:42" ht="12.5" x14ac:dyDescent="0.25">
      <c r="B327" s="14"/>
      <c r="C327" s="15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</row>
    <row r="328" spans="2:42" ht="12.5" x14ac:dyDescent="0.25">
      <c r="B328" s="14"/>
      <c r="C328" s="15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</row>
    <row r="329" spans="2:42" ht="12.5" x14ac:dyDescent="0.25">
      <c r="B329" s="14"/>
      <c r="C329" s="15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</row>
    <row r="330" spans="2:42" ht="12.5" x14ac:dyDescent="0.25">
      <c r="B330" s="14"/>
      <c r="C330" s="15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</row>
    <row r="331" spans="2:42" ht="12.5" x14ac:dyDescent="0.25">
      <c r="B331" s="14"/>
      <c r="C331" s="15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</row>
    <row r="332" spans="2:42" ht="12.5" x14ac:dyDescent="0.25">
      <c r="B332" s="14"/>
      <c r="C332" s="15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</row>
    <row r="333" spans="2:42" ht="12.5" x14ac:dyDescent="0.25">
      <c r="B333" s="14"/>
      <c r="C333" s="15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</row>
    <row r="334" spans="2:42" ht="12.5" x14ac:dyDescent="0.25">
      <c r="B334" s="14"/>
      <c r="C334" s="15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</row>
    <row r="335" spans="2:42" ht="12.5" x14ac:dyDescent="0.25">
      <c r="B335" s="14"/>
      <c r="C335" s="15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</row>
    <row r="336" spans="2:42" ht="12.5" x14ac:dyDescent="0.25">
      <c r="B336" s="14"/>
      <c r="C336" s="15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</row>
    <row r="337" spans="2:42" ht="12.5" x14ac:dyDescent="0.25">
      <c r="B337" s="14"/>
      <c r="C337" s="15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</row>
    <row r="338" spans="2:42" ht="12.5" x14ac:dyDescent="0.25">
      <c r="B338" s="14"/>
      <c r="C338" s="15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</row>
    <row r="339" spans="2:42" ht="12.5" x14ac:dyDescent="0.25">
      <c r="B339" s="14"/>
      <c r="C339" s="15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</row>
    <row r="340" spans="2:42" ht="12.5" x14ac:dyDescent="0.25">
      <c r="B340" s="14"/>
      <c r="C340" s="15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</row>
    <row r="341" spans="2:42" ht="12.5" x14ac:dyDescent="0.25">
      <c r="B341" s="14"/>
      <c r="C341" s="15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</row>
    <row r="342" spans="2:42" ht="12.5" x14ac:dyDescent="0.25">
      <c r="B342" s="14"/>
      <c r="C342" s="15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</row>
    <row r="343" spans="2:42" ht="12.5" x14ac:dyDescent="0.25">
      <c r="B343" s="14"/>
      <c r="C343" s="15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</row>
    <row r="344" spans="2:42" ht="12.5" x14ac:dyDescent="0.25">
      <c r="B344" s="14"/>
      <c r="C344" s="15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</row>
    <row r="345" spans="2:42" ht="12.5" x14ac:dyDescent="0.25">
      <c r="B345" s="14"/>
      <c r="C345" s="15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</row>
    <row r="346" spans="2:42" ht="12.5" x14ac:dyDescent="0.25">
      <c r="B346" s="14"/>
      <c r="C346" s="15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</row>
    <row r="347" spans="2:42" ht="12.5" x14ac:dyDescent="0.25">
      <c r="B347" s="14"/>
      <c r="C347" s="15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</row>
    <row r="348" spans="2:42" ht="12.5" x14ac:dyDescent="0.25">
      <c r="B348" s="14"/>
      <c r="C348" s="15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</row>
    <row r="349" spans="2:42" ht="12.5" x14ac:dyDescent="0.25">
      <c r="B349" s="14"/>
      <c r="C349" s="15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</row>
    <row r="350" spans="2:42" ht="12.5" x14ac:dyDescent="0.25">
      <c r="B350" s="14"/>
      <c r="C350" s="15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</row>
    <row r="351" spans="2:42" ht="12.5" x14ac:dyDescent="0.25">
      <c r="B351" s="14"/>
      <c r="C351" s="15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</row>
    <row r="352" spans="2:42" ht="12.5" x14ac:dyDescent="0.25">
      <c r="B352" s="14"/>
      <c r="C352" s="15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</row>
    <row r="353" spans="2:42" ht="12.5" x14ac:dyDescent="0.25">
      <c r="B353" s="14"/>
      <c r="C353" s="15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</row>
    <row r="354" spans="2:42" ht="12.5" x14ac:dyDescent="0.25">
      <c r="B354" s="14"/>
      <c r="C354" s="15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</row>
    <row r="355" spans="2:42" ht="12.5" x14ac:dyDescent="0.25">
      <c r="B355" s="14"/>
      <c r="C355" s="15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</row>
    <row r="356" spans="2:42" ht="12.5" x14ac:dyDescent="0.25">
      <c r="B356" s="14"/>
      <c r="C356" s="15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</row>
    <row r="357" spans="2:42" ht="12.5" x14ac:dyDescent="0.25">
      <c r="B357" s="14"/>
      <c r="C357" s="15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</row>
    <row r="358" spans="2:42" ht="12.5" x14ac:dyDescent="0.25">
      <c r="B358" s="14"/>
      <c r="C358" s="15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</row>
    <row r="359" spans="2:42" ht="12.5" x14ac:dyDescent="0.25">
      <c r="B359" s="14"/>
      <c r="C359" s="15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</row>
    <row r="360" spans="2:42" ht="12.5" x14ac:dyDescent="0.25">
      <c r="B360" s="14"/>
      <c r="C360" s="15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</row>
    <row r="361" spans="2:42" ht="12.5" x14ac:dyDescent="0.25">
      <c r="B361" s="14"/>
      <c r="C361" s="15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</row>
    <row r="362" spans="2:42" ht="12.5" x14ac:dyDescent="0.25">
      <c r="B362" s="14"/>
      <c r="C362" s="15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</row>
    <row r="363" spans="2:42" ht="12.5" x14ac:dyDescent="0.25">
      <c r="B363" s="14"/>
      <c r="C363" s="15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</row>
    <row r="364" spans="2:42" ht="12.5" x14ac:dyDescent="0.25">
      <c r="B364" s="14"/>
      <c r="C364" s="15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</row>
    <row r="365" spans="2:42" ht="12.5" x14ac:dyDescent="0.25">
      <c r="B365" s="14"/>
      <c r="C365" s="15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</row>
    <row r="366" spans="2:42" ht="12.5" x14ac:dyDescent="0.25">
      <c r="B366" s="14"/>
      <c r="C366" s="15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</row>
    <row r="367" spans="2:42" ht="12.5" x14ac:dyDescent="0.25">
      <c r="B367" s="14"/>
      <c r="C367" s="15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</row>
    <row r="368" spans="2:42" ht="12.5" x14ac:dyDescent="0.25">
      <c r="B368" s="14"/>
      <c r="C368" s="15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</row>
    <row r="369" spans="2:42" ht="12.5" x14ac:dyDescent="0.25">
      <c r="B369" s="14"/>
      <c r="C369" s="15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</row>
    <row r="370" spans="2:42" ht="12.5" x14ac:dyDescent="0.25">
      <c r="B370" s="14"/>
      <c r="C370" s="15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</row>
    <row r="371" spans="2:42" ht="12.5" x14ac:dyDescent="0.25">
      <c r="B371" s="14"/>
      <c r="C371" s="15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</row>
    <row r="372" spans="2:42" ht="12.5" x14ac:dyDescent="0.25">
      <c r="B372" s="14"/>
      <c r="C372" s="15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</row>
    <row r="373" spans="2:42" ht="12.5" x14ac:dyDescent="0.25">
      <c r="B373" s="14"/>
      <c r="C373" s="15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</row>
    <row r="374" spans="2:42" ht="12.5" x14ac:dyDescent="0.25">
      <c r="B374" s="14"/>
      <c r="C374" s="15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</row>
    <row r="375" spans="2:42" ht="12.5" x14ac:dyDescent="0.25">
      <c r="B375" s="14"/>
      <c r="C375" s="15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</row>
    <row r="376" spans="2:42" ht="12.5" x14ac:dyDescent="0.25">
      <c r="B376" s="14"/>
      <c r="C376" s="15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</row>
    <row r="377" spans="2:42" ht="12.5" x14ac:dyDescent="0.25">
      <c r="B377" s="14"/>
      <c r="C377" s="15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</row>
    <row r="378" spans="2:42" ht="12.5" x14ac:dyDescent="0.25">
      <c r="B378" s="14"/>
      <c r="C378" s="15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</row>
    <row r="379" spans="2:42" ht="12.5" x14ac:dyDescent="0.25">
      <c r="B379" s="14"/>
      <c r="C379" s="15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</row>
    <row r="380" spans="2:42" ht="12.5" x14ac:dyDescent="0.25">
      <c r="B380" s="14"/>
      <c r="C380" s="15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</row>
    <row r="381" spans="2:42" ht="12.5" x14ac:dyDescent="0.25">
      <c r="B381" s="14"/>
      <c r="C381" s="15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</row>
    <row r="382" spans="2:42" ht="12.5" x14ac:dyDescent="0.25">
      <c r="B382" s="14"/>
      <c r="C382" s="15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</row>
    <row r="383" spans="2:42" ht="12.5" x14ac:dyDescent="0.25">
      <c r="B383" s="14"/>
      <c r="C383" s="15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</row>
    <row r="384" spans="2:42" ht="12.5" x14ac:dyDescent="0.25">
      <c r="B384" s="14"/>
      <c r="C384" s="15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</row>
    <row r="385" spans="2:42" ht="12.5" x14ac:dyDescent="0.25">
      <c r="B385" s="14"/>
      <c r="C385" s="15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</row>
    <row r="386" spans="2:42" ht="12.5" x14ac:dyDescent="0.25">
      <c r="B386" s="14"/>
      <c r="C386" s="15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</row>
    <row r="387" spans="2:42" ht="12.5" x14ac:dyDescent="0.25">
      <c r="B387" s="14"/>
      <c r="C387" s="15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</row>
    <row r="388" spans="2:42" ht="12.5" x14ac:dyDescent="0.25">
      <c r="B388" s="14"/>
      <c r="C388" s="15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</row>
    <row r="389" spans="2:42" ht="12.5" x14ac:dyDescent="0.25">
      <c r="B389" s="14"/>
      <c r="C389" s="15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</row>
    <row r="390" spans="2:42" ht="12.5" x14ac:dyDescent="0.25">
      <c r="B390" s="14"/>
      <c r="C390" s="15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</row>
    <row r="391" spans="2:42" ht="12.5" x14ac:dyDescent="0.25">
      <c r="B391" s="14"/>
      <c r="C391" s="15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</row>
    <row r="392" spans="2:42" ht="12.5" x14ac:dyDescent="0.25">
      <c r="B392" s="14"/>
      <c r="C392" s="15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</row>
    <row r="393" spans="2:42" ht="12.5" x14ac:dyDescent="0.25">
      <c r="B393" s="14"/>
      <c r="C393" s="15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</row>
    <row r="394" spans="2:42" ht="12.5" x14ac:dyDescent="0.25">
      <c r="B394" s="14"/>
      <c r="C394" s="15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</row>
    <row r="395" spans="2:42" ht="12.5" x14ac:dyDescent="0.25">
      <c r="B395" s="14"/>
      <c r="C395" s="15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</row>
    <row r="396" spans="2:42" ht="12.5" x14ac:dyDescent="0.25">
      <c r="B396" s="14"/>
      <c r="C396" s="15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</row>
    <row r="397" spans="2:42" ht="12.5" x14ac:dyDescent="0.25">
      <c r="B397" s="14"/>
      <c r="C397" s="15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</row>
    <row r="398" spans="2:42" ht="12.5" x14ac:dyDescent="0.25">
      <c r="B398" s="14"/>
      <c r="C398" s="15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</row>
    <row r="399" spans="2:42" ht="12.5" x14ac:dyDescent="0.25">
      <c r="B399" s="14"/>
      <c r="C399" s="15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</row>
    <row r="400" spans="2:42" ht="12.5" x14ac:dyDescent="0.25">
      <c r="B400" s="14"/>
      <c r="C400" s="15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</row>
    <row r="401" spans="2:42" ht="12.5" x14ac:dyDescent="0.25">
      <c r="B401" s="14"/>
      <c r="C401" s="15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</row>
    <row r="402" spans="2:42" ht="12.5" x14ac:dyDescent="0.25">
      <c r="B402" s="14"/>
      <c r="C402" s="15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</row>
    <row r="403" spans="2:42" ht="12.5" x14ac:dyDescent="0.25">
      <c r="B403" s="14"/>
      <c r="C403" s="15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</row>
    <row r="404" spans="2:42" ht="12.5" x14ac:dyDescent="0.25">
      <c r="B404" s="14"/>
      <c r="C404" s="15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</row>
    <row r="405" spans="2:42" ht="12.5" x14ac:dyDescent="0.25">
      <c r="B405" s="14"/>
      <c r="C405" s="15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</row>
    <row r="406" spans="2:42" ht="12.5" x14ac:dyDescent="0.25">
      <c r="B406" s="14"/>
      <c r="C406" s="15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</row>
    <row r="407" spans="2:42" ht="12.5" x14ac:dyDescent="0.25">
      <c r="B407" s="14"/>
      <c r="C407" s="15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</row>
    <row r="408" spans="2:42" ht="12.5" x14ac:dyDescent="0.25">
      <c r="B408" s="14"/>
      <c r="C408" s="15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</row>
    <row r="409" spans="2:42" ht="12.5" x14ac:dyDescent="0.25">
      <c r="B409" s="14"/>
      <c r="C409" s="15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</row>
    <row r="410" spans="2:42" ht="12.5" x14ac:dyDescent="0.25">
      <c r="B410" s="14"/>
      <c r="C410" s="15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</row>
    <row r="411" spans="2:42" ht="12.5" x14ac:dyDescent="0.25">
      <c r="B411" s="14"/>
      <c r="C411" s="15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</row>
    <row r="412" spans="2:42" ht="12.5" x14ac:dyDescent="0.25">
      <c r="B412" s="14"/>
      <c r="C412" s="15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</row>
    <row r="413" spans="2:42" ht="12.5" x14ac:dyDescent="0.25">
      <c r="B413" s="14"/>
      <c r="C413" s="15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</row>
    <row r="414" spans="2:42" ht="12.5" x14ac:dyDescent="0.25">
      <c r="B414" s="14"/>
      <c r="C414" s="15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</row>
    <row r="415" spans="2:42" ht="12.5" x14ac:dyDescent="0.25">
      <c r="B415" s="14"/>
      <c r="C415" s="15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</row>
    <row r="416" spans="2:42" ht="12.5" x14ac:dyDescent="0.25">
      <c r="B416" s="14"/>
      <c r="C416" s="15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</row>
    <row r="417" spans="2:42" ht="12.5" x14ac:dyDescent="0.25">
      <c r="B417" s="14"/>
      <c r="C417" s="15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</row>
    <row r="418" spans="2:42" ht="12.5" x14ac:dyDescent="0.25">
      <c r="B418" s="14"/>
      <c r="C418" s="15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</row>
    <row r="419" spans="2:42" ht="12.5" x14ac:dyDescent="0.25">
      <c r="B419" s="14"/>
      <c r="C419" s="15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</row>
    <row r="420" spans="2:42" ht="12.5" x14ac:dyDescent="0.25">
      <c r="B420" s="14"/>
      <c r="C420" s="15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</row>
    <row r="421" spans="2:42" ht="12.5" x14ac:dyDescent="0.25">
      <c r="B421" s="14"/>
      <c r="C421" s="15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</row>
    <row r="422" spans="2:42" ht="12.5" x14ac:dyDescent="0.25">
      <c r="B422" s="14"/>
      <c r="C422" s="15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</row>
    <row r="423" spans="2:42" ht="12.5" x14ac:dyDescent="0.25">
      <c r="B423" s="14"/>
      <c r="C423" s="15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</row>
    <row r="424" spans="2:42" ht="12.5" x14ac:dyDescent="0.25">
      <c r="B424" s="14"/>
      <c r="C424" s="15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</row>
    <row r="425" spans="2:42" ht="12.5" x14ac:dyDescent="0.25">
      <c r="B425" s="14"/>
      <c r="C425" s="15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</row>
    <row r="426" spans="2:42" ht="12.5" x14ac:dyDescent="0.25">
      <c r="B426" s="14"/>
      <c r="C426" s="15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</row>
    <row r="427" spans="2:42" ht="12.5" x14ac:dyDescent="0.25">
      <c r="B427" s="14"/>
      <c r="C427" s="15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</row>
    <row r="428" spans="2:42" ht="12.5" x14ac:dyDescent="0.25">
      <c r="B428" s="14"/>
      <c r="C428" s="15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</row>
    <row r="429" spans="2:42" ht="12.5" x14ac:dyDescent="0.25">
      <c r="B429" s="14"/>
      <c r="C429" s="15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</row>
    <row r="430" spans="2:42" ht="12.5" x14ac:dyDescent="0.25">
      <c r="B430" s="14"/>
      <c r="C430" s="15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</row>
    <row r="431" spans="2:42" ht="12.5" x14ac:dyDescent="0.25">
      <c r="B431" s="14"/>
      <c r="C431" s="15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</row>
    <row r="432" spans="2:42" ht="12.5" x14ac:dyDescent="0.25">
      <c r="B432" s="14"/>
      <c r="C432" s="15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</row>
    <row r="433" spans="2:42" ht="12.5" x14ac:dyDescent="0.25">
      <c r="B433" s="14"/>
      <c r="C433" s="15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</row>
    <row r="434" spans="2:42" ht="12.5" x14ac:dyDescent="0.25">
      <c r="B434" s="14"/>
      <c r="C434" s="15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</row>
    <row r="435" spans="2:42" ht="12.5" x14ac:dyDescent="0.25">
      <c r="B435" s="14"/>
      <c r="C435" s="15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</row>
    <row r="436" spans="2:42" ht="12.5" x14ac:dyDescent="0.25">
      <c r="B436" s="14"/>
      <c r="C436" s="15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</row>
    <row r="437" spans="2:42" ht="12.5" x14ac:dyDescent="0.25">
      <c r="B437" s="14"/>
      <c r="C437" s="15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</row>
    <row r="438" spans="2:42" ht="12.5" x14ac:dyDescent="0.25">
      <c r="B438" s="14"/>
      <c r="C438" s="15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</row>
    <row r="439" spans="2:42" ht="12.5" x14ac:dyDescent="0.25">
      <c r="B439" s="14"/>
      <c r="C439" s="15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</row>
    <row r="440" spans="2:42" ht="12.5" x14ac:dyDescent="0.25">
      <c r="B440" s="14"/>
      <c r="C440" s="15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</row>
    <row r="441" spans="2:42" ht="12.5" x14ac:dyDescent="0.25">
      <c r="B441" s="14"/>
      <c r="C441" s="15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</row>
    <row r="442" spans="2:42" ht="12.5" x14ac:dyDescent="0.25">
      <c r="B442" s="14"/>
      <c r="C442" s="15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</row>
    <row r="443" spans="2:42" ht="12.5" x14ac:dyDescent="0.25">
      <c r="B443" s="14"/>
      <c r="C443" s="15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</row>
    <row r="444" spans="2:42" ht="12.5" x14ac:dyDescent="0.25">
      <c r="B444" s="14"/>
      <c r="C444" s="15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</row>
    <row r="445" spans="2:42" ht="12.5" x14ac:dyDescent="0.25">
      <c r="B445" s="14"/>
      <c r="C445" s="15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</row>
    <row r="446" spans="2:42" ht="12.5" x14ac:dyDescent="0.25">
      <c r="B446" s="14"/>
      <c r="C446" s="15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</row>
    <row r="447" spans="2:42" ht="12.5" x14ac:dyDescent="0.25">
      <c r="B447" s="14"/>
      <c r="C447" s="15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</row>
    <row r="448" spans="2:42" ht="12.5" x14ac:dyDescent="0.25">
      <c r="B448" s="14"/>
      <c r="C448" s="15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</row>
    <row r="449" spans="2:42" ht="12.5" x14ac:dyDescent="0.25">
      <c r="B449" s="14"/>
      <c r="C449" s="15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</row>
    <row r="450" spans="2:42" ht="12.5" x14ac:dyDescent="0.25">
      <c r="B450" s="14"/>
      <c r="C450" s="15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</row>
    <row r="451" spans="2:42" ht="12.5" x14ac:dyDescent="0.25">
      <c r="B451" s="14"/>
      <c r="C451" s="15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</row>
    <row r="452" spans="2:42" ht="12.5" x14ac:dyDescent="0.25">
      <c r="B452" s="14"/>
      <c r="C452" s="15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</row>
    <row r="453" spans="2:42" ht="12.5" x14ac:dyDescent="0.25">
      <c r="B453" s="14"/>
      <c r="C453" s="15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</row>
    <row r="454" spans="2:42" ht="12.5" x14ac:dyDescent="0.25">
      <c r="B454" s="14"/>
      <c r="C454" s="15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</row>
    <row r="455" spans="2:42" ht="12.5" x14ac:dyDescent="0.25">
      <c r="B455" s="14"/>
      <c r="C455" s="15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</row>
    <row r="456" spans="2:42" ht="12.5" x14ac:dyDescent="0.25">
      <c r="B456" s="14"/>
      <c r="C456" s="15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</row>
    <row r="457" spans="2:42" ht="12.5" x14ac:dyDescent="0.25">
      <c r="B457" s="14"/>
      <c r="C457" s="15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</row>
    <row r="458" spans="2:42" ht="12.5" x14ac:dyDescent="0.25">
      <c r="B458" s="14"/>
      <c r="C458" s="15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</row>
    <row r="459" spans="2:42" ht="12.5" x14ac:dyDescent="0.25">
      <c r="B459" s="14"/>
      <c r="C459" s="15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</row>
    <row r="460" spans="2:42" ht="12.5" x14ac:dyDescent="0.25">
      <c r="B460" s="14"/>
      <c r="C460" s="15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</row>
    <row r="461" spans="2:42" ht="12.5" x14ac:dyDescent="0.25">
      <c r="B461" s="14"/>
      <c r="C461" s="15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</row>
    <row r="462" spans="2:42" ht="12.5" x14ac:dyDescent="0.25">
      <c r="B462" s="14"/>
      <c r="C462" s="15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</row>
    <row r="463" spans="2:42" ht="12.5" x14ac:dyDescent="0.25">
      <c r="B463" s="14"/>
      <c r="C463" s="15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</row>
    <row r="464" spans="2:42" ht="12.5" x14ac:dyDescent="0.25">
      <c r="B464" s="14"/>
      <c r="C464" s="15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</row>
    <row r="465" spans="2:42" ht="12.5" x14ac:dyDescent="0.25">
      <c r="B465" s="14"/>
      <c r="C465" s="15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</row>
    <row r="466" spans="2:42" ht="12.5" x14ac:dyDescent="0.25">
      <c r="B466" s="14"/>
      <c r="C466" s="15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</row>
    <row r="467" spans="2:42" ht="12.5" x14ac:dyDescent="0.25">
      <c r="B467" s="14"/>
      <c r="C467" s="15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</row>
    <row r="468" spans="2:42" ht="12.5" x14ac:dyDescent="0.25">
      <c r="B468" s="14"/>
      <c r="C468" s="15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</row>
    <row r="469" spans="2:42" ht="12.5" x14ac:dyDescent="0.25">
      <c r="B469" s="14"/>
      <c r="C469" s="15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</row>
    <row r="470" spans="2:42" ht="12.5" x14ac:dyDescent="0.25">
      <c r="B470" s="14"/>
      <c r="C470" s="15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</row>
    <row r="471" spans="2:42" ht="12.5" x14ac:dyDescent="0.25">
      <c r="B471" s="14"/>
      <c r="C471" s="15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</row>
    <row r="472" spans="2:42" ht="12.5" x14ac:dyDescent="0.25">
      <c r="B472" s="14"/>
      <c r="C472" s="15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</row>
    <row r="473" spans="2:42" ht="12.5" x14ac:dyDescent="0.25">
      <c r="B473" s="14"/>
      <c r="C473" s="15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</row>
    <row r="474" spans="2:42" ht="12.5" x14ac:dyDescent="0.25">
      <c r="B474" s="14"/>
      <c r="C474" s="15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</row>
    <row r="475" spans="2:42" ht="12.5" x14ac:dyDescent="0.25">
      <c r="B475" s="14"/>
      <c r="C475" s="15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</row>
    <row r="476" spans="2:42" ht="12.5" x14ac:dyDescent="0.25">
      <c r="B476" s="14"/>
      <c r="C476" s="15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</row>
    <row r="477" spans="2:42" ht="12.5" x14ac:dyDescent="0.25">
      <c r="B477" s="14"/>
      <c r="C477" s="15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</row>
    <row r="478" spans="2:42" ht="12.5" x14ac:dyDescent="0.25">
      <c r="B478" s="14"/>
      <c r="C478" s="15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</row>
    <row r="479" spans="2:42" ht="12.5" x14ac:dyDescent="0.25">
      <c r="B479" s="14"/>
      <c r="C479" s="15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</row>
    <row r="480" spans="2:42" ht="12.5" x14ac:dyDescent="0.25">
      <c r="B480" s="14"/>
      <c r="C480" s="15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</row>
    <row r="481" spans="2:42" ht="12.5" x14ac:dyDescent="0.25">
      <c r="B481" s="14"/>
      <c r="C481" s="15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</row>
    <row r="482" spans="2:42" ht="12.5" x14ac:dyDescent="0.25">
      <c r="B482" s="14"/>
      <c r="C482" s="15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</row>
    <row r="483" spans="2:42" ht="12.5" x14ac:dyDescent="0.25">
      <c r="B483" s="14"/>
      <c r="C483" s="15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</row>
    <row r="484" spans="2:42" ht="12.5" x14ac:dyDescent="0.25">
      <c r="B484" s="14"/>
      <c r="C484" s="15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</row>
    <row r="485" spans="2:42" ht="12.5" x14ac:dyDescent="0.25">
      <c r="B485" s="14"/>
      <c r="C485" s="15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</row>
    <row r="486" spans="2:42" ht="12.5" x14ac:dyDescent="0.25">
      <c r="B486" s="14"/>
      <c r="C486" s="15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</row>
    <row r="487" spans="2:42" ht="12.5" x14ac:dyDescent="0.25">
      <c r="B487" s="14"/>
      <c r="C487" s="15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</row>
    <row r="488" spans="2:42" ht="12.5" x14ac:dyDescent="0.25">
      <c r="B488" s="14"/>
      <c r="C488" s="15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</row>
    <row r="489" spans="2:42" ht="12.5" x14ac:dyDescent="0.25">
      <c r="B489" s="14"/>
      <c r="C489" s="15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</row>
    <row r="490" spans="2:42" ht="12.5" x14ac:dyDescent="0.25">
      <c r="B490" s="14"/>
      <c r="C490" s="15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</row>
    <row r="491" spans="2:42" ht="12.5" x14ac:dyDescent="0.25">
      <c r="B491" s="14"/>
      <c r="C491" s="15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</row>
    <row r="492" spans="2:42" ht="12.5" x14ac:dyDescent="0.25">
      <c r="B492" s="14"/>
      <c r="C492" s="15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</row>
    <row r="493" spans="2:42" ht="12.5" x14ac:dyDescent="0.25">
      <c r="B493" s="14"/>
      <c r="C493" s="15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</row>
    <row r="494" spans="2:42" ht="12.5" x14ac:dyDescent="0.25">
      <c r="B494" s="14"/>
      <c r="C494" s="15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</row>
    <row r="495" spans="2:42" ht="12.5" x14ac:dyDescent="0.25">
      <c r="B495" s="14"/>
      <c r="C495" s="15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</row>
    <row r="496" spans="2:42" ht="12.5" x14ac:dyDescent="0.25">
      <c r="B496" s="14"/>
      <c r="C496" s="15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</row>
    <row r="497" spans="2:42" ht="12.5" x14ac:dyDescent="0.25">
      <c r="B497" s="14"/>
      <c r="C497" s="15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</row>
    <row r="498" spans="2:42" ht="12.5" x14ac:dyDescent="0.25">
      <c r="B498" s="14"/>
      <c r="C498" s="15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</row>
    <row r="499" spans="2:42" ht="12.5" x14ac:dyDescent="0.25">
      <c r="B499" s="14"/>
      <c r="C499" s="15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</row>
    <row r="500" spans="2:42" ht="12.5" x14ac:dyDescent="0.25">
      <c r="B500" s="14"/>
      <c r="C500" s="15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</row>
    <row r="501" spans="2:42" ht="12.5" x14ac:dyDescent="0.25">
      <c r="B501" s="14"/>
      <c r="C501" s="15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</row>
    <row r="502" spans="2:42" ht="12.5" x14ac:dyDescent="0.25">
      <c r="B502" s="14"/>
      <c r="C502" s="15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</row>
    <row r="503" spans="2:42" ht="12.5" x14ac:dyDescent="0.25">
      <c r="B503" s="14"/>
      <c r="C503" s="15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</row>
    <row r="504" spans="2:42" ht="12.5" x14ac:dyDescent="0.25">
      <c r="B504" s="14"/>
      <c r="C504" s="15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</row>
    <row r="505" spans="2:42" ht="12.5" x14ac:dyDescent="0.25">
      <c r="B505" s="14"/>
      <c r="C505" s="15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</row>
    <row r="506" spans="2:42" ht="12.5" x14ac:dyDescent="0.25">
      <c r="B506" s="14"/>
      <c r="C506" s="15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</row>
    <row r="507" spans="2:42" ht="12.5" x14ac:dyDescent="0.25">
      <c r="B507" s="14"/>
      <c r="C507" s="15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</row>
    <row r="508" spans="2:42" ht="12.5" x14ac:dyDescent="0.25">
      <c r="B508" s="14"/>
      <c r="C508" s="15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</row>
    <row r="509" spans="2:42" ht="12.5" x14ac:dyDescent="0.25">
      <c r="B509" s="14"/>
      <c r="C509" s="15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</row>
    <row r="510" spans="2:42" ht="12.5" x14ac:dyDescent="0.25">
      <c r="B510" s="14"/>
      <c r="C510" s="15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</row>
    <row r="511" spans="2:42" ht="12.5" x14ac:dyDescent="0.25">
      <c r="B511" s="14"/>
      <c r="C511" s="15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</row>
    <row r="512" spans="2:42" ht="12.5" x14ac:dyDescent="0.25">
      <c r="B512" s="14"/>
      <c r="C512" s="15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</row>
    <row r="513" spans="2:42" ht="12.5" x14ac:dyDescent="0.25">
      <c r="B513" s="14"/>
      <c r="C513" s="15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</row>
    <row r="514" spans="2:42" ht="12.5" x14ac:dyDescent="0.25">
      <c r="B514" s="14"/>
      <c r="C514" s="15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</row>
    <row r="515" spans="2:42" ht="12.5" x14ac:dyDescent="0.25">
      <c r="B515" s="14"/>
      <c r="C515" s="15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</row>
    <row r="516" spans="2:42" ht="12.5" x14ac:dyDescent="0.25">
      <c r="B516" s="14"/>
      <c r="C516" s="15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</row>
    <row r="517" spans="2:42" ht="12.5" x14ac:dyDescent="0.25">
      <c r="B517" s="14"/>
      <c r="C517" s="15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</row>
    <row r="518" spans="2:42" ht="12.5" x14ac:dyDescent="0.25">
      <c r="B518" s="14"/>
      <c r="C518" s="15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</row>
    <row r="519" spans="2:42" ht="12.5" x14ac:dyDescent="0.25">
      <c r="B519" s="14"/>
      <c r="C519" s="15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</row>
    <row r="520" spans="2:42" ht="12.5" x14ac:dyDescent="0.25">
      <c r="B520" s="14"/>
      <c r="C520" s="15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</row>
    <row r="521" spans="2:42" ht="12.5" x14ac:dyDescent="0.25">
      <c r="B521" s="14"/>
      <c r="C521" s="15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</row>
    <row r="522" spans="2:42" ht="12.5" x14ac:dyDescent="0.25">
      <c r="B522" s="14"/>
      <c r="C522" s="15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</row>
    <row r="523" spans="2:42" ht="12.5" x14ac:dyDescent="0.25">
      <c r="B523" s="14"/>
      <c r="C523" s="15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</row>
    <row r="524" spans="2:42" ht="12.5" x14ac:dyDescent="0.25">
      <c r="B524" s="14"/>
      <c r="C524" s="15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</row>
    <row r="525" spans="2:42" ht="12.5" x14ac:dyDescent="0.25">
      <c r="B525" s="14"/>
      <c r="C525" s="15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</row>
    <row r="526" spans="2:42" ht="12.5" x14ac:dyDescent="0.25">
      <c r="B526" s="14"/>
      <c r="C526" s="15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</row>
    <row r="527" spans="2:42" ht="12.5" x14ac:dyDescent="0.25">
      <c r="B527" s="14"/>
      <c r="C527" s="15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</row>
    <row r="528" spans="2:42" ht="12.5" x14ac:dyDescent="0.25">
      <c r="B528" s="14"/>
      <c r="C528" s="15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</row>
    <row r="529" spans="2:42" ht="12.5" x14ac:dyDescent="0.25">
      <c r="B529" s="14"/>
      <c r="C529" s="15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</row>
    <row r="530" spans="2:42" ht="12.5" x14ac:dyDescent="0.25">
      <c r="B530" s="14"/>
      <c r="C530" s="15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</row>
    <row r="531" spans="2:42" ht="12.5" x14ac:dyDescent="0.25">
      <c r="B531" s="14"/>
      <c r="C531" s="15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</row>
    <row r="532" spans="2:42" ht="12.5" x14ac:dyDescent="0.25">
      <c r="B532" s="14"/>
      <c r="C532" s="15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</row>
    <row r="533" spans="2:42" ht="12.5" x14ac:dyDescent="0.25">
      <c r="B533" s="14"/>
      <c r="C533" s="15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</row>
    <row r="534" spans="2:42" ht="12.5" x14ac:dyDescent="0.25">
      <c r="B534" s="14"/>
      <c r="C534" s="15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</row>
    <row r="535" spans="2:42" ht="12.5" x14ac:dyDescent="0.25">
      <c r="B535" s="14"/>
      <c r="C535" s="15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</row>
    <row r="536" spans="2:42" ht="12.5" x14ac:dyDescent="0.25">
      <c r="B536" s="14"/>
      <c r="C536" s="15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</row>
    <row r="537" spans="2:42" ht="12.5" x14ac:dyDescent="0.25">
      <c r="B537" s="14"/>
      <c r="C537" s="15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</row>
    <row r="538" spans="2:42" ht="12.5" x14ac:dyDescent="0.25">
      <c r="B538" s="14"/>
      <c r="C538" s="15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</row>
    <row r="539" spans="2:42" ht="12.5" x14ac:dyDescent="0.25">
      <c r="B539" s="14"/>
      <c r="C539" s="15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</row>
    <row r="540" spans="2:42" ht="12.5" x14ac:dyDescent="0.25">
      <c r="B540" s="14"/>
      <c r="C540" s="15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</row>
    <row r="541" spans="2:42" ht="12.5" x14ac:dyDescent="0.25">
      <c r="B541" s="14"/>
      <c r="C541" s="15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</row>
    <row r="542" spans="2:42" ht="12.5" x14ac:dyDescent="0.25">
      <c r="B542" s="14"/>
      <c r="C542" s="15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</row>
    <row r="543" spans="2:42" ht="12.5" x14ac:dyDescent="0.25">
      <c r="B543" s="14"/>
      <c r="C543" s="15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</row>
    <row r="544" spans="2:42" ht="12.5" x14ac:dyDescent="0.25">
      <c r="B544" s="14"/>
      <c r="C544" s="15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</row>
    <row r="545" spans="2:42" ht="12.5" x14ac:dyDescent="0.25">
      <c r="B545" s="14"/>
      <c r="C545" s="15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</row>
    <row r="546" spans="2:42" ht="12.5" x14ac:dyDescent="0.25">
      <c r="B546" s="14"/>
      <c r="C546" s="15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</row>
    <row r="547" spans="2:42" ht="12.5" x14ac:dyDescent="0.25">
      <c r="B547" s="14"/>
      <c r="C547" s="15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</row>
    <row r="548" spans="2:42" ht="12.5" x14ac:dyDescent="0.25">
      <c r="B548" s="14"/>
      <c r="C548" s="15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</row>
    <row r="549" spans="2:42" ht="12.5" x14ac:dyDescent="0.25">
      <c r="B549" s="14"/>
      <c r="C549" s="15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</row>
    <row r="550" spans="2:42" ht="12.5" x14ac:dyDescent="0.25">
      <c r="B550" s="14"/>
      <c r="C550" s="15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</row>
    <row r="551" spans="2:42" ht="12.5" x14ac:dyDescent="0.25">
      <c r="B551" s="14"/>
      <c r="C551" s="15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</row>
    <row r="552" spans="2:42" ht="12.5" x14ac:dyDescent="0.25">
      <c r="B552" s="14"/>
      <c r="C552" s="15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</row>
    <row r="553" spans="2:42" ht="12.5" x14ac:dyDescent="0.25">
      <c r="B553" s="14"/>
      <c r="C553" s="15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</row>
    <row r="554" spans="2:42" ht="12.5" x14ac:dyDescent="0.25">
      <c r="B554" s="14"/>
      <c r="C554" s="15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</row>
    <row r="555" spans="2:42" ht="12.5" x14ac:dyDescent="0.25">
      <c r="B555" s="14"/>
      <c r="C555" s="15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</row>
    <row r="556" spans="2:42" ht="12.5" x14ac:dyDescent="0.25">
      <c r="B556" s="14"/>
      <c r="C556" s="15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</row>
    <row r="557" spans="2:42" ht="12.5" x14ac:dyDescent="0.25">
      <c r="B557" s="14"/>
      <c r="C557" s="15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</row>
    <row r="558" spans="2:42" ht="12.5" x14ac:dyDescent="0.25">
      <c r="B558" s="14"/>
      <c r="C558" s="15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</row>
    <row r="559" spans="2:42" ht="12.5" x14ac:dyDescent="0.25">
      <c r="B559" s="14"/>
      <c r="C559" s="15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</row>
    <row r="560" spans="2:42" ht="12.5" x14ac:dyDescent="0.25">
      <c r="B560" s="14"/>
      <c r="C560" s="15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</row>
    <row r="561" spans="2:42" ht="12.5" x14ac:dyDescent="0.25">
      <c r="B561" s="14"/>
      <c r="C561" s="15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</row>
    <row r="562" spans="2:42" ht="12.5" x14ac:dyDescent="0.25">
      <c r="B562" s="14"/>
      <c r="C562" s="15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</row>
    <row r="563" spans="2:42" ht="12.5" x14ac:dyDescent="0.25">
      <c r="B563" s="14"/>
      <c r="C563" s="15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</row>
    <row r="564" spans="2:42" ht="12.5" x14ac:dyDescent="0.25">
      <c r="B564" s="14"/>
      <c r="C564" s="15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</row>
    <row r="565" spans="2:42" ht="12.5" x14ac:dyDescent="0.25">
      <c r="B565" s="14"/>
      <c r="C565" s="15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</row>
    <row r="566" spans="2:42" ht="12.5" x14ac:dyDescent="0.25">
      <c r="B566" s="14"/>
      <c r="C566" s="15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</row>
    <row r="567" spans="2:42" ht="12.5" x14ac:dyDescent="0.25">
      <c r="B567" s="14"/>
      <c r="C567" s="15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</row>
    <row r="568" spans="2:42" ht="12.5" x14ac:dyDescent="0.25">
      <c r="B568" s="14"/>
      <c r="C568" s="15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</row>
    <row r="569" spans="2:42" ht="12.5" x14ac:dyDescent="0.25">
      <c r="B569" s="14"/>
      <c r="C569" s="15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</row>
    <row r="570" spans="2:42" ht="12.5" x14ac:dyDescent="0.25">
      <c r="B570" s="14"/>
      <c r="C570" s="15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</row>
    <row r="571" spans="2:42" ht="12.5" x14ac:dyDescent="0.25">
      <c r="B571" s="14"/>
      <c r="C571" s="15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</row>
    <row r="572" spans="2:42" ht="12.5" x14ac:dyDescent="0.25">
      <c r="B572" s="14"/>
      <c r="C572" s="15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</row>
    <row r="573" spans="2:42" ht="12.5" x14ac:dyDescent="0.25">
      <c r="B573" s="14"/>
      <c r="C573" s="15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</row>
    <row r="574" spans="2:42" ht="12.5" x14ac:dyDescent="0.25">
      <c r="B574" s="14"/>
      <c r="C574" s="15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</row>
    <row r="575" spans="2:42" ht="12.5" x14ac:dyDescent="0.25">
      <c r="B575" s="14"/>
      <c r="C575" s="15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</row>
    <row r="576" spans="2:42" ht="12.5" x14ac:dyDescent="0.25">
      <c r="B576" s="14"/>
      <c r="C576" s="15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</row>
    <row r="577" spans="2:42" ht="12.5" x14ac:dyDescent="0.25">
      <c r="B577" s="14"/>
      <c r="C577" s="15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</row>
    <row r="578" spans="2:42" ht="12.5" x14ac:dyDescent="0.25">
      <c r="B578" s="14"/>
      <c r="C578" s="15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</row>
    <row r="579" spans="2:42" ht="12.5" x14ac:dyDescent="0.25">
      <c r="B579" s="14"/>
      <c r="C579" s="15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</row>
    <row r="580" spans="2:42" ht="12.5" x14ac:dyDescent="0.25">
      <c r="B580" s="14"/>
      <c r="C580" s="15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</row>
    <row r="581" spans="2:42" ht="12.5" x14ac:dyDescent="0.25">
      <c r="B581" s="14"/>
      <c r="C581" s="15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</row>
    <row r="582" spans="2:42" ht="12.5" x14ac:dyDescent="0.25">
      <c r="B582" s="14"/>
      <c r="C582" s="15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</row>
    <row r="583" spans="2:42" ht="12.5" x14ac:dyDescent="0.25">
      <c r="B583" s="14"/>
      <c r="C583" s="15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</row>
    <row r="584" spans="2:42" ht="12.5" x14ac:dyDescent="0.25">
      <c r="B584" s="14"/>
      <c r="C584" s="15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</row>
    <row r="585" spans="2:42" ht="12.5" x14ac:dyDescent="0.25">
      <c r="B585" s="14"/>
      <c r="C585" s="15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</row>
    <row r="586" spans="2:42" ht="12.5" x14ac:dyDescent="0.25">
      <c r="B586" s="14"/>
      <c r="C586" s="15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</row>
    <row r="587" spans="2:42" ht="12.5" x14ac:dyDescent="0.25">
      <c r="B587" s="14"/>
      <c r="C587" s="15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</row>
    <row r="588" spans="2:42" ht="12.5" x14ac:dyDescent="0.25">
      <c r="B588" s="14"/>
      <c r="C588" s="15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</row>
    <row r="589" spans="2:42" ht="12.5" x14ac:dyDescent="0.25">
      <c r="B589" s="14"/>
      <c r="C589" s="15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</row>
    <row r="590" spans="2:42" ht="12.5" x14ac:dyDescent="0.25">
      <c r="B590" s="14"/>
      <c r="C590" s="15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</row>
    <row r="591" spans="2:42" ht="12.5" x14ac:dyDescent="0.25">
      <c r="B591" s="14"/>
      <c r="C591" s="15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</row>
    <row r="592" spans="2:42" ht="12.5" x14ac:dyDescent="0.25">
      <c r="B592" s="14"/>
      <c r="C592" s="15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</row>
    <row r="593" spans="2:42" ht="12.5" x14ac:dyDescent="0.25">
      <c r="B593" s="14"/>
      <c r="C593" s="15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</row>
    <row r="594" spans="2:42" ht="12.5" x14ac:dyDescent="0.25">
      <c r="B594" s="14"/>
      <c r="C594" s="15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</row>
    <row r="595" spans="2:42" ht="12.5" x14ac:dyDescent="0.25">
      <c r="B595" s="14"/>
      <c r="C595" s="15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</row>
    <row r="596" spans="2:42" ht="12.5" x14ac:dyDescent="0.25">
      <c r="B596" s="14"/>
      <c r="C596" s="15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</row>
    <row r="597" spans="2:42" ht="12.5" x14ac:dyDescent="0.25">
      <c r="B597" s="14"/>
      <c r="C597" s="15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</row>
    <row r="598" spans="2:42" ht="12.5" x14ac:dyDescent="0.25">
      <c r="B598" s="14"/>
      <c r="C598" s="15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</row>
    <row r="599" spans="2:42" ht="12.5" x14ac:dyDescent="0.25">
      <c r="B599" s="14"/>
      <c r="C599" s="15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</row>
    <row r="600" spans="2:42" ht="12.5" x14ac:dyDescent="0.25">
      <c r="B600" s="14"/>
      <c r="C600" s="15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</row>
    <row r="601" spans="2:42" ht="12.5" x14ac:dyDescent="0.25">
      <c r="B601" s="14"/>
      <c r="C601" s="15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</row>
    <row r="602" spans="2:42" ht="12.5" x14ac:dyDescent="0.25">
      <c r="B602" s="14"/>
      <c r="C602" s="15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</row>
    <row r="603" spans="2:42" ht="12.5" x14ac:dyDescent="0.25">
      <c r="B603" s="14"/>
      <c r="C603" s="15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</row>
    <row r="604" spans="2:42" ht="12.5" x14ac:dyDescent="0.25">
      <c r="B604" s="14"/>
      <c r="C604" s="15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</row>
    <row r="605" spans="2:42" ht="12.5" x14ac:dyDescent="0.25">
      <c r="B605" s="14"/>
      <c r="C605" s="15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</row>
    <row r="606" spans="2:42" ht="12.5" x14ac:dyDescent="0.25">
      <c r="B606" s="14"/>
      <c r="C606" s="15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</row>
    <row r="607" spans="2:42" ht="12.5" x14ac:dyDescent="0.25">
      <c r="B607" s="14"/>
      <c r="C607" s="15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</row>
    <row r="608" spans="2:42" ht="12.5" x14ac:dyDescent="0.25">
      <c r="B608" s="14"/>
      <c r="C608" s="15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</row>
    <row r="609" spans="2:42" ht="12.5" x14ac:dyDescent="0.25">
      <c r="B609" s="14"/>
      <c r="C609" s="15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</row>
    <row r="610" spans="2:42" ht="12.5" x14ac:dyDescent="0.25">
      <c r="B610" s="14"/>
      <c r="C610" s="15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</row>
    <row r="611" spans="2:42" ht="12.5" x14ac:dyDescent="0.25">
      <c r="B611" s="14"/>
      <c r="C611" s="15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</row>
    <row r="612" spans="2:42" ht="12.5" x14ac:dyDescent="0.25">
      <c r="B612" s="14"/>
      <c r="C612" s="15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</row>
    <row r="613" spans="2:42" ht="12.5" x14ac:dyDescent="0.25">
      <c r="B613" s="14"/>
      <c r="C613" s="15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</row>
    <row r="614" spans="2:42" ht="12.5" x14ac:dyDescent="0.25">
      <c r="B614" s="14"/>
      <c r="C614" s="15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</row>
    <row r="615" spans="2:42" ht="12.5" x14ac:dyDescent="0.25">
      <c r="B615" s="14"/>
      <c r="C615" s="15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</row>
    <row r="616" spans="2:42" ht="12.5" x14ac:dyDescent="0.25">
      <c r="B616" s="14"/>
      <c r="C616" s="15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</row>
    <row r="617" spans="2:42" ht="12.5" x14ac:dyDescent="0.25">
      <c r="B617" s="14"/>
      <c r="C617" s="15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</row>
    <row r="618" spans="2:42" ht="12.5" x14ac:dyDescent="0.25">
      <c r="B618" s="14"/>
      <c r="C618" s="15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</row>
    <row r="619" spans="2:42" ht="12.5" x14ac:dyDescent="0.25">
      <c r="B619" s="14"/>
      <c r="C619" s="15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</row>
    <row r="620" spans="2:42" ht="12.5" x14ac:dyDescent="0.25">
      <c r="B620" s="14"/>
      <c r="C620" s="15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</row>
    <row r="621" spans="2:42" ht="12.5" x14ac:dyDescent="0.25">
      <c r="B621" s="14"/>
      <c r="C621" s="15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</row>
    <row r="622" spans="2:42" ht="12.5" x14ac:dyDescent="0.25">
      <c r="B622" s="14"/>
      <c r="C622" s="15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</row>
    <row r="623" spans="2:42" ht="12.5" x14ac:dyDescent="0.25">
      <c r="B623" s="14"/>
      <c r="C623" s="15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</row>
    <row r="624" spans="2:42" ht="12.5" x14ac:dyDescent="0.25">
      <c r="B624" s="14"/>
      <c r="C624" s="15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</row>
    <row r="625" spans="2:42" ht="12.5" x14ac:dyDescent="0.25">
      <c r="B625" s="14"/>
      <c r="C625" s="15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</row>
    <row r="626" spans="2:42" ht="12.5" x14ac:dyDescent="0.25">
      <c r="B626" s="14"/>
      <c r="C626" s="15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</row>
    <row r="627" spans="2:42" ht="12.5" x14ac:dyDescent="0.25">
      <c r="B627" s="14"/>
      <c r="C627" s="15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</row>
    <row r="628" spans="2:42" ht="12.5" x14ac:dyDescent="0.25">
      <c r="B628" s="14"/>
      <c r="C628" s="15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</row>
    <row r="629" spans="2:42" ht="12.5" x14ac:dyDescent="0.25">
      <c r="B629" s="14"/>
      <c r="C629" s="15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</row>
    <row r="630" spans="2:42" ht="12.5" x14ac:dyDescent="0.25">
      <c r="B630" s="14"/>
      <c r="C630" s="15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</row>
    <row r="631" spans="2:42" ht="12.5" x14ac:dyDescent="0.25">
      <c r="B631" s="14"/>
      <c r="C631" s="15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</row>
    <row r="632" spans="2:42" ht="12.5" x14ac:dyDescent="0.25">
      <c r="B632" s="14"/>
      <c r="C632" s="15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</row>
    <row r="633" spans="2:42" ht="12.5" x14ac:dyDescent="0.25">
      <c r="B633" s="14"/>
      <c r="C633" s="15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</row>
    <row r="634" spans="2:42" ht="12.5" x14ac:dyDescent="0.25">
      <c r="B634" s="14"/>
      <c r="C634" s="15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</row>
    <row r="635" spans="2:42" ht="12.5" x14ac:dyDescent="0.25">
      <c r="B635" s="14"/>
      <c r="C635" s="15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</row>
    <row r="636" spans="2:42" ht="12.5" x14ac:dyDescent="0.25">
      <c r="B636" s="14"/>
      <c r="C636" s="15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</row>
    <row r="637" spans="2:42" ht="12.5" x14ac:dyDescent="0.25">
      <c r="B637" s="14"/>
      <c r="C637" s="15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</row>
    <row r="638" spans="2:42" ht="12.5" x14ac:dyDescent="0.25">
      <c r="B638" s="14"/>
      <c r="C638" s="15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</row>
    <row r="639" spans="2:42" ht="12.5" x14ac:dyDescent="0.25">
      <c r="B639" s="14"/>
      <c r="C639" s="15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</row>
    <row r="640" spans="2:42" ht="12.5" x14ac:dyDescent="0.25">
      <c r="B640" s="14"/>
      <c r="C640" s="15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</row>
    <row r="641" spans="2:42" ht="12.5" x14ac:dyDescent="0.25">
      <c r="B641" s="14"/>
      <c r="C641" s="15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</row>
    <row r="642" spans="2:42" ht="12.5" x14ac:dyDescent="0.25">
      <c r="B642" s="14"/>
      <c r="C642" s="15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</row>
    <row r="643" spans="2:42" ht="12.5" x14ac:dyDescent="0.25">
      <c r="B643" s="14"/>
      <c r="C643" s="15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</row>
    <row r="644" spans="2:42" ht="12.5" x14ac:dyDescent="0.25">
      <c r="B644" s="14"/>
      <c r="C644" s="15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</row>
    <row r="645" spans="2:42" ht="12.5" x14ac:dyDescent="0.25">
      <c r="B645" s="14"/>
      <c r="C645" s="15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</row>
    <row r="646" spans="2:42" ht="12.5" x14ac:dyDescent="0.25">
      <c r="B646" s="14"/>
      <c r="C646" s="15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</row>
    <row r="647" spans="2:42" ht="12.5" x14ac:dyDescent="0.25">
      <c r="B647" s="14"/>
      <c r="C647" s="15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</row>
    <row r="648" spans="2:42" ht="12.5" x14ac:dyDescent="0.25">
      <c r="B648" s="14"/>
      <c r="C648" s="15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</row>
    <row r="649" spans="2:42" ht="12.5" x14ac:dyDescent="0.25">
      <c r="B649" s="14"/>
      <c r="C649" s="15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</row>
    <row r="650" spans="2:42" ht="12.5" x14ac:dyDescent="0.25">
      <c r="B650" s="14"/>
      <c r="C650" s="15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</row>
    <row r="651" spans="2:42" ht="12.5" x14ac:dyDescent="0.25">
      <c r="B651" s="14"/>
      <c r="C651" s="15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</row>
    <row r="652" spans="2:42" ht="12.5" x14ac:dyDescent="0.25">
      <c r="B652" s="14"/>
      <c r="C652" s="15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</row>
    <row r="653" spans="2:42" ht="12.5" x14ac:dyDescent="0.25">
      <c r="B653" s="14"/>
      <c r="C653" s="15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</row>
    <row r="654" spans="2:42" ht="12.5" x14ac:dyDescent="0.25">
      <c r="B654" s="14"/>
      <c r="C654" s="15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</row>
    <row r="655" spans="2:42" ht="12.5" x14ac:dyDescent="0.25">
      <c r="B655" s="14"/>
      <c r="C655" s="15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</row>
    <row r="656" spans="2:42" ht="12.5" x14ac:dyDescent="0.25">
      <c r="B656" s="14"/>
      <c r="C656" s="15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</row>
    <row r="657" spans="2:42" ht="12.5" x14ac:dyDescent="0.25">
      <c r="B657" s="14"/>
      <c r="C657" s="15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</row>
    <row r="658" spans="2:42" ht="12.5" x14ac:dyDescent="0.25">
      <c r="B658" s="14"/>
      <c r="C658" s="15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</row>
    <row r="659" spans="2:42" ht="12.5" x14ac:dyDescent="0.25">
      <c r="B659" s="14"/>
      <c r="C659" s="15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</row>
    <row r="660" spans="2:42" ht="12.5" x14ac:dyDescent="0.25">
      <c r="B660" s="14"/>
      <c r="C660" s="15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</row>
    <row r="661" spans="2:42" ht="12.5" x14ac:dyDescent="0.25">
      <c r="B661" s="14"/>
      <c r="C661" s="15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</row>
    <row r="662" spans="2:42" ht="12.5" x14ac:dyDescent="0.25">
      <c r="B662" s="14"/>
      <c r="C662" s="15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</row>
    <row r="663" spans="2:42" ht="12.5" x14ac:dyDescent="0.25">
      <c r="B663" s="14"/>
      <c r="C663" s="15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</row>
    <row r="664" spans="2:42" ht="12.5" x14ac:dyDescent="0.25">
      <c r="B664" s="14"/>
      <c r="C664" s="15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</row>
    <row r="665" spans="2:42" ht="12.5" x14ac:dyDescent="0.25">
      <c r="B665" s="14"/>
      <c r="C665" s="15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</row>
    <row r="666" spans="2:42" ht="12.5" x14ac:dyDescent="0.25">
      <c r="B666" s="14"/>
      <c r="C666" s="15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</row>
    <row r="667" spans="2:42" ht="12.5" x14ac:dyDescent="0.25">
      <c r="B667" s="14"/>
      <c r="C667" s="15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</row>
    <row r="668" spans="2:42" ht="12.5" x14ac:dyDescent="0.25">
      <c r="B668" s="14"/>
      <c r="C668" s="15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</row>
    <row r="669" spans="2:42" ht="12.5" x14ac:dyDescent="0.25">
      <c r="B669" s="14"/>
      <c r="C669" s="15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</row>
    <row r="670" spans="2:42" ht="12.5" x14ac:dyDescent="0.25">
      <c r="B670" s="14"/>
      <c r="C670" s="15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</row>
    <row r="671" spans="2:42" ht="12.5" x14ac:dyDescent="0.25">
      <c r="B671" s="14"/>
      <c r="C671" s="15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</row>
    <row r="672" spans="2:42" ht="12.5" x14ac:dyDescent="0.25">
      <c r="B672" s="14"/>
      <c r="C672" s="15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</row>
    <row r="673" spans="2:42" ht="12.5" x14ac:dyDescent="0.25">
      <c r="B673" s="14"/>
      <c r="C673" s="15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</row>
    <row r="674" spans="2:42" ht="12.5" x14ac:dyDescent="0.25">
      <c r="B674" s="14"/>
      <c r="C674" s="15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</row>
    <row r="675" spans="2:42" ht="12.5" x14ac:dyDescent="0.25">
      <c r="B675" s="14"/>
      <c r="C675" s="15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</row>
    <row r="676" spans="2:42" ht="12.5" x14ac:dyDescent="0.25">
      <c r="B676" s="14"/>
      <c r="C676" s="15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</row>
    <row r="677" spans="2:42" ht="12.5" x14ac:dyDescent="0.25">
      <c r="B677" s="14"/>
      <c r="C677" s="15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</row>
    <row r="678" spans="2:42" ht="12.5" x14ac:dyDescent="0.25">
      <c r="B678" s="14"/>
      <c r="C678" s="15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</row>
    <row r="679" spans="2:42" ht="12.5" x14ac:dyDescent="0.25">
      <c r="B679" s="14"/>
      <c r="C679" s="15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</row>
    <row r="680" spans="2:42" ht="12.5" x14ac:dyDescent="0.25">
      <c r="B680" s="14"/>
      <c r="C680" s="15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</row>
    <row r="681" spans="2:42" ht="12.5" x14ac:dyDescent="0.25">
      <c r="B681" s="14"/>
      <c r="C681" s="15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</row>
    <row r="682" spans="2:42" ht="12.5" x14ac:dyDescent="0.25">
      <c r="B682" s="14"/>
      <c r="C682" s="15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</row>
    <row r="683" spans="2:42" ht="12.5" x14ac:dyDescent="0.25">
      <c r="B683" s="14"/>
      <c r="C683" s="15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</row>
    <row r="684" spans="2:42" ht="12.5" x14ac:dyDescent="0.25">
      <c r="B684" s="14"/>
      <c r="C684" s="15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</row>
    <row r="685" spans="2:42" ht="12.5" x14ac:dyDescent="0.25">
      <c r="B685" s="14"/>
      <c r="C685" s="15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</row>
    <row r="686" spans="2:42" ht="12.5" x14ac:dyDescent="0.25">
      <c r="B686" s="14"/>
      <c r="C686" s="15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</row>
    <row r="687" spans="2:42" ht="12.5" x14ac:dyDescent="0.25">
      <c r="B687" s="14"/>
      <c r="C687" s="15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</row>
    <row r="688" spans="2:42" ht="12.5" x14ac:dyDescent="0.25">
      <c r="B688" s="14"/>
      <c r="C688" s="15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</row>
    <row r="689" spans="2:42" ht="12.5" x14ac:dyDescent="0.25">
      <c r="B689" s="14"/>
      <c r="C689" s="15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</row>
    <row r="690" spans="2:42" ht="12.5" x14ac:dyDescent="0.25">
      <c r="B690" s="14"/>
      <c r="C690" s="15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</row>
    <row r="691" spans="2:42" ht="12.5" x14ac:dyDescent="0.25">
      <c r="B691" s="14"/>
      <c r="C691" s="15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</row>
    <row r="692" spans="2:42" ht="12.5" x14ac:dyDescent="0.25">
      <c r="B692" s="14"/>
      <c r="C692" s="15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</row>
    <row r="693" spans="2:42" ht="12.5" x14ac:dyDescent="0.25">
      <c r="B693" s="14"/>
      <c r="C693" s="15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</row>
    <row r="694" spans="2:42" ht="12.5" x14ac:dyDescent="0.25">
      <c r="B694" s="14"/>
      <c r="C694" s="15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</row>
    <row r="695" spans="2:42" ht="12.5" x14ac:dyDescent="0.25">
      <c r="B695" s="14"/>
      <c r="C695" s="15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</row>
    <row r="696" spans="2:42" ht="12.5" x14ac:dyDescent="0.25">
      <c r="B696" s="14"/>
      <c r="C696" s="15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</row>
    <row r="697" spans="2:42" ht="12.5" x14ac:dyDescent="0.25">
      <c r="B697" s="14"/>
      <c r="C697" s="15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</row>
    <row r="698" spans="2:42" ht="12.5" x14ac:dyDescent="0.25">
      <c r="B698" s="14"/>
      <c r="C698" s="15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</row>
    <row r="699" spans="2:42" ht="12.5" x14ac:dyDescent="0.25">
      <c r="B699" s="14"/>
      <c r="C699" s="15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</row>
    <row r="700" spans="2:42" ht="12.5" x14ac:dyDescent="0.25">
      <c r="B700" s="14"/>
      <c r="C700" s="15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</row>
    <row r="701" spans="2:42" ht="12.5" x14ac:dyDescent="0.25">
      <c r="B701" s="14"/>
      <c r="C701" s="15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</row>
    <row r="702" spans="2:42" ht="12.5" x14ac:dyDescent="0.25">
      <c r="B702" s="14"/>
      <c r="C702" s="15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</row>
    <row r="703" spans="2:42" ht="12.5" x14ac:dyDescent="0.25">
      <c r="B703" s="14"/>
      <c r="C703" s="15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</row>
    <row r="704" spans="2:42" ht="12.5" x14ac:dyDescent="0.25">
      <c r="B704" s="14"/>
      <c r="C704" s="15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</row>
    <row r="705" spans="2:42" ht="12.5" x14ac:dyDescent="0.25">
      <c r="B705" s="14"/>
      <c r="C705" s="15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</row>
    <row r="706" spans="2:42" ht="12.5" x14ac:dyDescent="0.25">
      <c r="B706" s="14"/>
      <c r="C706" s="15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</row>
    <row r="707" spans="2:42" ht="12.5" x14ac:dyDescent="0.25">
      <c r="B707" s="14"/>
      <c r="C707" s="15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</row>
    <row r="708" spans="2:42" ht="12.5" x14ac:dyDescent="0.25">
      <c r="B708" s="14"/>
      <c r="C708" s="15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</row>
    <row r="709" spans="2:42" ht="12.5" x14ac:dyDescent="0.25">
      <c r="B709" s="14"/>
      <c r="C709" s="15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</row>
    <row r="710" spans="2:42" ht="12.5" x14ac:dyDescent="0.25">
      <c r="B710" s="14"/>
      <c r="C710" s="15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</row>
    <row r="711" spans="2:42" ht="12.5" x14ac:dyDescent="0.25">
      <c r="B711" s="14"/>
      <c r="C711" s="15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</row>
    <row r="712" spans="2:42" ht="12.5" x14ac:dyDescent="0.25">
      <c r="B712" s="14"/>
      <c r="C712" s="15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</row>
    <row r="713" spans="2:42" ht="12.5" x14ac:dyDescent="0.25">
      <c r="B713" s="14"/>
      <c r="C713" s="15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</row>
    <row r="714" spans="2:42" ht="12.5" x14ac:dyDescent="0.25">
      <c r="B714" s="14"/>
      <c r="C714" s="15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</row>
    <row r="715" spans="2:42" ht="12.5" x14ac:dyDescent="0.25">
      <c r="B715" s="14"/>
      <c r="C715" s="15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</row>
    <row r="716" spans="2:42" ht="12.5" x14ac:dyDescent="0.25">
      <c r="B716" s="14"/>
      <c r="C716" s="15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</row>
    <row r="717" spans="2:42" ht="12.5" x14ac:dyDescent="0.25">
      <c r="B717" s="14"/>
      <c r="C717" s="15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</row>
    <row r="718" spans="2:42" ht="12.5" x14ac:dyDescent="0.25">
      <c r="B718" s="14"/>
      <c r="C718" s="15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</row>
    <row r="719" spans="2:42" ht="12.5" x14ac:dyDescent="0.25">
      <c r="B719" s="14"/>
      <c r="C719" s="15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</row>
    <row r="720" spans="2:42" ht="12.5" x14ac:dyDescent="0.25">
      <c r="B720" s="14"/>
      <c r="C720" s="15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</row>
    <row r="721" spans="2:42" ht="12.5" x14ac:dyDescent="0.25">
      <c r="B721" s="14"/>
      <c r="C721" s="15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</row>
    <row r="722" spans="2:42" ht="12.5" x14ac:dyDescent="0.25">
      <c r="B722" s="14"/>
      <c r="C722" s="15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</row>
    <row r="723" spans="2:42" ht="12.5" x14ac:dyDescent="0.25">
      <c r="B723" s="14"/>
      <c r="C723" s="15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</row>
    <row r="724" spans="2:42" ht="12.5" x14ac:dyDescent="0.25">
      <c r="B724" s="14"/>
      <c r="C724" s="15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</row>
    <row r="725" spans="2:42" ht="12.5" x14ac:dyDescent="0.25">
      <c r="B725" s="14"/>
      <c r="C725" s="15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</row>
    <row r="726" spans="2:42" ht="12.5" x14ac:dyDescent="0.25">
      <c r="B726" s="14"/>
      <c r="C726" s="15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</row>
    <row r="727" spans="2:42" ht="12.5" x14ac:dyDescent="0.25">
      <c r="B727" s="14"/>
      <c r="C727" s="15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</row>
    <row r="728" spans="2:42" ht="12.5" x14ac:dyDescent="0.25">
      <c r="B728" s="14"/>
      <c r="C728" s="15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</row>
    <row r="729" spans="2:42" ht="12.5" x14ac:dyDescent="0.25">
      <c r="B729" s="14"/>
      <c r="C729" s="15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</row>
    <row r="730" spans="2:42" ht="12.5" x14ac:dyDescent="0.25">
      <c r="B730" s="14"/>
      <c r="C730" s="15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</row>
    <row r="731" spans="2:42" ht="12.5" x14ac:dyDescent="0.25">
      <c r="B731" s="14"/>
      <c r="C731" s="15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</row>
    <row r="732" spans="2:42" ht="12.5" x14ac:dyDescent="0.25">
      <c r="B732" s="14"/>
      <c r="C732" s="15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</row>
    <row r="733" spans="2:42" ht="12.5" x14ac:dyDescent="0.25">
      <c r="B733" s="14"/>
      <c r="C733" s="15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</row>
    <row r="734" spans="2:42" ht="12.5" x14ac:dyDescent="0.25">
      <c r="B734" s="14"/>
      <c r="C734" s="15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</row>
    <row r="735" spans="2:42" ht="12.5" x14ac:dyDescent="0.25">
      <c r="B735" s="14"/>
      <c r="C735" s="15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</row>
    <row r="736" spans="2:42" ht="12.5" x14ac:dyDescent="0.25">
      <c r="B736" s="14"/>
      <c r="C736" s="15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</row>
    <row r="737" spans="2:42" ht="12.5" x14ac:dyDescent="0.25">
      <c r="B737" s="14"/>
      <c r="C737" s="15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</row>
    <row r="738" spans="2:42" ht="12.5" x14ac:dyDescent="0.25">
      <c r="B738" s="14"/>
      <c r="C738" s="15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</row>
    <row r="739" spans="2:42" ht="12.5" x14ac:dyDescent="0.25">
      <c r="B739" s="14"/>
      <c r="C739" s="15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</row>
    <row r="740" spans="2:42" ht="12.5" x14ac:dyDescent="0.25">
      <c r="B740" s="14"/>
      <c r="C740" s="15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</row>
    <row r="741" spans="2:42" ht="12.5" x14ac:dyDescent="0.25">
      <c r="B741" s="14"/>
      <c r="C741" s="15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</row>
    <row r="742" spans="2:42" ht="12.5" x14ac:dyDescent="0.25">
      <c r="B742" s="14"/>
      <c r="C742" s="15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</row>
    <row r="743" spans="2:42" ht="12.5" x14ac:dyDescent="0.25">
      <c r="B743" s="14"/>
      <c r="C743" s="15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</row>
    <row r="744" spans="2:42" ht="12.5" x14ac:dyDescent="0.25">
      <c r="B744" s="14"/>
      <c r="C744" s="15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</row>
    <row r="745" spans="2:42" ht="12.5" x14ac:dyDescent="0.25">
      <c r="B745" s="14"/>
      <c r="C745" s="15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</row>
    <row r="746" spans="2:42" ht="12.5" x14ac:dyDescent="0.25">
      <c r="B746" s="14"/>
      <c r="C746" s="15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</row>
    <row r="747" spans="2:42" ht="12.5" x14ac:dyDescent="0.25">
      <c r="B747" s="14"/>
      <c r="C747" s="15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</row>
    <row r="748" spans="2:42" ht="12.5" x14ac:dyDescent="0.25">
      <c r="B748" s="14"/>
      <c r="C748" s="15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</row>
    <row r="749" spans="2:42" ht="12.5" x14ac:dyDescent="0.25">
      <c r="B749" s="14"/>
      <c r="C749" s="15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</row>
    <row r="750" spans="2:42" ht="12.5" x14ac:dyDescent="0.25">
      <c r="B750" s="14"/>
      <c r="C750" s="15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</row>
    <row r="751" spans="2:42" ht="12.5" x14ac:dyDescent="0.25">
      <c r="B751" s="14"/>
      <c r="C751" s="15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</row>
    <row r="752" spans="2:42" ht="12.5" x14ac:dyDescent="0.25">
      <c r="B752" s="14"/>
      <c r="C752" s="15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</row>
    <row r="753" spans="2:42" ht="12.5" x14ac:dyDescent="0.25">
      <c r="B753" s="14"/>
      <c r="C753" s="15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</row>
    <row r="754" spans="2:42" ht="12.5" x14ac:dyDescent="0.25">
      <c r="B754" s="14"/>
      <c r="C754" s="15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</row>
    <row r="755" spans="2:42" ht="12.5" x14ac:dyDescent="0.25">
      <c r="B755" s="14"/>
      <c r="C755" s="15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</row>
    <row r="756" spans="2:42" ht="12.5" x14ac:dyDescent="0.25">
      <c r="B756" s="14"/>
      <c r="C756" s="15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</row>
    <row r="757" spans="2:42" ht="12.5" x14ac:dyDescent="0.25">
      <c r="B757" s="14"/>
      <c r="C757" s="15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</row>
    <row r="758" spans="2:42" ht="12.5" x14ac:dyDescent="0.25">
      <c r="B758" s="14"/>
      <c r="C758" s="15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</row>
    <row r="759" spans="2:42" ht="12.5" x14ac:dyDescent="0.25">
      <c r="B759" s="14"/>
      <c r="C759" s="15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</row>
    <row r="760" spans="2:42" ht="12.5" x14ac:dyDescent="0.25">
      <c r="B760" s="14"/>
      <c r="C760" s="15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</row>
    <row r="761" spans="2:42" ht="12.5" x14ac:dyDescent="0.25">
      <c r="B761" s="14"/>
      <c r="C761" s="15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</row>
    <row r="762" spans="2:42" ht="12.5" x14ac:dyDescent="0.25">
      <c r="B762" s="14"/>
      <c r="C762" s="15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</row>
    <row r="763" spans="2:42" ht="12.5" x14ac:dyDescent="0.25">
      <c r="B763" s="14"/>
      <c r="C763" s="15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</row>
    <row r="764" spans="2:42" ht="12.5" x14ac:dyDescent="0.25">
      <c r="B764" s="14"/>
      <c r="C764" s="15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</row>
    <row r="765" spans="2:42" ht="12.5" x14ac:dyDescent="0.25">
      <c r="B765" s="14"/>
      <c r="C765" s="15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</row>
    <row r="766" spans="2:42" ht="12.5" x14ac:dyDescent="0.25">
      <c r="B766" s="14"/>
      <c r="C766" s="15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</row>
    <row r="767" spans="2:42" ht="12.5" x14ac:dyDescent="0.25">
      <c r="B767" s="14"/>
      <c r="C767" s="15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</row>
    <row r="768" spans="2:42" ht="12.5" x14ac:dyDescent="0.25">
      <c r="B768" s="14"/>
      <c r="C768" s="15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</row>
    <row r="769" spans="2:42" ht="12.5" x14ac:dyDescent="0.25">
      <c r="B769" s="14"/>
      <c r="C769" s="15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</row>
    <row r="770" spans="2:42" ht="12.5" x14ac:dyDescent="0.25">
      <c r="B770" s="14"/>
      <c r="C770" s="15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</row>
    <row r="771" spans="2:42" ht="12.5" x14ac:dyDescent="0.25">
      <c r="B771" s="14"/>
      <c r="C771" s="15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</row>
    <row r="772" spans="2:42" ht="12.5" x14ac:dyDescent="0.25">
      <c r="B772" s="14"/>
      <c r="C772" s="15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</row>
    <row r="773" spans="2:42" ht="12.5" x14ac:dyDescent="0.25">
      <c r="B773" s="14"/>
      <c r="C773" s="15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</row>
    <row r="774" spans="2:42" ht="12.5" x14ac:dyDescent="0.25">
      <c r="B774" s="14"/>
      <c r="C774" s="15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</row>
    <row r="775" spans="2:42" ht="12.5" x14ac:dyDescent="0.25">
      <c r="B775" s="14"/>
      <c r="C775" s="15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</row>
    <row r="776" spans="2:42" ht="12.5" x14ac:dyDescent="0.25">
      <c r="B776" s="14"/>
      <c r="C776" s="15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</row>
    <row r="777" spans="2:42" ht="12.5" x14ac:dyDescent="0.25">
      <c r="B777" s="14"/>
      <c r="C777" s="15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</row>
    <row r="778" spans="2:42" ht="12.5" x14ac:dyDescent="0.25">
      <c r="B778" s="14"/>
      <c r="C778" s="15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</row>
    <row r="779" spans="2:42" ht="12.5" x14ac:dyDescent="0.25">
      <c r="B779" s="14"/>
      <c r="C779" s="15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</row>
    <row r="780" spans="2:42" ht="12.5" x14ac:dyDescent="0.25">
      <c r="B780" s="14"/>
      <c r="C780" s="15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</row>
    <row r="781" spans="2:42" ht="12.5" x14ac:dyDescent="0.25">
      <c r="B781" s="14"/>
      <c r="C781" s="15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</row>
    <row r="782" spans="2:42" ht="12.5" x14ac:dyDescent="0.25">
      <c r="B782" s="14"/>
      <c r="C782" s="15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</row>
    <row r="783" spans="2:42" ht="12.5" x14ac:dyDescent="0.25">
      <c r="B783" s="14"/>
      <c r="C783" s="15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</row>
    <row r="784" spans="2:42" ht="12.5" x14ac:dyDescent="0.25">
      <c r="B784" s="14"/>
      <c r="C784" s="15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</row>
    <row r="785" spans="2:42" ht="12.5" x14ac:dyDescent="0.25">
      <c r="B785" s="14"/>
      <c r="C785" s="15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</row>
    <row r="786" spans="2:42" ht="12.5" x14ac:dyDescent="0.25">
      <c r="B786" s="14"/>
      <c r="C786" s="15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</row>
    <row r="787" spans="2:42" ht="12.5" x14ac:dyDescent="0.25">
      <c r="B787" s="14"/>
      <c r="C787" s="15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</row>
    <row r="788" spans="2:42" ht="12.5" x14ac:dyDescent="0.25">
      <c r="B788" s="14"/>
      <c r="C788" s="15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</row>
    <row r="789" spans="2:42" ht="12.5" x14ac:dyDescent="0.25">
      <c r="B789" s="14"/>
      <c r="C789" s="15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</row>
    <row r="790" spans="2:42" ht="12.5" x14ac:dyDescent="0.25">
      <c r="B790" s="14"/>
      <c r="C790" s="15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</row>
    <row r="791" spans="2:42" ht="12.5" x14ac:dyDescent="0.25">
      <c r="B791" s="14"/>
      <c r="C791" s="15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</row>
    <row r="792" spans="2:42" ht="12.5" x14ac:dyDescent="0.25">
      <c r="B792" s="14"/>
      <c r="C792" s="15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</row>
    <row r="793" spans="2:42" ht="12.5" x14ac:dyDescent="0.25">
      <c r="B793" s="14"/>
      <c r="C793" s="15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</row>
    <row r="794" spans="2:42" ht="12.5" x14ac:dyDescent="0.25">
      <c r="B794" s="14"/>
      <c r="C794" s="15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</row>
    <row r="795" spans="2:42" ht="12.5" x14ac:dyDescent="0.25">
      <c r="B795" s="14"/>
      <c r="C795" s="15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</row>
    <row r="796" spans="2:42" ht="12.5" x14ac:dyDescent="0.25">
      <c r="B796" s="14"/>
      <c r="C796" s="15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</row>
    <row r="797" spans="2:42" ht="12.5" x14ac:dyDescent="0.25">
      <c r="B797" s="14"/>
      <c r="C797" s="15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</row>
    <row r="798" spans="2:42" ht="12.5" x14ac:dyDescent="0.25">
      <c r="B798" s="14"/>
      <c r="C798" s="15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</row>
    <row r="799" spans="2:42" ht="12.5" x14ac:dyDescent="0.25">
      <c r="B799" s="14"/>
      <c r="C799" s="15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</row>
    <row r="800" spans="2:42" ht="12.5" x14ac:dyDescent="0.25">
      <c r="B800" s="14"/>
      <c r="C800" s="15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</row>
    <row r="801" spans="2:42" ht="12.5" x14ac:dyDescent="0.25">
      <c r="B801" s="14"/>
      <c r="C801" s="15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</row>
    <row r="802" spans="2:42" ht="12.5" x14ac:dyDescent="0.25">
      <c r="B802" s="14"/>
      <c r="C802" s="15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</row>
    <row r="803" spans="2:42" ht="12.5" x14ac:dyDescent="0.25">
      <c r="B803" s="14"/>
      <c r="C803" s="15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</row>
    <row r="804" spans="2:42" ht="12.5" x14ac:dyDescent="0.25">
      <c r="B804" s="14"/>
      <c r="C804" s="15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</row>
    <row r="805" spans="2:42" ht="12.5" x14ac:dyDescent="0.25">
      <c r="B805" s="14"/>
      <c r="C805" s="15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</row>
    <row r="806" spans="2:42" ht="12.5" x14ac:dyDescent="0.25">
      <c r="B806" s="14"/>
      <c r="C806" s="15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</row>
    <row r="807" spans="2:42" ht="12.5" x14ac:dyDescent="0.25">
      <c r="B807" s="14"/>
      <c r="C807" s="15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</row>
    <row r="808" spans="2:42" ht="12.5" x14ac:dyDescent="0.25">
      <c r="B808" s="14"/>
      <c r="C808" s="15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</row>
    <row r="809" spans="2:42" ht="12.5" x14ac:dyDescent="0.25">
      <c r="B809" s="14"/>
      <c r="C809" s="15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</row>
    <row r="810" spans="2:42" ht="12.5" x14ac:dyDescent="0.25">
      <c r="B810" s="14"/>
      <c r="C810" s="15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</row>
    <row r="811" spans="2:42" ht="12.5" x14ac:dyDescent="0.25">
      <c r="B811" s="14"/>
      <c r="C811" s="15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</row>
    <row r="812" spans="2:42" ht="12.5" x14ac:dyDescent="0.25">
      <c r="B812" s="14"/>
      <c r="C812" s="15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</row>
    <row r="813" spans="2:42" ht="12.5" x14ac:dyDescent="0.25">
      <c r="B813" s="14"/>
      <c r="C813" s="15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</row>
    <row r="814" spans="2:42" ht="12.5" x14ac:dyDescent="0.25">
      <c r="B814" s="14"/>
      <c r="C814" s="15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</row>
    <row r="815" spans="2:42" ht="12.5" x14ac:dyDescent="0.25">
      <c r="B815" s="14"/>
      <c r="C815" s="15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</row>
    <row r="816" spans="2:42" ht="12.5" x14ac:dyDescent="0.25">
      <c r="B816" s="14"/>
      <c r="C816" s="15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</row>
    <row r="817" spans="2:42" ht="12.5" x14ac:dyDescent="0.25">
      <c r="B817" s="14"/>
      <c r="C817" s="15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</row>
    <row r="818" spans="2:42" ht="12.5" x14ac:dyDescent="0.25">
      <c r="B818" s="14"/>
      <c r="C818" s="15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</row>
    <row r="819" spans="2:42" ht="12.5" x14ac:dyDescent="0.25">
      <c r="B819" s="14"/>
      <c r="C819" s="15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</row>
    <row r="820" spans="2:42" ht="12.5" x14ac:dyDescent="0.25">
      <c r="B820" s="14"/>
      <c r="C820" s="15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</row>
    <row r="821" spans="2:42" ht="12.5" x14ac:dyDescent="0.25">
      <c r="B821" s="14"/>
      <c r="C821" s="15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</row>
    <row r="822" spans="2:42" ht="12.5" x14ac:dyDescent="0.25">
      <c r="B822" s="14"/>
      <c r="C822" s="15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</row>
    <row r="823" spans="2:42" ht="12.5" x14ac:dyDescent="0.25">
      <c r="B823" s="14"/>
      <c r="C823" s="15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</row>
    <row r="824" spans="2:42" ht="12.5" x14ac:dyDescent="0.25">
      <c r="B824" s="14"/>
      <c r="C824" s="15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</row>
    <row r="825" spans="2:42" ht="12.5" x14ac:dyDescent="0.25">
      <c r="B825" s="14"/>
      <c r="C825" s="15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</row>
    <row r="826" spans="2:42" ht="12.5" x14ac:dyDescent="0.25">
      <c r="B826" s="14"/>
      <c r="C826" s="15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</row>
    <row r="827" spans="2:42" ht="12.5" x14ac:dyDescent="0.25">
      <c r="B827" s="14"/>
      <c r="C827" s="15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</row>
    <row r="828" spans="2:42" ht="12.5" x14ac:dyDescent="0.25">
      <c r="B828" s="14"/>
      <c r="C828" s="15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</row>
    <row r="829" spans="2:42" ht="12.5" x14ac:dyDescent="0.25">
      <c r="B829" s="14"/>
      <c r="C829" s="15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</row>
    <row r="830" spans="2:42" ht="12.5" x14ac:dyDescent="0.25">
      <c r="B830" s="14"/>
      <c r="C830" s="15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</row>
    <row r="831" spans="2:42" ht="12.5" x14ac:dyDescent="0.25">
      <c r="B831" s="14"/>
      <c r="C831" s="15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</row>
    <row r="832" spans="2:42" ht="12.5" x14ac:dyDescent="0.25">
      <c r="B832" s="14"/>
      <c r="C832" s="15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</row>
    <row r="833" spans="2:42" ht="12.5" x14ac:dyDescent="0.25">
      <c r="B833" s="14"/>
      <c r="C833" s="15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</row>
    <row r="834" spans="2:42" ht="12.5" x14ac:dyDescent="0.25">
      <c r="B834" s="14"/>
      <c r="C834" s="15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</row>
    <row r="835" spans="2:42" ht="12.5" x14ac:dyDescent="0.25">
      <c r="B835" s="14"/>
      <c r="C835" s="15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</row>
    <row r="836" spans="2:42" ht="12.5" x14ac:dyDescent="0.25">
      <c r="B836" s="14"/>
      <c r="C836" s="15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</row>
    <row r="837" spans="2:42" ht="12.5" x14ac:dyDescent="0.25">
      <c r="B837" s="14"/>
      <c r="C837" s="15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</row>
    <row r="838" spans="2:42" ht="12.5" x14ac:dyDescent="0.25">
      <c r="B838" s="14"/>
      <c r="C838" s="15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</row>
    <row r="839" spans="2:42" ht="12.5" x14ac:dyDescent="0.25">
      <c r="B839" s="14"/>
      <c r="C839" s="15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</row>
    <row r="840" spans="2:42" ht="12.5" x14ac:dyDescent="0.25">
      <c r="B840" s="14"/>
      <c r="C840" s="15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</row>
    <row r="841" spans="2:42" ht="12.5" x14ac:dyDescent="0.25">
      <c r="B841" s="14"/>
      <c r="C841" s="15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</row>
    <row r="842" spans="2:42" ht="12.5" x14ac:dyDescent="0.25">
      <c r="B842" s="14"/>
      <c r="C842" s="15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</row>
    <row r="843" spans="2:42" ht="12.5" x14ac:dyDescent="0.25">
      <c r="B843" s="14"/>
      <c r="C843" s="15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</row>
    <row r="844" spans="2:42" ht="12.5" x14ac:dyDescent="0.25">
      <c r="B844" s="14"/>
      <c r="C844" s="15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</row>
    <row r="845" spans="2:42" ht="12.5" x14ac:dyDescent="0.25">
      <c r="B845" s="14"/>
      <c r="C845" s="15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</row>
    <row r="846" spans="2:42" ht="12.5" x14ac:dyDescent="0.25">
      <c r="B846" s="14"/>
      <c r="C846" s="15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</row>
    <row r="847" spans="2:42" ht="12.5" x14ac:dyDescent="0.25">
      <c r="B847" s="14"/>
      <c r="C847" s="15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</row>
    <row r="848" spans="2:42" ht="12.5" x14ac:dyDescent="0.25">
      <c r="B848" s="14"/>
      <c r="C848" s="15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</row>
    <row r="849" spans="2:42" ht="12.5" x14ac:dyDescent="0.25">
      <c r="B849" s="14"/>
      <c r="C849" s="15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</row>
    <row r="850" spans="2:42" ht="12.5" x14ac:dyDescent="0.25">
      <c r="B850" s="14"/>
      <c r="C850" s="15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</row>
    <row r="851" spans="2:42" ht="12.5" x14ac:dyDescent="0.25">
      <c r="B851" s="14"/>
      <c r="C851" s="15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</row>
    <row r="852" spans="2:42" ht="12.5" x14ac:dyDescent="0.25">
      <c r="B852" s="14"/>
      <c r="C852" s="15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</row>
    <row r="853" spans="2:42" ht="12.5" x14ac:dyDescent="0.25">
      <c r="B853" s="14"/>
      <c r="C853" s="15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</row>
    <row r="854" spans="2:42" ht="12.5" x14ac:dyDescent="0.25">
      <c r="B854" s="14"/>
      <c r="C854" s="15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</row>
    <row r="855" spans="2:42" ht="12.5" x14ac:dyDescent="0.25">
      <c r="B855" s="14"/>
      <c r="C855" s="15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</row>
    <row r="856" spans="2:42" ht="12.5" x14ac:dyDescent="0.25">
      <c r="B856" s="14"/>
      <c r="C856" s="15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</row>
    <row r="857" spans="2:42" ht="12.5" x14ac:dyDescent="0.25">
      <c r="B857" s="14"/>
      <c r="C857" s="15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</row>
    <row r="858" spans="2:42" ht="12.5" x14ac:dyDescent="0.25">
      <c r="B858" s="14"/>
      <c r="C858" s="15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</row>
    <row r="859" spans="2:42" ht="12.5" x14ac:dyDescent="0.25">
      <c r="B859" s="14"/>
      <c r="C859" s="15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</row>
    <row r="860" spans="2:42" ht="12.5" x14ac:dyDescent="0.25">
      <c r="B860" s="14"/>
      <c r="C860" s="15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</row>
    <row r="861" spans="2:42" ht="12.5" x14ac:dyDescent="0.25">
      <c r="B861" s="14"/>
      <c r="C861" s="15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</row>
    <row r="862" spans="2:42" ht="12.5" x14ac:dyDescent="0.25">
      <c r="B862" s="14"/>
      <c r="C862" s="15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</row>
    <row r="863" spans="2:42" ht="12.5" x14ac:dyDescent="0.25">
      <c r="B863" s="14"/>
      <c r="C863" s="15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</row>
    <row r="864" spans="2:42" ht="12.5" x14ac:dyDescent="0.25">
      <c r="B864" s="14"/>
      <c r="C864" s="15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</row>
    <row r="865" spans="2:42" ht="12.5" x14ac:dyDescent="0.25">
      <c r="B865" s="14"/>
      <c r="C865" s="15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</row>
    <row r="866" spans="2:42" ht="12.5" x14ac:dyDescent="0.25">
      <c r="B866" s="14"/>
      <c r="C866" s="15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</row>
    <row r="867" spans="2:42" ht="12.5" x14ac:dyDescent="0.25">
      <c r="B867" s="14"/>
      <c r="C867" s="15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</row>
    <row r="868" spans="2:42" ht="12.5" x14ac:dyDescent="0.25">
      <c r="B868" s="14"/>
      <c r="C868" s="15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</row>
    <row r="869" spans="2:42" ht="12.5" x14ac:dyDescent="0.25">
      <c r="B869" s="14"/>
      <c r="C869" s="15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</row>
    <row r="870" spans="2:42" ht="12.5" x14ac:dyDescent="0.25">
      <c r="B870" s="14"/>
      <c r="C870" s="15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</row>
    <row r="871" spans="2:42" ht="12.5" x14ac:dyDescent="0.25">
      <c r="B871" s="14"/>
      <c r="C871" s="15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</row>
    <row r="872" spans="2:42" ht="12.5" x14ac:dyDescent="0.25">
      <c r="B872" s="14"/>
      <c r="C872" s="15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</row>
    <row r="873" spans="2:42" ht="12.5" x14ac:dyDescent="0.25">
      <c r="B873" s="14"/>
      <c r="C873" s="15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</row>
    <row r="874" spans="2:42" ht="12.5" x14ac:dyDescent="0.25">
      <c r="B874" s="14"/>
      <c r="C874" s="15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</row>
    <row r="875" spans="2:42" ht="12.5" x14ac:dyDescent="0.25">
      <c r="B875" s="14"/>
      <c r="C875" s="15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</row>
    <row r="876" spans="2:42" ht="12.5" x14ac:dyDescent="0.25">
      <c r="B876" s="14"/>
      <c r="C876" s="15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</row>
    <row r="877" spans="2:42" ht="12.5" x14ac:dyDescent="0.25">
      <c r="B877" s="14"/>
      <c r="C877" s="15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</row>
    <row r="878" spans="2:42" ht="12.5" x14ac:dyDescent="0.25">
      <c r="B878" s="14"/>
      <c r="C878" s="15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</row>
    <row r="879" spans="2:42" ht="12.5" x14ac:dyDescent="0.25">
      <c r="B879" s="14"/>
      <c r="C879" s="15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</row>
    <row r="880" spans="2:42" ht="12.5" x14ac:dyDescent="0.25">
      <c r="B880" s="14"/>
      <c r="C880" s="15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</row>
    <row r="881" spans="2:42" ht="12.5" x14ac:dyDescent="0.25">
      <c r="B881" s="14"/>
      <c r="C881" s="15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</row>
    <row r="882" spans="2:42" ht="12.5" x14ac:dyDescent="0.25">
      <c r="B882" s="14"/>
      <c r="C882" s="15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</row>
    <row r="883" spans="2:42" ht="12.5" x14ac:dyDescent="0.25">
      <c r="B883" s="14"/>
      <c r="C883" s="15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</row>
    <row r="884" spans="2:42" ht="12.5" x14ac:dyDescent="0.25">
      <c r="B884" s="14"/>
      <c r="C884" s="15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</row>
    <row r="885" spans="2:42" ht="12.5" x14ac:dyDescent="0.25">
      <c r="B885" s="14"/>
      <c r="C885" s="15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</row>
    <row r="886" spans="2:42" ht="12.5" x14ac:dyDescent="0.25">
      <c r="B886" s="14"/>
      <c r="C886" s="15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</row>
    <row r="887" spans="2:42" ht="12.5" x14ac:dyDescent="0.25">
      <c r="B887" s="14"/>
      <c r="C887" s="15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</row>
    <row r="888" spans="2:42" ht="12.5" x14ac:dyDescent="0.25">
      <c r="B888" s="14"/>
      <c r="C888" s="15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</row>
    <row r="889" spans="2:42" ht="12.5" x14ac:dyDescent="0.25">
      <c r="B889" s="14"/>
      <c r="C889" s="15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</row>
    <row r="890" spans="2:42" ht="12.5" x14ac:dyDescent="0.25">
      <c r="B890" s="14"/>
      <c r="C890" s="15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</row>
    <row r="891" spans="2:42" ht="12.5" x14ac:dyDescent="0.25">
      <c r="B891" s="14"/>
      <c r="C891" s="15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</row>
    <row r="892" spans="2:42" ht="12.5" x14ac:dyDescent="0.25">
      <c r="B892" s="14"/>
      <c r="C892" s="15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</row>
    <row r="893" spans="2:42" ht="12.5" x14ac:dyDescent="0.25">
      <c r="B893" s="14"/>
      <c r="C893" s="15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</row>
    <row r="894" spans="2:42" ht="12.5" x14ac:dyDescent="0.25">
      <c r="B894" s="14"/>
      <c r="C894" s="15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</row>
    <row r="895" spans="2:42" ht="12.5" x14ac:dyDescent="0.25">
      <c r="B895" s="14"/>
      <c r="C895" s="15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</row>
    <row r="896" spans="2:42" ht="12.5" x14ac:dyDescent="0.25">
      <c r="B896" s="14"/>
      <c r="C896" s="15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</row>
    <row r="897" spans="2:42" ht="12.5" x14ac:dyDescent="0.25">
      <c r="B897" s="14"/>
      <c r="C897" s="15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</row>
    <row r="898" spans="2:42" ht="12.5" x14ac:dyDescent="0.25">
      <c r="B898" s="14"/>
      <c r="C898" s="15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</row>
    <row r="899" spans="2:42" ht="12.5" x14ac:dyDescent="0.25">
      <c r="B899" s="14"/>
      <c r="C899" s="15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</row>
    <row r="900" spans="2:42" ht="12.5" x14ac:dyDescent="0.25">
      <c r="B900" s="14"/>
      <c r="C900" s="15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</row>
    <row r="901" spans="2:42" ht="12.5" x14ac:dyDescent="0.25">
      <c r="B901" s="14"/>
      <c r="C901" s="15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</row>
    <row r="902" spans="2:42" ht="12.5" x14ac:dyDescent="0.25">
      <c r="B902" s="14"/>
      <c r="C902" s="15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</row>
    <row r="903" spans="2:42" ht="12.5" x14ac:dyDescent="0.25">
      <c r="B903" s="14"/>
      <c r="C903" s="15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</row>
    <row r="904" spans="2:42" ht="12.5" x14ac:dyDescent="0.25">
      <c r="B904" s="14"/>
      <c r="C904" s="15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</row>
    <row r="905" spans="2:42" ht="12.5" x14ac:dyDescent="0.25">
      <c r="B905" s="14"/>
      <c r="C905" s="15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</row>
    <row r="906" spans="2:42" ht="12.5" x14ac:dyDescent="0.25">
      <c r="B906" s="14"/>
      <c r="C906" s="15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</row>
    <row r="907" spans="2:42" ht="12.5" x14ac:dyDescent="0.25">
      <c r="B907" s="14"/>
      <c r="C907" s="15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</row>
    <row r="908" spans="2:42" ht="12.5" x14ac:dyDescent="0.25">
      <c r="B908" s="14"/>
      <c r="C908" s="15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</row>
    <row r="909" spans="2:42" ht="12.5" x14ac:dyDescent="0.25">
      <c r="B909" s="14"/>
      <c r="C909" s="15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</row>
    <row r="910" spans="2:42" ht="12.5" x14ac:dyDescent="0.25">
      <c r="B910" s="14"/>
      <c r="C910" s="15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</row>
    <row r="911" spans="2:42" ht="12.5" x14ac:dyDescent="0.25">
      <c r="B911" s="14"/>
      <c r="C911" s="15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</row>
    <row r="912" spans="2:42" ht="12.5" x14ac:dyDescent="0.25">
      <c r="B912" s="14"/>
      <c r="C912" s="15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</row>
    <row r="913" spans="2:42" ht="12.5" x14ac:dyDescent="0.25">
      <c r="B913" s="14"/>
      <c r="C913" s="15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</row>
    <row r="914" spans="2:42" ht="12.5" x14ac:dyDescent="0.25">
      <c r="B914" s="14"/>
      <c r="C914" s="15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</row>
    <row r="915" spans="2:42" ht="12.5" x14ac:dyDescent="0.25">
      <c r="B915" s="14"/>
      <c r="C915" s="15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</row>
    <row r="916" spans="2:42" ht="12.5" x14ac:dyDescent="0.25">
      <c r="B916" s="14"/>
      <c r="C916" s="15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</row>
    <row r="917" spans="2:42" ht="12.5" x14ac:dyDescent="0.25">
      <c r="B917" s="14"/>
      <c r="C917" s="15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</row>
    <row r="918" spans="2:42" ht="12.5" x14ac:dyDescent="0.25">
      <c r="B918" s="14"/>
      <c r="C918" s="15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</row>
    <row r="919" spans="2:42" ht="12.5" x14ac:dyDescent="0.25">
      <c r="B919" s="14"/>
      <c r="C919" s="15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</row>
    <row r="920" spans="2:42" ht="12.5" x14ac:dyDescent="0.25">
      <c r="B920" s="14"/>
      <c r="C920" s="15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</row>
    <row r="921" spans="2:42" ht="12.5" x14ac:dyDescent="0.25">
      <c r="B921" s="14"/>
      <c r="C921" s="15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</row>
    <row r="922" spans="2:42" ht="12.5" x14ac:dyDescent="0.25">
      <c r="B922" s="14"/>
      <c r="C922" s="15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</row>
    <row r="923" spans="2:42" ht="12.5" x14ac:dyDescent="0.25">
      <c r="B923" s="14"/>
      <c r="C923" s="15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</row>
    <row r="924" spans="2:42" ht="12.5" x14ac:dyDescent="0.25">
      <c r="B924" s="14"/>
      <c r="C924" s="15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</row>
    <row r="925" spans="2:42" ht="12.5" x14ac:dyDescent="0.25">
      <c r="B925" s="14"/>
      <c r="C925" s="15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</row>
    <row r="926" spans="2:42" ht="12.5" x14ac:dyDescent="0.25">
      <c r="B926" s="14"/>
      <c r="C926" s="15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</row>
    <row r="927" spans="2:42" ht="12.5" x14ac:dyDescent="0.25">
      <c r="B927" s="14"/>
      <c r="C927" s="15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</row>
    <row r="928" spans="2:42" ht="12.5" x14ac:dyDescent="0.25">
      <c r="B928" s="14"/>
      <c r="C928" s="15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</row>
    <row r="929" spans="2:42" ht="12.5" x14ac:dyDescent="0.25">
      <c r="B929" s="14"/>
      <c r="C929" s="15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</row>
    <row r="930" spans="2:42" ht="12.5" x14ac:dyDescent="0.25">
      <c r="B930" s="14"/>
      <c r="C930" s="15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</row>
    <row r="931" spans="2:42" ht="12.5" x14ac:dyDescent="0.25">
      <c r="B931" s="14"/>
      <c r="C931" s="15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</row>
    <row r="932" spans="2:42" ht="12.5" x14ac:dyDescent="0.25">
      <c r="B932" s="14"/>
      <c r="C932" s="15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</row>
    <row r="933" spans="2:42" ht="12.5" x14ac:dyDescent="0.25">
      <c r="B933" s="14"/>
      <c r="C933" s="15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</row>
    <row r="934" spans="2:42" ht="12.5" x14ac:dyDescent="0.25">
      <c r="B934" s="14"/>
      <c r="C934" s="15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</row>
    <row r="935" spans="2:42" ht="12.5" x14ac:dyDescent="0.25">
      <c r="B935" s="14"/>
      <c r="C935" s="15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</row>
    <row r="936" spans="2:42" ht="12.5" x14ac:dyDescent="0.25">
      <c r="B936" s="14"/>
      <c r="C936" s="15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</row>
    <row r="937" spans="2:42" ht="12.5" x14ac:dyDescent="0.25">
      <c r="B937" s="14"/>
      <c r="C937" s="15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</row>
    <row r="938" spans="2:42" ht="12.5" x14ac:dyDescent="0.25">
      <c r="B938" s="14"/>
      <c r="C938" s="15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</row>
    <row r="939" spans="2:42" ht="12.5" x14ac:dyDescent="0.25">
      <c r="B939" s="14"/>
      <c r="C939" s="15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</row>
    <row r="940" spans="2:42" ht="12.5" x14ac:dyDescent="0.25">
      <c r="B940" s="14"/>
      <c r="C940" s="15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</row>
    <row r="941" spans="2:42" ht="12.5" x14ac:dyDescent="0.25">
      <c r="B941" s="14"/>
      <c r="C941" s="15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</row>
    <row r="942" spans="2:42" ht="12.5" x14ac:dyDescent="0.25">
      <c r="B942" s="14"/>
      <c r="C942" s="15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</row>
    <row r="943" spans="2:42" ht="12.5" x14ac:dyDescent="0.25">
      <c r="B943" s="14"/>
      <c r="C943" s="15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</row>
    <row r="944" spans="2:42" ht="12.5" x14ac:dyDescent="0.25">
      <c r="B944" s="14"/>
      <c r="C944" s="15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</row>
    <row r="945" spans="2:42" ht="12.5" x14ac:dyDescent="0.25">
      <c r="B945" s="14"/>
      <c r="C945" s="15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</row>
    <row r="946" spans="2:42" ht="12.5" x14ac:dyDescent="0.25">
      <c r="B946" s="14"/>
      <c r="C946" s="15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</row>
    <row r="947" spans="2:42" ht="12.5" x14ac:dyDescent="0.25">
      <c r="B947" s="14"/>
      <c r="C947" s="15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</row>
    <row r="948" spans="2:42" ht="12.5" x14ac:dyDescent="0.25">
      <c r="B948" s="14"/>
      <c r="C948" s="15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</row>
    <row r="949" spans="2:42" ht="12.5" x14ac:dyDescent="0.25">
      <c r="B949" s="14"/>
      <c r="C949" s="15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</row>
    <row r="950" spans="2:42" ht="12.5" x14ac:dyDescent="0.25">
      <c r="B950" s="14"/>
      <c r="C950" s="15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</row>
    <row r="951" spans="2:42" ht="12.5" x14ac:dyDescent="0.25">
      <c r="B951" s="14"/>
      <c r="C951" s="15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</row>
    <row r="952" spans="2:42" ht="12.5" x14ac:dyDescent="0.25">
      <c r="B952" s="14"/>
      <c r="C952" s="15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</row>
    <row r="953" spans="2:42" ht="12.5" x14ac:dyDescent="0.25">
      <c r="B953" s="14"/>
      <c r="C953" s="15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</row>
    <row r="954" spans="2:42" ht="12.5" x14ac:dyDescent="0.25">
      <c r="B954" s="14"/>
      <c r="C954" s="15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</row>
    <row r="955" spans="2:42" ht="12.5" x14ac:dyDescent="0.25">
      <c r="B955" s="14"/>
      <c r="C955" s="15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</row>
    <row r="956" spans="2:42" ht="12.5" x14ac:dyDescent="0.25">
      <c r="B956" s="14"/>
      <c r="C956" s="15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</row>
    <row r="957" spans="2:42" ht="12.5" x14ac:dyDescent="0.25">
      <c r="B957" s="14"/>
      <c r="C957" s="15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</row>
    <row r="958" spans="2:42" ht="12.5" x14ac:dyDescent="0.25">
      <c r="B958" s="14"/>
      <c r="C958" s="15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</row>
    <row r="959" spans="2:42" ht="12.5" x14ac:dyDescent="0.25">
      <c r="B959" s="14"/>
      <c r="C959" s="15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</row>
    <row r="960" spans="2:42" ht="12.5" x14ac:dyDescent="0.25">
      <c r="B960" s="14"/>
      <c r="C960" s="15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</row>
    <row r="961" spans="2:42" ht="12.5" x14ac:dyDescent="0.25">
      <c r="B961" s="14"/>
      <c r="C961" s="15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</row>
    <row r="962" spans="2:42" ht="12.5" x14ac:dyDescent="0.25">
      <c r="B962" s="14"/>
      <c r="C962" s="15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</row>
    <row r="963" spans="2:42" ht="12.5" x14ac:dyDescent="0.25">
      <c r="B963" s="14"/>
      <c r="C963" s="15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</row>
    <row r="964" spans="2:42" ht="12.5" x14ac:dyDescent="0.25">
      <c r="B964" s="14"/>
      <c r="C964" s="15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</row>
    <row r="965" spans="2:42" ht="12.5" x14ac:dyDescent="0.25">
      <c r="B965" s="14"/>
      <c r="C965" s="15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</row>
    <row r="966" spans="2:42" ht="12.5" x14ac:dyDescent="0.25">
      <c r="B966" s="14"/>
      <c r="C966" s="15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</row>
    <row r="967" spans="2:42" ht="12.5" x14ac:dyDescent="0.25">
      <c r="B967" s="14"/>
      <c r="C967" s="15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</row>
    <row r="968" spans="2:42" ht="12.5" x14ac:dyDescent="0.25">
      <c r="B968" s="14"/>
      <c r="C968" s="15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</row>
    <row r="969" spans="2:42" ht="12.5" x14ac:dyDescent="0.25">
      <c r="B969" s="14"/>
      <c r="C969" s="15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</row>
    <row r="970" spans="2:42" ht="12.5" x14ac:dyDescent="0.25">
      <c r="B970" s="14"/>
      <c r="C970" s="15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</row>
    <row r="971" spans="2:42" ht="12.5" x14ac:dyDescent="0.25">
      <c r="B971" s="14"/>
      <c r="C971" s="15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</row>
    <row r="972" spans="2:42" ht="12.5" x14ac:dyDescent="0.25">
      <c r="B972" s="14"/>
      <c r="C972" s="15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</row>
    <row r="973" spans="2:42" ht="12.5" x14ac:dyDescent="0.25">
      <c r="B973" s="14"/>
      <c r="C973" s="15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</row>
    <row r="974" spans="2:42" ht="12.5" x14ac:dyDescent="0.25">
      <c r="B974" s="14"/>
      <c r="C974" s="15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</row>
    <row r="975" spans="2:42" ht="12.5" x14ac:dyDescent="0.25">
      <c r="B975" s="14"/>
      <c r="C975" s="15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</row>
    <row r="976" spans="2:42" ht="12.5" x14ac:dyDescent="0.25">
      <c r="B976" s="14"/>
      <c r="C976" s="15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</row>
    <row r="977" spans="2:42" ht="12.5" x14ac:dyDescent="0.25">
      <c r="B977" s="14"/>
      <c r="C977" s="15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</row>
    <row r="978" spans="2:42" ht="12.5" x14ac:dyDescent="0.25">
      <c r="B978" s="14"/>
      <c r="C978" s="15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</row>
    <row r="979" spans="2:42" ht="12.5" x14ac:dyDescent="0.25">
      <c r="B979" s="14"/>
      <c r="C979" s="15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</row>
    <row r="980" spans="2:42" ht="12.5" x14ac:dyDescent="0.25">
      <c r="B980" s="14"/>
      <c r="C980" s="15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</row>
    <row r="981" spans="2:42" ht="12.5" x14ac:dyDescent="0.25">
      <c r="B981" s="14"/>
      <c r="C981" s="15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</row>
    <row r="982" spans="2:42" ht="12.5" x14ac:dyDescent="0.25">
      <c r="B982" s="14"/>
      <c r="C982" s="15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</row>
    <row r="983" spans="2:42" ht="12.5" x14ac:dyDescent="0.25">
      <c r="B983" s="14"/>
      <c r="C983" s="15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</row>
    <row r="984" spans="2:42" ht="12.5" x14ac:dyDescent="0.25">
      <c r="B984" s="14"/>
      <c r="C984" s="15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</row>
    <row r="985" spans="2:42" ht="12.5" x14ac:dyDescent="0.25">
      <c r="B985" s="14"/>
      <c r="C985" s="15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</row>
    <row r="986" spans="2:42" ht="12.5" x14ac:dyDescent="0.25">
      <c r="B986" s="14"/>
      <c r="C986" s="15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</row>
    <row r="987" spans="2:42" ht="12.5" x14ac:dyDescent="0.25">
      <c r="B987" s="14"/>
      <c r="C987" s="15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</row>
    <row r="988" spans="2:42" ht="12.5" x14ac:dyDescent="0.25">
      <c r="B988" s="14"/>
      <c r="C988" s="15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</row>
    <row r="989" spans="2:42" ht="12.5" x14ac:dyDescent="0.25">
      <c r="B989" s="14"/>
      <c r="C989" s="15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</row>
    <row r="990" spans="2:42" ht="12.5" x14ac:dyDescent="0.25">
      <c r="B990" s="14"/>
      <c r="C990" s="15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</row>
    <row r="991" spans="2:42" ht="12.5" x14ac:dyDescent="0.25">
      <c r="B991" s="14"/>
      <c r="C991" s="15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</row>
    <row r="992" spans="2:42" ht="12.5" x14ac:dyDescent="0.25">
      <c r="B992" s="14"/>
      <c r="C992" s="15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</row>
    <row r="993" spans="2:42" ht="12.5" x14ac:dyDescent="0.25">
      <c r="B993" s="14"/>
      <c r="C993" s="15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</row>
    <row r="994" spans="2:42" ht="12.5" x14ac:dyDescent="0.25">
      <c r="B994" s="14"/>
      <c r="C994" s="15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</row>
    <row r="995" spans="2:42" ht="12.5" x14ac:dyDescent="0.25">
      <c r="B995" s="14"/>
      <c r="C995" s="15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</row>
    <row r="996" spans="2:42" ht="12.5" x14ac:dyDescent="0.25">
      <c r="B996" s="14"/>
      <c r="C996" s="15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</row>
    <row r="997" spans="2:42" ht="12.5" x14ac:dyDescent="0.25">
      <c r="B997" s="14"/>
      <c r="C997" s="15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</row>
    <row r="998" spans="2:42" ht="12.5" x14ac:dyDescent="0.25">
      <c r="B998" s="14"/>
      <c r="C998" s="15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</row>
    <row r="999" spans="2:42" ht="12.5" x14ac:dyDescent="0.25">
      <c r="B999" s="14"/>
      <c r="C999" s="15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</row>
    <row r="1000" spans="2:42" ht="12.5" x14ac:dyDescent="0.25">
      <c r="B1000" s="14"/>
      <c r="C1000" s="15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</row>
    <row r="1001" spans="2:42" ht="12.5" x14ac:dyDescent="0.25">
      <c r="B1001" s="14"/>
      <c r="C1001" s="15"/>
      <c r="D1001" s="16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</row>
    <row r="1002" spans="2:42" ht="12.5" x14ac:dyDescent="0.25">
      <c r="B1002" s="14"/>
      <c r="C1002" s="15"/>
      <c r="D1002" s="16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</row>
    <row r="1003" spans="2:42" ht="12.5" x14ac:dyDescent="0.25">
      <c r="B1003" s="14"/>
      <c r="C1003" s="15"/>
      <c r="D1003" s="16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O100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328125" defaultRowHeight="15.75" customHeight="1" x14ac:dyDescent="0.25"/>
  <cols>
    <col min="1" max="1" width="37.36328125" customWidth="1"/>
    <col min="3" max="77" width="16.7265625" customWidth="1"/>
  </cols>
  <sheetData>
    <row r="1" spans="1:93" ht="15.75" customHeight="1" x14ac:dyDescent="0.35">
      <c r="A1" s="1" t="str">
        <f>Specs!C1</f>
        <v>SwitchCampus</v>
      </c>
      <c r="B1" s="2" t="s">
        <v>0</v>
      </c>
      <c r="C1" s="3" t="e">
        <f t="array" aca="1" ref="C1" ca="1">INDEX(D1:BY1, MATCH(1, D16:BY16, 0))</f>
        <v>#N/A</v>
      </c>
      <c r="D1" s="23" t="s">
        <v>32</v>
      </c>
      <c r="E1" s="23" t="s">
        <v>33</v>
      </c>
      <c r="F1" s="23" t="s">
        <v>34</v>
      </c>
      <c r="G1" s="23" t="s">
        <v>35</v>
      </c>
      <c r="H1" s="23" t="s">
        <v>36</v>
      </c>
      <c r="I1" s="23" t="s">
        <v>37</v>
      </c>
      <c r="J1" s="23" t="s">
        <v>38</v>
      </c>
      <c r="K1" s="23" t="s">
        <v>39</v>
      </c>
      <c r="L1" s="23" t="s">
        <v>40</v>
      </c>
      <c r="M1" s="23" t="s">
        <v>41</v>
      </c>
      <c r="N1" s="23" t="s">
        <v>42</v>
      </c>
      <c r="O1" s="23" t="s">
        <v>43</v>
      </c>
      <c r="P1" s="23" t="s">
        <v>44</v>
      </c>
      <c r="Q1" s="23" t="s">
        <v>45</v>
      </c>
      <c r="R1" s="23" t="s">
        <v>46</v>
      </c>
      <c r="S1" s="23" t="s">
        <v>47</v>
      </c>
      <c r="T1" s="23" t="s">
        <v>48</v>
      </c>
      <c r="U1" s="23" t="s">
        <v>49</v>
      </c>
      <c r="V1" s="23" t="s">
        <v>50</v>
      </c>
      <c r="W1" s="23" t="s">
        <v>51</v>
      </c>
      <c r="X1" s="23" t="s">
        <v>52</v>
      </c>
      <c r="Y1" s="23" t="s">
        <v>53</v>
      </c>
      <c r="Z1" s="23" t="s">
        <v>54</v>
      </c>
      <c r="AA1" s="23" t="s">
        <v>55</v>
      </c>
      <c r="AB1" s="23" t="s">
        <v>56</v>
      </c>
      <c r="AC1" s="23" t="s">
        <v>57</v>
      </c>
      <c r="AD1" s="23" t="s">
        <v>58</v>
      </c>
      <c r="AE1" s="23" t="s">
        <v>59</v>
      </c>
      <c r="AF1" s="23" t="s">
        <v>60</v>
      </c>
      <c r="AG1" s="23" t="s">
        <v>61</v>
      </c>
      <c r="AH1" s="23" t="s">
        <v>62</v>
      </c>
      <c r="AI1" s="23" t="s">
        <v>63</v>
      </c>
      <c r="AJ1" s="23" t="s">
        <v>64</v>
      </c>
      <c r="AK1" s="23" t="s">
        <v>65</v>
      </c>
      <c r="AL1" s="23" t="s">
        <v>66</v>
      </c>
      <c r="AM1" s="23" t="s">
        <v>67</v>
      </c>
      <c r="AN1" s="23" t="s">
        <v>68</v>
      </c>
      <c r="AO1" s="23" t="s">
        <v>69</v>
      </c>
      <c r="AP1" s="23" t="s">
        <v>70</v>
      </c>
      <c r="AQ1" s="23" t="s">
        <v>71</v>
      </c>
      <c r="AR1" s="23" t="s">
        <v>72</v>
      </c>
      <c r="AS1" s="23" t="s">
        <v>73</v>
      </c>
      <c r="AT1" s="23" t="s">
        <v>74</v>
      </c>
      <c r="AU1" s="23" t="s">
        <v>75</v>
      </c>
      <c r="AV1" s="23" t="s">
        <v>76</v>
      </c>
      <c r="AW1" s="23" t="s">
        <v>77</v>
      </c>
      <c r="AX1" s="23" t="s">
        <v>78</v>
      </c>
      <c r="AY1" s="23" t="s">
        <v>79</v>
      </c>
      <c r="AZ1" s="23" t="s">
        <v>80</v>
      </c>
      <c r="BA1" s="23" t="s">
        <v>81</v>
      </c>
      <c r="BB1" s="23" t="s">
        <v>82</v>
      </c>
      <c r="BC1" s="23" t="s">
        <v>83</v>
      </c>
      <c r="BD1" s="23" t="s">
        <v>84</v>
      </c>
      <c r="BE1" s="23" t="s">
        <v>85</v>
      </c>
      <c r="BF1" s="23" t="s">
        <v>86</v>
      </c>
      <c r="BG1" s="23" t="s">
        <v>87</v>
      </c>
      <c r="BH1" s="23" t="s">
        <v>88</v>
      </c>
      <c r="BI1" s="23" t="s">
        <v>89</v>
      </c>
      <c r="BJ1" s="23" t="s">
        <v>90</v>
      </c>
      <c r="BK1" s="23" t="s">
        <v>91</v>
      </c>
      <c r="BL1" s="23" t="s">
        <v>92</v>
      </c>
      <c r="BM1" s="23" t="s">
        <v>93</v>
      </c>
      <c r="BN1" s="23" t="s">
        <v>94</v>
      </c>
      <c r="BO1" s="23" t="s">
        <v>95</v>
      </c>
      <c r="BP1" s="23" t="s">
        <v>96</v>
      </c>
      <c r="BQ1" s="23" t="s">
        <v>97</v>
      </c>
      <c r="BR1" s="23" t="s">
        <v>98</v>
      </c>
      <c r="BS1" s="23" t="s">
        <v>99</v>
      </c>
      <c r="BT1" s="23" t="s">
        <v>100</v>
      </c>
      <c r="BU1" s="23" t="s">
        <v>101</v>
      </c>
      <c r="BV1" s="6" t="s">
        <v>102</v>
      </c>
      <c r="BW1" s="6" t="s">
        <v>103</v>
      </c>
      <c r="BX1" s="6" t="s">
        <v>104</v>
      </c>
      <c r="BY1" s="6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</row>
    <row r="2" spans="1:93" ht="15.75" customHeight="1" x14ac:dyDescent="0.35">
      <c r="A2" s="8" t="str">
        <f>Specs!C2</f>
        <v>Switching Bandwidth - Full Duplex (Gbps)</v>
      </c>
      <c r="B2" s="9">
        <f ca="1">IFERROR(__xludf.DUMMYFUNCTION("IMPORTRANGE(""https://docs.google.com/spreadsheets/d/18TjePryHG687L54fIGU6Od12DGyT3mPoblPemZTZRY4"",""SwitchCampus!B3:B10"")"),200)</f>
        <v>200</v>
      </c>
      <c r="C2" s="10" t="e">
        <f ca="1">HLOOKUP($C$1,$D$1:$BY$10,2,0)</f>
        <v>#N/A</v>
      </c>
      <c r="D2" s="24">
        <v>20</v>
      </c>
      <c r="E2" s="24">
        <v>20</v>
      </c>
      <c r="F2" s="24">
        <v>20</v>
      </c>
      <c r="G2" s="24">
        <v>36</v>
      </c>
      <c r="H2" s="24">
        <v>36</v>
      </c>
      <c r="I2" s="24">
        <v>36</v>
      </c>
      <c r="J2" s="24">
        <v>56</v>
      </c>
      <c r="K2" s="24">
        <v>56</v>
      </c>
      <c r="L2" s="24">
        <v>56</v>
      </c>
      <c r="M2" s="24">
        <v>104</v>
      </c>
      <c r="N2" s="24">
        <v>104</v>
      </c>
      <c r="O2" s="24">
        <v>104</v>
      </c>
      <c r="P2" s="24">
        <v>112</v>
      </c>
      <c r="Q2" s="24">
        <v>128</v>
      </c>
      <c r="R2" s="24">
        <v>128</v>
      </c>
      <c r="S2" s="24">
        <v>128</v>
      </c>
      <c r="T2" s="24">
        <v>176</v>
      </c>
      <c r="U2" s="24">
        <v>176</v>
      </c>
      <c r="V2" s="24">
        <v>176</v>
      </c>
      <c r="W2" s="24">
        <v>280</v>
      </c>
      <c r="X2" s="24">
        <v>240</v>
      </c>
      <c r="Y2" s="24">
        <v>320</v>
      </c>
      <c r="Z2" s="24">
        <v>480</v>
      </c>
      <c r="AA2" s="24">
        <v>480</v>
      </c>
      <c r="AB2" s="24">
        <v>480</v>
      </c>
      <c r="AC2" s="24">
        <v>128</v>
      </c>
      <c r="AD2" s="24">
        <v>176</v>
      </c>
      <c r="AE2" s="24">
        <v>128</v>
      </c>
      <c r="AF2" s="24">
        <v>176</v>
      </c>
      <c r="AG2" s="24">
        <v>128</v>
      </c>
      <c r="AH2" s="24">
        <v>128</v>
      </c>
      <c r="AI2" s="24">
        <v>176</v>
      </c>
      <c r="AJ2" s="24">
        <v>176</v>
      </c>
      <c r="AK2" s="24">
        <v>56</v>
      </c>
      <c r="AL2" s="24">
        <v>56</v>
      </c>
      <c r="AM2" s="24">
        <v>104</v>
      </c>
      <c r="AN2" s="24">
        <v>104</v>
      </c>
      <c r="AO2" s="24">
        <v>128</v>
      </c>
      <c r="AP2" s="24">
        <v>128</v>
      </c>
      <c r="AQ2" s="24">
        <v>176</v>
      </c>
      <c r="AR2" s="24">
        <v>176</v>
      </c>
      <c r="AS2" s="24">
        <v>60</v>
      </c>
      <c r="AT2" s="24">
        <v>70</v>
      </c>
      <c r="AU2" s="24">
        <v>68</v>
      </c>
      <c r="AV2" s="24">
        <v>56</v>
      </c>
      <c r="AW2" s="24">
        <v>56</v>
      </c>
      <c r="AX2" s="24">
        <v>128</v>
      </c>
      <c r="AY2" s="24">
        <v>128</v>
      </c>
      <c r="AZ2" s="24">
        <v>104</v>
      </c>
      <c r="BA2" s="24">
        <v>104</v>
      </c>
      <c r="BB2" s="24">
        <v>176</v>
      </c>
      <c r="BC2" s="24">
        <v>176</v>
      </c>
      <c r="BD2" s="24">
        <v>208</v>
      </c>
      <c r="BE2" s="24">
        <v>208</v>
      </c>
      <c r="BF2" s="24">
        <v>208</v>
      </c>
      <c r="BG2" s="24">
        <v>208</v>
      </c>
      <c r="BH2" s="24">
        <v>208</v>
      </c>
      <c r="BI2" s="24">
        <v>208</v>
      </c>
      <c r="BJ2" s="24">
        <v>256</v>
      </c>
      <c r="BK2" s="24">
        <v>256</v>
      </c>
      <c r="BL2" s="24">
        <v>256</v>
      </c>
      <c r="BM2" s="24">
        <v>256</v>
      </c>
      <c r="BN2" s="24">
        <v>256</v>
      </c>
      <c r="BO2" s="24">
        <v>256</v>
      </c>
      <c r="BP2" s="25">
        <v>6400</v>
      </c>
      <c r="BQ2" s="25">
        <v>3200</v>
      </c>
      <c r="BR2" s="25">
        <v>3200</v>
      </c>
      <c r="BS2" s="25">
        <v>2000</v>
      </c>
      <c r="BT2" s="25">
        <v>12000</v>
      </c>
      <c r="BU2" s="25">
        <v>9200</v>
      </c>
      <c r="BV2" s="13"/>
      <c r="BW2" s="13"/>
      <c r="BX2" s="13"/>
      <c r="BY2" s="13"/>
    </row>
    <row r="3" spans="1:93" ht="15.75" customHeight="1" x14ac:dyDescent="0.35">
      <c r="A3" s="8" t="str">
        <f>Specs!C3</f>
        <v>Forwarding Capacity (Mpps)</v>
      </c>
      <c r="B3" s="9">
        <f ca="1">IFERROR(__xludf.DUMMYFUNCTION("""COMPUTED_VALUE"""),100)</f>
        <v>100</v>
      </c>
      <c r="C3" s="10" t="e">
        <f ca="1">HLOOKUP($C$1,$D$1:$BY$10,3,0)</f>
        <v>#N/A</v>
      </c>
      <c r="D3" s="24">
        <v>14.88</v>
      </c>
      <c r="E3" s="24">
        <v>14.88</v>
      </c>
      <c r="F3" s="24">
        <v>14.88</v>
      </c>
      <c r="G3" s="24">
        <v>26.78</v>
      </c>
      <c r="H3" s="24">
        <v>26.78</v>
      </c>
      <c r="I3" s="24">
        <v>26.78</v>
      </c>
      <c r="J3" s="24">
        <v>41.66</v>
      </c>
      <c r="K3" s="24">
        <v>41.66</v>
      </c>
      <c r="L3" s="24">
        <v>41.66</v>
      </c>
      <c r="M3" s="24">
        <v>77.38</v>
      </c>
      <c r="N3" s="24">
        <v>77.38</v>
      </c>
      <c r="O3" s="24">
        <v>77.38</v>
      </c>
      <c r="P3" s="24">
        <v>83.32</v>
      </c>
      <c r="Q3" s="24">
        <v>95.23</v>
      </c>
      <c r="R3" s="24">
        <v>95.23</v>
      </c>
      <c r="S3" s="24">
        <v>95.23</v>
      </c>
      <c r="T3" s="24">
        <v>130.94</v>
      </c>
      <c r="U3" s="24">
        <v>130.94</v>
      </c>
      <c r="V3" s="24">
        <v>130.94</v>
      </c>
      <c r="W3" s="24">
        <v>208.33</v>
      </c>
      <c r="X3" s="24">
        <v>178.57</v>
      </c>
      <c r="Y3" s="24">
        <v>238.1</v>
      </c>
      <c r="Z3" s="24">
        <v>357.14</v>
      </c>
      <c r="AA3" s="24">
        <v>357.14</v>
      </c>
      <c r="AB3" s="24">
        <v>357.12</v>
      </c>
      <c r="AC3" s="24">
        <v>95.23</v>
      </c>
      <c r="AD3" s="24">
        <v>130.94999999999999</v>
      </c>
      <c r="AE3" s="24">
        <v>95.23</v>
      </c>
      <c r="AF3" s="24">
        <v>130.94999999999999</v>
      </c>
      <c r="AG3" s="24">
        <v>95.23</v>
      </c>
      <c r="AH3" s="24">
        <v>95.23</v>
      </c>
      <c r="AI3" s="24">
        <v>130.94999999999999</v>
      </c>
      <c r="AJ3" s="24">
        <v>130.94999999999999</v>
      </c>
      <c r="AK3" s="24">
        <v>41.67</v>
      </c>
      <c r="AL3" s="24">
        <v>41.67</v>
      </c>
      <c r="AM3" s="24">
        <v>77.38</v>
      </c>
      <c r="AN3" s="24">
        <v>77.38</v>
      </c>
      <c r="AO3" s="24">
        <v>95.23</v>
      </c>
      <c r="AP3" s="24">
        <v>95.23</v>
      </c>
      <c r="AQ3" s="24">
        <v>130.94999999999999</v>
      </c>
      <c r="AR3" s="24">
        <v>130.94999999999999</v>
      </c>
      <c r="AS3" s="24">
        <v>44.64</v>
      </c>
      <c r="AT3" s="24">
        <v>52.08</v>
      </c>
      <c r="AU3" s="24">
        <v>50.59</v>
      </c>
      <c r="AV3" s="24">
        <v>41.66</v>
      </c>
      <c r="AW3" s="24">
        <v>41.66</v>
      </c>
      <c r="AX3" s="24">
        <v>95.23</v>
      </c>
      <c r="AY3" s="24">
        <v>95.23</v>
      </c>
      <c r="AZ3" s="24">
        <v>77.38</v>
      </c>
      <c r="BA3" s="24">
        <v>77.38</v>
      </c>
      <c r="BB3" s="24">
        <v>130.94999999999999</v>
      </c>
      <c r="BC3" s="24">
        <v>130.94999999999999</v>
      </c>
      <c r="BD3" s="24">
        <v>154.76</v>
      </c>
      <c r="BE3" s="24">
        <v>154.76</v>
      </c>
      <c r="BF3" s="24">
        <v>154.76</v>
      </c>
      <c r="BG3" s="24">
        <v>154.76</v>
      </c>
      <c r="BH3" s="24">
        <v>154.76</v>
      </c>
      <c r="BI3" s="24">
        <v>154.76</v>
      </c>
      <c r="BJ3" s="24">
        <v>190.47</v>
      </c>
      <c r="BK3" s="24">
        <v>190.47</v>
      </c>
      <c r="BL3" s="24">
        <v>190.48</v>
      </c>
      <c r="BM3" s="24">
        <v>190.48</v>
      </c>
      <c r="BN3" s="24">
        <v>190.47</v>
      </c>
      <c r="BO3" s="24">
        <v>190.48</v>
      </c>
      <c r="BP3" s="25">
        <v>2000</v>
      </c>
      <c r="BQ3" s="25">
        <v>1000</v>
      </c>
      <c r="BR3" s="25">
        <v>1000</v>
      </c>
      <c r="BS3" s="25">
        <v>1000</v>
      </c>
      <c r="BT3" s="25">
        <v>8000</v>
      </c>
      <c r="BU3" s="25">
        <v>8000</v>
      </c>
      <c r="BV3" s="13"/>
      <c r="BW3" s="13"/>
      <c r="BX3" s="13"/>
      <c r="BY3" s="13"/>
    </row>
    <row r="4" spans="1:93" ht="15.75" customHeight="1" x14ac:dyDescent="0.35">
      <c r="A4" s="8" t="str">
        <f>Specs!C4</f>
        <v>Số lượng cổng 1GE đồng</v>
      </c>
      <c r="B4" s="9">
        <f ca="1">IFERROR(__xludf.DUMMYFUNCTION("""COMPUTED_VALUE"""),16)</f>
        <v>16</v>
      </c>
      <c r="C4" s="10" t="e">
        <f ca="1">HLOOKUP($C$1,$D$1:$BY$10,4,0)</f>
        <v>#N/A</v>
      </c>
      <c r="D4" s="24">
        <v>10</v>
      </c>
      <c r="E4" s="24">
        <v>10</v>
      </c>
      <c r="F4" s="24">
        <v>10</v>
      </c>
      <c r="G4" s="24">
        <v>16</v>
      </c>
      <c r="H4" s="24">
        <v>16</v>
      </c>
      <c r="I4" s="24">
        <v>16</v>
      </c>
      <c r="J4" s="24">
        <v>24</v>
      </c>
      <c r="K4" s="24">
        <v>24</v>
      </c>
      <c r="L4" s="24">
        <v>24</v>
      </c>
      <c r="M4" s="24">
        <v>48</v>
      </c>
      <c r="N4" s="24">
        <v>48</v>
      </c>
      <c r="O4" s="24">
        <v>48</v>
      </c>
      <c r="P4" s="24">
        <v>16</v>
      </c>
      <c r="Q4" s="24">
        <v>24</v>
      </c>
      <c r="R4" s="24">
        <v>24</v>
      </c>
      <c r="S4" s="24">
        <v>24</v>
      </c>
      <c r="T4" s="24">
        <v>48</v>
      </c>
      <c r="U4" s="24">
        <v>48</v>
      </c>
      <c r="V4" s="24">
        <v>48</v>
      </c>
      <c r="W4" s="24"/>
      <c r="X4" s="24"/>
      <c r="Y4" s="24"/>
      <c r="Z4" s="24"/>
      <c r="AA4" s="24"/>
      <c r="AB4" s="24"/>
      <c r="AC4" s="24">
        <v>24</v>
      </c>
      <c r="AD4" s="24">
        <v>48</v>
      </c>
      <c r="AE4" s="24">
        <v>24</v>
      </c>
      <c r="AF4" s="24">
        <v>48</v>
      </c>
      <c r="AG4" s="24">
        <v>24</v>
      </c>
      <c r="AH4" s="24">
        <v>24</v>
      </c>
      <c r="AI4" s="24">
        <v>48</v>
      </c>
      <c r="AJ4" s="24">
        <v>48</v>
      </c>
      <c r="AK4" s="24">
        <v>24</v>
      </c>
      <c r="AL4" s="24">
        <v>24</v>
      </c>
      <c r="AM4" s="24">
        <v>48</v>
      </c>
      <c r="AN4" s="24">
        <v>48</v>
      </c>
      <c r="AO4" s="24">
        <v>24</v>
      </c>
      <c r="AP4" s="24">
        <v>24</v>
      </c>
      <c r="AQ4" s="24">
        <v>48</v>
      </c>
      <c r="AR4" s="24">
        <v>48</v>
      </c>
      <c r="AS4" s="24">
        <v>8</v>
      </c>
      <c r="AT4" s="24">
        <v>12</v>
      </c>
      <c r="AU4" s="24">
        <v>12</v>
      </c>
      <c r="AV4" s="24">
        <v>24</v>
      </c>
      <c r="AW4" s="24">
        <v>24</v>
      </c>
      <c r="AX4" s="24">
        <v>24</v>
      </c>
      <c r="AY4" s="24">
        <v>24</v>
      </c>
      <c r="AZ4" s="24">
        <v>48</v>
      </c>
      <c r="BA4" s="24">
        <v>48</v>
      </c>
      <c r="BB4" s="24">
        <v>48</v>
      </c>
      <c r="BC4" s="24">
        <v>48</v>
      </c>
      <c r="BD4" s="24">
        <v>24</v>
      </c>
      <c r="BE4" s="24">
        <v>24</v>
      </c>
      <c r="BF4" s="24">
        <v>24</v>
      </c>
      <c r="BG4" s="24">
        <v>24</v>
      </c>
      <c r="BH4" s="24"/>
      <c r="BI4" s="24">
        <v>24</v>
      </c>
      <c r="BJ4" s="24">
        <v>48</v>
      </c>
      <c r="BK4" s="24">
        <v>48</v>
      </c>
      <c r="BL4" s="24">
        <v>48</v>
      </c>
      <c r="BM4" s="24">
        <v>48</v>
      </c>
      <c r="BN4" s="24"/>
      <c r="BO4" s="24">
        <v>48</v>
      </c>
      <c r="BP4" s="24"/>
      <c r="BQ4" s="24"/>
      <c r="BR4" s="24"/>
      <c r="BS4" s="24"/>
      <c r="BT4" s="24"/>
      <c r="BU4" s="24"/>
      <c r="BV4" s="13"/>
      <c r="BW4" s="13"/>
      <c r="BX4" s="13"/>
      <c r="BY4" s="13"/>
    </row>
    <row r="5" spans="1:93" ht="15.75" customHeight="1" x14ac:dyDescent="0.35">
      <c r="A5" s="8" t="str">
        <f>Specs!C5</f>
        <v>Số lượng cổng 1GE SFP</v>
      </c>
      <c r="B5" s="9">
        <f ca="1">IFERROR(__xludf.DUMMYFUNCTION("""COMPUTED_VALUE"""),2)</f>
        <v>2</v>
      </c>
      <c r="C5" s="10" t="e">
        <f ca="1">HLOOKUP($C$1,$D$1:$BY$10,5,0)</f>
        <v>#N/A</v>
      </c>
      <c r="D5" s="24">
        <v>2</v>
      </c>
      <c r="E5" s="24">
        <v>2</v>
      </c>
      <c r="F5" s="24">
        <v>2</v>
      </c>
      <c r="G5" s="24">
        <v>2</v>
      </c>
      <c r="H5" s="24">
        <v>2</v>
      </c>
      <c r="I5" s="24">
        <v>2</v>
      </c>
      <c r="J5" s="24">
        <v>4</v>
      </c>
      <c r="K5" s="24">
        <v>4</v>
      </c>
      <c r="L5" s="24">
        <v>4</v>
      </c>
      <c r="M5" s="24">
        <v>4</v>
      </c>
      <c r="N5" s="24">
        <v>4</v>
      </c>
      <c r="O5" s="24">
        <v>4</v>
      </c>
      <c r="P5" s="24"/>
      <c r="Q5" s="24"/>
      <c r="R5" s="24"/>
      <c r="S5" s="24"/>
      <c r="T5" s="24"/>
      <c r="U5" s="24"/>
      <c r="V5" s="24"/>
      <c r="W5" s="24">
        <v>2</v>
      </c>
      <c r="X5" s="24">
        <v>12</v>
      </c>
      <c r="Y5" s="24">
        <v>8</v>
      </c>
      <c r="Z5" s="24">
        <v>24</v>
      </c>
      <c r="AA5" s="24"/>
      <c r="AB5" s="24">
        <v>12</v>
      </c>
      <c r="AC5" s="24">
        <v>4</v>
      </c>
      <c r="AD5" s="24">
        <v>4</v>
      </c>
      <c r="AE5" s="24">
        <v>4</v>
      </c>
      <c r="AF5" s="24">
        <v>4</v>
      </c>
      <c r="AG5" s="24">
        <v>4</v>
      </c>
      <c r="AH5" s="24">
        <v>4</v>
      </c>
      <c r="AI5" s="24">
        <v>4</v>
      </c>
      <c r="AJ5" s="24">
        <v>4</v>
      </c>
      <c r="AK5" s="24">
        <v>4</v>
      </c>
      <c r="AL5" s="24">
        <v>4</v>
      </c>
      <c r="AM5" s="24">
        <v>4</v>
      </c>
      <c r="AN5" s="24">
        <v>4</v>
      </c>
      <c r="AO5" s="24"/>
      <c r="AP5" s="24"/>
      <c r="AQ5" s="24"/>
      <c r="AR5" s="24"/>
      <c r="AS5" s="24"/>
      <c r="AT5" s="24"/>
      <c r="AU5" s="24"/>
      <c r="AV5" s="24">
        <v>4</v>
      </c>
      <c r="AW5" s="24">
        <v>4</v>
      </c>
      <c r="AX5" s="24">
        <v>4</v>
      </c>
      <c r="AY5" s="24">
        <v>4</v>
      </c>
      <c r="AZ5" s="24">
        <v>4</v>
      </c>
      <c r="BA5" s="24">
        <v>4</v>
      </c>
      <c r="BB5" s="24">
        <v>4</v>
      </c>
      <c r="BC5" s="24">
        <v>4</v>
      </c>
      <c r="BD5" s="24">
        <v>8</v>
      </c>
      <c r="BE5" s="24">
        <v>8</v>
      </c>
      <c r="BF5" s="24">
        <v>8</v>
      </c>
      <c r="BG5" s="24">
        <v>8</v>
      </c>
      <c r="BH5" s="24">
        <v>32</v>
      </c>
      <c r="BI5" s="24">
        <v>8</v>
      </c>
      <c r="BJ5" s="24">
        <v>8</v>
      </c>
      <c r="BK5" s="24">
        <v>8</v>
      </c>
      <c r="BL5" s="24">
        <v>8</v>
      </c>
      <c r="BM5" s="24">
        <v>8</v>
      </c>
      <c r="BN5" s="24">
        <v>56</v>
      </c>
      <c r="BO5" s="24">
        <v>8</v>
      </c>
      <c r="BP5" s="24"/>
      <c r="BQ5" s="24"/>
      <c r="BR5" s="24">
        <v>48</v>
      </c>
      <c r="BS5" s="24">
        <v>24</v>
      </c>
      <c r="BT5" s="24"/>
      <c r="BU5" s="24"/>
      <c r="BV5" s="13"/>
      <c r="BW5" s="13"/>
      <c r="BX5" s="13"/>
      <c r="BY5" s="13"/>
    </row>
    <row r="6" spans="1:93" ht="15.75" customHeight="1" x14ac:dyDescent="0.35">
      <c r="A6" s="8" t="str">
        <f>Specs!C6</f>
        <v>Số lượng cổng 10GE đồng</v>
      </c>
      <c r="B6" s="9">
        <f ca="1">IFERROR(__xludf.DUMMYFUNCTION("""COMPUTED_VALUE"""),10)</f>
        <v>10</v>
      </c>
      <c r="C6" s="10" t="e">
        <f ca="1">HLOOKUP($C$1,$D$1:$BY$10,6,0)</f>
        <v>#N/A</v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>
        <v>12</v>
      </c>
      <c r="X6" s="24">
        <v>2</v>
      </c>
      <c r="Y6" s="24">
        <v>8</v>
      </c>
      <c r="Z6" s="24">
        <v>4</v>
      </c>
      <c r="AA6" s="24">
        <v>24</v>
      </c>
      <c r="AB6" s="24">
        <v>12</v>
      </c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13"/>
      <c r="BW6" s="13"/>
      <c r="BX6" s="13"/>
      <c r="BY6" s="13"/>
    </row>
    <row r="7" spans="1:93" ht="15.75" customHeight="1" x14ac:dyDescent="0.35">
      <c r="A7" s="8" t="str">
        <f>Specs!C7</f>
        <v>Số lượng cổng 10GE quang</v>
      </c>
      <c r="B7" s="9"/>
      <c r="C7" s="10" t="e">
        <f ca="1">HLOOKUP($C$1,$D$1:$BY$10,7,0)</f>
        <v>#N/A</v>
      </c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>
        <v>4</v>
      </c>
      <c r="Q7" s="24">
        <v>4</v>
      </c>
      <c r="R7" s="24">
        <v>4</v>
      </c>
      <c r="S7" s="24">
        <v>4</v>
      </c>
      <c r="T7" s="24">
        <v>4</v>
      </c>
      <c r="U7" s="24">
        <v>4</v>
      </c>
      <c r="V7" s="24">
        <v>4</v>
      </c>
      <c r="W7" s="24">
        <v>2</v>
      </c>
      <c r="X7" s="24">
        <v>12</v>
      </c>
      <c r="Y7" s="24">
        <v>8</v>
      </c>
      <c r="Z7" s="24">
        <v>24</v>
      </c>
      <c r="AA7" s="24">
        <v>4</v>
      </c>
      <c r="AB7" s="24">
        <v>12</v>
      </c>
      <c r="AC7" s="24">
        <v>4</v>
      </c>
      <c r="AD7" s="24">
        <v>4</v>
      </c>
      <c r="AE7" s="24">
        <v>4</v>
      </c>
      <c r="AF7" s="24">
        <v>4</v>
      </c>
      <c r="AG7" s="24">
        <v>4</v>
      </c>
      <c r="AH7" s="24">
        <v>4</v>
      </c>
      <c r="AI7" s="24">
        <v>4</v>
      </c>
      <c r="AJ7" s="24">
        <v>4</v>
      </c>
      <c r="AK7" s="24"/>
      <c r="AL7" s="24"/>
      <c r="AM7" s="24"/>
      <c r="AN7" s="24"/>
      <c r="AO7" s="24">
        <v>4</v>
      </c>
      <c r="AP7" s="24">
        <v>4</v>
      </c>
      <c r="AQ7" s="24">
        <v>4</v>
      </c>
      <c r="AR7" s="24">
        <v>4</v>
      </c>
      <c r="AS7" s="24">
        <v>2</v>
      </c>
      <c r="AT7" s="24">
        <v>2</v>
      </c>
      <c r="AU7" s="24">
        <v>2</v>
      </c>
      <c r="AV7" s="24"/>
      <c r="AW7" s="24"/>
      <c r="AX7" s="24">
        <v>4</v>
      </c>
      <c r="AY7" s="24">
        <v>4</v>
      </c>
      <c r="AZ7" s="24"/>
      <c r="BA7" s="24"/>
      <c r="BB7" s="24">
        <v>4</v>
      </c>
      <c r="BC7" s="24">
        <v>4</v>
      </c>
      <c r="BD7" s="24">
        <v>8</v>
      </c>
      <c r="BE7" s="24">
        <v>8</v>
      </c>
      <c r="BF7" s="24">
        <v>8</v>
      </c>
      <c r="BG7" s="24">
        <v>8</v>
      </c>
      <c r="BH7" s="24">
        <v>8</v>
      </c>
      <c r="BI7" s="24">
        <v>8</v>
      </c>
      <c r="BJ7" s="24">
        <v>8</v>
      </c>
      <c r="BK7" s="24">
        <v>8</v>
      </c>
      <c r="BL7" s="24">
        <v>8</v>
      </c>
      <c r="BM7" s="24">
        <v>8</v>
      </c>
      <c r="BN7" s="24">
        <v>8</v>
      </c>
      <c r="BO7" s="24">
        <v>8</v>
      </c>
      <c r="BP7" s="24"/>
      <c r="BQ7" s="24"/>
      <c r="BR7" s="24">
        <v>48</v>
      </c>
      <c r="BS7" s="24">
        <v>24</v>
      </c>
      <c r="BT7" s="24"/>
      <c r="BU7" s="24">
        <v>60</v>
      </c>
      <c r="BV7" s="13"/>
      <c r="BW7" s="13"/>
      <c r="BX7" s="13"/>
      <c r="BY7" s="13"/>
    </row>
    <row r="8" spans="1:93" ht="15.75" customHeight="1" x14ac:dyDescent="0.35">
      <c r="A8" s="8" t="str">
        <f>Specs!C8</f>
        <v>Số lượng cổng 100GE</v>
      </c>
      <c r="B8" s="9"/>
      <c r="C8" s="10" t="e">
        <f ca="1">HLOOKUP($C$1,$D$1:$BY$10,8,0)</f>
        <v>#N/A</v>
      </c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>
        <v>32</v>
      </c>
      <c r="BQ8" s="24">
        <v>16</v>
      </c>
      <c r="BR8" s="24">
        <v>4</v>
      </c>
      <c r="BS8" s="24">
        <v>4</v>
      </c>
      <c r="BT8" s="24">
        <v>36</v>
      </c>
      <c r="BU8" s="24">
        <v>4</v>
      </c>
      <c r="BV8" s="13"/>
      <c r="BW8" s="13"/>
      <c r="BX8" s="13"/>
      <c r="BY8" s="13"/>
    </row>
    <row r="9" spans="1:93" ht="15.75" customHeight="1" x14ac:dyDescent="0.35">
      <c r="A9" s="8" t="str">
        <f>Specs!C9</f>
        <v>Stacking (Y/N)</v>
      </c>
      <c r="B9" s="9" t="str">
        <f ca="1">IFERROR(__xludf.DUMMYFUNCTION("""COMPUTED_VALUE"""),"Y")</f>
        <v>Y</v>
      </c>
      <c r="C9" s="10" t="e">
        <f ca="1">HLOOKUP($C$1,$D$1:$BY$10,9,0)</f>
        <v>#N/A</v>
      </c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 t="s">
        <v>105</v>
      </c>
      <c r="Q9" s="24" t="s">
        <v>105</v>
      </c>
      <c r="R9" s="24" t="s">
        <v>105</v>
      </c>
      <c r="S9" s="24" t="s">
        <v>105</v>
      </c>
      <c r="T9" s="24" t="s">
        <v>105</v>
      </c>
      <c r="U9" s="24" t="s">
        <v>105</v>
      </c>
      <c r="V9" s="24" t="s">
        <v>105</v>
      </c>
      <c r="W9" s="24" t="s">
        <v>105</v>
      </c>
      <c r="X9" s="24" t="s">
        <v>105</v>
      </c>
      <c r="Y9" s="24" t="s">
        <v>105</v>
      </c>
      <c r="Z9" s="24" t="s">
        <v>105</v>
      </c>
      <c r="AA9" s="24" t="s">
        <v>105</v>
      </c>
      <c r="AB9" s="24" t="s">
        <v>105</v>
      </c>
      <c r="AC9" s="24" t="s">
        <v>105</v>
      </c>
      <c r="AD9" s="24" t="s">
        <v>105</v>
      </c>
      <c r="AE9" s="24" t="s">
        <v>105</v>
      </c>
      <c r="AF9" s="24" t="s">
        <v>105</v>
      </c>
      <c r="AG9" s="24" t="s">
        <v>105</v>
      </c>
      <c r="AH9" s="24" t="s">
        <v>105</v>
      </c>
      <c r="AI9" s="24" t="s">
        <v>105</v>
      </c>
      <c r="AJ9" s="24" t="s">
        <v>105</v>
      </c>
      <c r="AK9" s="24" t="s">
        <v>105</v>
      </c>
      <c r="AL9" s="24" t="s">
        <v>105</v>
      </c>
      <c r="AM9" s="24" t="s">
        <v>105</v>
      </c>
      <c r="AN9" s="24" t="s">
        <v>105</v>
      </c>
      <c r="AO9" s="24" t="s">
        <v>105</v>
      </c>
      <c r="AP9" s="24" t="s">
        <v>105</v>
      </c>
      <c r="AQ9" s="24" t="s">
        <v>105</v>
      </c>
      <c r="AR9" s="24" t="s">
        <v>105</v>
      </c>
      <c r="AS9" s="24"/>
      <c r="AT9" s="24"/>
      <c r="AU9" s="24"/>
      <c r="AV9" s="24" t="s">
        <v>105</v>
      </c>
      <c r="AW9" s="24" t="s">
        <v>105</v>
      </c>
      <c r="AX9" s="24" t="s">
        <v>105</v>
      </c>
      <c r="AY9" s="24" t="s">
        <v>105</v>
      </c>
      <c r="AZ9" s="24" t="s">
        <v>105</v>
      </c>
      <c r="BA9" s="24" t="s">
        <v>105</v>
      </c>
      <c r="BB9" s="24" t="s">
        <v>105</v>
      </c>
      <c r="BC9" s="24" t="s">
        <v>105</v>
      </c>
      <c r="BD9" s="24" t="s">
        <v>105</v>
      </c>
      <c r="BE9" s="24" t="s">
        <v>105</v>
      </c>
      <c r="BF9" s="24" t="s">
        <v>105</v>
      </c>
      <c r="BG9" s="24" t="s">
        <v>105</v>
      </c>
      <c r="BH9" s="24" t="s">
        <v>105</v>
      </c>
      <c r="BI9" s="24" t="s">
        <v>105</v>
      </c>
      <c r="BJ9" s="24" t="s">
        <v>105</v>
      </c>
      <c r="BK9" s="24" t="s">
        <v>105</v>
      </c>
      <c r="BL9" s="24" t="s">
        <v>105</v>
      </c>
      <c r="BM9" s="24" t="s">
        <v>105</v>
      </c>
      <c r="BN9" s="24" t="s">
        <v>105</v>
      </c>
      <c r="BO9" s="24" t="s">
        <v>105</v>
      </c>
      <c r="BP9" s="24" t="s">
        <v>105</v>
      </c>
      <c r="BQ9" s="24" t="s">
        <v>105</v>
      </c>
      <c r="BR9" s="24" t="s">
        <v>105</v>
      </c>
      <c r="BS9" s="24" t="s">
        <v>105</v>
      </c>
      <c r="BT9" s="24" t="s">
        <v>105</v>
      </c>
      <c r="BU9" s="24" t="s">
        <v>105</v>
      </c>
      <c r="BV9" s="13"/>
      <c r="BW9" s="13"/>
      <c r="BX9" s="13"/>
      <c r="BY9" s="13"/>
    </row>
    <row r="10" spans="1:93" ht="15.75" customHeight="1" x14ac:dyDescent="0.35">
      <c r="A10" s="8" t="str">
        <f>Specs!C10</f>
        <v>PoE (Y/N)</v>
      </c>
      <c r="B10" s="9"/>
      <c r="C10" s="10" t="e">
        <f ca="1">HLOOKUP($C$1,$D$1:$BY$10,10,0)</f>
        <v>#N/A</v>
      </c>
      <c r="D10" s="24"/>
      <c r="E10" s="24" t="s">
        <v>105</v>
      </c>
      <c r="F10" s="24" t="s">
        <v>105</v>
      </c>
      <c r="G10" s="24"/>
      <c r="H10" s="24" t="s">
        <v>105</v>
      </c>
      <c r="I10" s="24" t="s">
        <v>105</v>
      </c>
      <c r="J10" s="24"/>
      <c r="K10" s="24" t="s">
        <v>105</v>
      </c>
      <c r="L10" s="24" t="s">
        <v>105</v>
      </c>
      <c r="M10" s="24"/>
      <c r="N10" s="24" t="s">
        <v>105</v>
      </c>
      <c r="O10" s="24" t="s">
        <v>105</v>
      </c>
      <c r="P10" s="24" t="s">
        <v>105</v>
      </c>
      <c r="Q10" s="24"/>
      <c r="R10" s="24" t="s">
        <v>105</v>
      </c>
      <c r="S10" s="24" t="s">
        <v>105</v>
      </c>
      <c r="T10" s="24"/>
      <c r="U10" s="24" t="s">
        <v>105</v>
      </c>
      <c r="V10" s="24" t="s">
        <v>105</v>
      </c>
      <c r="W10" s="24"/>
      <c r="X10" s="24"/>
      <c r="Y10" s="24"/>
      <c r="Z10" s="24"/>
      <c r="AA10" s="24"/>
      <c r="AB10" s="24"/>
      <c r="AC10" s="24"/>
      <c r="AD10" s="24"/>
      <c r="AE10" s="24" t="s">
        <v>105</v>
      </c>
      <c r="AF10" s="24" t="s">
        <v>105</v>
      </c>
      <c r="AG10" s="24"/>
      <c r="AH10" s="24" t="s">
        <v>105</v>
      </c>
      <c r="AI10" s="24"/>
      <c r="AJ10" s="24" t="s">
        <v>105</v>
      </c>
      <c r="AK10" s="24"/>
      <c r="AL10" s="24" t="s">
        <v>105</v>
      </c>
      <c r="AM10" s="24"/>
      <c r="AN10" s="24" t="s">
        <v>105</v>
      </c>
      <c r="AO10" s="24"/>
      <c r="AP10" s="24" t="s">
        <v>105</v>
      </c>
      <c r="AQ10" s="24"/>
      <c r="AR10" s="24" t="s">
        <v>105</v>
      </c>
      <c r="AS10" s="24" t="s">
        <v>105</v>
      </c>
      <c r="AT10" s="24"/>
      <c r="AU10" s="24" t="s">
        <v>105</v>
      </c>
      <c r="AV10" s="24"/>
      <c r="AW10" s="24" t="s">
        <v>105</v>
      </c>
      <c r="AX10" s="24"/>
      <c r="AY10" s="24" t="s">
        <v>105</v>
      </c>
      <c r="AZ10" s="24"/>
      <c r="BA10" s="24" t="s">
        <v>105</v>
      </c>
      <c r="BB10" s="24"/>
      <c r="BC10" s="24" t="s">
        <v>105</v>
      </c>
      <c r="BD10" s="24"/>
      <c r="BE10" s="24" t="s">
        <v>105</v>
      </c>
      <c r="BF10" s="24" t="s">
        <v>105</v>
      </c>
      <c r="BG10" s="24" t="s">
        <v>105</v>
      </c>
      <c r="BH10" s="24"/>
      <c r="BI10" s="24" t="s">
        <v>105</v>
      </c>
      <c r="BJ10" s="24"/>
      <c r="BK10" s="24" t="s">
        <v>105</v>
      </c>
      <c r="BL10" s="24" t="s">
        <v>105</v>
      </c>
      <c r="BM10" s="24" t="s">
        <v>105</v>
      </c>
      <c r="BN10" s="24"/>
      <c r="BO10" s="24" t="s">
        <v>105</v>
      </c>
      <c r="BP10" s="24"/>
      <c r="BQ10" s="24"/>
      <c r="BR10" s="24"/>
      <c r="BS10" s="24"/>
      <c r="BT10" s="24"/>
      <c r="BU10" s="24"/>
      <c r="BV10" s="13"/>
      <c r="BW10" s="13"/>
      <c r="BX10" s="13"/>
      <c r="BY10" s="13"/>
    </row>
    <row r="11" spans="1:93" x14ac:dyDescent="0.3">
      <c r="A11" s="7" t="s">
        <v>106</v>
      </c>
      <c r="B11" s="14"/>
      <c r="C11" s="15" t="e">
        <f ca="1">HLOOKUP($C$1,$D$1:$BY$11,11,0)</f>
        <v>#N/A</v>
      </c>
      <c r="D11" s="16" t="s">
        <v>23</v>
      </c>
      <c r="E11" s="16" t="s">
        <v>23</v>
      </c>
      <c r="F11" s="16" t="s">
        <v>23</v>
      </c>
      <c r="G11" s="16" t="s">
        <v>23</v>
      </c>
      <c r="H11" s="16" t="s">
        <v>23</v>
      </c>
      <c r="I11" s="16" t="s">
        <v>23</v>
      </c>
      <c r="J11" s="16" t="s">
        <v>23</v>
      </c>
      <c r="K11" s="16" t="s">
        <v>23</v>
      </c>
      <c r="L11" s="16" t="s">
        <v>23</v>
      </c>
      <c r="M11" s="16" t="s">
        <v>23</v>
      </c>
      <c r="N11" s="16" t="s">
        <v>23</v>
      </c>
      <c r="O11" s="16" t="s">
        <v>23</v>
      </c>
      <c r="P11" s="16" t="s">
        <v>23</v>
      </c>
      <c r="Q11" s="16" t="s">
        <v>23</v>
      </c>
      <c r="R11" s="16" t="s">
        <v>23</v>
      </c>
      <c r="S11" s="16" t="s">
        <v>23</v>
      </c>
      <c r="T11" s="16" t="s">
        <v>23</v>
      </c>
      <c r="U11" s="16" t="s">
        <v>23</v>
      </c>
      <c r="V11" s="16" t="s">
        <v>23</v>
      </c>
      <c r="W11" s="16" t="s">
        <v>23</v>
      </c>
      <c r="X11" s="16" t="s">
        <v>23</v>
      </c>
      <c r="Y11" s="16" t="s">
        <v>23</v>
      </c>
      <c r="Z11" s="16" t="s">
        <v>23</v>
      </c>
      <c r="AA11" s="16" t="s">
        <v>23</v>
      </c>
      <c r="AB11" s="16" t="s">
        <v>23</v>
      </c>
      <c r="AC11" s="16" t="s">
        <v>23</v>
      </c>
      <c r="AD11" s="16" t="s">
        <v>23</v>
      </c>
      <c r="AE11" s="16" t="s">
        <v>23</v>
      </c>
      <c r="AF11" s="16" t="s">
        <v>23</v>
      </c>
      <c r="AG11" s="16" t="s">
        <v>24</v>
      </c>
      <c r="AH11" s="16" t="s">
        <v>24</v>
      </c>
      <c r="AI11" s="16" t="s">
        <v>24</v>
      </c>
      <c r="AJ11" s="16" t="s">
        <v>24</v>
      </c>
      <c r="AK11" s="16" t="s">
        <v>24</v>
      </c>
      <c r="AL11" s="16" t="s">
        <v>24</v>
      </c>
      <c r="AM11" s="16" t="s">
        <v>24</v>
      </c>
      <c r="AN11" s="16" t="s">
        <v>24</v>
      </c>
      <c r="AO11" s="16" t="s">
        <v>24</v>
      </c>
      <c r="AP11" s="16" t="s">
        <v>24</v>
      </c>
      <c r="AQ11" s="16" t="s">
        <v>24</v>
      </c>
      <c r="AR11" s="16" t="s">
        <v>24</v>
      </c>
      <c r="AS11" s="16" t="s">
        <v>24</v>
      </c>
      <c r="AT11" s="16" t="s">
        <v>24</v>
      </c>
      <c r="AU11" s="16" t="s">
        <v>24</v>
      </c>
      <c r="AV11" s="16" t="s">
        <v>25</v>
      </c>
      <c r="AW11" s="16" t="s">
        <v>25</v>
      </c>
      <c r="AX11" s="16" t="s">
        <v>25</v>
      </c>
      <c r="AY11" s="16" t="s">
        <v>25</v>
      </c>
      <c r="AZ11" s="16" t="s">
        <v>25</v>
      </c>
      <c r="BA11" s="16" t="s">
        <v>25</v>
      </c>
      <c r="BB11" s="16" t="s">
        <v>25</v>
      </c>
      <c r="BC11" s="16" t="s">
        <v>25</v>
      </c>
      <c r="BD11" s="16" t="s">
        <v>25</v>
      </c>
      <c r="BE11" s="16" t="s">
        <v>25</v>
      </c>
      <c r="BF11" s="16" t="s">
        <v>25</v>
      </c>
      <c r="BG11" s="16" t="s">
        <v>25</v>
      </c>
      <c r="BH11" s="16" t="s">
        <v>25</v>
      </c>
      <c r="BI11" s="16" t="s">
        <v>25</v>
      </c>
      <c r="BJ11" s="16" t="s">
        <v>25</v>
      </c>
      <c r="BK11" s="16" t="s">
        <v>25</v>
      </c>
      <c r="BL11" s="16" t="s">
        <v>25</v>
      </c>
      <c r="BM11" s="16" t="s">
        <v>25</v>
      </c>
      <c r="BN11" s="16" t="s">
        <v>25</v>
      </c>
      <c r="BO11" s="16" t="s">
        <v>25</v>
      </c>
      <c r="BP11" s="16" t="s">
        <v>25</v>
      </c>
      <c r="BQ11" s="16" t="s">
        <v>25</v>
      </c>
      <c r="BR11" s="16" t="s">
        <v>25</v>
      </c>
      <c r="BS11" s="16" t="s">
        <v>25</v>
      </c>
      <c r="BT11" s="16" t="s">
        <v>25</v>
      </c>
      <c r="BU11" s="16" t="s">
        <v>25</v>
      </c>
      <c r="BV11" s="16" t="s">
        <v>24</v>
      </c>
      <c r="BW11" s="16" t="s">
        <v>24</v>
      </c>
      <c r="BX11" s="16" t="s">
        <v>25</v>
      </c>
      <c r="BY11" s="16"/>
    </row>
    <row r="12" spans="1:93" ht="15.75" customHeight="1" x14ac:dyDescent="0.25">
      <c r="A12" s="17"/>
      <c r="B12" s="14"/>
      <c r="C12" s="15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</row>
    <row r="13" spans="1:93" ht="15.75" customHeight="1" x14ac:dyDescent="0.25">
      <c r="A13" s="17" t="s">
        <v>26</v>
      </c>
      <c r="B13" s="14"/>
      <c r="C13" s="15" t="e">
        <f t="shared" ref="C13:BY13" ca="1" si="0">SUM(1*(C2&gt;=$B$2)+1*(C3&gt;=$B$3)+1*(C4&gt;=$B$4)+1*(C5&gt;=$B$5)+1*(C6&gt;=$B$6)+1*(C7&gt;=$B$7)+1*(C8&gt;=$B$8)+1*OR(C9="Y",$B$9="N",$B$9="")+1*OR(C10="Y",$B$10="N",$B$10=""))</f>
        <v>#N/A</v>
      </c>
      <c r="D13" s="16">
        <f t="shared" ca="1" si="0"/>
        <v>4</v>
      </c>
      <c r="E13" s="16">
        <f t="shared" ca="1" si="0"/>
        <v>4</v>
      </c>
      <c r="F13" s="16">
        <f t="shared" ca="1" si="0"/>
        <v>4</v>
      </c>
      <c r="G13" s="16">
        <f t="shared" ca="1" si="0"/>
        <v>5</v>
      </c>
      <c r="H13" s="16">
        <f t="shared" ca="1" si="0"/>
        <v>5</v>
      </c>
      <c r="I13" s="16">
        <f t="shared" ca="1" si="0"/>
        <v>5</v>
      </c>
      <c r="J13" s="16">
        <f t="shared" ca="1" si="0"/>
        <v>5</v>
      </c>
      <c r="K13" s="16">
        <f t="shared" ca="1" si="0"/>
        <v>5</v>
      </c>
      <c r="L13" s="16">
        <f t="shared" ca="1" si="0"/>
        <v>5</v>
      </c>
      <c r="M13" s="16">
        <f t="shared" ca="1" si="0"/>
        <v>5</v>
      </c>
      <c r="N13" s="16">
        <f t="shared" ca="1" si="0"/>
        <v>5</v>
      </c>
      <c r="O13" s="16">
        <f t="shared" ca="1" si="0"/>
        <v>5</v>
      </c>
      <c r="P13" s="16">
        <f t="shared" ca="1" si="0"/>
        <v>5</v>
      </c>
      <c r="Q13" s="16">
        <f t="shared" ca="1" si="0"/>
        <v>5</v>
      </c>
      <c r="R13" s="16">
        <f t="shared" ca="1" si="0"/>
        <v>5</v>
      </c>
      <c r="S13" s="16">
        <f t="shared" ca="1" si="0"/>
        <v>5</v>
      </c>
      <c r="T13" s="16">
        <f t="shared" ca="1" si="0"/>
        <v>6</v>
      </c>
      <c r="U13" s="16">
        <f t="shared" ca="1" si="0"/>
        <v>6</v>
      </c>
      <c r="V13" s="16">
        <f t="shared" ca="1" si="0"/>
        <v>6</v>
      </c>
      <c r="W13" s="16">
        <f t="shared" ca="1" si="0"/>
        <v>8</v>
      </c>
      <c r="X13" s="16">
        <f t="shared" ca="1" si="0"/>
        <v>7</v>
      </c>
      <c r="Y13" s="16">
        <f t="shared" ca="1" si="0"/>
        <v>7</v>
      </c>
      <c r="Z13" s="16">
        <f t="shared" ca="1" si="0"/>
        <v>7</v>
      </c>
      <c r="AA13" s="16">
        <f t="shared" ca="1" si="0"/>
        <v>7</v>
      </c>
      <c r="AB13" s="16">
        <f t="shared" ca="1" si="0"/>
        <v>8</v>
      </c>
      <c r="AC13" s="16">
        <f t="shared" ca="1" si="0"/>
        <v>6</v>
      </c>
      <c r="AD13" s="16">
        <f t="shared" ca="1" si="0"/>
        <v>7</v>
      </c>
      <c r="AE13" s="16">
        <f t="shared" ca="1" si="0"/>
        <v>6</v>
      </c>
      <c r="AF13" s="16">
        <f t="shared" ca="1" si="0"/>
        <v>7</v>
      </c>
      <c r="AG13" s="16">
        <f t="shared" ca="1" si="0"/>
        <v>6</v>
      </c>
      <c r="AH13" s="16">
        <f t="shared" ca="1" si="0"/>
        <v>6</v>
      </c>
      <c r="AI13" s="16">
        <f t="shared" ca="1" si="0"/>
        <v>7</v>
      </c>
      <c r="AJ13" s="16">
        <f t="shared" ca="1" si="0"/>
        <v>7</v>
      </c>
      <c r="AK13" s="16">
        <f t="shared" ca="1" si="0"/>
        <v>6</v>
      </c>
      <c r="AL13" s="16">
        <f t="shared" ca="1" si="0"/>
        <v>6</v>
      </c>
      <c r="AM13" s="16">
        <f t="shared" ca="1" si="0"/>
        <v>6</v>
      </c>
      <c r="AN13" s="16">
        <f t="shared" ca="1" si="0"/>
        <v>6</v>
      </c>
      <c r="AO13" s="16">
        <f t="shared" ca="1" si="0"/>
        <v>5</v>
      </c>
      <c r="AP13" s="16">
        <f t="shared" ca="1" si="0"/>
        <v>5</v>
      </c>
      <c r="AQ13" s="16">
        <f t="shared" ca="1" si="0"/>
        <v>6</v>
      </c>
      <c r="AR13" s="16">
        <f t="shared" ca="1" si="0"/>
        <v>6</v>
      </c>
      <c r="AS13" s="16">
        <f t="shared" ca="1" si="0"/>
        <v>3</v>
      </c>
      <c r="AT13" s="16">
        <f t="shared" ca="1" si="0"/>
        <v>3</v>
      </c>
      <c r="AU13" s="16">
        <f t="shared" ca="1" si="0"/>
        <v>3</v>
      </c>
      <c r="AV13" s="16">
        <f t="shared" ca="1" si="0"/>
        <v>6</v>
      </c>
      <c r="AW13" s="16">
        <f t="shared" ca="1" si="0"/>
        <v>6</v>
      </c>
      <c r="AX13" s="16">
        <f t="shared" ca="1" si="0"/>
        <v>6</v>
      </c>
      <c r="AY13" s="16">
        <f t="shared" ca="1" si="0"/>
        <v>6</v>
      </c>
      <c r="AZ13" s="16">
        <f t="shared" ca="1" si="0"/>
        <v>6</v>
      </c>
      <c r="BA13" s="16">
        <f t="shared" ca="1" si="0"/>
        <v>6</v>
      </c>
      <c r="BB13" s="16">
        <f t="shared" ca="1" si="0"/>
        <v>7</v>
      </c>
      <c r="BC13" s="16">
        <f t="shared" ca="1" si="0"/>
        <v>7</v>
      </c>
      <c r="BD13" s="16">
        <f t="shared" ca="1" si="0"/>
        <v>8</v>
      </c>
      <c r="BE13" s="16">
        <f t="shared" ca="1" si="0"/>
        <v>8</v>
      </c>
      <c r="BF13" s="16">
        <f t="shared" ca="1" si="0"/>
        <v>8</v>
      </c>
      <c r="BG13" s="16">
        <f t="shared" ca="1" si="0"/>
        <v>8</v>
      </c>
      <c r="BH13" s="16">
        <f t="shared" ca="1" si="0"/>
        <v>7</v>
      </c>
      <c r="BI13" s="16">
        <f t="shared" ca="1" si="0"/>
        <v>8</v>
      </c>
      <c r="BJ13" s="16">
        <f t="shared" ca="1" si="0"/>
        <v>8</v>
      </c>
      <c r="BK13" s="16">
        <f t="shared" ca="1" si="0"/>
        <v>8</v>
      </c>
      <c r="BL13" s="16">
        <f t="shared" ca="1" si="0"/>
        <v>8</v>
      </c>
      <c r="BM13" s="16">
        <f t="shared" ca="1" si="0"/>
        <v>8</v>
      </c>
      <c r="BN13" s="16">
        <f t="shared" ca="1" si="0"/>
        <v>7</v>
      </c>
      <c r="BO13" s="16">
        <f t="shared" ca="1" si="0"/>
        <v>8</v>
      </c>
      <c r="BP13" s="16">
        <f t="shared" ca="1" si="0"/>
        <v>6</v>
      </c>
      <c r="BQ13" s="16">
        <f t="shared" ca="1" si="0"/>
        <v>6</v>
      </c>
      <c r="BR13" s="16">
        <f t="shared" ca="1" si="0"/>
        <v>7</v>
      </c>
      <c r="BS13" s="16">
        <f t="shared" ca="1" si="0"/>
        <v>7</v>
      </c>
      <c r="BT13" s="16">
        <f t="shared" ca="1" si="0"/>
        <v>6</v>
      </c>
      <c r="BU13" s="16">
        <f t="shared" ca="1" si="0"/>
        <v>6</v>
      </c>
      <c r="BV13" s="16">
        <f t="shared" ca="1" si="0"/>
        <v>3</v>
      </c>
      <c r="BW13" s="16">
        <f t="shared" ca="1" si="0"/>
        <v>3</v>
      </c>
      <c r="BX13" s="16">
        <f t="shared" ca="1" si="0"/>
        <v>3</v>
      </c>
      <c r="BY13" s="16">
        <f t="shared" ca="1" si="0"/>
        <v>3</v>
      </c>
    </row>
    <row r="14" spans="1:93" ht="15.75" customHeight="1" x14ac:dyDescent="0.25">
      <c r="A14" s="17" t="s">
        <v>27</v>
      </c>
      <c r="B14" s="14"/>
      <c r="C14" s="18">
        <f ca="1">IFERROR(VLOOKUP(C1,AllListPrice!$A$2:$D$1000,4,0),0)</f>
        <v>0</v>
      </c>
      <c r="D14" s="19">
        <f ca="1">IFERROR(VLOOKUP(D1,AllListPrice!$A$2:$D$1000,4,0),0)</f>
        <v>466.11</v>
      </c>
      <c r="E14" s="19">
        <f ca="1">IFERROR(VLOOKUP(E1,AllListPrice!$A$2:$D$1000,4,0),0)</f>
        <v>576.41999999999996</v>
      </c>
      <c r="F14" s="19">
        <f ca="1">IFERROR(VLOOKUP(F1,AllListPrice!$A$2:$D$1000,4,0),0)</f>
        <v>765.31</v>
      </c>
      <c r="G14" s="19">
        <f ca="1">IFERROR(VLOOKUP(G1,AllListPrice!$A$2:$D$1000,4,0),0)</f>
        <v>663.67</v>
      </c>
      <c r="H14" s="19">
        <f ca="1">IFERROR(VLOOKUP(H1,AllListPrice!$A$2:$D$1000,4,0),0)</f>
        <v>962.86</v>
      </c>
      <c r="I14" s="19">
        <f ca="1">IFERROR(VLOOKUP(I1,AllListPrice!$A$2:$D$1000,4,0),0)</f>
        <v>1364.85</v>
      </c>
      <c r="J14" s="19">
        <f ca="1">IFERROR(VLOOKUP(J1,AllListPrice!$A$2:$D$1000,4,0),0)</f>
        <v>925.31</v>
      </c>
      <c r="K14" s="19">
        <f ca="1">IFERROR(VLOOKUP(K1,AllListPrice!$A$2:$D$1000,4,0),0)</f>
        <v>1316.32</v>
      </c>
      <c r="L14" s="19">
        <f ca="1">IFERROR(VLOOKUP(L1,AllListPrice!$A$2:$D$1000,4,0),0)</f>
        <v>1785.82</v>
      </c>
      <c r="M14" s="19">
        <f ca="1">IFERROR(VLOOKUP(M1,AllListPrice!$A$2:$D$1000,4,0),0)</f>
        <v>1446.81</v>
      </c>
      <c r="N14" s="19">
        <f ca="1">IFERROR(VLOOKUP(N1,AllListPrice!$A$2:$D$1000,4,0),0)</f>
        <v>2394.09</v>
      </c>
      <c r="O14" s="19">
        <f ca="1">IFERROR(VLOOKUP(O1,AllListPrice!$A$2:$D$1000,4,0),0)</f>
        <v>2990.63</v>
      </c>
      <c r="P14" s="19">
        <f ca="1">IFERROR(VLOOKUP(P1,AllListPrice!$A$2:$D$1000,4,0),0)</f>
        <v>1047.05</v>
      </c>
      <c r="Q14" s="19">
        <f ca="1">IFERROR(VLOOKUP(Q1,AllListPrice!$A$2:$D$1000,4,0),0)</f>
        <v>1403.2</v>
      </c>
      <c r="R14" s="19">
        <f ca="1">IFERROR(VLOOKUP(R1,AllListPrice!$A$2:$D$1000,4,0),0)</f>
        <v>1674.32</v>
      </c>
      <c r="S14" s="19">
        <f ca="1">IFERROR(VLOOKUP(S1,AllListPrice!$A$2:$D$1000,4,0),0)</f>
        <v>2278.2600000000002</v>
      </c>
      <c r="T14" s="19">
        <f ca="1">IFERROR(VLOOKUP(T1,AllListPrice!$A$2:$D$1000,4,0),0)</f>
        <v>2202.7199999999998</v>
      </c>
      <c r="U14" s="19">
        <f ca="1">IFERROR(VLOOKUP(U1,AllListPrice!$A$2:$D$1000,4,0),0)</f>
        <v>2733.04</v>
      </c>
      <c r="V14" s="19">
        <f ca="1">IFERROR(VLOOKUP(V1,AllListPrice!$A$2:$D$1000,4,0),0)</f>
        <v>3526.47</v>
      </c>
      <c r="W14" s="19">
        <f ca="1">IFERROR(VLOOKUP(W1,AllListPrice!$A$2:$D$1000,4,0),0)</f>
        <v>2418.1799999999998</v>
      </c>
      <c r="X14" s="19">
        <f ca="1">IFERROR(VLOOKUP(X1,AllListPrice!$A$2:$D$1000,4,0),0)</f>
        <v>2462.89</v>
      </c>
      <c r="Y14" s="19">
        <f ca="1">IFERROR(VLOOKUP(Y1,AllListPrice!$A$2:$D$1000,4,0),0)</f>
        <v>3849.34</v>
      </c>
      <c r="Z14" s="19">
        <f ca="1">IFERROR(VLOOKUP(Z1,AllListPrice!$A$2:$D$1000,4,0),0)</f>
        <v>3983.44</v>
      </c>
      <c r="AA14" s="19">
        <f ca="1">IFERROR(VLOOKUP(AA1,AllListPrice!$A$2:$D$1000,4,0),0)</f>
        <v>5118.4399999999996</v>
      </c>
      <c r="AB14" s="19">
        <f ca="1">IFERROR(VLOOKUP(AB1,AllListPrice!$A$2:$D$1000,4,0),0)</f>
        <v>4937.7</v>
      </c>
      <c r="AC14" s="19">
        <f ca="1">IFERROR(VLOOKUP(AC1,AllListPrice!$A$2:$D$1000,4,0),0)</f>
        <v>1187.92</v>
      </c>
      <c r="AD14" s="19">
        <f ca="1">IFERROR(VLOOKUP(AD1,AllListPrice!$A$2:$D$1000,4,0),0)</f>
        <v>1723.05</v>
      </c>
      <c r="AE14" s="19">
        <f ca="1">IFERROR(VLOOKUP(AE1,AllListPrice!$A$2:$D$1000,4,0),0)</f>
        <v>1925.65</v>
      </c>
      <c r="AF14" s="19">
        <f ca="1">IFERROR(VLOOKUP(AF1,AllListPrice!$A$2:$D$1000,4,0),0)</f>
        <v>2982.58</v>
      </c>
      <c r="AG14" s="19">
        <f ca="1">IFERROR(VLOOKUP(AG1,AllListPrice!$A$2:$D$1000,4,0),0)</f>
        <v>10084.98</v>
      </c>
      <c r="AH14" s="19">
        <f ca="1">IFERROR(VLOOKUP(AH1,AllListPrice!$A$2:$D$1000,4,0),0)</f>
        <v>11213.65</v>
      </c>
      <c r="AI14" s="19">
        <f ca="1">IFERROR(VLOOKUP(AI1,AllListPrice!$A$2:$D$1000,4,0),0)</f>
        <v>15922.14</v>
      </c>
      <c r="AJ14" s="19">
        <f ca="1">IFERROR(VLOOKUP(AJ1,AllListPrice!$A$2:$D$1000,4,0),0)</f>
        <v>20161.2</v>
      </c>
      <c r="AK14" s="19">
        <f ca="1">IFERROR(VLOOKUP(AK1,AllListPrice!$A$2:$D$1000,4,0),0)</f>
        <v>6262.27</v>
      </c>
      <c r="AL14" s="19">
        <f ca="1">IFERROR(VLOOKUP(AL1,AllListPrice!$A$2:$D$1000,4,0),0)</f>
        <v>7688.05</v>
      </c>
      <c r="AM14" s="19">
        <f ca="1">IFERROR(VLOOKUP(AM1,AllListPrice!$A$2:$D$1000,4,0),0)</f>
        <v>11166.4</v>
      </c>
      <c r="AN14" s="19">
        <f ca="1">IFERROR(VLOOKUP(AN1,AllListPrice!$A$2:$D$1000,4,0),0)</f>
        <v>15455.34</v>
      </c>
      <c r="AO14" s="19">
        <f ca="1">IFERROR(VLOOKUP(AO1,AllListPrice!$A$2:$D$1000,4,0),0)</f>
        <v>8762.44</v>
      </c>
      <c r="AP14" s="19">
        <f ca="1">IFERROR(VLOOKUP(AP1,AllListPrice!$A$2:$D$1000,4,0),0)</f>
        <v>10192.33</v>
      </c>
      <c r="AQ14" s="19">
        <f ca="1">IFERROR(VLOOKUP(AQ1,AllListPrice!$A$2:$D$1000,4,0),0)</f>
        <v>13666.57</v>
      </c>
      <c r="AR14" s="19">
        <f ca="1">IFERROR(VLOOKUP(AR1,AllListPrice!$A$2:$D$1000,4,0),0)</f>
        <v>17955.509999999998</v>
      </c>
      <c r="AS14" s="19">
        <f ca="1">IFERROR(VLOOKUP(AS1,AllListPrice!$A$2:$D$1000,4,0),0)</f>
        <v>5144.72</v>
      </c>
      <c r="AT14" s="19">
        <f ca="1">IFERROR(VLOOKUP(AT1,AllListPrice!$A$2:$D$1000,4,0),0)</f>
        <v>4714.3100000000004</v>
      </c>
      <c r="AU14" s="19">
        <f ca="1">IFERROR(VLOOKUP(AU1,AllListPrice!$A$2:$D$1000,4,0),0)</f>
        <v>5606.95</v>
      </c>
      <c r="AV14" s="19">
        <f ca="1">IFERROR(VLOOKUP(AV1,AllListPrice!$A$2:$D$1000,4,0),0)</f>
        <v>13274.37</v>
      </c>
      <c r="AW14" s="19">
        <f ca="1">IFERROR(VLOOKUP(AW1,AllListPrice!$A$2:$D$1000,4,0),0)</f>
        <v>14219.2</v>
      </c>
      <c r="AX14" s="19">
        <f ca="1">IFERROR(VLOOKUP(AX1,AllListPrice!$A$2:$D$1000,4,0),0)</f>
        <v>16104.69</v>
      </c>
      <c r="AY14" s="19">
        <f ca="1">IFERROR(VLOOKUP(AY1,AllListPrice!$A$2:$D$1000,4,0),0)</f>
        <v>17045.38</v>
      </c>
      <c r="AZ14" s="19">
        <f ca="1">IFERROR(VLOOKUP(AZ1,AllListPrice!$A$2:$D$1000,4,0),0)</f>
        <v>19434.02</v>
      </c>
      <c r="BA14" s="19">
        <f ca="1">IFERROR(VLOOKUP(BA1,AllListPrice!$A$2:$D$1000,4,0),0)</f>
        <v>22071.94</v>
      </c>
      <c r="BB14" s="19">
        <f ca="1">IFERROR(VLOOKUP(BB1,AllListPrice!$A$2:$D$1000,4,0),0)</f>
        <v>22260.23</v>
      </c>
      <c r="BC14" s="19">
        <f ca="1">IFERROR(VLOOKUP(BC1,AllListPrice!$A$2:$D$1000,4,0),0)</f>
        <v>24901.119999999999</v>
      </c>
      <c r="BD14" s="19">
        <f ca="1">IFERROR(VLOOKUP(BD1,AllListPrice!$A$2:$D$1000,4,0),0)</f>
        <v>17547.66</v>
      </c>
      <c r="BE14" s="19">
        <f ca="1">IFERROR(VLOOKUP(BE1,AllListPrice!$A$2:$D$1000,4,0),0)</f>
        <v>19038.330000000002</v>
      </c>
      <c r="BF14" s="19">
        <f ca="1">IFERROR(VLOOKUP(BF1,AllListPrice!$A$2:$D$1000,4,0),0)</f>
        <v>19965.21</v>
      </c>
      <c r="BG14" s="19">
        <f ca="1">IFERROR(VLOOKUP(BG1,AllListPrice!$A$2:$D$1000,4,0),0)</f>
        <v>20515.29</v>
      </c>
      <c r="BH14" s="19">
        <f ca="1">IFERROR(VLOOKUP(BH1,AllListPrice!$A$2:$D$1000,4,0),0)</f>
        <v>48735.58</v>
      </c>
      <c r="BI14" s="19">
        <f ca="1">IFERROR(VLOOKUP(BI1,AllListPrice!$A$2:$D$1000,4,0),0)</f>
        <v>24477.78</v>
      </c>
      <c r="BJ14" s="19">
        <f ca="1">IFERROR(VLOOKUP(BJ1,AllListPrice!$A$2:$D$1000,4,0),0)</f>
        <v>25854.11</v>
      </c>
      <c r="BK14" s="19">
        <f ca="1">IFERROR(VLOOKUP(BK1,AllListPrice!$A$2:$D$1000,4,0),0)</f>
        <v>28776.34</v>
      </c>
      <c r="BL14" s="19">
        <f ca="1">IFERROR(VLOOKUP(BL1,AllListPrice!$A$2:$D$1000,4,0),0)</f>
        <v>30632.82</v>
      </c>
      <c r="BM14" s="19">
        <f ca="1">IFERROR(VLOOKUP(BM1,AllListPrice!$A$2:$D$1000,4,0),0)</f>
        <v>31600.93</v>
      </c>
      <c r="BN14" s="19">
        <f ca="1">IFERROR(VLOOKUP(BN1,AllListPrice!$A$2:$D$1000,4,0),0)</f>
        <v>55867.65</v>
      </c>
      <c r="BO14" s="19">
        <f ca="1">IFERROR(VLOOKUP(BO1,AllListPrice!$A$2:$D$1000,4,0),0)</f>
        <v>36714.46</v>
      </c>
      <c r="BP14" s="19">
        <f ca="1">IFERROR(VLOOKUP(BP1,AllListPrice!$A$2:$D$1000,4,0),0)</f>
        <v>85280.320000000007</v>
      </c>
      <c r="BQ14" s="19">
        <f ca="1">IFERROR(VLOOKUP(BQ1,AllListPrice!$A$2:$D$1000,4,0),0)</f>
        <v>76987.179999999993</v>
      </c>
      <c r="BR14" s="19">
        <f ca="1">IFERROR(VLOOKUP(BR1,AllListPrice!$A$2:$D$1000,4,0),0)</f>
        <v>65076.01</v>
      </c>
      <c r="BS14" s="19">
        <f ca="1">IFERROR(VLOOKUP(BS1,AllListPrice!$A$2:$D$1000,4,0),0)</f>
        <v>54433.3</v>
      </c>
      <c r="BT14" s="19">
        <f ca="1">IFERROR(VLOOKUP(BT1,AllListPrice!$A$2:$D$1000,4,0),0)</f>
        <v>166221.42000000001</v>
      </c>
      <c r="BU14" s="19">
        <f ca="1">IFERROR(VLOOKUP(BU1,AllListPrice!$A$2:$D$1000,4,0),0)</f>
        <v>127832.66</v>
      </c>
      <c r="BV14" s="19">
        <f ca="1">IFERROR(VLOOKUP(BV1,AllListPrice!$A$2:$D$1000,4,0),0)</f>
        <v>26500</v>
      </c>
      <c r="BW14" s="19">
        <f ca="1">IFERROR(VLOOKUP(BW1,AllListPrice!$A$2:$D$1000,4,0),0)</f>
        <v>32500</v>
      </c>
      <c r="BX14" s="19">
        <f ca="1">IFERROR(VLOOKUP(BX1,AllListPrice!$A$2:$D$1000,4,0),0)</f>
        <v>192000</v>
      </c>
      <c r="BY14" s="19">
        <f ca="1">IFERROR(VLOOKUP(BY1,Cisco!$A$2:$D$1000,4,0),0)</f>
        <v>0</v>
      </c>
    </row>
    <row r="15" spans="1:93" ht="15.75" customHeight="1" x14ac:dyDescent="0.25">
      <c r="A15" s="17" t="s">
        <v>28</v>
      </c>
      <c r="B15" s="14"/>
      <c r="C15" s="15" t="e">
        <f t="shared" ref="C15:BY15" ca="1" si="1">1*(C13=MAX($D$13:$BY$13))</f>
        <v>#N/A</v>
      </c>
      <c r="D15" s="16">
        <f t="shared" ca="1" si="1"/>
        <v>0</v>
      </c>
      <c r="E15" s="16">
        <f t="shared" ca="1" si="1"/>
        <v>0</v>
      </c>
      <c r="F15" s="16">
        <f t="shared" ca="1" si="1"/>
        <v>0</v>
      </c>
      <c r="G15" s="16">
        <f t="shared" ca="1" si="1"/>
        <v>0</v>
      </c>
      <c r="H15" s="16">
        <f t="shared" ca="1" si="1"/>
        <v>0</v>
      </c>
      <c r="I15" s="16">
        <f t="shared" ca="1" si="1"/>
        <v>0</v>
      </c>
      <c r="J15" s="16">
        <f t="shared" ca="1" si="1"/>
        <v>0</v>
      </c>
      <c r="K15" s="16">
        <f t="shared" ca="1" si="1"/>
        <v>0</v>
      </c>
      <c r="L15" s="16">
        <f t="shared" ca="1" si="1"/>
        <v>0</v>
      </c>
      <c r="M15" s="16">
        <f t="shared" ca="1" si="1"/>
        <v>0</v>
      </c>
      <c r="N15" s="16">
        <f t="shared" ca="1" si="1"/>
        <v>0</v>
      </c>
      <c r="O15" s="16">
        <f t="shared" ca="1" si="1"/>
        <v>0</v>
      </c>
      <c r="P15" s="16">
        <f t="shared" ca="1" si="1"/>
        <v>0</v>
      </c>
      <c r="Q15" s="16">
        <f t="shared" ca="1" si="1"/>
        <v>0</v>
      </c>
      <c r="R15" s="16">
        <f t="shared" ca="1" si="1"/>
        <v>0</v>
      </c>
      <c r="S15" s="16">
        <f t="shared" ca="1" si="1"/>
        <v>0</v>
      </c>
      <c r="T15" s="16">
        <f t="shared" ca="1" si="1"/>
        <v>0</v>
      </c>
      <c r="U15" s="16">
        <f t="shared" ca="1" si="1"/>
        <v>0</v>
      </c>
      <c r="V15" s="16">
        <f t="shared" ca="1" si="1"/>
        <v>0</v>
      </c>
      <c r="W15" s="16">
        <f t="shared" ca="1" si="1"/>
        <v>1</v>
      </c>
      <c r="X15" s="16">
        <f t="shared" ca="1" si="1"/>
        <v>0</v>
      </c>
      <c r="Y15" s="16">
        <f t="shared" ca="1" si="1"/>
        <v>0</v>
      </c>
      <c r="Z15" s="16">
        <f t="shared" ca="1" si="1"/>
        <v>0</v>
      </c>
      <c r="AA15" s="16">
        <f t="shared" ca="1" si="1"/>
        <v>0</v>
      </c>
      <c r="AB15" s="16">
        <f t="shared" ca="1" si="1"/>
        <v>1</v>
      </c>
      <c r="AC15" s="16">
        <f t="shared" ca="1" si="1"/>
        <v>0</v>
      </c>
      <c r="AD15" s="16">
        <f t="shared" ca="1" si="1"/>
        <v>0</v>
      </c>
      <c r="AE15" s="16">
        <f t="shared" ca="1" si="1"/>
        <v>0</v>
      </c>
      <c r="AF15" s="16">
        <f t="shared" ca="1" si="1"/>
        <v>0</v>
      </c>
      <c r="AG15" s="16">
        <f t="shared" ca="1" si="1"/>
        <v>0</v>
      </c>
      <c r="AH15" s="16">
        <f t="shared" ca="1" si="1"/>
        <v>0</v>
      </c>
      <c r="AI15" s="16">
        <f t="shared" ca="1" si="1"/>
        <v>0</v>
      </c>
      <c r="AJ15" s="16">
        <f t="shared" ca="1" si="1"/>
        <v>0</v>
      </c>
      <c r="AK15" s="16">
        <f t="shared" ca="1" si="1"/>
        <v>0</v>
      </c>
      <c r="AL15" s="16">
        <f t="shared" ca="1" si="1"/>
        <v>0</v>
      </c>
      <c r="AM15" s="16">
        <f t="shared" ca="1" si="1"/>
        <v>0</v>
      </c>
      <c r="AN15" s="16">
        <f t="shared" ca="1" si="1"/>
        <v>0</v>
      </c>
      <c r="AO15" s="16">
        <f t="shared" ca="1" si="1"/>
        <v>0</v>
      </c>
      <c r="AP15" s="16">
        <f t="shared" ca="1" si="1"/>
        <v>0</v>
      </c>
      <c r="AQ15" s="16">
        <f t="shared" ca="1" si="1"/>
        <v>0</v>
      </c>
      <c r="AR15" s="16">
        <f t="shared" ca="1" si="1"/>
        <v>0</v>
      </c>
      <c r="AS15" s="16">
        <f t="shared" ca="1" si="1"/>
        <v>0</v>
      </c>
      <c r="AT15" s="16">
        <f t="shared" ca="1" si="1"/>
        <v>0</v>
      </c>
      <c r="AU15" s="16">
        <f t="shared" ca="1" si="1"/>
        <v>0</v>
      </c>
      <c r="AV15" s="16">
        <f t="shared" ca="1" si="1"/>
        <v>0</v>
      </c>
      <c r="AW15" s="16">
        <f t="shared" ca="1" si="1"/>
        <v>0</v>
      </c>
      <c r="AX15" s="16">
        <f t="shared" ca="1" si="1"/>
        <v>0</v>
      </c>
      <c r="AY15" s="16">
        <f t="shared" ca="1" si="1"/>
        <v>0</v>
      </c>
      <c r="AZ15" s="16">
        <f t="shared" ca="1" si="1"/>
        <v>0</v>
      </c>
      <c r="BA15" s="16">
        <f t="shared" ca="1" si="1"/>
        <v>0</v>
      </c>
      <c r="BB15" s="16">
        <f t="shared" ca="1" si="1"/>
        <v>0</v>
      </c>
      <c r="BC15" s="16">
        <f t="shared" ca="1" si="1"/>
        <v>0</v>
      </c>
      <c r="BD15" s="16">
        <f t="shared" ca="1" si="1"/>
        <v>1</v>
      </c>
      <c r="BE15" s="16">
        <f t="shared" ca="1" si="1"/>
        <v>1</v>
      </c>
      <c r="BF15" s="16">
        <f t="shared" ca="1" si="1"/>
        <v>1</v>
      </c>
      <c r="BG15" s="16">
        <f t="shared" ca="1" si="1"/>
        <v>1</v>
      </c>
      <c r="BH15" s="16">
        <f t="shared" ca="1" si="1"/>
        <v>0</v>
      </c>
      <c r="BI15" s="16">
        <f t="shared" ca="1" si="1"/>
        <v>1</v>
      </c>
      <c r="BJ15" s="16">
        <f t="shared" ca="1" si="1"/>
        <v>1</v>
      </c>
      <c r="BK15" s="16">
        <f t="shared" ca="1" si="1"/>
        <v>1</v>
      </c>
      <c r="BL15" s="16">
        <f t="shared" ca="1" si="1"/>
        <v>1</v>
      </c>
      <c r="BM15" s="16">
        <f t="shared" ca="1" si="1"/>
        <v>1</v>
      </c>
      <c r="BN15" s="16">
        <f t="shared" ca="1" si="1"/>
        <v>0</v>
      </c>
      <c r="BO15" s="16">
        <f t="shared" ca="1" si="1"/>
        <v>1</v>
      </c>
      <c r="BP15" s="16">
        <f t="shared" ca="1" si="1"/>
        <v>0</v>
      </c>
      <c r="BQ15" s="16">
        <f t="shared" ca="1" si="1"/>
        <v>0</v>
      </c>
      <c r="BR15" s="16">
        <f t="shared" ca="1" si="1"/>
        <v>0</v>
      </c>
      <c r="BS15" s="16">
        <f t="shared" ca="1" si="1"/>
        <v>0</v>
      </c>
      <c r="BT15" s="16">
        <f t="shared" ca="1" si="1"/>
        <v>0</v>
      </c>
      <c r="BU15" s="16">
        <f t="shared" ca="1" si="1"/>
        <v>0</v>
      </c>
      <c r="BV15" s="16">
        <f t="shared" ca="1" si="1"/>
        <v>0</v>
      </c>
      <c r="BW15" s="16">
        <f t="shared" ca="1" si="1"/>
        <v>0</v>
      </c>
      <c r="BX15" s="16">
        <f t="shared" ca="1" si="1"/>
        <v>0</v>
      </c>
      <c r="BY15" s="16">
        <f t="shared" ca="1" si="1"/>
        <v>0</v>
      </c>
    </row>
    <row r="16" spans="1:93" ht="15.75" customHeight="1" x14ac:dyDescent="0.25">
      <c r="A16" s="17" t="s">
        <v>29</v>
      </c>
      <c r="B16" s="14"/>
      <c r="C16" s="15" t="e">
        <f t="shared" ref="C16:BY16" ca="1" si="2">C15*(C14=_xludf.minifs($D$14:$BY$14,$D$15:$BY$15,1))</f>
        <v>#N/A</v>
      </c>
      <c r="D16" s="16" t="e">
        <f t="shared" ca="1" si="2"/>
        <v>#NAME?</v>
      </c>
      <c r="E16" s="16" t="e">
        <f t="shared" ca="1" si="2"/>
        <v>#NAME?</v>
      </c>
      <c r="F16" s="16" t="e">
        <f t="shared" ca="1" si="2"/>
        <v>#NAME?</v>
      </c>
      <c r="G16" s="16" t="e">
        <f t="shared" ca="1" si="2"/>
        <v>#NAME?</v>
      </c>
      <c r="H16" s="16" t="e">
        <f t="shared" ca="1" si="2"/>
        <v>#NAME?</v>
      </c>
      <c r="I16" s="16" t="e">
        <f t="shared" ca="1" si="2"/>
        <v>#NAME?</v>
      </c>
      <c r="J16" s="16" t="e">
        <f t="shared" ca="1" si="2"/>
        <v>#NAME?</v>
      </c>
      <c r="K16" s="16" t="e">
        <f t="shared" ca="1" si="2"/>
        <v>#NAME?</v>
      </c>
      <c r="L16" s="16" t="e">
        <f t="shared" ca="1" si="2"/>
        <v>#NAME?</v>
      </c>
      <c r="M16" s="16" t="e">
        <f t="shared" ca="1" si="2"/>
        <v>#NAME?</v>
      </c>
      <c r="N16" s="16" t="e">
        <f t="shared" ca="1" si="2"/>
        <v>#NAME?</v>
      </c>
      <c r="O16" s="16" t="e">
        <f t="shared" ca="1" si="2"/>
        <v>#NAME?</v>
      </c>
      <c r="P16" s="16" t="e">
        <f t="shared" ca="1" si="2"/>
        <v>#NAME?</v>
      </c>
      <c r="Q16" s="16" t="e">
        <f t="shared" ca="1" si="2"/>
        <v>#NAME?</v>
      </c>
      <c r="R16" s="16" t="e">
        <f t="shared" ca="1" si="2"/>
        <v>#NAME?</v>
      </c>
      <c r="S16" s="16" t="e">
        <f t="shared" ca="1" si="2"/>
        <v>#NAME?</v>
      </c>
      <c r="T16" s="16" t="e">
        <f t="shared" ca="1" si="2"/>
        <v>#NAME?</v>
      </c>
      <c r="U16" s="16" t="e">
        <f t="shared" ca="1" si="2"/>
        <v>#NAME?</v>
      </c>
      <c r="V16" s="16" t="e">
        <f t="shared" ca="1" si="2"/>
        <v>#NAME?</v>
      </c>
      <c r="W16" s="16" t="e">
        <f t="shared" ca="1" si="2"/>
        <v>#NAME?</v>
      </c>
      <c r="X16" s="16" t="e">
        <f t="shared" ca="1" si="2"/>
        <v>#NAME?</v>
      </c>
      <c r="Y16" s="16" t="e">
        <f t="shared" ca="1" si="2"/>
        <v>#NAME?</v>
      </c>
      <c r="Z16" s="16" t="e">
        <f t="shared" ca="1" si="2"/>
        <v>#NAME?</v>
      </c>
      <c r="AA16" s="16" t="e">
        <f t="shared" ca="1" si="2"/>
        <v>#NAME?</v>
      </c>
      <c r="AB16" s="16" t="e">
        <f t="shared" ca="1" si="2"/>
        <v>#NAME?</v>
      </c>
      <c r="AC16" s="16" t="e">
        <f t="shared" ca="1" si="2"/>
        <v>#NAME?</v>
      </c>
      <c r="AD16" s="16" t="e">
        <f t="shared" ca="1" si="2"/>
        <v>#NAME?</v>
      </c>
      <c r="AE16" s="16" t="e">
        <f t="shared" ca="1" si="2"/>
        <v>#NAME?</v>
      </c>
      <c r="AF16" s="16" t="e">
        <f t="shared" ca="1" si="2"/>
        <v>#NAME?</v>
      </c>
      <c r="AG16" s="16" t="e">
        <f t="shared" ca="1" si="2"/>
        <v>#NAME?</v>
      </c>
      <c r="AH16" s="16" t="e">
        <f t="shared" ca="1" si="2"/>
        <v>#NAME?</v>
      </c>
      <c r="AI16" s="16" t="e">
        <f t="shared" ca="1" si="2"/>
        <v>#NAME?</v>
      </c>
      <c r="AJ16" s="16" t="e">
        <f t="shared" ca="1" si="2"/>
        <v>#NAME?</v>
      </c>
      <c r="AK16" s="16" t="e">
        <f t="shared" ca="1" si="2"/>
        <v>#NAME?</v>
      </c>
      <c r="AL16" s="16" t="e">
        <f t="shared" ca="1" si="2"/>
        <v>#NAME?</v>
      </c>
      <c r="AM16" s="16" t="e">
        <f t="shared" ca="1" si="2"/>
        <v>#NAME?</v>
      </c>
      <c r="AN16" s="16" t="e">
        <f t="shared" ca="1" si="2"/>
        <v>#NAME?</v>
      </c>
      <c r="AO16" s="16" t="e">
        <f t="shared" ca="1" si="2"/>
        <v>#NAME?</v>
      </c>
      <c r="AP16" s="16" t="e">
        <f t="shared" ca="1" si="2"/>
        <v>#NAME?</v>
      </c>
      <c r="AQ16" s="16" t="e">
        <f t="shared" ca="1" si="2"/>
        <v>#NAME?</v>
      </c>
      <c r="AR16" s="16" t="e">
        <f t="shared" ca="1" si="2"/>
        <v>#NAME?</v>
      </c>
      <c r="AS16" s="16" t="e">
        <f t="shared" ca="1" si="2"/>
        <v>#NAME?</v>
      </c>
      <c r="AT16" s="16" t="e">
        <f t="shared" ca="1" si="2"/>
        <v>#NAME?</v>
      </c>
      <c r="AU16" s="16" t="e">
        <f t="shared" ca="1" si="2"/>
        <v>#NAME?</v>
      </c>
      <c r="AV16" s="16" t="e">
        <f t="shared" ca="1" si="2"/>
        <v>#NAME?</v>
      </c>
      <c r="AW16" s="16" t="e">
        <f t="shared" ca="1" si="2"/>
        <v>#NAME?</v>
      </c>
      <c r="AX16" s="16" t="e">
        <f t="shared" ca="1" si="2"/>
        <v>#NAME?</v>
      </c>
      <c r="AY16" s="16" t="e">
        <f t="shared" ca="1" si="2"/>
        <v>#NAME?</v>
      </c>
      <c r="AZ16" s="16" t="e">
        <f t="shared" ca="1" si="2"/>
        <v>#NAME?</v>
      </c>
      <c r="BA16" s="16" t="e">
        <f t="shared" ca="1" si="2"/>
        <v>#NAME?</v>
      </c>
      <c r="BB16" s="16" t="e">
        <f t="shared" ca="1" si="2"/>
        <v>#NAME?</v>
      </c>
      <c r="BC16" s="16" t="e">
        <f t="shared" ca="1" si="2"/>
        <v>#NAME?</v>
      </c>
      <c r="BD16" s="16" t="e">
        <f t="shared" ca="1" si="2"/>
        <v>#NAME?</v>
      </c>
      <c r="BE16" s="16" t="e">
        <f t="shared" ca="1" si="2"/>
        <v>#NAME?</v>
      </c>
      <c r="BF16" s="16" t="e">
        <f t="shared" ca="1" si="2"/>
        <v>#NAME?</v>
      </c>
      <c r="BG16" s="16" t="e">
        <f t="shared" ca="1" si="2"/>
        <v>#NAME?</v>
      </c>
      <c r="BH16" s="16" t="e">
        <f t="shared" ca="1" si="2"/>
        <v>#NAME?</v>
      </c>
      <c r="BI16" s="16" t="e">
        <f t="shared" ca="1" si="2"/>
        <v>#NAME?</v>
      </c>
      <c r="BJ16" s="16" t="e">
        <f t="shared" ca="1" si="2"/>
        <v>#NAME?</v>
      </c>
      <c r="BK16" s="16" t="e">
        <f t="shared" ca="1" si="2"/>
        <v>#NAME?</v>
      </c>
      <c r="BL16" s="16" t="e">
        <f t="shared" ca="1" si="2"/>
        <v>#NAME?</v>
      </c>
      <c r="BM16" s="16" t="e">
        <f t="shared" ca="1" si="2"/>
        <v>#NAME?</v>
      </c>
      <c r="BN16" s="16" t="e">
        <f t="shared" ca="1" si="2"/>
        <v>#NAME?</v>
      </c>
      <c r="BO16" s="16" t="e">
        <f t="shared" ca="1" si="2"/>
        <v>#NAME?</v>
      </c>
      <c r="BP16" s="16" t="e">
        <f t="shared" ca="1" si="2"/>
        <v>#NAME?</v>
      </c>
      <c r="BQ16" s="16" t="e">
        <f t="shared" ca="1" si="2"/>
        <v>#NAME?</v>
      </c>
      <c r="BR16" s="16" t="e">
        <f t="shared" ca="1" si="2"/>
        <v>#NAME?</v>
      </c>
      <c r="BS16" s="16" t="e">
        <f t="shared" ca="1" si="2"/>
        <v>#NAME?</v>
      </c>
      <c r="BT16" s="16" t="e">
        <f t="shared" ca="1" si="2"/>
        <v>#NAME?</v>
      </c>
      <c r="BU16" s="16" t="e">
        <f t="shared" ca="1" si="2"/>
        <v>#NAME?</v>
      </c>
      <c r="BV16" s="16" t="e">
        <f t="shared" ca="1" si="2"/>
        <v>#NAME?</v>
      </c>
      <c r="BW16" s="16" t="e">
        <f t="shared" ca="1" si="2"/>
        <v>#NAME?</v>
      </c>
      <c r="BX16" s="16" t="e">
        <f t="shared" ca="1" si="2"/>
        <v>#NAME?</v>
      </c>
      <c r="BY16" s="16" t="e">
        <f t="shared" ca="1" si="2"/>
        <v>#NAME?</v>
      </c>
    </row>
    <row r="17" spans="1:93" ht="15.75" customHeight="1" x14ac:dyDescent="0.25">
      <c r="A17" s="17" t="s">
        <v>30</v>
      </c>
      <c r="B17" s="14"/>
      <c r="C17" s="15" t="e">
        <f t="shared" ref="C17:BY17" ca="1" si="3">(1-($C$1=C1))*(C15=1)</f>
        <v>#N/A</v>
      </c>
      <c r="D17" s="16" t="e">
        <f t="shared" ca="1" si="3"/>
        <v>#N/A</v>
      </c>
      <c r="E17" s="16" t="e">
        <f t="shared" ca="1" si="3"/>
        <v>#N/A</v>
      </c>
      <c r="F17" s="16" t="e">
        <f t="shared" ca="1" si="3"/>
        <v>#N/A</v>
      </c>
      <c r="G17" s="16" t="e">
        <f t="shared" ca="1" si="3"/>
        <v>#N/A</v>
      </c>
      <c r="H17" s="16" t="e">
        <f t="shared" ca="1" si="3"/>
        <v>#N/A</v>
      </c>
      <c r="I17" s="16" t="e">
        <f t="shared" ca="1" si="3"/>
        <v>#N/A</v>
      </c>
      <c r="J17" s="16" t="e">
        <f t="shared" ca="1" si="3"/>
        <v>#N/A</v>
      </c>
      <c r="K17" s="16" t="e">
        <f t="shared" ca="1" si="3"/>
        <v>#N/A</v>
      </c>
      <c r="L17" s="16" t="e">
        <f t="shared" ca="1" si="3"/>
        <v>#N/A</v>
      </c>
      <c r="M17" s="16" t="e">
        <f t="shared" ca="1" si="3"/>
        <v>#N/A</v>
      </c>
      <c r="N17" s="16" t="e">
        <f t="shared" ca="1" si="3"/>
        <v>#N/A</v>
      </c>
      <c r="O17" s="16" t="e">
        <f t="shared" ca="1" si="3"/>
        <v>#N/A</v>
      </c>
      <c r="P17" s="16" t="e">
        <f t="shared" ca="1" si="3"/>
        <v>#N/A</v>
      </c>
      <c r="Q17" s="16" t="e">
        <f t="shared" ca="1" si="3"/>
        <v>#N/A</v>
      </c>
      <c r="R17" s="16" t="e">
        <f t="shared" ca="1" si="3"/>
        <v>#N/A</v>
      </c>
      <c r="S17" s="16" t="e">
        <f t="shared" ca="1" si="3"/>
        <v>#N/A</v>
      </c>
      <c r="T17" s="16" t="e">
        <f t="shared" ca="1" si="3"/>
        <v>#N/A</v>
      </c>
      <c r="U17" s="16" t="e">
        <f t="shared" ca="1" si="3"/>
        <v>#N/A</v>
      </c>
      <c r="V17" s="16" t="e">
        <f t="shared" ca="1" si="3"/>
        <v>#N/A</v>
      </c>
      <c r="W17" s="16" t="e">
        <f t="shared" ca="1" si="3"/>
        <v>#N/A</v>
      </c>
      <c r="X17" s="16" t="e">
        <f t="shared" ca="1" si="3"/>
        <v>#N/A</v>
      </c>
      <c r="Y17" s="16" t="e">
        <f t="shared" ca="1" si="3"/>
        <v>#N/A</v>
      </c>
      <c r="Z17" s="16" t="e">
        <f t="shared" ca="1" si="3"/>
        <v>#N/A</v>
      </c>
      <c r="AA17" s="16" t="e">
        <f t="shared" ca="1" si="3"/>
        <v>#N/A</v>
      </c>
      <c r="AB17" s="16" t="e">
        <f t="shared" ca="1" si="3"/>
        <v>#N/A</v>
      </c>
      <c r="AC17" s="16" t="e">
        <f t="shared" ca="1" si="3"/>
        <v>#N/A</v>
      </c>
      <c r="AD17" s="16" t="e">
        <f t="shared" ca="1" si="3"/>
        <v>#N/A</v>
      </c>
      <c r="AE17" s="16" t="e">
        <f t="shared" ca="1" si="3"/>
        <v>#N/A</v>
      </c>
      <c r="AF17" s="16" t="e">
        <f t="shared" ca="1" si="3"/>
        <v>#N/A</v>
      </c>
      <c r="AG17" s="16" t="e">
        <f t="shared" ca="1" si="3"/>
        <v>#N/A</v>
      </c>
      <c r="AH17" s="16" t="e">
        <f t="shared" ca="1" si="3"/>
        <v>#N/A</v>
      </c>
      <c r="AI17" s="16" t="e">
        <f t="shared" ca="1" si="3"/>
        <v>#N/A</v>
      </c>
      <c r="AJ17" s="16" t="e">
        <f t="shared" ca="1" si="3"/>
        <v>#N/A</v>
      </c>
      <c r="AK17" s="16" t="e">
        <f t="shared" ca="1" si="3"/>
        <v>#N/A</v>
      </c>
      <c r="AL17" s="16" t="e">
        <f t="shared" ca="1" si="3"/>
        <v>#N/A</v>
      </c>
      <c r="AM17" s="16" t="e">
        <f t="shared" ca="1" si="3"/>
        <v>#N/A</v>
      </c>
      <c r="AN17" s="16" t="e">
        <f t="shared" ca="1" si="3"/>
        <v>#N/A</v>
      </c>
      <c r="AO17" s="16" t="e">
        <f t="shared" ca="1" si="3"/>
        <v>#N/A</v>
      </c>
      <c r="AP17" s="16" t="e">
        <f t="shared" ca="1" si="3"/>
        <v>#N/A</v>
      </c>
      <c r="AQ17" s="16" t="e">
        <f t="shared" ca="1" si="3"/>
        <v>#N/A</v>
      </c>
      <c r="AR17" s="16" t="e">
        <f t="shared" ca="1" si="3"/>
        <v>#N/A</v>
      </c>
      <c r="AS17" s="16" t="e">
        <f t="shared" ca="1" si="3"/>
        <v>#N/A</v>
      </c>
      <c r="AT17" s="16" t="e">
        <f t="shared" ca="1" si="3"/>
        <v>#N/A</v>
      </c>
      <c r="AU17" s="16" t="e">
        <f t="shared" ca="1" si="3"/>
        <v>#N/A</v>
      </c>
      <c r="AV17" s="16" t="e">
        <f t="shared" ca="1" si="3"/>
        <v>#N/A</v>
      </c>
      <c r="AW17" s="16" t="e">
        <f t="shared" ca="1" si="3"/>
        <v>#N/A</v>
      </c>
      <c r="AX17" s="16" t="e">
        <f t="shared" ca="1" si="3"/>
        <v>#N/A</v>
      </c>
      <c r="AY17" s="16" t="e">
        <f t="shared" ca="1" si="3"/>
        <v>#N/A</v>
      </c>
      <c r="AZ17" s="16" t="e">
        <f t="shared" ca="1" si="3"/>
        <v>#N/A</v>
      </c>
      <c r="BA17" s="16" t="e">
        <f t="shared" ca="1" si="3"/>
        <v>#N/A</v>
      </c>
      <c r="BB17" s="16" t="e">
        <f t="shared" ca="1" si="3"/>
        <v>#N/A</v>
      </c>
      <c r="BC17" s="16" t="e">
        <f t="shared" ca="1" si="3"/>
        <v>#N/A</v>
      </c>
      <c r="BD17" s="16" t="e">
        <f t="shared" ca="1" si="3"/>
        <v>#N/A</v>
      </c>
      <c r="BE17" s="16" t="e">
        <f t="shared" ca="1" si="3"/>
        <v>#N/A</v>
      </c>
      <c r="BF17" s="16" t="e">
        <f t="shared" ca="1" si="3"/>
        <v>#N/A</v>
      </c>
      <c r="BG17" s="16" t="e">
        <f t="shared" ca="1" si="3"/>
        <v>#N/A</v>
      </c>
      <c r="BH17" s="16" t="e">
        <f t="shared" ca="1" si="3"/>
        <v>#N/A</v>
      </c>
      <c r="BI17" s="16" t="e">
        <f t="shared" ca="1" si="3"/>
        <v>#N/A</v>
      </c>
      <c r="BJ17" s="16" t="e">
        <f t="shared" ca="1" si="3"/>
        <v>#N/A</v>
      </c>
      <c r="BK17" s="16" t="e">
        <f t="shared" ca="1" si="3"/>
        <v>#N/A</v>
      </c>
      <c r="BL17" s="16" t="e">
        <f t="shared" ca="1" si="3"/>
        <v>#N/A</v>
      </c>
      <c r="BM17" s="16" t="e">
        <f t="shared" ca="1" si="3"/>
        <v>#N/A</v>
      </c>
      <c r="BN17" s="16" t="e">
        <f t="shared" ca="1" si="3"/>
        <v>#N/A</v>
      </c>
      <c r="BO17" s="16" t="e">
        <f t="shared" ca="1" si="3"/>
        <v>#N/A</v>
      </c>
      <c r="BP17" s="16" t="e">
        <f t="shared" ca="1" si="3"/>
        <v>#N/A</v>
      </c>
      <c r="BQ17" s="16" t="e">
        <f t="shared" ca="1" si="3"/>
        <v>#N/A</v>
      </c>
      <c r="BR17" s="16" t="e">
        <f t="shared" ca="1" si="3"/>
        <v>#N/A</v>
      </c>
      <c r="BS17" s="16" t="e">
        <f t="shared" ca="1" si="3"/>
        <v>#N/A</v>
      </c>
      <c r="BT17" s="16" t="e">
        <f t="shared" ca="1" si="3"/>
        <v>#N/A</v>
      </c>
      <c r="BU17" s="16" t="e">
        <f t="shared" ca="1" si="3"/>
        <v>#N/A</v>
      </c>
      <c r="BV17" s="16" t="e">
        <f t="shared" ca="1" si="3"/>
        <v>#N/A</v>
      </c>
      <c r="BW17" s="16" t="e">
        <f t="shared" ca="1" si="3"/>
        <v>#N/A</v>
      </c>
      <c r="BX17" s="16" t="e">
        <f t="shared" ca="1" si="3"/>
        <v>#N/A</v>
      </c>
      <c r="BY17" s="16" t="e">
        <f t="shared" ca="1" si="3"/>
        <v>#N/A</v>
      </c>
    </row>
    <row r="18" spans="1:93" ht="15.75" customHeight="1" x14ac:dyDescent="0.25">
      <c r="B18" s="14"/>
      <c r="C18" s="15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</row>
    <row r="19" spans="1:93" x14ac:dyDescent="0.3">
      <c r="A19" s="7" t="s">
        <v>31</v>
      </c>
      <c r="B19" s="20"/>
      <c r="C19" s="21" t="str">
        <f ca="1">IFERROR(__xludf.DUMMYFUNCTION("iferror(filter(D1:BY1,$D$17:$BY$17=1),"""")"),"C1300-24XTS")</f>
        <v>C1300-24XTS</v>
      </c>
      <c r="D19" s="22" t="str">
        <f ca="1">IFERROR(__xludf.DUMMYFUNCTION("""COMPUTED_VALUE"""),"C9300-24T")</f>
        <v>C9300-24T</v>
      </c>
      <c r="E19" s="22" t="str">
        <f ca="1">IFERROR(__xludf.DUMMYFUNCTION("""COMPUTED_VALUE"""),"C9300-24P")</f>
        <v>C9300-24P</v>
      </c>
      <c r="F19" s="22" t="str">
        <f ca="1">IFERROR(__xludf.DUMMYFUNCTION("""COMPUTED_VALUE"""),"C9300-24U")</f>
        <v>C9300-24U</v>
      </c>
      <c r="G19" s="22" t="str">
        <f ca="1">IFERROR(__xludf.DUMMYFUNCTION("""COMPUTED_VALUE"""),"C9300-24H")</f>
        <v>C9300-24H</v>
      </c>
      <c r="H19" s="22" t="str">
        <f ca="1">IFERROR(__xludf.DUMMYFUNCTION("""COMPUTED_VALUE"""),"C9300-24UB")</f>
        <v>C9300-24UB</v>
      </c>
      <c r="I19" s="22" t="str">
        <f ca="1">IFERROR(__xludf.DUMMYFUNCTION("""COMPUTED_VALUE"""),"C9300-48T")</f>
        <v>C9300-48T</v>
      </c>
      <c r="J19" s="22" t="str">
        <f ca="1">IFERROR(__xludf.DUMMYFUNCTION("""COMPUTED_VALUE"""),"C9300-48P")</f>
        <v>C9300-48P</v>
      </c>
      <c r="K19" s="22" t="str">
        <f ca="1">IFERROR(__xludf.DUMMYFUNCTION("""COMPUTED_VALUE"""),"C9300-48U")</f>
        <v>C9300-48U</v>
      </c>
      <c r="L19" s="22" t="str">
        <f ca="1">IFERROR(__xludf.DUMMYFUNCTION("""COMPUTED_VALUE"""),"C9300-48H")</f>
        <v>C9300-48H</v>
      </c>
      <c r="M19" s="22" t="str">
        <f ca="1">IFERROR(__xludf.DUMMYFUNCTION("""COMPUTED_VALUE"""),"C9300-48UB")</f>
        <v>C9300-48UB</v>
      </c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  <c r="BM19" s="22"/>
      <c r="BN19" s="22"/>
      <c r="BO19" s="22"/>
      <c r="BP19" s="22"/>
      <c r="BQ19" s="22"/>
      <c r="BR19" s="22"/>
      <c r="BS19" s="22"/>
      <c r="BT19" s="22"/>
      <c r="BU19" s="22"/>
      <c r="BV19" s="22"/>
      <c r="BW19" s="22"/>
      <c r="BX19" s="22"/>
      <c r="BY19" s="22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</row>
    <row r="20" spans="1:93" ht="15.75" customHeight="1" x14ac:dyDescent="0.25">
      <c r="A20" s="17" t="str">
        <f t="shared" ref="A20:B20" si="4">A2</f>
        <v>Switching Bandwidth - Full Duplex (Gbps)</v>
      </c>
      <c r="B20" s="14">
        <f t="shared" ca="1" si="4"/>
        <v>200</v>
      </c>
      <c r="C20" s="15">
        <f ca="1">IFERROR(__xludf.DUMMYFUNCTION("iferror(filter(D2:BY2,$D$17:$BY$17=1),"""")"),480)</f>
        <v>480</v>
      </c>
      <c r="D20" s="16">
        <f ca="1">IFERROR(__xludf.DUMMYFUNCTION("""COMPUTED_VALUE"""),208)</f>
        <v>208</v>
      </c>
      <c r="E20" s="16">
        <f ca="1">IFERROR(__xludf.DUMMYFUNCTION("""COMPUTED_VALUE"""),208)</f>
        <v>208</v>
      </c>
      <c r="F20" s="16">
        <f ca="1">IFERROR(__xludf.DUMMYFUNCTION("""COMPUTED_VALUE"""),208)</f>
        <v>208</v>
      </c>
      <c r="G20" s="16">
        <f ca="1">IFERROR(__xludf.DUMMYFUNCTION("""COMPUTED_VALUE"""),208)</f>
        <v>208</v>
      </c>
      <c r="H20" s="16">
        <f ca="1">IFERROR(__xludf.DUMMYFUNCTION("""COMPUTED_VALUE"""),208)</f>
        <v>208</v>
      </c>
      <c r="I20" s="16">
        <f ca="1">IFERROR(__xludf.DUMMYFUNCTION("""COMPUTED_VALUE"""),256)</f>
        <v>256</v>
      </c>
      <c r="J20" s="16">
        <f ca="1">IFERROR(__xludf.DUMMYFUNCTION("""COMPUTED_VALUE"""),256)</f>
        <v>256</v>
      </c>
      <c r="K20" s="16">
        <f ca="1">IFERROR(__xludf.DUMMYFUNCTION("""COMPUTED_VALUE"""),256)</f>
        <v>256</v>
      </c>
      <c r="L20" s="16">
        <f ca="1">IFERROR(__xludf.DUMMYFUNCTION("""COMPUTED_VALUE"""),256)</f>
        <v>256</v>
      </c>
      <c r="M20" s="16">
        <f ca="1">IFERROR(__xludf.DUMMYFUNCTION("""COMPUTED_VALUE"""),256)</f>
        <v>256</v>
      </c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</row>
    <row r="21" spans="1:93" ht="15.75" customHeight="1" x14ac:dyDescent="0.25">
      <c r="A21" s="17" t="str">
        <f t="shared" ref="A21:B21" si="5">A3</f>
        <v>Forwarding Capacity (Mpps)</v>
      </c>
      <c r="B21" s="14">
        <f t="shared" ca="1" si="5"/>
        <v>100</v>
      </c>
      <c r="C21" s="15">
        <f ca="1">IFERROR(__xludf.DUMMYFUNCTION("iferror(filter(D3:BY3,$D$17:$BY$17=1),"""")"),357.12)</f>
        <v>357.12</v>
      </c>
      <c r="D21" s="16">
        <f ca="1">IFERROR(__xludf.DUMMYFUNCTION("""COMPUTED_VALUE"""),154.76)</f>
        <v>154.76</v>
      </c>
      <c r="E21" s="16">
        <f ca="1">IFERROR(__xludf.DUMMYFUNCTION("""COMPUTED_VALUE"""),154.76)</f>
        <v>154.76</v>
      </c>
      <c r="F21" s="16">
        <f ca="1">IFERROR(__xludf.DUMMYFUNCTION("""COMPUTED_VALUE"""),154.76)</f>
        <v>154.76</v>
      </c>
      <c r="G21" s="16">
        <f ca="1">IFERROR(__xludf.DUMMYFUNCTION("""COMPUTED_VALUE"""),154.76)</f>
        <v>154.76</v>
      </c>
      <c r="H21" s="16">
        <f ca="1">IFERROR(__xludf.DUMMYFUNCTION("""COMPUTED_VALUE"""),154.76)</f>
        <v>154.76</v>
      </c>
      <c r="I21" s="16">
        <f ca="1">IFERROR(__xludf.DUMMYFUNCTION("""COMPUTED_VALUE"""),190.47)</f>
        <v>190.47</v>
      </c>
      <c r="J21" s="16">
        <f ca="1">IFERROR(__xludf.DUMMYFUNCTION("""COMPUTED_VALUE"""),190.47)</f>
        <v>190.47</v>
      </c>
      <c r="K21" s="16">
        <f ca="1">IFERROR(__xludf.DUMMYFUNCTION("""COMPUTED_VALUE"""),190.48)</f>
        <v>190.48</v>
      </c>
      <c r="L21" s="16">
        <f ca="1">IFERROR(__xludf.DUMMYFUNCTION("""COMPUTED_VALUE"""),190.48)</f>
        <v>190.48</v>
      </c>
      <c r="M21" s="16">
        <f ca="1">IFERROR(__xludf.DUMMYFUNCTION("""COMPUTED_VALUE"""),190.48)</f>
        <v>190.48</v>
      </c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</row>
    <row r="22" spans="1:93" ht="12.5" x14ac:dyDescent="0.25">
      <c r="A22" s="17" t="str">
        <f t="shared" ref="A22:B22" si="6">A4</f>
        <v>Số lượng cổng 1GE đồng</v>
      </c>
      <c r="B22" s="14">
        <f t="shared" ca="1" si="6"/>
        <v>16</v>
      </c>
      <c r="C22" s="15" t="str">
        <f ca="1">IFERROR(__xludf.DUMMYFUNCTION("iferror(filter(D4:BY4,$D$17:$BY$17=1),"""")"),"")</f>
        <v/>
      </c>
      <c r="D22" s="16">
        <f ca="1">IFERROR(__xludf.DUMMYFUNCTION("""COMPUTED_VALUE"""),24)</f>
        <v>24</v>
      </c>
      <c r="E22" s="16">
        <f ca="1">IFERROR(__xludf.DUMMYFUNCTION("""COMPUTED_VALUE"""),24)</f>
        <v>24</v>
      </c>
      <c r="F22" s="16">
        <f ca="1">IFERROR(__xludf.DUMMYFUNCTION("""COMPUTED_VALUE"""),24)</f>
        <v>24</v>
      </c>
      <c r="G22" s="16">
        <f ca="1">IFERROR(__xludf.DUMMYFUNCTION("""COMPUTED_VALUE"""),24)</f>
        <v>24</v>
      </c>
      <c r="H22" s="16">
        <f ca="1">IFERROR(__xludf.DUMMYFUNCTION("""COMPUTED_VALUE"""),24)</f>
        <v>24</v>
      </c>
      <c r="I22" s="16">
        <f ca="1">IFERROR(__xludf.DUMMYFUNCTION("""COMPUTED_VALUE"""),48)</f>
        <v>48</v>
      </c>
      <c r="J22" s="16">
        <f ca="1">IFERROR(__xludf.DUMMYFUNCTION("""COMPUTED_VALUE"""),48)</f>
        <v>48</v>
      </c>
      <c r="K22" s="16">
        <f ca="1">IFERROR(__xludf.DUMMYFUNCTION("""COMPUTED_VALUE"""),48)</f>
        <v>48</v>
      </c>
      <c r="L22" s="16">
        <f ca="1">IFERROR(__xludf.DUMMYFUNCTION("""COMPUTED_VALUE"""),48)</f>
        <v>48</v>
      </c>
      <c r="M22" s="16">
        <f ca="1">IFERROR(__xludf.DUMMYFUNCTION("""COMPUTED_VALUE"""),48)</f>
        <v>48</v>
      </c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</row>
    <row r="23" spans="1:93" ht="12.5" x14ac:dyDescent="0.25">
      <c r="A23" s="17" t="str">
        <f t="shared" ref="A23:B23" si="7">A5</f>
        <v>Số lượng cổng 1GE SFP</v>
      </c>
      <c r="B23" s="14">
        <f t="shared" ca="1" si="7"/>
        <v>2</v>
      </c>
      <c r="C23" s="15">
        <f ca="1">IFERROR(__xludf.DUMMYFUNCTION("iferror(filter(D5:BY5,$D$17:$BY$17=1),"""")"),12)</f>
        <v>12</v>
      </c>
      <c r="D23" s="16">
        <f ca="1">IFERROR(__xludf.DUMMYFUNCTION("""COMPUTED_VALUE"""),8)</f>
        <v>8</v>
      </c>
      <c r="E23" s="16">
        <f ca="1">IFERROR(__xludf.DUMMYFUNCTION("""COMPUTED_VALUE"""),8)</f>
        <v>8</v>
      </c>
      <c r="F23" s="16">
        <f ca="1">IFERROR(__xludf.DUMMYFUNCTION("""COMPUTED_VALUE"""),8)</f>
        <v>8</v>
      </c>
      <c r="G23" s="16">
        <f ca="1">IFERROR(__xludf.DUMMYFUNCTION("""COMPUTED_VALUE"""),8)</f>
        <v>8</v>
      </c>
      <c r="H23" s="16">
        <f ca="1">IFERROR(__xludf.DUMMYFUNCTION("""COMPUTED_VALUE"""),8)</f>
        <v>8</v>
      </c>
      <c r="I23" s="16">
        <f ca="1">IFERROR(__xludf.DUMMYFUNCTION("""COMPUTED_VALUE"""),8)</f>
        <v>8</v>
      </c>
      <c r="J23" s="16">
        <f ca="1">IFERROR(__xludf.DUMMYFUNCTION("""COMPUTED_VALUE"""),8)</f>
        <v>8</v>
      </c>
      <c r="K23" s="16">
        <f ca="1">IFERROR(__xludf.DUMMYFUNCTION("""COMPUTED_VALUE"""),8)</f>
        <v>8</v>
      </c>
      <c r="L23" s="16">
        <f ca="1">IFERROR(__xludf.DUMMYFUNCTION("""COMPUTED_VALUE"""),8)</f>
        <v>8</v>
      </c>
      <c r="M23" s="16">
        <f ca="1">IFERROR(__xludf.DUMMYFUNCTION("""COMPUTED_VALUE"""),8)</f>
        <v>8</v>
      </c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</row>
    <row r="24" spans="1:93" ht="12.5" x14ac:dyDescent="0.25">
      <c r="A24" s="17" t="str">
        <f t="shared" ref="A24:B24" si="8">A6</f>
        <v>Số lượng cổng 10GE đồng</v>
      </c>
      <c r="B24" s="14">
        <f t="shared" ca="1" si="8"/>
        <v>10</v>
      </c>
      <c r="C24" s="15">
        <f ca="1">IFERROR(__xludf.DUMMYFUNCTION("iferror(filter(D6:BY6,$D$17:$BY$17=1),"""")"),12)</f>
        <v>12</v>
      </c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</row>
    <row r="25" spans="1:93" ht="12.5" x14ac:dyDescent="0.25">
      <c r="A25" s="17" t="str">
        <f t="shared" ref="A25:B25" si="9">A7</f>
        <v>Số lượng cổng 10GE quang</v>
      </c>
      <c r="B25" s="14">
        <f t="shared" si="9"/>
        <v>0</v>
      </c>
      <c r="C25" s="15">
        <f ca="1">IFERROR(__xludf.DUMMYFUNCTION("iferror(filter(D7:BY7,$D$17:$BY$17=1),"""")"),12)</f>
        <v>12</v>
      </c>
      <c r="D25" s="16">
        <f ca="1">IFERROR(__xludf.DUMMYFUNCTION("""COMPUTED_VALUE"""),8)</f>
        <v>8</v>
      </c>
      <c r="E25" s="16">
        <f ca="1">IFERROR(__xludf.DUMMYFUNCTION("""COMPUTED_VALUE"""),8)</f>
        <v>8</v>
      </c>
      <c r="F25" s="16">
        <f ca="1">IFERROR(__xludf.DUMMYFUNCTION("""COMPUTED_VALUE"""),8)</f>
        <v>8</v>
      </c>
      <c r="G25" s="16">
        <f ca="1">IFERROR(__xludf.DUMMYFUNCTION("""COMPUTED_VALUE"""),8)</f>
        <v>8</v>
      </c>
      <c r="H25" s="16">
        <f ca="1">IFERROR(__xludf.DUMMYFUNCTION("""COMPUTED_VALUE"""),8)</f>
        <v>8</v>
      </c>
      <c r="I25" s="16">
        <f ca="1">IFERROR(__xludf.DUMMYFUNCTION("""COMPUTED_VALUE"""),8)</f>
        <v>8</v>
      </c>
      <c r="J25" s="16">
        <f ca="1">IFERROR(__xludf.DUMMYFUNCTION("""COMPUTED_VALUE"""),8)</f>
        <v>8</v>
      </c>
      <c r="K25" s="16">
        <f ca="1">IFERROR(__xludf.DUMMYFUNCTION("""COMPUTED_VALUE"""),8)</f>
        <v>8</v>
      </c>
      <c r="L25" s="16">
        <f ca="1">IFERROR(__xludf.DUMMYFUNCTION("""COMPUTED_VALUE"""),8)</f>
        <v>8</v>
      </c>
      <c r="M25" s="16">
        <f ca="1">IFERROR(__xludf.DUMMYFUNCTION("""COMPUTED_VALUE"""),8)</f>
        <v>8</v>
      </c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</row>
    <row r="26" spans="1:93" ht="12.5" x14ac:dyDescent="0.25">
      <c r="A26" s="17" t="str">
        <f t="shared" ref="A26:B26" si="10">A8</f>
        <v>Số lượng cổng 100GE</v>
      </c>
      <c r="B26" s="14">
        <f t="shared" si="10"/>
        <v>0</v>
      </c>
      <c r="C26" s="15" t="str">
        <f ca="1">IFERROR(__xludf.DUMMYFUNCTION("iferror(filter(D8:BY8,$D$17:$BY$17=1),"""")"),"")</f>
        <v/>
      </c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</row>
    <row r="27" spans="1:93" ht="12.5" x14ac:dyDescent="0.25">
      <c r="A27" s="17" t="str">
        <f t="shared" ref="A27:B27" si="11">A9</f>
        <v>Stacking (Y/N)</v>
      </c>
      <c r="B27" s="14" t="str">
        <f t="shared" ca="1" si="11"/>
        <v>Y</v>
      </c>
      <c r="C27" s="15" t="str">
        <f ca="1">IFERROR(__xludf.DUMMYFUNCTION("iferror(filter(D9:BY9,$D$17:$BY$17=1),"""")"),"Y")</f>
        <v>Y</v>
      </c>
      <c r="D27" s="16" t="str">
        <f ca="1">IFERROR(__xludf.DUMMYFUNCTION("""COMPUTED_VALUE"""),"Y")</f>
        <v>Y</v>
      </c>
      <c r="E27" s="16" t="str">
        <f ca="1">IFERROR(__xludf.DUMMYFUNCTION("""COMPUTED_VALUE"""),"Y")</f>
        <v>Y</v>
      </c>
      <c r="F27" s="16" t="str">
        <f ca="1">IFERROR(__xludf.DUMMYFUNCTION("""COMPUTED_VALUE"""),"Y")</f>
        <v>Y</v>
      </c>
      <c r="G27" s="16" t="str">
        <f ca="1">IFERROR(__xludf.DUMMYFUNCTION("""COMPUTED_VALUE"""),"Y")</f>
        <v>Y</v>
      </c>
      <c r="H27" s="16" t="str">
        <f ca="1">IFERROR(__xludf.DUMMYFUNCTION("""COMPUTED_VALUE"""),"Y")</f>
        <v>Y</v>
      </c>
      <c r="I27" s="16" t="str">
        <f ca="1">IFERROR(__xludf.DUMMYFUNCTION("""COMPUTED_VALUE"""),"Y")</f>
        <v>Y</v>
      </c>
      <c r="J27" s="16" t="str">
        <f ca="1">IFERROR(__xludf.DUMMYFUNCTION("""COMPUTED_VALUE"""),"Y")</f>
        <v>Y</v>
      </c>
      <c r="K27" s="16" t="str">
        <f ca="1">IFERROR(__xludf.DUMMYFUNCTION("""COMPUTED_VALUE"""),"Y")</f>
        <v>Y</v>
      </c>
      <c r="L27" s="16" t="str">
        <f ca="1">IFERROR(__xludf.DUMMYFUNCTION("""COMPUTED_VALUE"""),"Y")</f>
        <v>Y</v>
      </c>
      <c r="M27" s="16" t="str">
        <f ca="1">IFERROR(__xludf.DUMMYFUNCTION("""COMPUTED_VALUE"""),"Y")</f>
        <v>Y</v>
      </c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</row>
    <row r="28" spans="1:93" ht="12.5" x14ac:dyDescent="0.25">
      <c r="A28" s="17" t="str">
        <f>A10</f>
        <v>PoE (Y/N)</v>
      </c>
      <c r="B28" s="14"/>
      <c r="C28" s="15" t="str">
        <f ca="1">IFERROR(__xludf.DUMMYFUNCTION("iferror(filter(D10:AQ10,$D$17:$AQ$17=1),"""")"),"")</f>
        <v/>
      </c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</row>
    <row r="29" spans="1:93" ht="12.5" x14ac:dyDescent="0.25"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</row>
    <row r="30" spans="1:93" ht="12.5" x14ac:dyDescent="0.25"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</row>
    <row r="31" spans="1:93" ht="12.5" x14ac:dyDescent="0.25"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</row>
    <row r="32" spans="1:93" ht="12.5" x14ac:dyDescent="0.25"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</row>
    <row r="33" spans="2:77" ht="12.5" x14ac:dyDescent="0.25"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</row>
    <row r="34" spans="2:77" ht="12.5" x14ac:dyDescent="0.25"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</row>
    <row r="35" spans="2:77" ht="12.5" x14ac:dyDescent="0.25"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</row>
    <row r="36" spans="2:77" ht="12.5" x14ac:dyDescent="0.25"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</row>
    <row r="37" spans="2:77" ht="12.5" x14ac:dyDescent="0.25"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</row>
    <row r="38" spans="2:77" ht="12.5" x14ac:dyDescent="0.25"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</row>
    <row r="39" spans="2:77" ht="12.5" x14ac:dyDescent="0.25"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</row>
    <row r="40" spans="2:77" ht="12.5" x14ac:dyDescent="0.25"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</row>
    <row r="41" spans="2:77" ht="12.5" x14ac:dyDescent="0.25"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</row>
    <row r="42" spans="2:77" ht="12.5" x14ac:dyDescent="0.25"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</row>
    <row r="43" spans="2:77" ht="12.5" x14ac:dyDescent="0.25"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</row>
    <row r="44" spans="2:77" ht="12.5" x14ac:dyDescent="0.25"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</row>
    <row r="45" spans="2:77" ht="12.5" x14ac:dyDescent="0.25"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</row>
    <row r="46" spans="2:77" ht="12.5" x14ac:dyDescent="0.25"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</row>
    <row r="47" spans="2:77" ht="12.5" x14ac:dyDescent="0.25"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</row>
    <row r="48" spans="2:77" ht="12.5" x14ac:dyDescent="0.25"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  <c r="BD48" s="16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  <c r="BP48" s="16"/>
      <c r="BQ48" s="16"/>
      <c r="BR48" s="16"/>
      <c r="BS48" s="16"/>
      <c r="BT48" s="16"/>
      <c r="BU48" s="16"/>
      <c r="BV48" s="16"/>
      <c r="BW48" s="16"/>
      <c r="BX48" s="16"/>
      <c r="BY48" s="16"/>
    </row>
    <row r="49" spans="2:77" ht="12.5" x14ac:dyDescent="0.25"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</row>
    <row r="50" spans="2:77" ht="12.5" x14ac:dyDescent="0.25"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</row>
    <row r="51" spans="2:77" ht="12.5" x14ac:dyDescent="0.25"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</row>
    <row r="52" spans="2:77" ht="12.5" x14ac:dyDescent="0.25"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</row>
    <row r="53" spans="2:77" ht="12.5" x14ac:dyDescent="0.25"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</row>
    <row r="54" spans="2:77" ht="12.5" x14ac:dyDescent="0.25"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</row>
    <row r="55" spans="2:77" ht="12.5" x14ac:dyDescent="0.25"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  <c r="BD55" s="16"/>
      <c r="BE55" s="16"/>
      <c r="BF55" s="16"/>
      <c r="BG55" s="16"/>
      <c r="BH55" s="16"/>
      <c r="BI55" s="16"/>
      <c r="BJ55" s="16"/>
      <c r="BK55" s="16"/>
      <c r="BL55" s="16"/>
      <c r="BM55" s="16"/>
      <c r="BN55" s="16"/>
      <c r="BO55" s="16"/>
      <c r="BP55" s="16"/>
      <c r="BQ55" s="16"/>
      <c r="BR55" s="16"/>
      <c r="BS55" s="16"/>
      <c r="BT55" s="16"/>
      <c r="BU55" s="16"/>
      <c r="BV55" s="16"/>
      <c r="BW55" s="16"/>
      <c r="BX55" s="16"/>
      <c r="BY55" s="16"/>
    </row>
    <row r="56" spans="2:77" ht="12.5" x14ac:dyDescent="0.25"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</row>
    <row r="57" spans="2:77" ht="12.5" x14ac:dyDescent="0.25"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</row>
    <row r="58" spans="2:77" ht="12.5" x14ac:dyDescent="0.25"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</row>
    <row r="59" spans="2:77" ht="12.5" x14ac:dyDescent="0.25"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</row>
    <row r="60" spans="2:77" ht="12.5" x14ac:dyDescent="0.25"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</row>
    <row r="61" spans="2:77" ht="12.5" x14ac:dyDescent="0.25">
      <c r="B61" s="14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</row>
    <row r="62" spans="2:77" ht="12.5" x14ac:dyDescent="0.25">
      <c r="B62" s="14"/>
      <c r="C62" s="15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</row>
    <row r="63" spans="2:77" ht="12.5" x14ac:dyDescent="0.25">
      <c r="B63" s="14"/>
      <c r="C63" s="15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</row>
    <row r="64" spans="2:77" ht="12.5" x14ac:dyDescent="0.25">
      <c r="B64" s="14"/>
      <c r="C64" s="15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</row>
    <row r="65" spans="2:77" ht="12.5" x14ac:dyDescent="0.25">
      <c r="B65" s="14"/>
      <c r="C65" s="15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</row>
    <row r="66" spans="2:77" ht="12.5" x14ac:dyDescent="0.25">
      <c r="B66" s="14"/>
      <c r="C66" s="15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</row>
    <row r="67" spans="2:77" ht="12.5" x14ac:dyDescent="0.25">
      <c r="B67" s="14"/>
      <c r="C67" s="15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</row>
    <row r="68" spans="2:77" ht="12.5" x14ac:dyDescent="0.25">
      <c r="B68" s="14"/>
      <c r="C68" s="15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</row>
    <row r="69" spans="2:77" ht="12.5" x14ac:dyDescent="0.25">
      <c r="B69" s="14"/>
      <c r="C69" s="15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</row>
    <row r="70" spans="2:77" ht="12.5" x14ac:dyDescent="0.25">
      <c r="B70" s="14"/>
      <c r="C70" s="15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</row>
    <row r="71" spans="2:77" ht="12.5" x14ac:dyDescent="0.25">
      <c r="B71" s="14"/>
      <c r="C71" s="15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</row>
    <row r="72" spans="2:77" ht="12.5" x14ac:dyDescent="0.25">
      <c r="B72" s="14"/>
      <c r="C72" s="15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</row>
    <row r="73" spans="2:77" ht="12.5" x14ac:dyDescent="0.25">
      <c r="B73" s="14"/>
      <c r="C73" s="15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</row>
    <row r="74" spans="2:77" ht="12.5" x14ac:dyDescent="0.25">
      <c r="B74" s="14"/>
      <c r="C74" s="15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</row>
    <row r="75" spans="2:77" ht="12.5" x14ac:dyDescent="0.25">
      <c r="B75" s="14"/>
      <c r="C75" s="15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</row>
    <row r="76" spans="2:77" ht="12.5" x14ac:dyDescent="0.25">
      <c r="B76" s="14"/>
      <c r="C76" s="15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</row>
    <row r="77" spans="2:77" ht="12.5" x14ac:dyDescent="0.25">
      <c r="B77" s="14"/>
      <c r="C77" s="15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</row>
    <row r="78" spans="2:77" ht="12.5" x14ac:dyDescent="0.25">
      <c r="B78" s="14"/>
      <c r="C78" s="15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  <c r="BX78" s="16"/>
      <c r="BY78" s="16"/>
    </row>
    <row r="79" spans="2:77" ht="12.5" x14ac:dyDescent="0.25">
      <c r="B79" s="14"/>
      <c r="C79" s="15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</row>
    <row r="80" spans="2:77" ht="12.5" x14ac:dyDescent="0.25">
      <c r="B80" s="14"/>
      <c r="C80" s="15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  <c r="BX80" s="16"/>
      <c r="BY80" s="16"/>
    </row>
    <row r="81" spans="2:77" ht="12.5" x14ac:dyDescent="0.25">
      <c r="B81" s="14"/>
      <c r="C81" s="15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  <c r="BX81" s="16"/>
      <c r="BY81" s="16"/>
    </row>
    <row r="82" spans="2:77" ht="12.5" x14ac:dyDescent="0.25">
      <c r="B82" s="14"/>
      <c r="C82" s="15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  <c r="BX82" s="16"/>
      <c r="BY82" s="16"/>
    </row>
    <row r="83" spans="2:77" ht="12.5" x14ac:dyDescent="0.25">
      <c r="B83" s="14"/>
      <c r="C83" s="15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  <c r="BX83" s="16"/>
      <c r="BY83" s="16"/>
    </row>
    <row r="84" spans="2:77" ht="12.5" x14ac:dyDescent="0.25">
      <c r="B84" s="14"/>
      <c r="C84" s="15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  <c r="BX84" s="16"/>
      <c r="BY84" s="16"/>
    </row>
    <row r="85" spans="2:77" ht="12.5" x14ac:dyDescent="0.25">
      <c r="B85" s="14"/>
      <c r="C85" s="15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  <c r="BX85" s="16"/>
      <c r="BY85" s="16"/>
    </row>
    <row r="86" spans="2:77" ht="12.5" x14ac:dyDescent="0.25">
      <c r="B86" s="14"/>
      <c r="C86" s="15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  <c r="BX86" s="16"/>
      <c r="BY86" s="16"/>
    </row>
    <row r="87" spans="2:77" ht="12.5" x14ac:dyDescent="0.25">
      <c r="B87" s="14"/>
      <c r="C87" s="15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</row>
    <row r="88" spans="2:77" ht="12.5" x14ac:dyDescent="0.25">
      <c r="B88" s="14"/>
      <c r="C88" s="15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</row>
    <row r="89" spans="2:77" ht="12.5" x14ac:dyDescent="0.25">
      <c r="B89" s="14"/>
      <c r="C89" s="15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  <c r="BX89" s="16"/>
      <c r="BY89" s="16"/>
    </row>
    <row r="90" spans="2:77" ht="12.5" x14ac:dyDescent="0.25">
      <c r="B90" s="14"/>
      <c r="C90" s="15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  <c r="BX90" s="16"/>
      <c r="BY90" s="16"/>
    </row>
    <row r="91" spans="2:77" ht="12.5" x14ac:dyDescent="0.25">
      <c r="B91" s="14"/>
      <c r="C91" s="15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</row>
    <row r="92" spans="2:77" ht="12.5" x14ac:dyDescent="0.25">
      <c r="B92" s="14"/>
      <c r="C92" s="15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</row>
    <row r="93" spans="2:77" ht="12.5" x14ac:dyDescent="0.25">
      <c r="B93" s="14"/>
      <c r="C93" s="15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  <c r="BX93" s="16"/>
      <c r="BY93" s="16"/>
    </row>
    <row r="94" spans="2:77" ht="12.5" x14ac:dyDescent="0.25">
      <c r="B94" s="14"/>
      <c r="C94" s="15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  <c r="BX94" s="16"/>
      <c r="BY94" s="16"/>
    </row>
    <row r="95" spans="2:77" ht="12.5" x14ac:dyDescent="0.25">
      <c r="B95" s="14"/>
      <c r="C95" s="15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  <c r="BX95" s="16"/>
      <c r="BY95" s="16"/>
    </row>
    <row r="96" spans="2:77" ht="12.5" x14ac:dyDescent="0.25">
      <c r="B96" s="14"/>
      <c r="C96" s="15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  <c r="BX96" s="16"/>
      <c r="BY96" s="16"/>
    </row>
    <row r="97" spans="2:77" ht="12.5" x14ac:dyDescent="0.25">
      <c r="B97" s="14"/>
      <c r="C97" s="15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  <c r="BX97" s="16"/>
      <c r="BY97" s="16"/>
    </row>
    <row r="98" spans="2:77" ht="12.5" x14ac:dyDescent="0.25">
      <c r="B98" s="14"/>
      <c r="C98" s="15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  <c r="BX98" s="16"/>
      <c r="BY98" s="16"/>
    </row>
    <row r="99" spans="2:77" ht="12.5" x14ac:dyDescent="0.25">
      <c r="B99" s="14"/>
      <c r="C99" s="15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  <c r="BX99" s="16"/>
      <c r="BY99" s="16"/>
    </row>
    <row r="100" spans="2:77" ht="12.5" x14ac:dyDescent="0.25">
      <c r="B100" s="14"/>
      <c r="C100" s="15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</row>
    <row r="101" spans="2:77" ht="12.5" x14ac:dyDescent="0.25">
      <c r="B101" s="14"/>
      <c r="C101" s="15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</row>
    <row r="102" spans="2:77" ht="12.5" x14ac:dyDescent="0.25">
      <c r="B102" s="14"/>
      <c r="C102" s="15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</row>
    <row r="103" spans="2:77" ht="12.5" x14ac:dyDescent="0.25">
      <c r="B103" s="14"/>
      <c r="C103" s="15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  <c r="BX103" s="16"/>
      <c r="BY103" s="16"/>
    </row>
    <row r="104" spans="2:77" ht="12.5" x14ac:dyDescent="0.25">
      <c r="B104" s="14"/>
      <c r="C104" s="15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  <c r="BX104" s="16"/>
      <c r="BY104" s="16"/>
    </row>
    <row r="105" spans="2:77" ht="12.5" x14ac:dyDescent="0.25">
      <c r="B105" s="14"/>
      <c r="C105" s="15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  <c r="BX105" s="16"/>
      <c r="BY105" s="16"/>
    </row>
    <row r="106" spans="2:77" ht="12.5" x14ac:dyDescent="0.25">
      <c r="B106" s="14"/>
      <c r="C106" s="15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  <c r="BX106" s="16"/>
      <c r="BY106" s="16"/>
    </row>
    <row r="107" spans="2:77" ht="12.5" x14ac:dyDescent="0.25">
      <c r="B107" s="14"/>
      <c r="C107" s="15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  <c r="BX107" s="16"/>
      <c r="BY107" s="16"/>
    </row>
    <row r="108" spans="2:77" ht="12.5" x14ac:dyDescent="0.25">
      <c r="B108" s="14"/>
      <c r="C108" s="15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  <c r="BX108" s="16"/>
      <c r="BY108" s="16"/>
    </row>
    <row r="109" spans="2:77" ht="12.5" x14ac:dyDescent="0.25">
      <c r="B109" s="14"/>
      <c r="C109" s="15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</row>
    <row r="110" spans="2:77" ht="12.5" x14ac:dyDescent="0.25">
      <c r="B110" s="14"/>
      <c r="C110" s="15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  <c r="BX110" s="16"/>
      <c r="BY110" s="16"/>
    </row>
    <row r="111" spans="2:77" ht="12.5" x14ac:dyDescent="0.25">
      <c r="B111" s="14"/>
      <c r="C111" s="15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  <c r="BX111" s="16"/>
      <c r="BY111" s="16"/>
    </row>
    <row r="112" spans="2:77" ht="12.5" x14ac:dyDescent="0.25">
      <c r="B112" s="14"/>
      <c r="C112" s="15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  <c r="BX112" s="16"/>
      <c r="BY112" s="16"/>
    </row>
    <row r="113" spans="2:77" ht="12.5" x14ac:dyDescent="0.25">
      <c r="B113" s="14"/>
      <c r="C113" s="15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  <c r="BX113" s="16"/>
      <c r="BY113" s="16"/>
    </row>
    <row r="114" spans="2:77" ht="12.5" x14ac:dyDescent="0.25">
      <c r="B114" s="14"/>
      <c r="C114" s="15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  <c r="BX114" s="16"/>
      <c r="BY114" s="16"/>
    </row>
    <row r="115" spans="2:77" ht="12.5" x14ac:dyDescent="0.25">
      <c r="B115" s="14"/>
      <c r="C115" s="15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  <c r="BX115" s="16"/>
      <c r="BY115" s="16"/>
    </row>
    <row r="116" spans="2:77" ht="12.5" x14ac:dyDescent="0.25">
      <c r="B116" s="14"/>
      <c r="C116" s="15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</row>
    <row r="117" spans="2:77" ht="12.5" x14ac:dyDescent="0.25">
      <c r="B117" s="14"/>
      <c r="C117" s="15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  <c r="BX117" s="16"/>
      <c r="BY117" s="16"/>
    </row>
    <row r="118" spans="2:77" ht="12.5" x14ac:dyDescent="0.25">
      <c r="B118" s="14"/>
      <c r="C118" s="15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  <c r="BX118" s="16"/>
      <c r="BY118" s="16"/>
    </row>
    <row r="119" spans="2:77" ht="12.5" x14ac:dyDescent="0.25">
      <c r="B119" s="14"/>
      <c r="C119" s="15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  <c r="BX119" s="16"/>
      <c r="BY119" s="16"/>
    </row>
    <row r="120" spans="2:77" ht="12.5" x14ac:dyDescent="0.25">
      <c r="B120" s="14"/>
      <c r="C120" s="15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  <c r="BX120" s="16"/>
      <c r="BY120" s="16"/>
    </row>
    <row r="121" spans="2:77" ht="12.5" x14ac:dyDescent="0.25">
      <c r="B121" s="14"/>
      <c r="C121" s="15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  <c r="BX121" s="16"/>
      <c r="BY121" s="16"/>
    </row>
    <row r="122" spans="2:77" ht="12.5" x14ac:dyDescent="0.25">
      <c r="B122" s="14"/>
      <c r="C122" s="15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  <c r="BX122" s="16"/>
      <c r="BY122" s="16"/>
    </row>
    <row r="123" spans="2:77" ht="12.5" x14ac:dyDescent="0.25">
      <c r="B123" s="14"/>
      <c r="C123" s="15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  <c r="BS123" s="16"/>
      <c r="BT123" s="16"/>
      <c r="BU123" s="16"/>
      <c r="BV123" s="16"/>
      <c r="BW123" s="16"/>
      <c r="BX123" s="16"/>
      <c r="BY123" s="16"/>
    </row>
    <row r="124" spans="2:77" ht="12.5" x14ac:dyDescent="0.25">
      <c r="B124" s="14"/>
      <c r="C124" s="15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  <c r="BS124" s="16"/>
      <c r="BT124" s="16"/>
      <c r="BU124" s="16"/>
      <c r="BV124" s="16"/>
      <c r="BW124" s="16"/>
      <c r="BX124" s="16"/>
      <c r="BY124" s="16"/>
    </row>
    <row r="125" spans="2:77" ht="12.5" x14ac:dyDescent="0.25">
      <c r="B125" s="14"/>
      <c r="C125" s="15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  <c r="BS125" s="16"/>
      <c r="BT125" s="16"/>
      <c r="BU125" s="16"/>
      <c r="BV125" s="16"/>
      <c r="BW125" s="16"/>
      <c r="BX125" s="16"/>
      <c r="BY125" s="16"/>
    </row>
    <row r="126" spans="2:77" ht="12.5" x14ac:dyDescent="0.25">
      <c r="B126" s="14"/>
      <c r="C126" s="15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  <c r="BS126" s="16"/>
      <c r="BT126" s="16"/>
      <c r="BU126" s="16"/>
      <c r="BV126" s="16"/>
      <c r="BW126" s="16"/>
      <c r="BX126" s="16"/>
      <c r="BY126" s="16"/>
    </row>
    <row r="127" spans="2:77" ht="12.5" x14ac:dyDescent="0.25">
      <c r="B127" s="14"/>
      <c r="C127" s="15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  <c r="BS127" s="16"/>
      <c r="BT127" s="16"/>
      <c r="BU127" s="16"/>
      <c r="BV127" s="16"/>
      <c r="BW127" s="16"/>
      <c r="BX127" s="16"/>
      <c r="BY127" s="16"/>
    </row>
    <row r="128" spans="2:77" ht="12.5" x14ac:dyDescent="0.25">
      <c r="B128" s="14"/>
      <c r="C128" s="15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  <c r="BS128" s="16"/>
      <c r="BT128" s="16"/>
      <c r="BU128" s="16"/>
      <c r="BV128" s="16"/>
      <c r="BW128" s="16"/>
      <c r="BX128" s="16"/>
      <c r="BY128" s="16"/>
    </row>
    <row r="129" spans="2:77" ht="12.5" x14ac:dyDescent="0.25">
      <c r="B129" s="14"/>
      <c r="C129" s="15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  <c r="BS129" s="16"/>
      <c r="BT129" s="16"/>
      <c r="BU129" s="16"/>
      <c r="BV129" s="16"/>
      <c r="BW129" s="16"/>
      <c r="BX129" s="16"/>
      <c r="BY129" s="16"/>
    </row>
    <row r="130" spans="2:77" ht="12.5" x14ac:dyDescent="0.25">
      <c r="B130" s="14"/>
      <c r="C130" s="15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  <c r="BS130" s="16"/>
      <c r="BT130" s="16"/>
      <c r="BU130" s="16"/>
      <c r="BV130" s="16"/>
      <c r="BW130" s="16"/>
      <c r="BX130" s="16"/>
      <c r="BY130" s="16"/>
    </row>
    <row r="131" spans="2:77" ht="12.5" x14ac:dyDescent="0.25">
      <c r="B131" s="14"/>
      <c r="C131" s="15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  <c r="BS131" s="16"/>
      <c r="BT131" s="16"/>
      <c r="BU131" s="16"/>
      <c r="BV131" s="16"/>
      <c r="BW131" s="16"/>
      <c r="BX131" s="16"/>
      <c r="BY131" s="16"/>
    </row>
    <row r="132" spans="2:77" ht="12.5" x14ac:dyDescent="0.25">
      <c r="B132" s="14"/>
      <c r="C132" s="15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</row>
    <row r="133" spans="2:77" ht="12.5" x14ac:dyDescent="0.25">
      <c r="B133" s="14"/>
      <c r="C133" s="15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  <c r="BS133" s="16"/>
      <c r="BT133" s="16"/>
      <c r="BU133" s="16"/>
      <c r="BV133" s="16"/>
      <c r="BW133" s="16"/>
      <c r="BX133" s="16"/>
      <c r="BY133" s="16"/>
    </row>
    <row r="134" spans="2:77" ht="12.5" x14ac:dyDescent="0.25">
      <c r="B134" s="14"/>
      <c r="C134" s="15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  <c r="BS134" s="16"/>
      <c r="BT134" s="16"/>
      <c r="BU134" s="16"/>
      <c r="BV134" s="16"/>
      <c r="BW134" s="16"/>
      <c r="BX134" s="16"/>
      <c r="BY134" s="16"/>
    </row>
    <row r="135" spans="2:77" ht="12.5" x14ac:dyDescent="0.25">
      <c r="B135" s="14"/>
      <c r="C135" s="15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  <c r="BS135" s="16"/>
      <c r="BT135" s="16"/>
      <c r="BU135" s="16"/>
      <c r="BV135" s="16"/>
      <c r="BW135" s="16"/>
      <c r="BX135" s="16"/>
      <c r="BY135" s="16"/>
    </row>
    <row r="136" spans="2:77" ht="12.5" x14ac:dyDescent="0.25">
      <c r="B136" s="14"/>
      <c r="C136" s="15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</row>
    <row r="137" spans="2:77" ht="12.5" x14ac:dyDescent="0.25">
      <c r="B137" s="14"/>
      <c r="C137" s="15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</row>
    <row r="138" spans="2:77" ht="12.5" x14ac:dyDescent="0.25">
      <c r="B138" s="14"/>
      <c r="C138" s="15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  <c r="BS138" s="16"/>
      <c r="BT138" s="16"/>
      <c r="BU138" s="16"/>
      <c r="BV138" s="16"/>
      <c r="BW138" s="16"/>
      <c r="BX138" s="16"/>
      <c r="BY138" s="16"/>
    </row>
    <row r="139" spans="2:77" ht="12.5" x14ac:dyDescent="0.25">
      <c r="B139" s="14"/>
      <c r="C139" s="15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  <c r="BS139" s="16"/>
      <c r="BT139" s="16"/>
      <c r="BU139" s="16"/>
      <c r="BV139" s="16"/>
      <c r="BW139" s="16"/>
      <c r="BX139" s="16"/>
      <c r="BY139" s="16"/>
    </row>
    <row r="140" spans="2:77" ht="12.5" x14ac:dyDescent="0.25">
      <c r="B140" s="14"/>
      <c r="C140" s="15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  <c r="BS140" s="16"/>
      <c r="BT140" s="16"/>
      <c r="BU140" s="16"/>
      <c r="BV140" s="16"/>
      <c r="BW140" s="16"/>
      <c r="BX140" s="16"/>
      <c r="BY140" s="16"/>
    </row>
    <row r="141" spans="2:77" ht="12.5" x14ac:dyDescent="0.25">
      <c r="B141" s="14"/>
      <c r="C141" s="15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  <c r="BS141" s="16"/>
      <c r="BT141" s="16"/>
      <c r="BU141" s="16"/>
      <c r="BV141" s="16"/>
      <c r="BW141" s="16"/>
      <c r="BX141" s="16"/>
      <c r="BY141" s="16"/>
    </row>
    <row r="142" spans="2:77" ht="12.5" x14ac:dyDescent="0.25">
      <c r="B142" s="14"/>
      <c r="C142" s="15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  <c r="BS142" s="16"/>
      <c r="BT142" s="16"/>
      <c r="BU142" s="16"/>
      <c r="BV142" s="16"/>
      <c r="BW142" s="16"/>
      <c r="BX142" s="16"/>
      <c r="BY142" s="16"/>
    </row>
    <row r="143" spans="2:77" ht="12.5" x14ac:dyDescent="0.25">
      <c r="B143" s="14"/>
      <c r="C143" s="15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  <c r="BS143" s="16"/>
      <c r="BT143" s="16"/>
      <c r="BU143" s="16"/>
      <c r="BV143" s="16"/>
      <c r="BW143" s="16"/>
      <c r="BX143" s="16"/>
      <c r="BY143" s="16"/>
    </row>
    <row r="144" spans="2:77" ht="12.5" x14ac:dyDescent="0.25">
      <c r="B144" s="14"/>
      <c r="C144" s="15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  <c r="BS144" s="16"/>
      <c r="BT144" s="16"/>
      <c r="BU144" s="16"/>
      <c r="BV144" s="16"/>
      <c r="BW144" s="16"/>
      <c r="BX144" s="16"/>
      <c r="BY144" s="16"/>
    </row>
    <row r="145" spans="2:77" ht="12.5" x14ac:dyDescent="0.25">
      <c r="B145" s="14"/>
      <c r="C145" s="15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  <c r="BS145" s="16"/>
      <c r="BT145" s="16"/>
      <c r="BU145" s="16"/>
      <c r="BV145" s="16"/>
      <c r="BW145" s="16"/>
      <c r="BX145" s="16"/>
      <c r="BY145" s="16"/>
    </row>
    <row r="146" spans="2:77" ht="12.5" x14ac:dyDescent="0.25">
      <c r="B146" s="14"/>
      <c r="C146" s="15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  <c r="BS146" s="16"/>
      <c r="BT146" s="16"/>
      <c r="BU146" s="16"/>
      <c r="BV146" s="16"/>
      <c r="BW146" s="16"/>
      <c r="BX146" s="16"/>
      <c r="BY146" s="16"/>
    </row>
    <row r="147" spans="2:77" ht="12.5" x14ac:dyDescent="0.25">
      <c r="B147" s="14"/>
      <c r="C147" s="15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  <c r="BS147" s="16"/>
      <c r="BT147" s="16"/>
      <c r="BU147" s="16"/>
      <c r="BV147" s="16"/>
      <c r="BW147" s="16"/>
      <c r="BX147" s="16"/>
      <c r="BY147" s="16"/>
    </row>
    <row r="148" spans="2:77" ht="12.5" x14ac:dyDescent="0.25">
      <c r="B148" s="14"/>
      <c r="C148" s="15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  <c r="BS148" s="16"/>
      <c r="BT148" s="16"/>
      <c r="BU148" s="16"/>
      <c r="BV148" s="16"/>
      <c r="BW148" s="16"/>
      <c r="BX148" s="16"/>
      <c r="BY148" s="16"/>
    </row>
    <row r="149" spans="2:77" ht="12.5" x14ac:dyDescent="0.25">
      <c r="B149" s="14"/>
      <c r="C149" s="15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  <c r="BS149" s="16"/>
      <c r="BT149" s="16"/>
      <c r="BU149" s="16"/>
      <c r="BV149" s="16"/>
      <c r="BW149" s="16"/>
      <c r="BX149" s="16"/>
      <c r="BY149" s="16"/>
    </row>
    <row r="150" spans="2:77" ht="12.5" x14ac:dyDescent="0.25">
      <c r="B150" s="14"/>
      <c r="C150" s="15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</row>
    <row r="151" spans="2:77" ht="12.5" x14ac:dyDescent="0.25">
      <c r="B151" s="14"/>
      <c r="C151" s="15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  <c r="BS151" s="16"/>
      <c r="BT151" s="16"/>
      <c r="BU151" s="16"/>
      <c r="BV151" s="16"/>
      <c r="BW151" s="16"/>
      <c r="BX151" s="16"/>
      <c r="BY151" s="16"/>
    </row>
    <row r="152" spans="2:77" ht="12.5" x14ac:dyDescent="0.25">
      <c r="B152" s="14"/>
      <c r="C152" s="15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  <c r="BS152" s="16"/>
      <c r="BT152" s="16"/>
      <c r="BU152" s="16"/>
      <c r="BV152" s="16"/>
      <c r="BW152" s="16"/>
      <c r="BX152" s="16"/>
      <c r="BY152" s="16"/>
    </row>
    <row r="153" spans="2:77" ht="12.5" x14ac:dyDescent="0.25">
      <c r="B153" s="14"/>
      <c r="C153" s="15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  <c r="BS153" s="16"/>
      <c r="BT153" s="16"/>
      <c r="BU153" s="16"/>
      <c r="BV153" s="16"/>
      <c r="BW153" s="16"/>
      <c r="BX153" s="16"/>
      <c r="BY153" s="16"/>
    </row>
    <row r="154" spans="2:77" ht="12.5" x14ac:dyDescent="0.25">
      <c r="B154" s="14"/>
      <c r="C154" s="15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  <c r="BS154" s="16"/>
      <c r="BT154" s="16"/>
      <c r="BU154" s="16"/>
      <c r="BV154" s="16"/>
      <c r="BW154" s="16"/>
      <c r="BX154" s="16"/>
      <c r="BY154" s="16"/>
    </row>
    <row r="155" spans="2:77" ht="12.5" x14ac:dyDescent="0.25">
      <c r="B155" s="14"/>
      <c r="C155" s="15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</row>
    <row r="156" spans="2:77" ht="12.5" x14ac:dyDescent="0.25">
      <c r="B156" s="14"/>
      <c r="C156" s="15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</row>
    <row r="157" spans="2:77" ht="12.5" x14ac:dyDescent="0.25">
      <c r="B157" s="14"/>
      <c r="C157" s="15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  <c r="BS157" s="16"/>
      <c r="BT157" s="16"/>
      <c r="BU157" s="16"/>
      <c r="BV157" s="16"/>
      <c r="BW157" s="16"/>
      <c r="BX157" s="16"/>
      <c r="BY157" s="16"/>
    </row>
    <row r="158" spans="2:77" ht="12.5" x14ac:dyDescent="0.25">
      <c r="B158" s="14"/>
      <c r="C158" s="15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</row>
    <row r="159" spans="2:77" ht="12.5" x14ac:dyDescent="0.25">
      <c r="B159" s="14"/>
      <c r="C159" s="15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</row>
    <row r="160" spans="2:77" ht="12.5" x14ac:dyDescent="0.25">
      <c r="B160" s="14"/>
      <c r="C160" s="15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</row>
    <row r="161" spans="2:77" ht="12.5" x14ac:dyDescent="0.25">
      <c r="B161" s="14"/>
      <c r="C161" s="15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</row>
    <row r="162" spans="2:77" ht="12.5" x14ac:dyDescent="0.25">
      <c r="B162" s="14"/>
      <c r="C162" s="15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</row>
    <row r="163" spans="2:77" ht="12.5" x14ac:dyDescent="0.25">
      <c r="B163" s="14"/>
      <c r="C163" s="15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</row>
    <row r="164" spans="2:77" ht="12.5" x14ac:dyDescent="0.25">
      <c r="B164" s="14"/>
      <c r="C164" s="15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</row>
    <row r="165" spans="2:77" ht="12.5" x14ac:dyDescent="0.25">
      <c r="B165" s="14"/>
      <c r="C165" s="15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</row>
    <row r="166" spans="2:77" ht="12.5" x14ac:dyDescent="0.25">
      <c r="B166" s="14"/>
      <c r="C166" s="15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</row>
    <row r="167" spans="2:77" ht="12.5" x14ac:dyDescent="0.25">
      <c r="B167" s="14"/>
      <c r="C167" s="15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</row>
    <row r="168" spans="2:77" ht="12.5" x14ac:dyDescent="0.25">
      <c r="B168" s="14"/>
      <c r="C168" s="15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</row>
    <row r="169" spans="2:77" ht="12.5" x14ac:dyDescent="0.25">
      <c r="B169" s="14"/>
      <c r="C169" s="15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</row>
    <row r="170" spans="2:77" ht="12.5" x14ac:dyDescent="0.25">
      <c r="B170" s="14"/>
      <c r="C170" s="15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</row>
    <row r="171" spans="2:77" ht="12.5" x14ac:dyDescent="0.25">
      <c r="B171" s="14"/>
      <c r="C171" s="15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</row>
    <row r="172" spans="2:77" ht="12.5" x14ac:dyDescent="0.25">
      <c r="B172" s="14"/>
      <c r="C172" s="15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</row>
    <row r="173" spans="2:77" ht="12.5" x14ac:dyDescent="0.25">
      <c r="B173" s="14"/>
      <c r="C173" s="15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</row>
    <row r="174" spans="2:77" ht="12.5" x14ac:dyDescent="0.25">
      <c r="B174" s="14"/>
      <c r="C174" s="15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</row>
    <row r="175" spans="2:77" ht="12.5" x14ac:dyDescent="0.25">
      <c r="B175" s="14"/>
      <c r="C175" s="15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</row>
    <row r="176" spans="2:77" ht="12.5" x14ac:dyDescent="0.25">
      <c r="B176" s="14"/>
      <c r="C176" s="15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</row>
    <row r="177" spans="2:77" ht="12.5" x14ac:dyDescent="0.25">
      <c r="B177" s="14"/>
      <c r="C177" s="15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</row>
    <row r="178" spans="2:77" ht="12.5" x14ac:dyDescent="0.25">
      <c r="B178" s="14"/>
      <c r="C178" s="15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</row>
    <row r="179" spans="2:77" ht="12.5" x14ac:dyDescent="0.25">
      <c r="B179" s="14"/>
      <c r="C179" s="15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  <c r="BS179" s="16"/>
      <c r="BT179" s="16"/>
      <c r="BU179" s="16"/>
      <c r="BV179" s="16"/>
      <c r="BW179" s="16"/>
      <c r="BX179" s="16"/>
      <c r="BY179" s="16"/>
    </row>
    <row r="180" spans="2:77" ht="12.5" x14ac:dyDescent="0.25">
      <c r="B180" s="14"/>
      <c r="C180" s="15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  <c r="BS180" s="16"/>
      <c r="BT180" s="16"/>
      <c r="BU180" s="16"/>
      <c r="BV180" s="16"/>
      <c r="BW180" s="16"/>
      <c r="BX180" s="16"/>
      <c r="BY180" s="16"/>
    </row>
    <row r="181" spans="2:77" ht="12.5" x14ac:dyDescent="0.25">
      <c r="B181" s="14"/>
      <c r="C181" s="15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</row>
    <row r="182" spans="2:77" ht="12.5" x14ac:dyDescent="0.25">
      <c r="B182" s="14"/>
      <c r="C182" s="15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</row>
    <row r="183" spans="2:77" ht="12.5" x14ac:dyDescent="0.25">
      <c r="B183" s="14"/>
      <c r="C183" s="15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</row>
    <row r="184" spans="2:77" ht="12.5" x14ac:dyDescent="0.25">
      <c r="B184" s="14"/>
      <c r="C184" s="15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</row>
    <row r="185" spans="2:77" ht="12.5" x14ac:dyDescent="0.25">
      <c r="B185" s="14"/>
      <c r="C185" s="15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</row>
    <row r="186" spans="2:77" ht="12.5" x14ac:dyDescent="0.25">
      <c r="B186" s="14"/>
      <c r="C186" s="15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</row>
    <row r="187" spans="2:77" ht="12.5" x14ac:dyDescent="0.25">
      <c r="B187" s="14"/>
      <c r="C187" s="15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</row>
    <row r="188" spans="2:77" ht="12.5" x14ac:dyDescent="0.25">
      <c r="B188" s="14"/>
      <c r="C188" s="15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  <c r="BS188" s="16"/>
      <c r="BT188" s="16"/>
      <c r="BU188" s="16"/>
      <c r="BV188" s="16"/>
      <c r="BW188" s="16"/>
      <c r="BX188" s="16"/>
      <c r="BY188" s="16"/>
    </row>
    <row r="189" spans="2:77" ht="12.5" x14ac:dyDescent="0.25">
      <c r="B189" s="14"/>
      <c r="C189" s="15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</row>
    <row r="190" spans="2:77" ht="12.5" x14ac:dyDescent="0.25">
      <c r="B190" s="14"/>
      <c r="C190" s="15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</row>
    <row r="191" spans="2:77" ht="12.5" x14ac:dyDescent="0.25">
      <c r="B191" s="14"/>
      <c r="C191" s="15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  <c r="BS191" s="16"/>
      <c r="BT191" s="16"/>
      <c r="BU191" s="16"/>
      <c r="BV191" s="16"/>
      <c r="BW191" s="16"/>
      <c r="BX191" s="16"/>
      <c r="BY191" s="16"/>
    </row>
    <row r="192" spans="2:77" ht="12.5" x14ac:dyDescent="0.25">
      <c r="B192" s="14"/>
      <c r="C192" s="15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</row>
    <row r="193" spans="2:77" ht="12.5" x14ac:dyDescent="0.25">
      <c r="B193" s="14"/>
      <c r="C193" s="15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</row>
    <row r="194" spans="2:77" ht="12.5" x14ac:dyDescent="0.25">
      <c r="B194" s="14"/>
      <c r="C194" s="15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  <c r="BS194" s="16"/>
      <c r="BT194" s="16"/>
      <c r="BU194" s="16"/>
      <c r="BV194" s="16"/>
      <c r="BW194" s="16"/>
      <c r="BX194" s="16"/>
      <c r="BY194" s="16"/>
    </row>
    <row r="195" spans="2:77" ht="12.5" x14ac:dyDescent="0.25">
      <c r="B195" s="14"/>
      <c r="C195" s="15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  <c r="BS195" s="16"/>
      <c r="BT195" s="16"/>
      <c r="BU195" s="16"/>
      <c r="BV195" s="16"/>
      <c r="BW195" s="16"/>
      <c r="BX195" s="16"/>
      <c r="BY195" s="16"/>
    </row>
    <row r="196" spans="2:77" ht="12.5" x14ac:dyDescent="0.25">
      <c r="B196" s="14"/>
      <c r="C196" s="15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  <c r="BS196" s="16"/>
      <c r="BT196" s="16"/>
      <c r="BU196" s="16"/>
      <c r="BV196" s="16"/>
      <c r="BW196" s="16"/>
      <c r="BX196" s="16"/>
      <c r="BY196" s="16"/>
    </row>
    <row r="197" spans="2:77" ht="12.5" x14ac:dyDescent="0.25">
      <c r="B197" s="14"/>
      <c r="C197" s="15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  <c r="BS197" s="16"/>
      <c r="BT197" s="16"/>
      <c r="BU197" s="16"/>
      <c r="BV197" s="16"/>
      <c r="BW197" s="16"/>
      <c r="BX197" s="16"/>
      <c r="BY197" s="16"/>
    </row>
    <row r="198" spans="2:77" ht="12.5" x14ac:dyDescent="0.25">
      <c r="B198" s="14"/>
      <c r="C198" s="15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  <c r="BS198" s="16"/>
      <c r="BT198" s="16"/>
      <c r="BU198" s="16"/>
      <c r="BV198" s="16"/>
      <c r="BW198" s="16"/>
      <c r="BX198" s="16"/>
      <c r="BY198" s="16"/>
    </row>
    <row r="199" spans="2:77" ht="12.5" x14ac:dyDescent="0.25">
      <c r="B199" s="14"/>
      <c r="C199" s="15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  <c r="BS199" s="16"/>
      <c r="BT199" s="16"/>
      <c r="BU199" s="16"/>
      <c r="BV199" s="16"/>
      <c r="BW199" s="16"/>
      <c r="BX199" s="16"/>
      <c r="BY199" s="16"/>
    </row>
    <row r="200" spans="2:77" ht="12.5" x14ac:dyDescent="0.25">
      <c r="B200" s="14"/>
      <c r="C200" s="15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  <c r="BS200" s="16"/>
      <c r="BT200" s="16"/>
      <c r="BU200" s="16"/>
      <c r="BV200" s="16"/>
      <c r="BW200" s="16"/>
      <c r="BX200" s="16"/>
      <c r="BY200" s="16"/>
    </row>
    <row r="201" spans="2:77" ht="12.5" x14ac:dyDescent="0.25">
      <c r="B201" s="14"/>
      <c r="C201" s="15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  <c r="BS201" s="16"/>
      <c r="BT201" s="16"/>
      <c r="BU201" s="16"/>
      <c r="BV201" s="16"/>
      <c r="BW201" s="16"/>
      <c r="BX201" s="16"/>
      <c r="BY201" s="16"/>
    </row>
    <row r="202" spans="2:77" ht="12.5" x14ac:dyDescent="0.25">
      <c r="B202" s="14"/>
      <c r="C202" s="15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  <c r="BS202" s="16"/>
      <c r="BT202" s="16"/>
      <c r="BU202" s="16"/>
      <c r="BV202" s="16"/>
      <c r="BW202" s="16"/>
      <c r="BX202" s="16"/>
      <c r="BY202" s="16"/>
    </row>
    <row r="203" spans="2:77" ht="12.5" x14ac:dyDescent="0.25">
      <c r="B203" s="14"/>
      <c r="C203" s="15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  <c r="BS203" s="16"/>
      <c r="BT203" s="16"/>
      <c r="BU203" s="16"/>
      <c r="BV203" s="16"/>
      <c r="BW203" s="16"/>
      <c r="BX203" s="16"/>
      <c r="BY203" s="16"/>
    </row>
    <row r="204" spans="2:77" ht="12.5" x14ac:dyDescent="0.25">
      <c r="B204" s="14"/>
      <c r="C204" s="15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  <c r="BS204" s="16"/>
      <c r="BT204" s="16"/>
      <c r="BU204" s="16"/>
      <c r="BV204" s="16"/>
      <c r="BW204" s="16"/>
      <c r="BX204" s="16"/>
      <c r="BY204" s="16"/>
    </row>
    <row r="205" spans="2:77" ht="12.5" x14ac:dyDescent="0.25">
      <c r="B205" s="14"/>
      <c r="C205" s="15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  <c r="BS205" s="16"/>
      <c r="BT205" s="16"/>
      <c r="BU205" s="16"/>
      <c r="BV205" s="16"/>
      <c r="BW205" s="16"/>
      <c r="BX205" s="16"/>
      <c r="BY205" s="16"/>
    </row>
    <row r="206" spans="2:77" ht="12.5" x14ac:dyDescent="0.25">
      <c r="B206" s="14"/>
      <c r="C206" s="15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</row>
    <row r="207" spans="2:77" ht="12.5" x14ac:dyDescent="0.25">
      <c r="B207" s="14"/>
      <c r="C207" s="15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  <c r="BS207" s="16"/>
      <c r="BT207" s="16"/>
      <c r="BU207" s="16"/>
      <c r="BV207" s="16"/>
      <c r="BW207" s="16"/>
      <c r="BX207" s="16"/>
      <c r="BY207" s="16"/>
    </row>
    <row r="208" spans="2:77" ht="12.5" x14ac:dyDescent="0.25">
      <c r="B208" s="14"/>
      <c r="C208" s="15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  <c r="BS208" s="16"/>
      <c r="BT208" s="16"/>
      <c r="BU208" s="16"/>
      <c r="BV208" s="16"/>
      <c r="BW208" s="16"/>
      <c r="BX208" s="16"/>
      <c r="BY208" s="16"/>
    </row>
    <row r="209" spans="2:77" ht="12.5" x14ac:dyDescent="0.25">
      <c r="B209" s="14"/>
      <c r="C209" s="15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  <c r="BS209" s="16"/>
      <c r="BT209" s="16"/>
      <c r="BU209" s="16"/>
      <c r="BV209" s="16"/>
      <c r="BW209" s="16"/>
      <c r="BX209" s="16"/>
      <c r="BY209" s="16"/>
    </row>
    <row r="210" spans="2:77" ht="12.5" x14ac:dyDescent="0.25">
      <c r="B210" s="14"/>
      <c r="C210" s="15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  <c r="BS210" s="16"/>
      <c r="BT210" s="16"/>
      <c r="BU210" s="16"/>
      <c r="BV210" s="16"/>
      <c r="BW210" s="16"/>
      <c r="BX210" s="16"/>
      <c r="BY210" s="16"/>
    </row>
    <row r="211" spans="2:77" ht="12.5" x14ac:dyDescent="0.25">
      <c r="B211" s="14"/>
      <c r="C211" s="15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  <c r="BS211" s="16"/>
      <c r="BT211" s="16"/>
      <c r="BU211" s="16"/>
      <c r="BV211" s="16"/>
      <c r="BW211" s="16"/>
      <c r="BX211" s="16"/>
      <c r="BY211" s="16"/>
    </row>
    <row r="212" spans="2:77" ht="12.5" x14ac:dyDescent="0.25">
      <c r="B212" s="14"/>
      <c r="C212" s="15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  <c r="BS212" s="16"/>
      <c r="BT212" s="16"/>
      <c r="BU212" s="16"/>
      <c r="BV212" s="16"/>
      <c r="BW212" s="16"/>
      <c r="BX212" s="16"/>
      <c r="BY212" s="16"/>
    </row>
    <row r="213" spans="2:77" ht="12.5" x14ac:dyDescent="0.25">
      <c r="B213" s="14"/>
      <c r="C213" s="15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  <c r="BS213" s="16"/>
      <c r="BT213" s="16"/>
      <c r="BU213" s="16"/>
      <c r="BV213" s="16"/>
      <c r="BW213" s="16"/>
      <c r="BX213" s="16"/>
      <c r="BY213" s="16"/>
    </row>
    <row r="214" spans="2:77" ht="12.5" x14ac:dyDescent="0.25">
      <c r="B214" s="14"/>
      <c r="C214" s="15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  <c r="BS214" s="16"/>
      <c r="BT214" s="16"/>
      <c r="BU214" s="16"/>
      <c r="BV214" s="16"/>
      <c r="BW214" s="16"/>
      <c r="BX214" s="16"/>
      <c r="BY214" s="16"/>
    </row>
    <row r="215" spans="2:77" ht="12.5" x14ac:dyDescent="0.25">
      <c r="B215" s="14"/>
      <c r="C215" s="15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  <c r="BS215" s="16"/>
      <c r="BT215" s="16"/>
      <c r="BU215" s="16"/>
      <c r="BV215" s="16"/>
      <c r="BW215" s="16"/>
      <c r="BX215" s="16"/>
      <c r="BY215" s="16"/>
    </row>
    <row r="216" spans="2:77" ht="12.5" x14ac:dyDescent="0.25">
      <c r="B216" s="14"/>
      <c r="C216" s="15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</row>
    <row r="217" spans="2:77" ht="12.5" x14ac:dyDescent="0.25">
      <c r="B217" s="14"/>
      <c r="C217" s="15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</row>
    <row r="218" spans="2:77" ht="12.5" x14ac:dyDescent="0.25">
      <c r="B218" s="14"/>
      <c r="C218" s="15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</row>
    <row r="219" spans="2:77" ht="12.5" x14ac:dyDescent="0.25">
      <c r="B219" s="14"/>
      <c r="C219" s="15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  <c r="BS219" s="16"/>
      <c r="BT219" s="16"/>
      <c r="BU219" s="16"/>
      <c r="BV219" s="16"/>
      <c r="BW219" s="16"/>
      <c r="BX219" s="16"/>
      <c r="BY219" s="16"/>
    </row>
    <row r="220" spans="2:77" ht="12.5" x14ac:dyDescent="0.25">
      <c r="B220" s="14"/>
      <c r="C220" s="15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</row>
    <row r="221" spans="2:77" ht="12.5" x14ac:dyDescent="0.25">
      <c r="B221" s="14"/>
      <c r="C221" s="15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</row>
    <row r="222" spans="2:77" ht="12.5" x14ac:dyDescent="0.25">
      <c r="B222" s="14"/>
      <c r="C222" s="15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</row>
    <row r="223" spans="2:77" ht="12.5" x14ac:dyDescent="0.25">
      <c r="B223" s="14"/>
      <c r="C223" s="15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  <c r="BS223" s="16"/>
      <c r="BT223" s="16"/>
      <c r="BU223" s="16"/>
      <c r="BV223" s="16"/>
      <c r="BW223" s="16"/>
      <c r="BX223" s="16"/>
      <c r="BY223" s="16"/>
    </row>
    <row r="224" spans="2:77" ht="12.5" x14ac:dyDescent="0.25">
      <c r="B224" s="14"/>
      <c r="C224" s="15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  <c r="BS224" s="16"/>
      <c r="BT224" s="16"/>
      <c r="BU224" s="16"/>
      <c r="BV224" s="16"/>
      <c r="BW224" s="16"/>
      <c r="BX224" s="16"/>
      <c r="BY224" s="16"/>
    </row>
    <row r="225" spans="2:77" ht="12.5" x14ac:dyDescent="0.25">
      <c r="B225" s="14"/>
      <c r="C225" s="15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  <c r="BS225" s="16"/>
      <c r="BT225" s="16"/>
      <c r="BU225" s="16"/>
      <c r="BV225" s="16"/>
      <c r="BW225" s="16"/>
      <c r="BX225" s="16"/>
      <c r="BY225" s="16"/>
    </row>
    <row r="226" spans="2:77" ht="12.5" x14ac:dyDescent="0.25">
      <c r="B226" s="14"/>
      <c r="C226" s="15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  <c r="BS226" s="16"/>
      <c r="BT226" s="16"/>
      <c r="BU226" s="16"/>
      <c r="BV226" s="16"/>
      <c r="BW226" s="16"/>
      <c r="BX226" s="16"/>
      <c r="BY226" s="16"/>
    </row>
    <row r="227" spans="2:77" ht="12.5" x14ac:dyDescent="0.25">
      <c r="B227" s="14"/>
      <c r="C227" s="15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</row>
    <row r="228" spans="2:77" ht="12.5" x14ac:dyDescent="0.25">
      <c r="B228" s="14"/>
      <c r="C228" s="15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</row>
    <row r="229" spans="2:77" ht="12.5" x14ac:dyDescent="0.25">
      <c r="B229" s="14"/>
      <c r="C229" s="15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</row>
    <row r="230" spans="2:77" ht="12.5" x14ac:dyDescent="0.25">
      <c r="B230" s="14"/>
      <c r="C230" s="15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  <c r="BS230" s="16"/>
      <c r="BT230" s="16"/>
      <c r="BU230" s="16"/>
      <c r="BV230" s="16"/>
      <c r="BW230" s="16"/>
      <c r="BX230" s="16"/>
      <c r="BY230" s="16"/>
    </row>
    <row r="231" spans="2:77" ht="12.5" x14ac:dyDescent="0.25">
      <c r="B231" s="14"/>
      <c r="C231" s="15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  <c r="BS231" s="16"/>
      <c r="BT231" s="16"/>
      <c r="BU231" s="16"/>
      <c r="BV231" s="16"/>
      <c r="BW231" s="16"/>
      <c r="BX231" s="16"/>
      <c r="BY231" s="16"/>
    </row>
    <row r="232" spans="2:77" ht="12.5" x14ac:dyDescent="0.25">
      <c r="B232" s="14"/>
      <c r="C232" s="15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  <c r="BS232" s="16"/>
      <c r="BT232" s="16"/>
      <c r="BU232" s="16"/>
      <c r="BV232" s="16"/>
      <c r="BW232" s="16"/>
      <c r="BX232" s="16"/>
      <c r="BY232" s="16"/>
    </row>
    <row r="233" spans="2:77" ht="12.5" x14ac:dyDescent="0.25">
      <c r="B233" s="14"/>
      <c r="C233" s="15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  <c r="BS233" s="16"/>
      <c r="BT233" s="16"/>
      <c r="BU233" s="16"/>
      <c r="BV233" s="16"/>
      <c r="BW233" s="16"/>
      <c r="BX233" s="16"/>
      <c r="BY233" s="16"/>
    </row>
    <row r="234" spans="2:77" ht="12.5" x14ac:dyDescent="0.25">
      <c r="B234" s="14"/>
      <c r="C234" s="15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  <c r="BS234" s="16"/>
      <c r="BT234" s="16"/>
      <c r="BU234" s="16"/>
      <c r="BV234" s="16"/>
      <c r="BW234" s="16"/>
      <c r="BX234" s="16"/>
      <c r="BY234" s="16"/>
    </row>
    <row r="235" spans="2:77" ht="12.5" x14ac:dyDescent="0.25">
      <c r="B235" s="14"/>
      <c r="C235" s="15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  <c r="BS235" s="16"/>
      <c r="BT235" s="16"/>
      <c r="BU235" s="16"/>
      <c r="BV235" s="16"/>
      <c r="BW235" s="16"/>
      <c r="BX235" s="16"/>
      <c r="BY235" s="16"/>
    </row>
    <row r="236" spans="2:77" ht="12.5" x14ac:dyDescent="0.25">
      <c r="B236" s="14"/>
      <c r="C236" s="15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  <c r="BS236" s="16"/>
      <c r="BT236" s="16"/>
      <c r="BU236" s="16"/>
      <c r="BV236" s="16"/>
      <c r="BW236" s="16"/>
      <c r="BX236" s="16"/>
      <c r="BY236" s="16"/>
    </row>
    <row r="237" spans="2:77" ht="12.5" x14ac:dyDescent="0.25">
      <c r="B237" s="14"/>
      <c r="C237" s="15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  <c r="BS237" s="16"/>
      <c r="BT237" s="16"/>
      <c r="BU237" s="16"/>
      <c r="BV237" s="16"/>
      <c r="BW237" s="16"/>
      <c r="BX237" s="16"/>
      <c r="BY237" s="16"/>
    </row>
    <row r="238" spans="2:77" ht="12.5" x14ac:dyDescent="0.25">
      <c r="B238" s="14"/>
      <c r="C238" s="15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  <c r="BS238" s="16"/>
      <c r="BT238" s="16"/>
      <c r="BU238" s="16"/>
      <c r="BV238" s="16"/>
      <c r="BW238" s="16"/>
      <c r="BX238" s="16"/>
      <c r="BY238" s="16"/>
    </row>
    <row r="239" spans="2:77" ht="12.5" x14ac:dyDescent="0.25">
      <c r="B239" s="14"/>
      <c r="C239" s="15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  <c r="BS239" s="16"/>
      <c r="BT239" s="16"/>
      <c r="BU239" s="16"/>
      <c r="BV239" s="16"/>
      <c r="BW239" s="16"/>
      <c r="BX239" s="16"/>
      <c r="BY239" s="16"/>
    </row>
    <row r="240" spans="2:77" ht="12.5" x14ac:dyDescent="0.25">
      <c r="B240" s="14"/>
      <c r="C240" s="15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  <c r="BS240" s="16"/>
      <c r="BT240" s="16"/>
      <c r="BU240" s="16"/>
      <c r="BV240" s="16"/>
      <c r="BW240" s="16"/>
      <c r="BX240" s="16"/>
      <c r="BY240" s="16"/>
    </row>
    <row r="241" spans="2:77" ht="12.5" x14ac:dyDescent="0.25">
      <c r="B241" s="14"/>
      <c r="C241" s="15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  <c r="BS241" s="16"/>
      <c r="BT241" s="16"/>
      <c r="BU241" s="16"/>
      <c r="BV241" s="16"/>
      <c r="BW241" s="16"/>
      <c r="BX241" s="16"/>
      <c r="BY241" s="16"/>
    </row>
    <row r="242" spans="2:77" ht="12.5" x14ac:dyDescent="0.25">
      <c r="B242" s="14"/>
      <c r="C242" s="15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  <c r="BS242" s="16"/>
      <c r="BT242" s="16"/>
      <c r="BU242" s="16"/>
      <c r="BV242" s="16"/>
      <c r="BW242" s="16"/>
      <c r="BX242" s="16"/>
      <c r="BY242" s="16"/>
    </row>
    <row r="243" spans="2:77" ht="12.5" x14ac:dyDescent="0.25">
      <c r="B243" s="14"/>
      <c r="C243" s="15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  <c r="BS243" s="16"/>
      <c r="BT243" s="16"/>
      <c r="BU243" s="16"/>
      <c r="BV243" s="16"/>
      <c r="BW243" s="16"/>
      <c r="BX243" s="16"/>
      <c r="BY243" s="16"/>
    </row>
    <row r="244" spans="2:77" ht="12.5" x14ac:dyDescent="0.25">
      <c r="B244" s="14"/>
      <c r="C244" s="15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  <c r="BS244" s="16"/>
      <c r="BT244" s="16"/>
      <c r="BU244" s="16"/>
      <c r="BV244" s="16"/>
      <c r="BW244" s="16"/>
      <c r="BX244" s="16"/>
      <c r="BY244" s="16"/>
    </row>
    <row r="245" spans="2:77" ht="12.5" x14ac:dyDescent="0.25">
      <c r="B245" s="14"/>
      <c r="C245" s="15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  <c r="BS245" s="16"/>
      <c r="BT245" s="16"/>
      <c r="BU245" s="16"/>
      <c r="BV245" s="16"/>
      <c r="BW245" s="16"/>
      <c r="BX245" s="16"/>
      <c r="BY245" s="16"/>
    </row>
    <row r="246" spans="2:77" ht="12.5" x14ac:dyDescent="0.25">
      <c r="B246" s="14"/>
      <c r="C246" s="15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  <c r="BS246" s="16"/>
      <c r="BT246" s="16"/>
      <c r="BU246" s="16"/>
      <c r="BV246" s="16"/>
      <c r="BW246" s="16"/>
      <c r="BX246" s="16"/>
      <c r="BY246" s="16"/>
    </row>
    <row r="247" spans="2:77" ht="12.5" x14ac:dyDescent="0.25">
      <c r="B247" s="14"/>
      <c r="C247" s="15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  <c r="BS247" s="16"/>
      <c r="BT247" s="16"/>
      <c r="BU247" s="16"/>
      <c r="BV247" s="16"/>
      <c r="BW247" s="16"/>
      <c r="BX247" s="16"/>
      <c r="BY247" s="16"/>
    </row>
    <row r="248" spans="2:77" ht="12.5" x14ac:dyDescent="0.25">
      <c r="B248" s="14"/>
      <c r="C248" s="15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  <c r="BS248" s="16"/>
      <c r="BT248" s="16"/>
      <c r="BU248" s="16"/>
      <c r="BV248" s="16"/>
      <c r="BW248" s="16"/>
      <c r="BX248" s="16"/>
      <c r="BY248" s="16"/>
    </row>
    <row r="249" spans="2:77" ht="12.5" x14ac:dyDescent="0.25">
      <c r="B249" s="14"/>
      <c r="C249" s="15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  <c r="BS249" s="16"/>
      <c r="BT249" s="16"/>
      <c r="BU249" s="16"/>
      <c r="BV249" s="16"/>
      <c r="BW249" s="16"/>
      <c r="BX249" s="16"/>
      <c r="BY249" s="16"/>
    </row>
    <row r="250" spans="2:77" ht="12.5" x14ac:dyDescent="0.25">
      <c r="B250" s="14"/>
      <c r="C250" s="15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  <c r="BS250" s="16"/>
      <c r="BT250" s="16"/>
      <c r="BU250" s="16"/>
      <c r="BV250" s="16"/>
      <c r="BW250" s="16"/>
      <c r="BX250" s="16"/>
      <c r="BY250" s="16"/>
    </row>
    <row r="251" spans="2:77" ht="12.5" x14ac:dyDescent="0.25">
      <c r="B251" s="14"/>
      <c r="C251" s="15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</row>
    <row r="252" spans="2:77" ht="12.5" x14ac:dyDescent="0.25">
      <c r="B252" s="14"/>
      <c r="C252" s="15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</row>
    <row r="253" spans="2:77" ht="12.5" x14ac:dyDescent="0.25">
      <c r="B253" s="14"/>
      <c r="C253" s="15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</row>
    <row r="254" spans="2:77" ht="12.5" x14ac:dyDescent="0.25">
      <c r="B254" s="14"/>
      <c r="C254" s="15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16"/>
      <c r="BR254" s="16"/>
      <c r="BS254" s="16"/>
      <c r="BT254" s="16"/>
      <c r="BU254" s="16"/>
      <c r="BV254" s="16"/>
      <c r="BW254" s="16"/>
      <c r="BX254" s="16"/>
      <c r="BY254" s="16"/>
    </row>
    <row r="255" spans="2:77" ht="12.5" x14ac:dyDescent="0.25">
      <c r="B255" s="14"/>
      <c r="C255" s="15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  <c r="BS255" s="16"/>
      <c r="BT255" s="16"/>
      <c r="BU255" s="16"/>
      <c r="BV255" s="16"/>
      <c r="BW255" s="16"/>
      <c r="BX255" s="16"/>
      <c r="BY255" s="16"/>
    </row>
    <row r="256" spans="2:77" ht="12.5" x14ac:dyDescent="0.25">
      <c r="B256" s="14"/>
      <c r="C256" s="15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  <c r="BS256" s="16"/>
      <c r="BT256" s="16"/>
      <c r="BU256" s="16"/>
      <c r="BV256" s="16"/>
      <c r="BW256" s="16"/>
      <c r="BX256" s="16"/>
      <c r="BY256" s="16"/>
    </row>
    <row r="257" spans="2:77" ht="12.5" x14ac:dyDescent="0.25">
      <c r="B257" s="14"/>
      <c r="C257" s="15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  <c r="BS257" s="16"/>
      <c r="BT257" s="16"/>
      <c r="BU257" s="16"/>
      <c r="BV257" s="16"/>
      <c r="BW257" s="16"/>
      <c r="BX257" s="16"/>
      <c r="BY257" s="16"/>
    </row>
    <row r="258" spans="2:77" ht="12.5" x14ac:dyDescent="0.25">
      <c r="B258" s="14"/>
      <c r="C258" s="15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  <c r="BS258" s="16"/>
      <c r="BT258" s="16"/>
      <c r="BU258" s="16"/>
      <c r="BV258" s="16"/>
      <c r="BW258" s="16"/>
      <c r="BX258" s="16"/>
      <c r="BY258" s="16"/>
    </row>
    <row r="259" spans="2:77" ht="12.5" x14ac:dyDescent="0.25">
      <c r="B259" s="14"/>
      <c r="C259" s="15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  <c r="BS259" s="16"/>
      <c r="BT259" s="16"/>
      <c r="BU259" s="16"/>
      <c r="BV259" s="16"/>
      <c r="BW259" s="16"/>
      <c r="BX259" s="16"/>
      <c r="BY259" s="16"/>
    </row>
    <row r="260" spans="2:77" ht="12.5" x14ac:dyDescent="0.25">
      <c r="B260" s="14"/>
      <c r="C260" s="15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  <c r="BS260" s="16"/>
      <c r="BT260" s="16"/>
      <c r="BU260" s="16"/>
      <c r="BV260" s="16"/>
      <c r="BW260" s="16"/>
      <c r="BX260" s="16"/>
      <c r="BY260" s="16"/>
    </row>
    <row r="261" spans="2:77" ht="12.5" x14ac:dyDescent="0.25">
      <c r="B261" s="14"/>
      <c r="C261" s="15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16"/>
      <c r="BR261" s="16"/>
      <c r="BS261" s="16"/>
      <c r="BT261" s="16"/>
      <c r="BU261" s="16"/>
      <c r="BV261" s="16"/>
      <c r="BW261" s="16"/>
      <c r="BX261" s="16"/>
      <c r="BY261" s="16"/>
    </row>
    <row r="262" spans="2:77" ht="12.5" x14ac:dyDescent="0.25">
      <c r="B262" s="14"/>
      <c r="C262" s="15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16"/>
      <c r="BR262" s="16"/>
      <c r="BS262" s="16"/>
      <c r="BT262" s="16"/>
      <c r="BU262" s="16"/>
      <c r="BV262" s="16"/>
      <c r="BW262" s="16"/>
      <c r="BX262" s="16"/>
      <c r="BY262" s="16"/>
    </row>
    <row r="263" spans="2:77" ht="12.5" x14ac:dyDescent="0.25">
      <c r="B263" s="14"/>
      <c r="C263" s="15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  <c r="BS263" s="16"/>
      <c r="BT263" s="16"/>
      <c r="BU263" s="16"/>
      <c r="BV263" s="16"/>
      <c r="BW263" s="16"/>
      <c r="BX263" s="16"/>
      <c r="BY263" s="16"/>
    </row>
    <row r="264" spans="2:77" ht="12.5" x14ac:dyDescent="0.25">
      <c r="B264" s="14"/>
      <c r="C264" s="15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  <c r="BS264" s="16"/>
      <c r="BT264" s="16"/>
      <c r="BU264" s="16"/>
      <c r="BV264" s="16"/>
      <c r="BW264" s="16"/>
      <c r="BX264" s="16"/>
      <c r="BY264" s="16"/>
    </row>
    <row r="265" spans="2:77" ht="12.5" x14ac:dyDescent="0.25">
      <c r="B265" s="14"/>
      <c r="C265" s="15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  <c r="BS265" s="16"/>
      <c r="BT265" s="16"/>
      <c r="BU265" s="16"/>
      <c r="BV265" s="16"/>
      <c r="BW265" s="16"/>
      <c r="BX265" s="16"/>
      <c r="BY265" s="16"/>
    </row>
    <row r="266" spans="2:77" ht="12.5" x14ac:dyDescent="0.25">
      <c r="B266" s="14"/>
      <c r="C266" s="15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  <c r="BS266" s="16"/>
      <c r="BT266" s="16"/>
      <c r="BU266" s="16"/>
      <c r="BV266" s="16"/>
      <c r="BW266" s="16"/>
      <c r="BX266" s="16"/>
      <c r="BY266" s="16"/>
    </row>
    <row r="267" spans="2:77" ht="12.5" x14ac:dyDescent="0.25">
      <c r="B267" s="14"/>
      <c r="C267" s="15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  <c r="BS267" s="16"/>
      <c r="BT267" s="16"/>
      <c r="BU267" s="16"/>
      <c r="BV267" s="16"/>
      <c r="BW267" s="16"/>
      <c r="BX267" s="16"/>
      <c r="BY267" s="16"/>
    </row>
    <row r="268" spans="2:77" ht="12.5" x14ac:dyDescent="0.25">
      <c r="B268" s="14"/>
      <c r="C268" s="15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  <c r="BS268" s="16"/>
      <c r="BT268" s="16"/>
      <c r="BU268" s="16"/>
      <c r="BV268" s="16"/>
      <c r="BW268" s="16"/>
      <c r="BX268" s="16"/>
      <c r="BY268" s="16"/>
    </row>
    <row r="269" spans="2:77" ht="12.5" x14ac:dyDescent="0.25">
      <c r="B269" s="14"/>
      <c r="C269" s="15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  <c r="BS269" s="16"/>
      <c r="BT269" s="16"/>
      <c r="BU269" s="16"/>
      <c r="BV269" s="16"/>
      <c r="BW269" s="16"/>
      <c r="BX269" s="16"/>
      <c r="BY269" s="16"/>
    </row>
    <row r="270" spans="2:77" ht="12.5" x14ac:dyDescent="0.25">
      <c r="B270" s="14"/>
      <c r="C270" s="15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  <c r="BS270" s="16"/>
      <c r="BT270" s="16"/>
      <c r="BU270" s="16"/>
      <c r="BV270" s="16"/>
      <c r="BW270" s="16"/>
      <c r="BX270" s="16"/>
      <c r="BY270" s="16"/>
    </row>
    <row r="271" spans="2:77" ht="12.5" x14ac:dyDescent="0.25">
      <c r="B271" s="14"/>
      <c r="C271" s="15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  <c r="BS271" s="16"/>
      <c r="BT271" s="16"/>
      <c r="BU271" s="16"/>
      <c r="BV271" s="16"/>
      <c r="BW271" s="16"/>
      <c r="BX271" s="16"/>
      <c r="BY271" s="16"/>
    </row>
    <row r="272" spans="2:77" ht="12.5" x14ac:dyDescent="0.25">
      <c r="B272" s="14"/>
      <c r="C272" s="15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  <c r="BS272" s="16"/>
      <c r="BT272" s="16"/>
      <c r="BU272" s="16"/>
      <c r="BV272" s="16"/>
      <c r="BW272" s="16"/>
      <c r="BX272" s="16"/>
      <c r="BY272" s="16"/>
    </row>
    <row r="273" spans="2:77" ht="12.5" x14ac:dyDescent="0.25">
      <c r="B273" s="14"/>
      <c r="C273" s="15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  <c r="BS273" s="16"/>
      <c r="BT273" s="16"/>
      <c r="BU273" s="16"/>
      <c r="BV273" s="16"/>
      <c r="BW273" s="16"/>
      <c r="BX273" s="16"/>
      <c r="BY273" s="16"/>
    </row>
    <row r="274" spans="2:77" ht="12.5" x14ac:dyDescent="0.25">
      <c r="B274" s="14"/>
      <c r="C274" s="15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  <c r="BS274" s="16"/>
      <c r="BT274" s="16"/>
      <c r="BU274" s="16"/>
      <c r="BV274" s="16"/>
      <c r="BW274" s="16"/>
      <c r="BX274" s="16"/>
      <c r="BY274" s="16"/>
    </row>
    <row r="275" spans="2:77" ht="12.5" x14ac:dyDescent="0.25">
      <c r="B275" s="14"/>
      <c r="C275" s="15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  <c r="BS275" s="16"/>
      <c r="BT275" s="16"/>
      <c r="BU275" s="16"/>
      <c r="BV275" s="16"/>
      <c r="BW275" s="16"/>
      <c r="BX275" s="16"/>
      <c r="BY275" s="16"/>
    </row>
    <row r="276" spans="2:77" ht="12.5" x14ac:dyDescent="0.25">
      <c r="B276" s="14"/>
      <c r="C276" s="15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  <c r="BS276" s="16"/>
      <c r="BT276" s="16"/>
      <c r="BU276" s="16"/>
      <c r="BV276" s="16"/>
      <c r="BW276" s="16"/>
      <c r="BX276" s="16"/>
      <c r="BY276" s="16"/>
    </row>
    <row r="277" spans="2:77" ht="12.5" x14ac:dyDescent="0.25">
      <c r="B277" s="14"/>
      <c r="C277" s="15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  <c r="BS277" s="16"/>
      <c r="BT277" s="16"/>
      <c r="BU277" s="16"/>
      <c r="BV277" s="16"/>
      <c r="BW277" s="16"/>
      <c r="BX277" s="16"/>
      <c r="BY277" s="16"/>
    </row>
    <row r="278" spans="2:77" ht="12.5" x14ac:dyDescent="0.25">
      <c r="B278" s="14"/>
      <c r="C278" s="15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  <c r="BS278" s="16"/>
      <c r="BT278" s="16"/>
      <c r="BU278" s="16"/>
      <c r="BV278" s="16"/>
      <c r="BW278" s="16"/>
      <c r="BX278" s="16"/>
      <c r="BY278" s="16"/>
    </row>
    <row r="279" spans="2:77" ht="12.5" x14ac:dyDescent="0.25">
      <c r="B279" s="14"/>
      <c r="C279" s="15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  <c r="BS279" s="16"/>
      <c r="BT279" s="16"/>
      <c r="BU279" s="16"/>
      <c r="BV279" s="16"/>
      <c r="BW279" s="16"/>
      <c r="BX279" s="16"/>
      <c r="BY279" s="16"/>
    </row>
    <row r="280" spans="2:77" ht="12.5" x14ac:dyDescent="0.25">
      <c r="B280" s="14"/>
      <c r="C280" s="15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  <c r="BS280" s="16"/>
      <c r="BT280" s="16"/>
      <c r="BU280" s="16"/>
      <c r="BV280" s="16"/>
      <c r="BW280" s="16"/>
      <c r="BX280" s="16"/>
      <c r="BY280" s="16"/>
    </row>
    <row r="281" spans="2:77" ht="12.5" x14ac:dyDescent="0.25">
      <c r="B281" s="14"/>
      <c r="C281" s="15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  <c r="BS281" s="16"/>
      <c r="BT281" s="16"/>
      <c r="BU281" s="16"/>
      <c r="BV281" s="16"/>
      <c r="BW281" s="16"/>
      <c r="BX281" s="16"/>
      <c r="BY281" s="16"/>
    </row>
    <row r="282" spans="2:77" ht="12.5" x14ac:dyDescent="0.25">
      <c r="B282" s="14"/>
      <c r="C282" s="15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  <c r="BS282" s="16"/>
      <c r="BT282" s="16"/>
      <c r="BU282" s="16"/>
      <c r="BV282" s="16"/>
      <c r="BW282" s="16"/>
      <c r="BX282" s="16"/>
      <c r="BY282" s="16"/>
    </row>
    <row r="283" spans="2:77" ht="12.5" x14ac:dyDescent="0.25">
      <c r="B283" s="14"/>
      <c r="C283" s="15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  <c r="BS283" s="16"/>
      <c r="BT283" s="16"/>
      <c r="BU283" s="16"/>
      <c r="BV283" s="16"/>
      <c r="BW283" s="16"/>
      <c r="BX283" s="16"/>
      <c r="BY283" s="16"/>
    </row>
    <row r="284" spans="2:77" ht="12.5" x14ac:dyDescent="0.25">
      <c r="B284" s="14"/>
      <c r="C284" s="15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  <c r="BS284" s="16"/>
      <c r="BT284" s="16"/>
      <c r="BU284" s="16"/>
      <c r="BV284" s="16"/>
      <c r="BW284" s="16"/>
      <c r="BX284" s="16"/>
      <c r="BY284" s="16"/>
    </row>
    <row r="285" spans="2:77" ht="12.5" x14ac:dyDescent="0.25">
      <c r="B285" s="14"/>
      <c r="C285" s="15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  <c r="BS285" s="16"/>
      <c r="BT285" s="16"/>
      <c r="BU285" s="16"/>
      <c r="BV285" s="16"/>
      <c r="BW285" s="16"/>
      <c r="BX285" s="16"/>
      <c r="BY285" s="16"/>
    </row>
    <row r="286" spans="2:77" ht="12.5" x14ac:dyDescent="0.25">
      <c r="B286" s="14"/>
      <c r="C286" s="15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  <c r="BS286" s="16"/>
      <c r="BT286" s="16"/>
      <c r="BU286" s="16"/>
      <c r="BV286" s="16"/>
      <c r="BW286" s="16"/>
      <c r="BX286" s="16"/>
      <c r="BY286" s="16"/>
    </row>
    <row r="287" spans="2:77" ht="12.5" x14ac:dyDescent="0.25">
      <c r="B287" s="14"/>
      <c r="C287" s="15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  <c r="BS287" s="16"/>
      <c r="BT287" s="16"/>
      <c r="BU287" s="16"/>
      <c r="BV287" s="16"/>
      <c r="BW287" s="16"/>
      <c r="BX287" s="16"/>
      <c r="BY287" s="16"/>
    </row>
    <row r="288" spans="2:77" ht="12.5" x14ac:dyDescent="0.25">
      <c r="B288" s="14"/>
      <c r="C288" s="15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  <c r="BS288" s="16"/>
      <c r="BT288" s="16"/>
      <c r="BU288" s="16"/>
      <c r="BV288" s="16"/>
      <c r="BW288" s="16"/>
      <c r="BX288" s="16"/>
      <c r="BY288" s="16"/>
    </row>
    <row r="289" spans="2:77" ht="12.5" x14ac:dyDescent="0.25">
      <c r="B289" s="14"/>
      <c r="C289" s="15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  <c r="BS289" s="16"/>
      <c r="BT289" s="16"/>
      <c r="BU289" s="16"/>
      <c r="BV289" s="16"/>
      <c r="BW289" s="16"/>
      <c r="BX289" s="16"/>
      <c r="BY289" s="16"/>
    </row>
    <row r="290" spans="2:77" ht="12.5" x14ac:dyDescent="0.25">
      <c r="B290" s="14"/>
      <c r="C290" s="15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  <c r="BS290" s="16"/>
      <c r="BT290" s="16"/>
      <c r="BU290" s="16"/>
      <c r="BV290" s="16"/>
      <c r="BW290" s="16"/>
      <c r="BX290" s="16"/>
      <c r="BY290" s="16"/>
    </row>
    <row r="291" spans="2:77" ht="12.5" x14ac:dyDescent="0.25">
      <c r="B291" s="14"/>
      <c r="C291" s="15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  <c r="BS291" s="16"/>
      <c r="BT291" s="16"/>
      <c r="BU291" s="16"/>
      <c r="BV291" s="16"/>
      <c r="BW291" s="16"/>
      <c r="BX291" s="16"/>
      <c r="BY291" s="16"/>
    </row>
    <row r="292" spans="2:77" ht="12.5" x14ac:dyDescent="0.25">
      <c r="B292" s="14"/>
      <c r="C292" s="15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  <c r="BS292" s="16"/>
      <c r="BT292" s="16"/>
      <c r="BU292" s="16"/>
      <c r="BV292" s="16"/>
      <c r="BW292" s="16"/>
      <c r="BX292" s="16"/>
      <c r="BY292" s="16"/>
    </row>
    <row r="293" spans="2:77" ht="12.5" x14ac:dyDescent="0.25">
      <c r="B293" s="14"/>
      <c r="C293" s="15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  <c r="BS293" s="16"/>
      <c r="BT293" s="16"/>
      <c r="BU293" s="16"/>
      <c r="BV293" s="16"/>
      <c r="BW293" s="16"/>
      <c r="BX293" s="16"/>
      <c r="BY293" s="16"/>
    </row>
    <row r="294" spans="2:77" ht="12.5" x14ac:dyDescent="0.25">
      <c r="B294" s="14"/>
      <c r="C294" s="15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  <c r="BS294" s="16"/>
      <c r="BT294" s="16"/>
      <c r="BU294" s="16"/>
      <c r="BV294" s="16"/>
      <c r="BW294" s="16"/>
      <c r="BX294" s="16"/>
      <c r="BY294" s="16"/>
    </row>
    <row r="295" spans="2:77" ht="12.5" x14ac:dyDescent="0.25">
      <c r="B295" s="14"/>
      <c r="C295" s="15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  <c r="BS295" s="16"/>
      <c r="BT295" s="16"/>
      <c r="BU295" s="16"/>
      <c r="BV295" s="16"/>
      <c r="BW295" s="16"/>
      <c r="BX295" s="16"/>
      <c r="BY295" s="16"/>
    </row>
    <row r="296" spans="2:77" ht="12.5" x14ac:dyDescent="0.25">
      <c r="B296" s="14"/>
      <c r="C296" s="15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  <c r="BS296" s="16"/>
      <c r="BT296" s="16"/>
      <c r="BU296" s="16"/>
      <c r="BV296" s="16"/>
      <c r="BW296" s="16"/>
      <c r="BX296" s="16"/>
      <c r="BY296" s="16"/>
    </row>
    <row r="297" spans="2:77" ht="12.5" x14ac:dyDescent="0.25">
      <c r="B297" s="14"/>
      <c r="C297" s="15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  <c r="BS297" s="16"/>
      <c r="BT297" s="16"/>
      <c r="BU297" s="16"/>
      <c r="BV297" s="16"/>
      <c r="BW297" s="16"/>
      <c r="BX297" s="16"/>
      <c r="BY297" s="16"/>
    </row>
    <row r="298" spans="2:77" ht="12.5" x14ac:dyDescent="0.25">
      <c r="B298" s="14"/>
      <c r="C298" s="15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  <c r="BS298" s="16"/>
      <c r="BT298" s="16"/>
      <c r="BU298" s="16"/>
      <c r="BV298" s="16"/>
      <c r="BW298" s="16"/>
      <c r="BX298" s="16"/>
      <c r="BY298" s="16"/>
    </row>
    <row r="299" spans="2:77" ht="12.5" x14ac:dyDescent="0.25">
      <c r="B299" s="14"/>
      <c r="C299" s="15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  <c r="BS299" s="16"/>
      <c r="BT299" s="16"/>
      <c r="BU299" s="16"/>
      <c r="BV299" s="16"/>
      <c r="BW299" s="16"/>
      <c r="BX299" s="16"/>
      <c r="BY299" s="16"/>
    </row>
    <row r="300" spans="2:77" ht="12.5" x14ac:dyDescent="0.25">
      <c r="B300" s="14"/>
      <c r="C300" s="15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  <c r="BS300" s="16"/>
      <c r="BT300" s="16"/>
      <c r="BU300" s="16"/>
      <c r="BV300" s="16"/>
      <c r="BW300" s="16"/>
      <c r="BX300" s="16"/>
      <c r="BY300" s="16"/>
    </row>
    <row r="301" spans="2:77" ht="12.5" x14ac:dyDescent="0.25">
      <c r="B301" s="14"/>
      <c r="C301" s="15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  <c r="BS301" s="16"/>
      <c r="BT301" s="16"/>
      <c r="BU301" s="16"/>
      <c r="BV301" s="16"/>
      <c r="BW301" s="16"/>
      <c r="BX301" s="16"/>
      <c r="BY301" s="16"/>
    </row>
    <row r="302" spans="2:77" ht="12.5" x14ac:dyDescent="0.25">
      <c r="B302" s="14"/>
      <c r="C302" s="15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  <c r="BS302" s="16"/>
      <c r="BT302" s="16"/>
      <c r="BU302" s="16"/>
      <c r="BV302" s="16"/>
      <c r="BW302" s="16"/>
      <c r="BX302" s="16"/>
      <c r="BY302" s="16"/>
    </row>
    <row r="303" spans="2:77" ht="12.5" x14ac:dyDescent="0.25">
      <c r="B303" s="14"/>
      <c r="C303" s="15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  <c r="BS303" s="16"/>
      <c r="BT303" s="16"/>
      <c r="BU303" s="16"/>
      <c r="BV303" s="16"/>
      <c r="BW303" s="16"/>
      <c r="BX303" s="16"/>
      <c r="BY303" s="16"/>
    </row>
    <row r="304" spans="2:77" ht="12.5" x14ac:dyDescent="0.25">
      <c r="B304" s="14"/>
      <c r="C304" s="15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  <c r="BS304" s="16"/>
      <c r="BT304" s="16"/>
      <c r="BU304" s="16"/>
      <c r="BV304" s="16"/>
      <c r="BW304" s="16"/>
      <c r="BX304" s="16"/>
      <c r="BY304" s="16"/>
    </row>
    <row r="305" spans="2:77" ht="12.5" x14ac:dyDescent="0.25">
      <c r="B305" s="14"/>
      <c r="C305" s="15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  <c r="BS305" s="16"/>
      <c r="BT305" s="16"/>
      <c r="BU305" s="16"/>
      <c r="BV305" s="16"/>
      <c r="BW305" s="16"/>
      <c r="BX305" s="16"/>
      <c r="BY305" s="16"/>
    </row>
    <row r="306" spans="2:77" ht="12.5" x14ac:dyDescent="0.25">
      <c r="B306" s="14"/>
      <c r="C306" s="15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  <c r="BS306" s="16"/>
      <c r="BT306" s="16"/>
      <c r="BU306" s="16"/>
      <c r="BV306" s="16"/>
      <c r="BW306" s="16"/>
      <c r="BX306" s="16"/>
      <c r="BY306" s="16"/>
    </row>
    <row r="307" spans="2:77" ht="12.5" x14ac:dyDescent="0.25">
      <c r="B307" s="14"/>
      <c r="C307" s="15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  <c r="BS307" s="16"/>
      <c r="BT307" s="16"/>
      <c r="BU307" s="16"/>
      <c r="BV307" s="16"/>
      <c r="BW307" s="16"/>
      <c r="BX307" s="16"/>
      <c r="BY307" s="16"/>
    </row>
    <row r="308" spans="2:77" ht="12.5" x14ac:dyDescent="0.25">
      <c r="B308" s="14"/>
      <c r="C308" s="15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  <c r="BS308" s="16"/>
      <c r="BT308" s="16"/>
      <c r="BU308" s="16"/>
      <c r="BV308" s="16"/>
      <c r="BW308" s="16"/>
      <c r="BX308" s="16"/>
      <c r="BY308" s="16"/>
    </row>
    <row r="309" spans="2:77" ht="12.5" x14ac:dyDescent="0.25">
      <c r="B309" s="14"/>
      <c r="C309" s="15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  <c r="BS309" s="16"/>
      <c r="BT309" s="16"/>
      <c r="BU309" s="16"/>
      <c r="BV309" s="16"/>
      <c r="BW309" s="16"/>
      <c r="BX309" s="16"/>
      <c r="BY309" s="16"/>
    </row>
    <row r="310" spans="2:77" ht="12.5" x14ac:dyDescent="0.25">
      <c r="B310" s="14"/>
      <c r="C310" s="15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  <c r="BS310" s="16"/>
      <c r="BT310" s="16"/>
      <c r="BU310" s="16"/>
      <c r="BV310" s="16"/>
      <c r="BW310" s="16"/>
      <c r="BX310" s="16"/>
      <c r="BY310" s="16"/>
    </row>
    <row r="311" spans="2:77" ht="12.5" x14ac:dyDescent="0.25">
      <c r="B311" s="14"/>
      <c r="C311" s="15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  <c r="BS311" s="16"/>
      <c r="BT311" s="16"/>
      <c r="BU311" s="16"/>
      <c r="BV311" s="16"/>
      <c r="BW311" s="16"/>
      <c r="BX311" s="16"/>
      <c r="BY311" s="16"/>
    </row>
    <row r="312" spans="2:77" ht="12.5" x14ac:dyDescent="0.25">
      <c r="B312" s="14"/>
      <c r="C312" s="15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  <c r="BS312" s="16"/>
      <c r="BT312" s="16"/>
      <c r="BU312" s="16"/>
      <c r="BV312" s="16"/>
      <c r="BW312" s="16"/>
      <c r="BX312" s="16"/>
      <c r="BY312" s="16"/>
    </row>
    <row r="313" spans="2:77" ht="12.5" x14ac:dyDescent="0.25">
      <c r="B313" s="14"/>
      <c r="C313" s="15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  <c r="BS313" s="16"/>
      <c r="BT313" s="16"/>
      <c r="BU313" s="16"/>
      <c r="BV313" s="16"/>
      <c r="BW313" s="16"/>
      <c r="BX313" s="16"/>
      <c r="BY313" s="16"/>
    </row>
    <row r="314" spans="2:77" ht="12.5" x14ac:dyDescent="0.25">
      <c r="B314" s="14"/>
      <c r="C314" s="15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  <c r="BS314" s="16"/>
      <c r="BT314" s="16"/>
      <c r="BU314" s="16"/>
      <c r="BV314" s="16"/>
      <c r="BW314" s="16"/>
      <c r="BX314" s="16"/>
      <c r="BY314" s="16"/>
    </row>
    <row r="315" spans="2:77" ht="12.5" x14ac:dyDescent="0.25">
      <c r="B315" s="14"/>
      <c r="C315" s="15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  <c r="BS315" s="16"/>
      <c r="BT315" s="16"/>
      <c r="BU315" s="16"/>
      <c r="BV315" s="16"/>
      <c r="BW315" s="16"/>
      <c r="BX315" s="16"/>
      <c r="BY315" s="16"/>
    </row>
    <row r="316" spans="2:77" ht="12.5" x14ac:dyDescent="0.25">
      <c r="B316" s="14"/>
      <c r="C316" s="15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  <c r="BS316" s="16"/>
      <c r="BT316" s="16"/>
      <c r="BU316" s="16"/>
      <c r="BV316" s="16"/>
      <c r="BW316" s="16"/>
      <c r="BX316" s="16"/>
      <c r="BY316" s="16"/>
    </row>
    <row r="317" spans="2:77" ht="12.5" x14ac:dyDescent="0.25">
      <c r="B317" s="14"/>
      <c r="C317" s="15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  <c r="BS317" s="16"/>
      <c r="BT317" s="16"/>
      <c r="BU317" s="16"/>
      <c r="BV317" s="16"/>
      <c r="BW317" s="16"/>
      <c r="BX317" s="16"/>
      <c r="BY317" s="16"/>
    </row>
    <row r="318" spans="2:77" ht="12.5" x14ac:dyDescent="0.25">
      <c r="B318" s="14"/>
      <c r="C318" s="15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  <c r="BS318" s="16"/>
      <c r="BT318" s="16"/>
      <c r="BU318" s="16"/>
      <c r="BV318" s="16"/>
      <c r="BW318" s="16"/>
      <c r="BX318" s="16"/>
      <c r="BY318" s="16"/>
    </row>
    <row r="319" spans="2:77" ht="12.5" x14ac:dyDescent="0.25">
      <c r="B319" s="14"/>
      <c r="C319" s="15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  <c r="BS319" s="16"/>
      <c r="BT319" s="16"/>
      <c r="BU319" s="16"/>
      <c r="BV319" s="16"/>
      <c r="BW319" s="16"/>
      <c r="BX319" s="16"/>
      <c r="BY319" s="16"/>
    </row>
    <row r="320" spans="2:77" ht="12.5" x14ac:dyDescent="0.25">
      <c r="B320" s="14"/>
      <c r="C320" s="15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  <c r="BS320" s="16"/>
      <c r="BT320" s="16"/>
      <c r="BU320" s="16"/>
      <c r="BV320" s="16"/>
      <c r="BW320" s="16"/>
      <c r="BX320" s="16"/>
      <c r="BY320" s="16"/>
    </row>
    <row r="321" spans="2:77" ht="12.5" x14ac:dyDescent="0.25">
      <c r="B321" s="14"/>
      <c r="C321" s="15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  <c r="BS321" s="16"/>
      <c r="BT321" s="16"/>
      <c r="BU321" s="16"/>
      <c r="BV321" s="16"/>
      <c r="BW321" s="16"/>
      <c r="BX321" s="16"/>
      <c r="BY321" s="16"/>
    </row>
    <row r="322" spans="2:77" ht="12.5" x14ac:dyDescent="0.25">
      <c r="B322" s="14"/>
      <c r="C322" s="15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  <c r="BS322" s="16"/>
      <c r="BT322" s="16"/>
      <c r="BU322" s="16"/>
      <c r="BV322" s="16"/>
      <c r="BW322" s="16"/>
      <c r="BX322" s="16"/>
      <c r="BY322" s="16"/>
    </row>
    <row r="323" spans="2:77" ht="12.5" x14ac:dyDescent="0.25">
      <c r="B323" s="14"/>
      <c r="C323" s="15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  <c r="BS323" s="16"/>
      <c r="BT323" s="16"/>
      <c r="BU323" s="16"/>
      <c r="BV323" s="16"/>
      <c r="BW323" s="16"/>
      <c r="BX323" s="16"/>
      <c r="BY323" s="16"/>
    </row>
    <row r="324" spans="2:77" ht="12.5" x14ac:dyDescent="0.25">
      <c r="B324" s="14"/>
      <c r="C324" s="15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  <c r="BS324" s="16"/>
      <c r="BT324" s="16"/>
      <c r="BU324" s="16"/>
      <c r="BV324" s="16"/>
      <c r="BW324" s="16"/>
      <c r="BX324" s="16"/>
      <c r="BY324" s="16"/>
    </row>
    <row r="325" spans="2:77" ht="12.5" x14ac:dyDescent="0.25">
      <c r="B325" s="14"/>
      <c r="C325" s="15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  <c r="BS325" s="16"/>
      <c r="BT325" s="16"/>
      <c r="BU325" s="16"/>
      <c r="BV325" s="16"/>
      <c r="BW325" s="16"/>
      <c r="BX325" s="16"/>
      <c r="BY325" s="16"/>
    </row>
    <row r="326" spans="2:77" ht="12.5" x14ac:dyDescent="0.25">
      <c r="B326" s="14"/>
      <c r="C326" s="15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  <c r="BS326" s="16"/>
      <c r="BT326" s="16"/>
      <c r="BU326" s="16"/>
      <c r="BV326" s="16"/>
      <c r="BW326" s="16"/>
      <c r="BX326" s="16"/>
      <c r="BY326" s="16"/>
    </row>
    <row r="327" spans="2:77" ht="12.5" x14ac:dyDescent="0.25">
      <c r="B327" s="14"/>
      <c r="C327" s="15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  <c r="BS327" s="16"/>
      <c r="BT327" s="16"/>
      <c r="BU327" s="16"/>
      <c r="BV327" s="16"/>
      <c r="BW327" s="16"/>
      <c r="BX327" s="16"/>
      <c r="BY327" s="16"/>
    </row>
    <row r="328" spans="2:77" ht="12.5" x14ac:dyDescent="0.25">
      <c r="B328" s="14"/>
      <c r="C328" s="15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  <c r="BS328" s="16"/>
      <c r="BT328" s="16"/>
      <c r="BU328" s="16"/>
      <c r="BV328" s="16"/>
      <c r="BW328" s="16"/>
      <c r="BX328" s="16"/>
      <c r="BY328" s="16"/>
    </row>
    <row r="329" spans="2:77" ht="12.5" x14ac:dyDescent="0.25">
      <c r="B329" s="14"/>
      <c r="C329" s="15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  <c r="BS329" s="16"/>
      <c r="BT329" s="16"/>
      <c r="BU329" s="16"/>
      <c r="BV329" s="16"/>
      <c r="BW329" s="16"/>
      <c r="BX329" s="16"/>
      <c r="BY329" s="16"/>
    </row>
    <row r="330" spans="2:77" ht="12.5" x14ac:dyDescent="0.25">
      <c r="B330" s="14"/>
      <c r="C330" s="15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  <c r="BS330" s="16"/>
      <c r="BT330" s="16"/>
      <c r="BU330" s="16"/>
      <c r="BV330" s="16"/>
      <c r="BW330" s="16"/>
      <c r="BX330" s="16"/>
      <c r="BY330" s="16"/>
    </row>
    <row r="331" spans="2:77" ht="12.5" x14ac:dyDescent="0.25">
      <c r="B331" s="14"/>
      <c r="C331" s="15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  <c r="BS331" s="16"/>
      <c r="BT331" s="16"/>
      <c r="BU331" s="16"/>
      <c r="BV331" s="16"/>
      <c r="BW331" s="16"/>
      <c r="BX331" s="16"/>
      <c r="BY331" s="16"/>
    </row>
    <row r="332" spans="2:77" ht="12.5" x14ac:dyDescent="0.25">
      <c r="B332" s="14"/>
      <c r="C332" s="15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  <c r="BS332" s="16"/>
      <c r="BT332" s="16"/>
      <c r="BU332" s="16"/>
      <c r="BV332" s="16"/>
      <c r="BW332" s="16"/>
      <c r="BX332" s="16"/>
      <c r="BY332" s="16"/>
    </row>
    <row r="333" spans="2:77" ht="12.5" x14ac:dyDescent="0.25">
      <c r="B333" s="14"/>
      <c r="C333" s="15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  <c r="BS333" s="16"/>
      <c r="BT333" s="16"/>
      <c r="BU333" s="16"/>
      <c r="BV333" s="16"/>
      <c r="BW333" s="16"/>
      <c r="BX333" s="16"/>
      <c r="BY333" s="16"/>
    </row>
    <row r="334" spans="2:77" ht="12.5" x14ac:dyDescent="0.25">
      <c r="B334" s="14"/>
      <c r="C334" s="15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  <c r="BS334" s="16"/>
      <c r="BT334" s="16"/>
      <c r="BU334" s="16"/>
      <c r="BV334" s="16"/>
      <c r="BW334" s="16"/>
      <c r="BX334" s="16"/>
      <c r="BY334" s="16"/>
    </row>
    <row r="335" spans="2:77" ht="12.5" x14ac:dyDescent="0.25">
      <c r="B335" s="14"/>
      <c r="C335" s="15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  <c r="BS335" s="16"/>
      <c r="BT335" s="16"/>
      <c r="BU335" s="16"/>
      <c r="BV335" s="16"/>
      <c r="BW335" s="16"/>
      <c r="BX335" s="16"/>
      <c r="BY335" s="16"/>
    </row>
    <row r="336" spans="2:77" ht="12.5" x14ac:dyDescent="0.25">
      <c r="B336" s="14"/>
      <c r="C336" s="15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  <c r="BS336" s="16"/>
      <c r="BT336" s="16"/>
      <c r="BU336" s="16"/>
      <c r="BV336" s="16"/>
      <c r="BW336" s="16"/>
      <c r="BX336" s="16"/>
      <c r="BY336" s="16"/>
    </row>
    <row r="337" spans="2:77" ht="12.5" x14ac:dyDescent="0.25">
      <c r="B337" s="14"/>
      <c r="C337" s="15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  <c r="BS337" s="16"/>
      <c r="BT337" s="16"/>
      <c r="BU337" s="16"/>
      <c r="BV337" s="16"/>
      <c r="BW337" s="16"/>
      <c r="BX337" s="16"/>
      <c r="BY337" s="16"/>
    </row>
    <row r="338" spans="2:77" ht="12.5" x14ac:dyDescent="0.25">
      <c r="B338" s="14"/>
      <c r="C338" s="15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  <c r="BS338" s="16"/>
      <c r="BT338" s="16"/>
      <c r="BU338" s="16"/>
      <c r="BV338" s="16"/>
      <c r="BW338" s="16"/>
      <c r="BX338" s="16"/>
      <c r="BY338" s="16"/>
    </row>
    <row r="339" spans="2:77" ht="12.5" x14ac:dyDescent="0.25">
      <c r="B339" s="14"/>
      <c r="C339" s="15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  <c r="BS339" s="16"/>
      <c r="BT339" s="16"/>
      <c r="BU339" s="16"/>
      <c r="BV339" s="16"/>
      <c r="BW339" s="16"/>
      <c r="BX339" s="16"/>
      <c r="BY339" s="16"/>
    </row>
    <row r="340" spans="2:77" ht="12.5" x14ac:dyDescent="0.25">
      <c r="B340" s="14"/>
      <c r="C340" s="15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  <c r="BS340" s="16"/>
      <c r="BT340" s="16"/>
      <c r="BU340" s="16"/>
      <c r="BV340" s="16"/>
      <c r="BW340" s="16"/>
      <c r="BX340" s="16"/>
      <c r="BY340" s="16"/>
    </row>
    <row r="341" spans="2:77" ht="12.5" x14ac:dyDescent="0.25">
      <c r="B341" s="14"/>
      <c r="C341" s="15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  <c r="BS341" s="16"/>
      <c r="BT341" s="16"/>
      <c r="BU341" s="16"/>
      <c r="BV341" s="16"/>
      <c r="BW341" s="16"/>
      <c r="BX341" s="16"/>
      <c r="BY341" s="16"/>
    </row>
    <row r="342" spans="2:77" ht="12.5" x14ac:dyDescent="0.25">
      <c r="B342" s="14"/>
      <c r="C342" s="15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  <c r="BS342" s="16"/>
      <c r="BT342" s="16"/>
      <c r="BU342" s="16"/>
      <c r="BV342" s="16"/>
      <c r="BW342" s="16"/>
      <c r="BX342" s="16"/>
      <c r="BY342" s="16"/>
    </row>
    <row r="343" spans="2:77" ht="12.5" x14ac:dyDescent="0.25">
      <c r="B343" s="14"/>
      <c r="C343" s="15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  <c r="BS343" s="16"/>
      <c r="BT343" s="16"/>
      <c r="BU343" s="16"/>
      <c r="BV343" s="16"/>
      <c r="BW343" s="16"/>
      <c r="BX343" s="16"/>
      <c r="BY343" s="16"/>
    </row>
    <row r="344" spans="2:77" ht="12.5" x14ac:dyDescent="0.25">
      <c r="B344" s="14"/>
      <c r="C344" s="15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  <c r="BS344" s="16"/>
      <c r="BT344" s="16"/>
      <c r="BU344" s="16"/>
      <c r="BV344" s="16"/>
      <c r="BW344" s="16"/>
      <c r="BX344" s="16"/>
      <c r="BY344" s="16"/>
    </row>
    <row r="345" spans="2:77" ht="12.5" x14ac:dyDescent="0.25">
      <c r="B345" s="14"/>
      <c r="C345" s="15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  <c r="BS345" s="16"/>
      <c r="BT345" s="16"/>
      <c r="BU345" s="16"/>
      <c r="BV345" s="16"/>
      <c r="BW345" s="16"/>
      <c r="BX345" s="16"/>
      <c r="BY345" s="16"/>
    </row>
    <row r="346" spans="2:77" ht="12.5" x14ac:dyDescent="0.25">
      <c r="B346" s="14"/>
      <c r="C346" s="15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  <c r="BS346" s="16"/>
      <c r="BT346" s="16"/>
      <c r="BU346" s="16"/>
      <c r="BV346" s="16"/>
      <c r="BW346" s="16"/>
      <c r="BX346" s="16"/>
      <c r="BY346" s="16"/>
    </row>
    <row r="347" spans="2:77" ht="12.5" x14ac:dyDescent="0.25">
      <c r="B347" s="14"/>
      <c r="C347" s="15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  <c r="BS347" s="16"/>
      <c r="BT347" s="16"/>
      <c r="BU347" s="16"/>
      <c r="BV347" s="16"/>
      <c r="BW347" s="16"/>
      <c r="BX347" s="16"/>
      <c r="BY347" s="16"/>
    </row>
    <row r="348" spans="2:77" ht="12.5" x14ac:dyDescent="0.25">
      <c r="B348" s="14"/>
      <c r="C348" s="15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  <c r="BS348" s="16"/>
      <c r="BT348" s="16"/>
      <c r="BU348" s="16"/>
      <c r="BV348" s="16"/>
      <c r="BW348" s="16"/>
      <c r="BX348" s="16"/>
      <c r="BY348" s="16"/>
    </row>
    <row r="349" spans="2:77" ht="12.5" x14ac:dyDescent="0.25">
      <c r="B349" s="14"/>
      <c r="C349" s="15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  <c r="BS349" s="16"/>
      <c r="BT349" s="16"/>
      <c r="BU349" s="16"/>
      <c r="BV349" s="16"/>
      <c r="BW349" s="16"/>
      <c r="BX349" s="16"/>
      <c r="BY349" s="16"/>
    </row>
    <row r="350" spans="2:77" ht="12.5" x14ac:dyDescent="0.25">
      <c r="B350" s="14"/>
      <c r="C350" s="15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  <c r="BS350" s="16"/>
      <c r="BT350" s="16"/>
      <c r="BU350" s="16"/>
      <c r="BV350" s="16"/>
      <c r="BW350" s="16"/>
      <c r="BX350" s="16"/>
      <c r="BY350" s="16"/>
    </row>
    <row r="351" spans="2:77" ht="12.5" x14ac:dyDescent="0.25">
      <c r="B351" s="14"/>
      <c r="C351" s="15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  <c r="BS351" s="16"/>
      <c r="BT351" s="16"/>
      <c r="BU351" s="16"/>
      <c r="BV351" s="16"/>
      <c r="BW351" s="16"/>
      <c r="BX351" s="16"/>
      <c r="BY351" s="16"/>
    </row>
    <row r="352" spans="2:77" ht="12.5" x14ac:dyDescent="0.25">
      <c r="B352" s="14"/>
      <c r="C352" s="15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  <c r="BS352" s="16"/>
      <c r="BT352" s="16"/>
      <c r="BU352" s="16"/>
      <c r="BV352" s="16"/>
      <c r="BW352" s="16"/>
      <c r="BX352" s="16"/>
      <c r="BY352" s="16"/>
    </row>
    <row r="353" spans="2:77" ht="12.5" x14ac:dyDescent="0.25">
      <c r="B353" s="14"/>
      <c r="C353" s="15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  <c r="BS353" s="16"/>
      <c r="BT353" s="16"/>
      <c r="BU353" s="16"/>
      <c r="BV353" s="16"/>
      <c r="BW353" s="16"/>
      <c r="BX353" s="16"/>
      <c r="BY353" s="16"/>
    </row>
    <row r="354" spans="2:77" ht="12.5" x14ac:dyDescent="0.25">
      <c r="B354" s="14"/>
      <c r="C354" s="15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  <c r="BS354" s="16"/>
      <c r="BT354" s="16"/>
      <c r="BU354" s="16"/>
      <c r="BV354" s="16"/>
      <c r="BW354" s="16"/>
      <c r="BX354" s="16"/>
      <c r="BY354" s="16"/>
    </row>
    <row r="355" spans="2:77" ht="12.5" x14ac:dyDescent="0.25">
      <c r="B355" s="14"/>
      <c r="C355" s="15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  <c r="BS355" s="16"/>
      <c r="BT355" s="16"/>
      <c r="BU355" s="16"/>
      <c r="BV355" s="16"/>
      <c r="BW355" s="16"/>
      <c r="BX355" s="16"/>
      <c r="BY355" s="16"/>
    </row>
    <row r="356" spans="2:77" ht="12.5" x14ac:dyDescent="0.25">
      <c r="B356" s="14"/>
      <c r="C356" s="15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  <c r="BS356" s="16"/>
      <c r="BT356" s="16"/>
      <c r="BU356" s="16"/>
      <c r="BV356" s="16"/>
      <c r="BW356" s="16"/>
      <c r="BX356" s="16"/>
      <c r="BY356" s="16"/>
    </row>
    <row r="357" spans="2:77" ht="12.5" x14ac:dyDescent="0.25">
      <c r="B357" s="14"/>
      <c r="C357" s="15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  <c r="BS357" s="16"/>
      <c r="BT357" s="16"/>
      <c r="BU357" s="16"/>
      <c r="BV357" s="16"/>
      <c r="BW357" s="16"/>
      <c r="BX357" s="16"/>
      <c r="BY357" s="16"/>
    </row>
    <row r="358" spans="2:77" ht="12.5" x14ac:dyDescent="0.25">
      <c r="B358" s="14"/>
      <c r="C358" s="15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  <c r="BS358" s="16"/>
      <c r="BT358" s="16"/>
      <c r="BU358" s="16"/>
      <c r="BV358" s="16"/>
      <c r="BW358" s="16"/>
      <c r="BX358" s="16"/>
      <c r="BY358" s="16"/>
    </row>
    <row r="359" spans="2:77" ht="12.5" x14ac:dyDescent="0.25">
      <c r="B359" s="14"/>
      <c r="C359" s="15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  <c r="BS359" s="16"/>
      <c r="BT359" s="16"/>
      <c r="BU359" s="16"/>
      <c r="BV359" s="16"/>
      <c r="BW359" s="16"/>
      <c r="BX359" s="16"/>
      <c r="BY359" s="16"/>
    </row>
    <row r="360" spans="2:77" ht="12.5" x14ac:dyDescent="0.25">
      <c r="B360" s="14"/>
      <c r="C360" s="15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  <c r="BS360" s="16"/>
      <c r="BT360" s="16"/>
      <c r="BU360" s="16"/>
      <c r="BV360" s="16"/>
      <c r="BW360" s="16"/>
      <c r="BX360" s="16"/>
      <c r="BY360" s="16"/>
    </row>
    <row r="361" spans="2:77" ht="12.5" x14ac:dyDescent="0.25">
      <c r="B361" s="14"/>
      <c r="C361" s="15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  <c r="BS361" s="16"/>
      <c r="BT361" s="16"/>
      <c r="BU361" s="16"/>
      <c r="BV361" s="16"/>
      <c r="BW361" s="16"/>
      <c r="BX361" s="16"/>
      <c r="BY361" s="16"/>
    </row>
    <row r="362" spans="2:77" ht="12.5" x14ac:dyDescent="0.25">
      <c r="B362" s="14"/>
      <c r="C362" s="15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  <c r="BS362" s="16"/>
      <c r="BT362" s="16"/>
      <c r="BU362" s="16"/>
      <c r="BV362" s="16"/>
      <c r="BW362" s="16"/>
      <c r="BX362" s="16"/>
      <c r="BY362" s="16"/>
    </row>
    <row r="363" spans="2:77" ht="12.5" x14ac:dyDescent="0.25">
      <c r="B363" s="14"/>
      <c r="C363" s="15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  <c r="BS363" s="16"/>
      <c r="BT363" s="16"/>
      <c r="BU363" s="16"/>
      <c r="BV363" s="16"/>
      <c r="BW363" s="16"/>
      <c r="BX363" s="16"/>
      <c r="BY363" s="16"/>
    </row>
    <row r="364" spans="2:77" ht="12.5" x14ac:dyDescent="0.25">
      <c r="B364" s="14"/>
      <c r="C364" s="15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  <c r="BS364" s="16"/>
      <c r="BT364" s="16"/>
      <c r="BU364" s="16"/>
      <c r="BV364" s="16"/>
      <c r="BW364" s="16"/>
      <c r="BX364" s="16"/>
      <c r="BY364" s="16"/>
    </row>
    <row r="365" spans="2:77" ht="12.5" x14ac:dyDescent="0.25">
      <c r="B365" s="14"/>
      <c r="C365" s="15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  <c r="BS365" s="16"/>
      <c r="BT365" s="16"/>
      <c r="BU365" s="16"/>
      <c r="BV365" s="16"/>
      <c r="BW365" s="16"/>
      <c r="BX365" s="16"/>
      <c r="BY365" s="16"/>
    </row>
    <row r="366" spans="2:77" ht="12.5" x14ac:dyDescent="0.25">
      <c r="B366" s="14"/>
      <c r="C366" s="15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  <c r="BS366" s="16"/>
      <c r="BT366" s="16"/>
      <c r="BU366" s="16"/>
      <c r="BV366" s="16"/>
      <c r="BW366" s="16"/>
      <c r="BX366" s="16"/>
      <c r="BY366" s="16"/>
    </row>
    <row r="367" spans="2:77" ht="12.5" x14ac:dyDescent="0.25">
      <c r="B367" s="14"/>
      <c r="C367" s="15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  <c r="BS367" s="16"/>
      <c r="BT367" s="16"/>
      <c r="BU367" s="16"/>
      <c r="BV367" s="16"/>
      <c r="BW367" s="16"/>
      <c r="BX367" s="16"/>
      <c r="BY367" s="16"/>
    </row>
    <row r="368" spans="2:77" ht="12.5" x14ac:dyDescent="0.25">
      <c r="B368" s="14"/>
      <c r="C368" s="15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  <c r="BS368" s="16"/>
      <c r="BT368" s="16"/>
      <c r="BU368" s="16"/>
      <c r="BV368" s="16"/>
      <c r="BW368" s="16"/>
      <c r="BX368" s="16"/>
      <c r="BY368" s="16"/>
    </row>
    <row r="369" spans="2:77" ht="12.5" x14ac:dyDescent="0.25">
      <c r="B369" s="14"/>
      <c r="C369" s="15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  <c r="BS369" s="16"/>
      <c r="BT369" s="16"/>
      <c r="BU369" s="16"/>
      <c r="BV369" s="16"/>
      <c r="BW369" s="16"/>
      <c r="BX369" s="16"/>
      <c r="BY369" s="16"/>
    </row>
    <row r="370" spans="2:77" ht="12.5" x14ac:dyDescent="0.25">
      <c r="B370" s="14"/>
      <c r="C370" s="15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  <c r="BS370" s="16"/>
      <c r="BT370" s="16"/>
      <c r="BU370" s="16"/>
      <c r="BV370" s="16"/>
      <c r="BW370" s="16"/>
      <c r="BX370" s="16"/>
      <c r="BY370" s="16"/>
    </row>
    <row r="371" spans="2:77" ht="12.5" x14ac:dyDescent="0.25">
      <c r="B371" s="14"/>
      <c r="C371" s="15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  <c r="BS371" s="16"/>
      <c r="BT371" s="16"/>
      <c r="BU371" s="16"/>
      <c r="BV371" s="16"/>
      <c r="BW371" s="16"/>
      <c r="BX371" s="16"/>
      <c r="BY371" s="16"/>
    </row>
    <row r="372" spans="2:77" ht="12.5" x14ac:dyDescent="0.25">
      <c r="B372" s="14"/>
      <c r="C372" s="15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  <c r="BS372" s="16"/>
      <c r="BT372" s="16"/>
      <c r="BU372" s="16"/>
      <c r="BV372" s="16"/>
      <c r="BW372" s="16"/>
      <c r="BX372" s="16"/>
      <c r="BY372" s="16"/>
    </row>
    <row r="373" spans="2:77" ht="12.5" x14ac:dyDescent="0.25">
      <c r="B373" s="14"/>
      <c r="C373" s="15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  <c r="BS373" s="16"/>
      <c r="BT373" s="16"/>
      <c r="BU373" s="16"/>
      <c r="BV373" s="16"/>
      <c r="BW373" s="16"/>
      <c r="BX373" s="16"/>
      <c r="BY373" s="16"/>
    </row>
    <row r="374" spans="2:77" ht="12.5" x14ac:dyDescent="0.25">
      <c r="B374" s="14"/>
      <c r="C374" s="15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  <c r="BS374" s="16"/>
      <c r="BT374" s="16"/>
      <c r="BU374" s="16"/>
      <c r="BV374" s="16"/>
      <c r="BW374" s="16"/>
      <c r="BX374" s="16"/>
      <c r="BY374" s="16"/>
    </row>
    <row r="375" spans="2:77" ht="12.5" x14ac:dyDescent="0.25">
      <c r="B375" s="14"/>
      <c r="C375" s="15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  <c r="BS375" s="16"/>
      <c r="BT375" s="16"/>
      <c r="BU375" s="16"/>
      <c r="BV375" s="16"/>
      <c r="BW375" s="16"/>
      <c r="BX375" s="16"/>
      <c r="BY375" s="16"/>
    </row>
    <row r="376" spans="2:77" ht="12.5" x14ac:dyDescent="0.25">
      <c r="B376" s="14"/>
      <c r="C376" s="15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  <c r="BS376" s="16"/>
      <c r="BT376" s="16"/>
      <c r="BU376" s="16"/>
      <c r="BV376" s="16"/>
      <c r="BW376" s="16"/>
      <c r="BX376" s="16"/>
      <c r="BY376" s="16"/>
    </row>
    <row r="377" spans="2:77" ht="12.5" x14ac:dyDescent="0.25">
      <c r="B377" s="14"/>
      <c r="C377" s="15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  <c r="BS377" s="16"/>
      <c r="BT377" s="16"/>
      <c r="BU377" s="16"/>
      <c r="BV377" s="16"/>
      <c r="BW377" s="16"/>
      <c r="BX377" s="16"/>
      <c r="BY377" s="16"/>
    </row>
    <row r="378" spans="2:77" ht="12.5" x14ac:dyDescent="0.25">
      <c r="B378" s="14"/>
      <c r="C378" s="15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  <c r="BS378" s="16"/>
      <c r="BT378" s="16"/>
      <c r="BU378" s="16"/>
      <c r="BV378" s="16"/>
      <c r="BW378" s="16"/>
      <c r="BX378" s="16"/>
      <c r="BY378" s="16"/>
    </row>
    <row r="379" spans="2:77" ht="12.5" x14ac:dyDescent="0.25">
      <c r="B379" s="14"/>
      <c r="C379" s="15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  <c r="BS379" s="16"/>
      <c r="BT379" s="16"/>
      <c r="BU379" s="16"/>
      <c r="BV379" s="16"/>
      <c r="BW379" s="16"/>
      <c r="BX379" s="16"/>
      <c r="BY379" s="16"/>
    </row>
    <row r="380" spans="2:77" ht="12.5" x14ac:dyDescent="0.25">
      <c r="B380" s="14"/>
      <c r="C380" s="15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  <c r="BS380" s="16"/>
      <c r="BT380" s="16"/>
      <c r="BU380" s="16"/>
      <c r="BV380" s="16"/>
      <c r="BW380" s="16"/>
      <c r="BX380" s="16"/>
      <c r="BY380" s="16"/>
    </row>
    <row r="381" spans="2:77" ht="12.5" x14ac:dyDescent="0.25">
      <c r="B381" s="14"/>
      <c r="C381" s="15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  <c r="BS381" s="16"/>
      <c r="BT381" s="16"/>
      <c r="BU381" s="16"/>
      <c r="BV381" s="16"/>
      <c r="BW381" s="16"/>
      <c r="BX381" s="16"/>
      <c r="BY381" s="16"/>
    </row>
    <row r="382" spans="2:77" ht="12.5" x14ac:dyDescent="0.25">
      <c r="B382" s="14"/>
      <c r="C382" s="15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  <c r="BS382" s="16"/>
      <c r="BT382" s="16"/>
      <c r="BU382" s="16"/>
      <c r="BV382" s="16"/>
      <c r="BW382" s="16"/>
      <c r="BX382" s="16"/>
      <c r="BY382" s="16"/>
    </row>
    <row r="383" spans="2:77" ht="12.5" x14ac:dyDescent="0.25">
      <c r="B383" s="14"/>
      <c r="C383" s="15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  <c r="BS383" s="16"/>
      <c r="BT383" s="16"/>
      <c r="BU383" s="16"/>
      <c r="BV383" s="16"/>
      <c r="BW383" s="16"/>
      <c r="BX383" s="16"/>
      <c r="BY383" s="16"/>
    </row>
    <row r="384" spans="2:77" ht="12.5" x14ac:dyDescent="0.25">
      <c r="B384" s="14"/>
      <c r="C384" s="15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  <c r="BS384" s="16"/>
      <c r="BT384" s="16"/>
      <c r="BU384" s="16"/>
      <c r="BV384" s="16"/>
      <c r="BW384" s="16"/>
      <c r="BX384" s="16"/>
      <c r="BY384" s="16"/>
    </row>
    <row r="385" spans="2:77" ht="12.5" x14ac:dyDescent="0.25">
      <c r="B385" s="14"/>
      <c r="C385" s="15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  <c r="BS385" s="16"/>
      <c r="BT385" s="16"/>
      <c r="BU385" s="16"/>
      <c r="BV385" s="16"/>
      <c r="BW385" s="16"/>
      <c r="BX385" s="16"/>
      <c r="BY385" s="16"/>
    </row>
    <row r="386" spans="2:77" ht="12.5" x14ac:dyDescent="0.25">
      <c r="B386" s="14"/>
      <c r="C386" s="15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  <c r="BS386" s="16"/>
      <c r="BT386" s="16"/>
      <c r="BU386" s="16"/>
      <c r="BV386" s="16"/>
      <c r="BW386" s="16"/>
      <c r="BX386" s="16"/>
      <c r="BY386" s="16"/>
    </row>
    <row r="387" spans="2:77" ht="12.5" x14ac:dyDescent="0.25">
      <c r="B387" s="14"/>
      <c r="C387" s="15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  <c r="BS387" s="16"/>
      <c r="BT387" s="16"/>
      <c r="BU387" s="16"/>
      <c r="BV387" s="16"/>
      <c r="BW387" s="16"/>
      <c r="BX387" s="16"/>
      <c r="BY387" s="16"/>
    </row>
    <row r="388" spans="2:77" ht="12.5" x14ac:dyDescent="0.25">
      <c r="B388" s="14"/>
      <c r="C388" s="15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  <c r="BS388" s="16"/>
      <c r="BT388" s="16"/>
      <c r="BU388" s="16"/>
      <c r="BV388" s="16"/>
      <c r="BW388" s="16"/>
      <c r="BX388" s="16"/>
      <c r="BY388" s="16"/>
    </row>
    <row r="389" spans="2:77" ht="12.5" x14ac:dyDescent="0.25">
      <c r="B389" s="14"/>
      <c r="C389" s="15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  <c r="BS389" s="16"/>
      <c r="BT389" s="16"/>
      <c r="BU389" s="16"/>
      <c r="BV389" s="16"/>
      <c r="BW389" s="16"/>
      <c r="BX389" s="16"/>
      <c r="BY389" s="16"/>
    </row>
    <row r="390" spans="2:77" ht="12.5" x14ac:dyDescent="0.25">
      <c r="B390" s="14"/>
      <c r="C390" s="15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  <c r="BS390" s="16"/>
      <c r="BT390" s="16"/>
      <c r="BU390" s="16"/>
      <c r="BV390" s="16"/>
      <c r="BW390" s="16"/>
      <c r="BX390" s="16"/>
      <c r="BY390" s="16"/>
    </row>
    <row r="391" spans="2:77" ht="12.5" x14ac:dyDescent="0.25">
      <c r="B391" s="14"/>
      <c r="C391" s="15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  <c r="BS391" s="16"/>
      <c r="BT391" s="16"/>
      <c r="BU391" s="16"/>
      <c r="BV391" s="16"/>
      <c r="BW391" s="16"/>
      <c r="BX391" s="16"/>
      <c r="BY391" s="16"/>
    </row>
    <row r="392" spans="2:77" ht="12.5" x14ac:dyDescent="0.25">
      <c r="B392" s="14"/>
      <c r="C392" s="15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  <c r="BS392" s="16"/>
      <c r="BT392" s="16"/>
      <c r="BU392" s="16"/>
      <c r="BV392" s="16"/>
      <c r="BW392" s="16"/>
      <c r="BX392" s="16"/>
      <c r="BY392" s="16"/>
    </row>
    <row r="393" spans="2:77" ht="12.5" x14ac:dyDescent="0.25">
      <c r="B393" s="14"/>
      <c r="C393" s="15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  <c r="BS393" s="16"/>
      <c r="BT393" s="16"/>
      <c r="BU393" s="16"/>
      <c r="BV393" s="16"/>
      <c r="BW393" s="16"/>
      <c r="BX393" s="16"/>
      <c r="BY393" s="16"/>
    </row>
    <row r="394" spans="2:77" ht="12.5" x14ac:dyDescent="0.25">
      <c r="B394" s="14"/>
      <c r="C394" s="15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  <c r="BS394" s="16"/>
      <c r="BT394" s="16"/>
      <c r="BU394" s="16"/>
      <c r="BV394" s="16"/>
      <c r="BW394" s="16"/>
      <c r="BX394" s="16"/>
      <c r="BY394" s="16"/>
    </row>
    <row r="395" spans="2:77" ht="12.5" x14ac:dyDescent="0.25">
      <c r="B395" s="14"/>
      <c r="C395" s="15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  <c r="BS395" s="16"/>
      <c r="BT395" s="16"/>
      <c r="BU395" s="16"/>
      <c r="BV395" s="16"/>
      <c r="BW395" s="16"/>
      <c r="BX395" s="16"/>
      <c r="BY395" s="16"/>
    </row>
    <row r="396" spans="2:77" ht="12.5" x14ac:dyDescent="0.25">
      <c r="B396" s="14"/>
      <c r="C396" s="15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  <c r="BS396" s="16"/>
      <c r="BT396" s="16"/>
      <c r="BU396" s="16"/>
      <c r="BV396" s="16"/>
      <c r="BW396" s="16"/>
      <c r="BX396" s="16"/>
      <c r="BY396" s="16"/>
    </row>
    <row r="397" spans="2:77" ht="12.5" x14ac:dyDescent="0.25">
      <c r="B397" s="14"/>
      <c r="C397" s="15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  <c r="BS397" s="16"/>
      <c r="BT397" s="16"/>
      <c r="BU397" s="16"/>
      <c r="BV397" s="16"/>
      <c r="BW397" s="16"/>
      <c r="BX397" s="16"/>
      <c r="BY397" s="16"/>
    </row>
    <row r="398" spans="2:77" ht="12.5" x14ac:dyDescent="0.25">
      <c r="B398" s="14"/>
      <c r="C398" s="15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  <c r="BS398" s="16"/>
      <c r="BT398" s="16"/>
      <c r="BU398" s="16"/>
      <c r="BV398" s="16"/>
      <c r="BW398" s="16"/>
      <c r="BX398" s="16"/>
      <c r="BY398" s="16"/>
    </row>
    <row r="399" spans="2:77" ht="12.5" x14ac:dyDescent="0.25">
      <c r="B399" s="14"/>
      <c r="C399" s="15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  <c r="BS399" s="16"/>
      <c r="BT399" s="16"/>
      <c r="BU399" s="16"/>
      <c r="BV399" s="16"/>
      <c r="BW399" s="16"/>
      <c r="BX399" s="16"/>
      <c r="BY399" s="16"/>
    </row>
    <row r="400" spans="2:77" ht="12.5" x14ac:dyDescent="0.25">
      <c r="B400" s="14"/>
      <c r="C400" s="15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  <c r="BS400" s="16"/>
      <c r="BT400" s="16"/>
      <c r="BU400" s="16"/>
      <c r="BV400" s="16"/>
      <c r="BW400" s="16"/>
      <c r="BX400" s="16"/>
      <c r="BY400" s="16"/>
    </row>
    <row r="401" spans="2:77" ht="12.5" x14ac:dyDescent="0.25">
      <c r="B401" s="14"/>
      <c r="C401" s="15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  <c r="BS401" s="16"/>
      <c r="BT401" s="16"/>
      <c r="BU401" s="16"/>
      <c r="BV401" s="16"/>
      <c r="BW401" s="16"/>
      <c r="BX401" s="16"/>
      <c r="BY401" s="16"/>
    </row>
    <row r="402" spans="2:77" ht="12.5" x14ac:dyDescent="0.25">
      <c r="B402" s="14"/>
      <c r="C402" s="15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  <c r="BS402" s="16"/>
      <c r="BT402" s="16"/>
      <c r="BU402" s="16"/>
      <c r="BV402" s="16"/>
      <c r="BW402" s="16"/>
      <c r="BX402" s="16"/>
      <c r="BY402" s="16"/>
    </row>
    <row r="403" spans="2:77" ht="12.5" x14ac:dyDescent="0.25">
      <c r="B403" s="14"/>
      <c r="C403" s="15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  <c r="BS403" s="16"/>
      <c r="BT403" s="16"/>
      <c r="BU403" s="16"/>
      <c r="BV403" s="16"/>
      <c r="BW403" s="16"/>
      <c r="BX403" s="16"/>
      <c r="BY403" s="16"/>
    </row>
    <row r="404" spans="2:77" ht="12.5" x14ac:dyDescent="0.25">
      <c r="B404" s="14"/>
      <c r="C404" s="15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  <c r="BS404" s="16"/>
      <c r="BT404" s="16"/>
      <c r="BU404" s="16"/>
      <c r="BV404" s="16"/>
      <c r="BW404" s="16"/>
      <c r="BX404" s="16"/>
      <c r="BY404" s="16"/>
    </row>
    <row r="405" spans="2:77" ht="12.5" x14ac:dyDescent="0.25">
      <c r="B405" s="14"/>
      <c r="C405" s="15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  <c r="BS405" s="16"/>
      <c r="BT405" s="16"/>
      <c r="BU405" s="16"/>
      <c r="BV405" s="16"/>
      <c r="BW405" s="16"/>
      <c r="BX405" s="16"/>
      <c r="BY405" s="16"/>
    </row>
    <row r="406" spans="2:77" ht="12.5" x14ac:dyDescent="0.25">
      <c r="B406" s="14"/>
      <c r="C406" s="15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  <c r="BS406" s="16"/>
      <c r="BT406" s="16"/>
      <c r="BU406" s="16"/>
      <c r="BV406" s="16"/>
      <c r="BW406" s="16"/>
      <c r="BX406" s="16"/>
      <c r="BY406" s="16"/>
    </row>
    <row r="407" spans="2:77" ht="12.5" x14ac:dyDescent="0.25">
      <c r="B407" s="14"/>
      <c r="C407" s="15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  <c r="BS407" s="16"/>
      <c r="BT407" s="16"/>
      <c r="BU407" s="16"/>
      <c r="BV407" s="16"/>
      <c r="BW407" s="16"/>
      <c r="BX407" s="16"/>
      <c r="BY407" s="16"/>
    </row>
    <row r="408" spans="2:77" ht="12.5" x14ac:dyDescent="0.25">
      <c r="B408" s="14"/>
      <c r="C408" s="15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  <c r="BS408" s="16"/>
      <c r="BT408" s="16"/>
      <c r="BU408" s="16"/>
      <c r="BV408" s="16"/>
      <c r="BW408" s="16"/>
      <c r="BX408" s="16"/>
      <c r="BY408" s="16"/>
    </row>
    <row r="409" spans="2:77" ht="12.5" x14ac:dyDescent="0.25">
      <c r="B409" s="14"/>
      <c r="C409" s="15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  <c r="BS409" s="16"/>
      <c r="BT409" s="16"/>
      <c r="BU409" s="16"/>
      <c r="BV409" s="16"/>
      <c r="BW409" s="16"/>
      <c r="BX409" s="16"/>
      <c r="BY409" s="16"/>
    </row>
    <row r="410" spans="2:77" ht="12.5" x14ac:dyDescent="0.25">
      <c r="B410" s="14"/>
      <c r="C410" s="15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  <c r="BS410" s="16"/>
      <c r="BT410" s="16"/>
      <c r="BU410" s="16"/>
      <c r="BV410" s="16"/>
      <c r="BW410" s="16"/>
      <c r="BX410" s="16"/>
      <c r="BY410" s="16"/>
    </row>
    <row r="411" spans="2:77" ht="12.5" x14ac:dyDescent="0.25">
      <c r="B411" s="14"/>
      <c r="C411" s="15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  <c r="BS411" s="16"/>
      <c r="BT411" s="16"/>
      <c r="BU411" s="16"/>
      <c r="BV411" s="16"/>
      <c r="BW411" s="16"/>
      <c r="BX411" s="16"/>
      <c r="BY411" s="16"/>
    </row>
    <row r="412" spans="2:77" ht="12.5" x14ac:dyDescent="0.25">
      <c r="B412" s="14"/>
      <c r="C412" s="15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  <c r="BS412" s="16"/>
      <c r="BT412" s="16"/>
      <c r="BU412" s="16"/>
      <c r="BV412" s="16"/>
      <c r="BW412" s="16"/>
      <c r="BX412" s="16"/>
      <c r="BY412" s="16"/>
    </row>
    <row r="413" spans="2:77" ht="12.5" x14ac:dyDescent="0.25">
      <c r="B413" s="14"/>
      <c r="C413" s="15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  <c r="BS413" s="16"/>
      <c r="BT413" s="16"/>
      <c r="BU413" s="16"/>
      <c r="BV413" s="16"/>
      <c r="BW413" s="16"/>
      <c r="BX413" s="16"/>
      <c r="BY413" s="16"/>
    </row>
    <row r="414" spans="2:77" ht="12.5" x14ac:dyDescent="0.25">
      <c r="B414" s="14"/>
      <c r="C414" s="15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  <c r="BS414" s="16"/>
      <c r="BT414" s="16"/>
      <c r="BU414" s="16"/>
      <c r="BV414" s="16"/>
      <c r="BW414" s="16"/>
      <c r="BX414" s="16"/>
      <c r="BY414" s="16"/>
    </row>
    <row r="415" spans="2:77" ht="12.5" x14ac:dyDescent="0.25">
      <c r="B415" s="14"/>
      <c r="C415" s="15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  <c r="BS415" s="16"/>
      <c r="BT415" s="16"/>
      <c r="BU415" s="16"/>
      <c r="BV415" s="16"/>
      <c r="BW415" s="16"/>
      <c r="BX415" s="16"/>
      <c r="BY415" s="16"/>
    </row>
    <row r="416" spans="2:77" ht="12.5" x14ac:dyDescent="0.25">
      <c r="B416" s="14"/>
      <c r="C416" s="15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  <c r="BS416" s="16"/>
      <c r="BT416" s="16"/>
      <c r="BU416" s="16"/>
      <c r="BV416" s="16"/>
      <c r="BW416" s="16"/>
      <c r="BX416" s="16"/>
      <c r="BY416" s="16"/>
    </row>
    <row r="417" spans="2:77" ht="12.5" x14ac:dyDescent="0.25">
      <c r="B417" s="14"/>
      <c r="C417" s="15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  <c r="BS417" s="16"/>
      <c r="BT417" s="16"/>
      <c r="BU417" s="16"/>
      <c r="BV417" s="16"/>
      <c r="BW417" s="16"/>
      <c r="BX417" s="16"/>
      <c r="BY417" s="16"/>
    </row>
    <row r="418" spans="2:77" ht="12.5" x14ac:dyDescent="0.25">
      <c r="B418" s="14"/>
      <c r="C418" s="15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  <c r="BS418" s="16"/>
      <c r="BT418" s="16"/>
      <c r="BU418" s="16"/>
      <c r="BV418" s="16"/>
      <c r="BW418" s="16"/>
      <c r="BX418" s="16"/>
      <c r="BY418" s="16"/>
    </row>
    <row r="419" spans="2:77" ht="12.5" x14ac:dyDescent="0.25">
      <c r="B419" s="14"/>
      <c r="C419" s="15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  <c r="BS419" s="16"/>
      <c r="BT419" s="16"/>
      <c r="BU419" s="16"/>
      <c r="BV419" s="16"/>
      <c r="BW419" s="16"/>
      <c r="BX419" s="16"/>
      <c r="BY419" s="16"/>
    </row>
    <row r="420" spans="2:77" ht="12.5" x14ac:dyDescent="0.25">
      <c r="B420" s="14"/>
      <c r="C420" s="15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  <c r="BS420" s="16"/>
      <c r="BT420" s="16"/>
      <c r="BU420" s="16"/>
      <c r="BV420" s="16"/>
      <c r="BW420" s="16"/>
      <c r="BX420" s="16"/>
      <c r="BY420" s="16"/>
    </row>
    <row r="421" spans="2:77" ht="12.5" x14ac:dyDescent="0.25">
      <c r="B421" s="14"/>
      <c r="C421" s="15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  <c r="BS421" s="16"/>
      <c r="BT421" s="16"/>
      <c r="BU421" s="16"/>
      <c r="BV421" s="16"/>
      <c r="BW421" s="16"/>
      <c r="BX421" s="16"/>
      <c r="BY421" s="16"/>
    </row>
    <row r="422" spans="2:77" ht="12.5" x14ac:dyDescent="0.25">
      <c r="B422" s="14"/>
      <c r="C422" s="15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  <c r="BS422" s="16"/>
      <c r="BT422" s="16"/>
      <c r="BU422" s="16"/>
      <c r="BV422" s="16"/>
      <c r="BW422" s="16"/>
      <c r="BX422" s="16"/>
      <c r="BY422" s="16"/>
    </row>
    <row r="423" spans="2:77" ht="12.5" x14ac:dyDescent="0.25">
      <c r="B423" s="14"/>
      <c r="C423" s="15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  <c r="BS423" s="16"/>
      <c r="BT423" s="16"/>
      <c r="BU423" s="16"/>
      <c r="BV423" s="16"/>
      <c r="BW423" s="16"/>
      <c r="BX423" s="16"/>
      <c r="BY423" s="16"/>
    </row>
    <row r="424" spans="2:77" ht="12.5" x14ac:dyDescent="0.25">
      <c r="B424" s="14"/>
      <c r="C424" s="15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  <c r="BS424" s="16"/>
      <c r="BT424" s="16"/>
      <c r="BU424" s="16"/>
      <c r="BV424" s="16"/>
      <c r="BW424" s="16"/>
      <c r="BX424" s="16"/>
      <c r="BY424" s="16"/>
    </row>
    <row r="425" spans="2:77" ht="12.5" x14ac:dyDescent="0.25">
      <c r="B425" s="14"/>
      <c r="C425" s="15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  <c r="BS425" s="16"/>
      <c r="BT425" s="16"/>
      <c r="BU425" s="16"/>
      <c r="BV425" s="16"/>
      <c r="BW425" s="16"/>
      <c r="BX425" s="16"/>
      <c r="BY425" s="16"/>
    </row>
    <row r="426" spans="2:77" ht="12.5" x14ac:dyDescent="0.25">
      <c r="B426" s="14"/>
      <c r="C426" s="15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  <c r="BS426" s="16"/>
      <c r="BT426" s="16"/>
      <c r="BU426" s="16"/>
      <c r="BV426" s="16"/>
      <c r="BW426" s="16"/>
      <c r="BX426" s="16"/>
      <c r="BY426" s="16"/>
    </row>
    <row r="427" spans="2:77" ht="12.5" x14ac:dyDescent="0.25">
      <c r="B427" s="14"/>
      <c r="C427" s="15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  <c r="BS427" s="16"/>
      <c r="BT427" s="16"/>
      <c r="BU427" s="16"/>
      <c r="BV427" s="16"/>
      <c r="BW427" s="16"/>
      <c r="BX427" s="16"/>
      <c r="BY427" s="16"/>
    </row>
    <row r="428" spans="2:77" ht="12.5" x14ac:dyDescent="0.25">
      <c r="B428" s="14"/>
      <c r="C428" s="15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  <c r="BS428" s="16"/>
      <c r="BT428" s="16"/>
      <c r="BU428" s="16"/>
      <c r="BV428" s="16"/>
      <c r="BW428" s="16"/>
      <c r="BX428" s="16"/>
      <c r="BY428" s="16"/>
    </row>
    <row r="429" spans="2:77" ht="12.5" x14ac:dyDescent="0.25">
      <c r="B429" s="14"/>
      <c r="C429" s="15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  <c r="BS429" s="16"/>
      <c r="BT429" s="16"/>
      <c r="BU429" s="16"/>
      <c r="BV429" s="16"/>
      <c r="BW429" s="16"/>
      <c r="BX429" s="16"/>
      <c r="BY429" s="16"/>
    </row>
    <row r="430" spans="2:77" ht="12.5" x14ac:dyDescent="0.25">
      <c r="B430" s="14"/>
      <c r="C430" s="15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  <c r="BS430" s="16"/>
      <c r="BT430" s="16"/>
      <c r="BU430" s="16"/>
      <c r="BV430" s="16"/>
      <c r="BW430" s="16"/>
      <c r="BX430" s="16"/>
      <c r="BY430" s="16"/>
    </row>
    <row r="431" spans="2:77" ht="12.5" x14ac:dyDescent="0.25">
      <c r="B431" s="14"/>
      <c r="C431" s="15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  <c r="BS431" s="16"/>
      <c r="BT431" s="16"/>
      <c r="BU431" s="16"/>
      <c r="BV431" s="16"/>
      <c r="BW431" s="16"/>
      <c r="BX431" s="16"/>
      <c r="BY431" s="16"/>
    </row>
    <row r="432" spans="2:77" ht="12.5" x14ac:dyDescent="0.25">
      <c r="B432" s="14"/>
      <c r="C432" s="15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  <c r="BS432" s="16"/>
      <c r="BT432" s="16"/>
      <c r="BU432" s="16"/>
      <c r="BV432" s="16"/>
      <c r="BW432" s="16"/>
      <c r="BX432" s="16"/>
      <c r="BY432" s="16"/>
    </row>
    <row r="433" spans="2:77" ht="12.5" x14ac:dyDescent="0.25">
      <c r="B433" s="14"/>
      <c r="C433" s="15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  <c r="BS433" s="16"/>
      <c r="BT433" s="16"/>
      <c r="BU433" s="16"/>
      <c r="BV433" s="16"/>
      <c r="BW433" s="16"/>
      <c r="BX433" s="16"/>
      <c r="BY433" s="16"/>
    </row>
    <row r="434" spans="2:77" ht="12.5" x14ac:dyDescent="0.25">
      <c r="B434" s="14"/>
      <c r="C434" s="15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  <c r="BS434" s="16"/>
      <c r="BT434" s="16"/>
      <c r="BU434" s="16"/>
      <c r="BV434" s="16"/>
      <c r="BW434" s="16"/>
      <c r="BX434" s="16"/>
      <c r="BY434" s="16"/>
    </row>
    <row r="435" spans="2:77" ht="12.5" x14ac:dyDescent="0.25">
      <c r="B435" s="14"/>
      <c r="C435" s="15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  <c r="BS435" s="16"/>
      <c r="BT435" s="16"/>
      <c r="BU435" s="16"/>
      <c r="BV435" s="16"/>
      <c r="BW435" s="16"/>
      <c r="BX435" s="16"/>
      <c r="BY435" s="16"/>
    </row>
    <row r="436" spans="2:77" ht="12.5" x14ac:dyDescent="0.25">
      <c r="B436" s="14"/>
      <c r="C436" s="15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  <c r="BS436" s="16"/>
      <c r="BT436" s="16"/>
      <c r="BU436" s="16"/>
      <c r="BV436" s="16"/>
      <c r="BW436" s="16"/>
      <c r="BX436" s="16"/>
      <c r="BY436" s="16"/>
    </row>
    <row r="437" spans="2:77" ht="12.5" x14ac:dyDescent="0.25">
      <c r="B437" s="14"/>
      <c r="C437" s="15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  <c r="BS437" s="16"/>
      <c r="BT437" s="16"/>
      <c r="BU437" s="16"/>
      <c r="BV437" s="16"/>
      <c r="BW437" s="16"/>
      <c r="BX437" s="16"/>
      <c r="BY437" s="16"/>
    </row>
    <row r="438" spans="2:77" ht="12.5" x14ac:dyDescent="0.25">
      <c r="B438" s="14"/>
      <c r="C438" s="15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  <c r="BS438" s="16"/>
      <c r="BT438" s="16"/>
      <c r="BU438" s="16"/>
      <c r="BV438" s="16"/>
      <c r="BW438" s="16"/>
      <c r="BX438" s="16"/>
      <c r="BY438" s="16"/>
    </row>
    <row r="439" spans="2:77" ht="12.5" x14ac:dyDescent="0.25">
      <c r="B439" s="14"/>
      <c r="C439" s="15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  <c r="BS439" s="16"/>
      <c r="BT439" s="16"/>
      <c r="BU439" s="16"/>
      <c r="BV439" s="16"/>
      <c r="BW439" s="16"/>
      <c r="BX439" s="16"/>
      <c r="BY439" s="16"/>
    </row>
    <row r="440" spans="2:77" ht="12.5" x14ac:dyDescent="0.25">
      <c r="B440" s="14"/>
      <c r="C440" s="15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  <c r="BS440" s="16"/>
      <c r="BT440" s="16"/>
      <c r="BU440" s="16"/>
      <c r="BV440" s="16"/>
      <c r="BW440" s="16"/>
      <c r="BX440" s="16"/>
      <c r="BY440" s="16"/>
    </row>
    <row r="441" spans="2:77" ht="12.5" x14ac:dyDescent="0.25">
      <c r="B441" s="14"/>
      <c r="C441" s="15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  <c r="BS441" s="16"/>
      <c r="BT441" s="16"/>
      <c r="BU441" s="16"/>
      <c r="BV441" s="16"/>
      <c r="BW441" s="16"/>
      <c r="BX441" s="16"/>
      <c r="BY441" s="16"/>
    </row>
    <row r="442" spans="2:77" ht="12.5" x14ac:dyDescent="0.25">
      <c r="B442" s="14"/>
      <c r="C442" s="15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  <c r="BS442" s="16"/>
      <c r="BT442" s="16"/>
      <c r="BU442" s="16"/>
      <c r="BV442" s="16"/>
      <c r="BW442" s="16"/>
      <c r="BX442" s="16"/>
      <c r="BY442" s="16"/>
    </row>
    <row r="443" spans="2:77" ht="12.5" x14ac:dyDescent="0.25">
      <c r="B443" s="14"/>
      <c r="C443" s="15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  <c r="BS443" s="16"/>
      <c r="BT443" s="16"/>
      <c r="BU443" s="16"/>
      <c r="BV443" s="16"/>
      <c r="BW443" s="16"/>
      <c r="BX443" s="16"/>
      <c r="BY443" s="16"/>
    </row>
    <row r="444" spans="2:77" ht="12.5" x14ac:dyDescent="0.25">
      <c r="B444" s="14"/>
      <c r="C444" s="15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  <c r="BS444" s="16"/>
      <c r="BT444" s="16"/>
      <c r="BU444" s="16"/>
      <c r="BV444" s="16"/>
      <c r="BW444" s="16"/>
      <c r="BX444" s="16"/>
      <c r="BY444" s="16"/>
    </row>
    <row r="445" spans="2:77" ht="12.5" x14ac:dyDescent="0.25">
      <c r="B445" s="14"/>
      <c r="C445" s="15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  <c r="BS445" s="16"/>
      <c r="BT445" s="16"/>
      <c r="BU445" s="16"/>
      <c r="BV445" s="16"/>
      <c r="BW445" s="16"/>
      <c r="BX445" s="16"/>
      <c r="BY445" s="16"/>
    </row>
    <row r="446" spans="2:77" ht="12.5" x14ac:dyDescent="0.25">
      <c r="B446" s="14"/>
      <c r="C446" s="15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  <c r="BS446" s="16"/>
      <c r="BT446" s="16"/>
      <c r="BU446" s="16"/>
      <c r="BV446" s="16"/>
      <c r="BW446" s="16"/>
      <c r="BX446" s="16"/>
      <c r="BY446" s="16"/>
    </row>
    <row r="447" spans="2:77" ht="12.5" x14ac:dyDescent="0.25">
      <c r="B447" s="14"/>
      <c r="C447" s="15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  <c r="BS447" s="16"/>
      <c r="BT447" s="16"/>
      <c r="BU447" s="16"/>
      <c r="BV447" s="16"/>
      <c r="BW447" s="16"/>
      <c r="BX447" s="16"/>
      <c r="BY447" s="16"/>
    </row>
    <row r="448" spans="2:77" ht="12.5" x14ac:dyDescent="0.25">
      <c r="B448" s="14"/>
      <c r="C448" s="15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  <c r="BS448" s="16"/>
      <c r="BT448" s="16"/>
      <c r="BU448" s="16"/>
      <c r="BV448" s="16"/>
      <c r="BW448" s="16"/>
      <c r="BX448" s="16"/>
      <c r="BY448" s="16"/>
    </row>
    <row r="449" spans="2:77" ht="12.5" x14ac:dyDescent="0.25">
      <c r="B449" s="14"/>
      <c r="C449" s="15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  <c r="BS449" s="16"/>
      <c r="BT449" s="16"/>
      <c r="BU449" s="16"/>
      <c r="BV449" s="16"/>
      <c r="BW449" s="16"/>
      <c r="BX449" s="16"/>
      <c r="BY449" s="16"/>
    </row>
    <row r="450" spans="2:77" ht="12.5" x14ac:dyDescent="0.25">
      <c r="B450" s="14"/>
      <c r="C450" s="15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  <c r="BS450" s="16"/>
      <c r="BT450" s="16"/>
      <c r="BU450" s="16"/>
      <c r="BV450" s="16"/>
      <c r="BW450" s="16"/>
      <c r="BX450" s="16"/>
      <c r="BY450" s="16"/>
    </row>
    <row r="451" spans="2:77" ht="12.5" x14ac:dyDescent="0.25">
      <c r="B451" s="14"/>
      <c r="C451" s="15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  <c r="BS451" s="16"/>
      <c r="BT451" s="16"/>
      <c r="BU451" s="16"/>
      <c r="BV451" s="16"/>
      <c r="BW451" s="16"/>
      <c r="BX451" s="16"/>
      <c r="BY451" s="16"/>
    </row>
    <row r="452" spans="2:77" ht="12.5" x14ac:dyDescent="0.25">
      <c r="B452" s="14"/>
      <c r="C452" s="15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  <c r="BS452" s="16"/>
      <c r="BT452" s="16"/>
      <c r="BU452" s="16"/>
      <c r="BV452" s="16"/>
      <c r="BW452" s="16"/>
      <c r="BX452" s="16"/>
      <c r="BY452" s="16"/>
    </row>
    <row r="453" spans="2:77" ht="12.5" x14ac:dyDescent="0.25">
      <c r="B453" s="14"/>
      <c r="C453" s="15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  <c r="BS453" s="16"/>
      <c r="BT453" s="16"/>
      <c r="BU453" s="16"/>
      <c r="BV453" s="16"/>
      <c r="BW453" s="16"/>
      <c r="BX453" s="16"/>
      <c r="BY453" s="16"/>
    </row>
    <row r="454" spans="2:77" ht="12.5" x14ac:dyDescent="0.25">
      <c r="B454" s="14"/>
      <c r="C454" s="15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  <c r="BS454" s="16"/>
      <c r="BT454" s="16"/>
      <c r="BU454" s="16"/>
      <c r="BV454" s="16"/>
      <c r="BW454" s="16"/>
      <c r="BX454" s="16"/>
      <c r="BY454" s="16"/>
    </row>
    <row r="455" spans="2:77" ht="12.5" x14ac:dyDescent="0.25">
      <c r="B455" s="14"/>
      <c r="C455" s="15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  <c r="BS455" s="16"/>
      <c r="BT455" s="16"/>
      <c r="BU455" s="16"/>
      <c r="BV455" s="16"/>
      <c r="BW455" s="16"/>
      <c r="BX455" s="16"/>
      <c r="BY455" s="16"/>
    </row>
    <row r="456" spans="2:77" ht="12.5" x14ac:dyDescent="0.25">
      <c r="B456" s="14"/>
      <c r="C456" s="15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  <c r="BS456" s="16"/>
      <c r="BT456" s="16"/>
      <c r="BU456" s="16"/>
      <c r="BV456" s="16"/>
      <c r="BW456" s="16"/>
      <c r="BX456" s="16"/>
      <c r="BY456" s="16"/>
    </row>
    <row r="457" spans="2:77" ht="12.5" x14ac:dyDescent="0.25">
      <c r="B457" s="14"/>
      <c r="C457" s="15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  <c r="BS457" s="16"/>
      <c r="BT457" s="16"/>
      <c r="BU457" s="16"/>
      <c r="BV457" s="16"/>
      <c r="BW457" s="16"/>
      <c r="BX457" s="16"/>
      <c r="BY457" s="16"/>
    </row>
    <row r="458" spans="2:77" ht="12.5" x14ac:dyDescent="0.25">
      <c r="B458" s="14"/>
      <c r="C458" s="15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  <c r="BS458" s="16"/>
      <c r="BT458" s="16"/>
      <c r="BU458" s="16"/>
      <c r="BV458" s="16"/>
      <c r="BW458" s="16"/>
      <c r="BX458" s="16"/>
      <c r="BY458" s="16"/>
    </row>
    <row r="459" spans="2:77" ht="12.5" x14ac:dyDescent="0.25">
      <c r="B459" s="14"/>
      <c r="C459" s="15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  <c r="BS459" s="16"/>
      <c r="BT459" s="16"/>
      <c r="BU459" s="16"/>
      <c r="BV459" s="16"/>
      <c r="BW459" s="16"/>
      <c r="BX459" s="16"/>
      <c r="BY459" s="16"/>
    </row>
    <row r="460" spans="2:77" ht="12.5" x14ac:dyDescent="0.25">
      <c r="B460" s="14"/>
      <c r="C460" s="15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  <c r="BS460" s="16"/>
      <c r="BT460" s="16"/>
      <c r="BU460" s="16"/>
      <c r="BV460" s="16"/>
      <c r="BW460" s="16"/>
      <c r="BX460" s="16"/>
      <c r="BY460" s="16"/>
    </row>
    <row r="461" spans="2:77" ht="12.5" x14ac:dyDescent="0.25">
      <c r="B461" s="14"/>
      <c r="C461" s="15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  <c r="BS461" s="16"/>
      <c r="BT461" s="16"/>
      <c r="BU461" s="16"/>
      <c r="BV461" s="16"/>
      <c r="BW461" s="16"/>
      <c r="BX461" s="16"/>
      <c r="BY461" s="16"/>
    </row>
    <row r="462" spans="2:77" ht="12.5" x14ac:dyDescent="0.25">
      <c r="B462" s="14"/>
      <c r="C462" s="15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  <c r="BS462" s="16"/>
      <c r="BT462" s="16"/>
      <c r="BU462" s="16"/>
      <c r="BV462" s="16"/>
      <c r="BW462" s="16"/>
      <c r="BX462" s="16"/>
      <c r="BY462" s="16"/>
    </row>
    <row r="463" spans="2:77" ht="12.5" x14ac:dyDescent="0.25">
      <c r="B463" s="14"/>
      <c r="C463" s="15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  <c r="BS463" s="16"/>
      <c r="BT463" s="16"/>
      <c r="BU463" s="16"/>
      <c r="BV463" s="16"/>
      <c r="BW463" s="16"/>
      <c r="BX463" s="16"/>
      <c r="BY463" s="16"/>
    </row>
    <row r="464" spans="2:77" ht="12.5" x14ac:dyDescent="0.25">
      <c r="B464" s="14"/>
      <c r="C464" s="15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  <c r="BS464" s="16"/>
      <c r="BT464" s="16"/>
      <c r="BU464" s="16"/>
      <c r="BV464" s="16"/>
      <c r="BW464" s="16"/>
      <c r="BX464" s="16"/>
      <c r="BY464" s="16"/>
    </row>
    <row r="465" spans="2:77" ht="12.5" x14ac:dyDescent="0.25">
      <c r="B465" s="14"/>
      <c r="C465" s="15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  <c r="BS465" s="16"/>
      <c r="BT465" s="16"/>
      <c r="BU465" s="16"/>
      <c r="BV465" s="16"/>
      <c r="BW465" s="16"/>
      <c r="BX465" s="16"/>
      <c r="BY465" s="16"/>
    </row>
    <row r="466" spans="2:77" ht="12.5" x14ac:dyDescent="0.25">
      <c r="B466" s="14"/>
      <c r="C466" s="15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  <c r="BS466" s="16"/>
      <c r="BT466" s="16"/>
      <c r="BU466" s="16"/>
      <c r="BV466" s="16"/>
      <c r="BW466" s="16"/>
      <c r="BX466" s="16"/>
      <c r="BY466" s="16"/>
    </row>
    <row r="467" spans="2:77" ht="12.5" x14ac:dyDescent="0.25">
      <c r="B467" s="14"/>
      <c r="C467" s="15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  <c r="BS467" s="16"/>
      <c r="BT467" s="16"/>
      <c r="BU467" s="16"/>
      <c r="BV467" s="16"/>
      <c r="BW467" s="16"/>
      <c r="BX467" s="16"/>
      <c r="BY467" s="16"/>
    </row>
    <row r="468" spans="2:77" ht="12.5" x14ac:dyDescent="0.25">
      <c r="B468" s="14"/>
      <c r="C468" s="15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  <c r="BS468" s="16"/>
      <c r="BT468" s="16"/>
      <c r="BU468" s="16"/>
      <c r="BV468" s="16"/>
      <c r="BW468" s="16"/>
      <c r="BX468" s="16"/>
      <c r="BY468" s="16"/>
    </row>
    <row r="469" spans="2:77" ht="12.5" x14ac:dyDescent="0.25">
      <c r="B469" s="14"/>
      <c r="C469" s="15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  <c r="BS469" s="16"/>
      <c r="BT469" s="16"/>
      <c r="BU469" s="16"/>
      <c r="BV469" s="16"/>
      <c r="BW469" s="16"/>
      <c r="BX469" s="16"/>
      <c r="BY469" s="16"/>
    </row>
    <row r="470" spans="2:77" ht="12.5" x14ac:dyDescent="0.25">
      <c r="B470" s="14"/>
      <c r="C470" s="15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  <c r="BS470" s="16"/>
      <c r="BT470" s="16"/>
      <c r="BU470" s="16"/>
      <c r="BV470" s="16"/>
      <c r="BW470" s="16"/>
      <c r="BX470" s="16"/>
      <c r="BY470" s="16"/>
    </row>
    <row r="471" spans="2:77" ht="12.5" x14ac:dyDescent="0.25">
      <c r="B471" s="14"/>
      <c r="C471" s="15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  <c r="BS471" s="16"/>
      <c r="BT471" s="16"/>
      <c r="BU471" s="16"/>
      <c r="BV471" s="16"/>
      <c r="BW471" s="16"/>
      <c r="BX471" s="16"/>
      <c r="BY471" s="16"/>
    </row>
    <row r="472" spans="2:77" ht="12.5" x14ac:dyDescent="0.25">
      <c r="B472" s="14"/>
      <c r="C472" s="15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  <c r="BS472" s="16"/>
      <c r="BT472" s="16"/>
      <c r="BU472" s="16"/>
      <c r="BV472" s="16"/>
      <c r="BW472" s="16"/>
      <c r="BX472" s="16"/>
      <c r="BY472" s="16"/>
    </row>
    <row r="473" spans="2:77" ht="12.5" x14ac:dyDescent="0.25">
      <c r="B473" s="14"/>
      <c r="C473" s="15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  <c r="BS473" s="16"/>
      <c r="BT473" s="16"/>
      <c r="BU473" s="16"/>
      <c r="BV473" s="16"/>
      <c r="BW473" s="16"/>
      <c r="BX473" s="16"/>
      <c r="BY473" s="16"/>
    </row>
    <row r="474" spans="2:77" ht="12.5" x14ac:dyDescent="0.25">
      <c r="B474" s="14"/>
      <c r="C474" s="15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  <c r="BS474" s="16"/>
      <c r="BT474" s="16"/>
      <c r="BU474" s="16"/>
      <c r="BV474" s="16"/>
      <c r="BW474" s="16"/>
      <c r="BX474" s="16"/>
      <c r="BY474" s="16"/>
    </row>
    <row r="475" spans="2:77" ht="12.5" x14ac:dyDescent="0.25">
      <c r="B475" s="14"/>
      <c r="C475" s="15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  <c r="BS475" s="16"/>
      <c r="BT475" s="16"/>
      <c r="BU475" s="16"/>
      <c r="BV475" s="16"/>
      <c r="BW475" s="16"/>
      <c r="BX475" s="16"/>
      <c r="BY475" s="16"/>
    </row>
    <row r="476" spans="2:77" ht="12.5" x14ac:dyDescent="0.25">
      <c r="B476" s="14"/>
      <c r="C476" s="15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  <c r="BS476" s="16"/>
      <c r="BT476" s="16"/>
      <c r="BU476" s="16"/>
      <c r="BV476" s="16"/>
      <c r="BW476" s="16"/>
      <c r="BX476" s="16"/>
      <c r="BY476" s="16"/>
    </row>
    <row r="477" spans="2:77" ht="12.5" x14ac:dyDescent="0.25">
      <c r="B477" s="14"/>
      <c r="C477" s="15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  <c r="BS477" s="16"/>
      <c r="BT477" s="16"/>
      <c r="BU477" s="16"/>
      <c r="BV477" s="16"/>
      <c r="BW477" s="16"/>
      <c r="BX477" s="16"/>
      <c r="BY477" s="16"/>
    </row>
    <row r="478" spans="2:77" ht="12.5" x14ac:dyDescent="0.25">
      <c r="B478" s="14"/>
      <c r="C478" s="15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  <c r="BS478" s="16"/>
      <c r="BT478" s="16"/>
      <c r="BU478" s="16"/>
      <c r="BV478" s="16"/>
      <c r="BW478" s="16"/>
      <c r="BX478" s="16"/>
      <c r="BY478" s="16"/>
    </row>
    <row r="479" spans="2:77" ht="12.5" x14ac:dyDescent="0.25">
      <c r="B479" s="14"/>
      <c r="C479" s="15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  <c r="BS479" s="16"/>
      <c r="BT479" s="16"/>
      <c r="BU479" s="16"/>
      <c r="BV479" s="16"/>
      <c r="BW479" s="16"/>
      <c r="BX479" s="16"/>
      <c r="BY479" s="16"/>
    </row>
    <row r="480" spans="2:77" ht="12.5" x14ac:dyDescent="0.25">
      <c r="B480" s="14"/>
      <c r="C480" s="15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  <c r="BS480" s="16"/>
      <c r="BT480" s="16"/>
      <c r="BU480" s="16"/>
      <c r="BV480" s="16"/>
      <c r="BW480" s="16"/>
      <c r="BX480" s="16"/>
      <c r="BY480" s="16"/>
    </row>
    <row r="481" spans="2:77" ht="12.5" x14ac:dyDescent="0.25">
      <c r="B481" s="14"/>
      <c r="C481" s="15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  <c r="BS481" s="16"/>
      <c r="BT481" s="16"/>
      <c r="BU481" s="16"/>
      <c r="BV481" s="16"/>
      <c r="BW481" s="16"/>
      <c r="BX481" s="16"/>
      <c r="BY481" s="16"/>
    </row>
    <row r="482" spans="2:77" ht="12.5" x14ac:dyDescent="0.25">
      <c r="B482" s="14"/>
      <c r="C482" s="15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  <c r="BS482" s="16"/>
      <c r="BT482" s="16"/>
      <c r="BU482" s="16"/>
      <c r="BV482" s="16"/>
      <c r="BW482" s="16"/>
      <c r="BX482" s="16"/>
      <c r="BY482" s="16"/>
    </row>
    <row r="483" spans="2:77" ht="12.5" x14ac:dyDescent="0.25">
      <c r="B483" s="14"/>
      <c r="C483" s="15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  <c r="BS483" s="16"/>
      <c r="BT483" s="16"/>
      <c r="BU483" s="16"/>
      <c r="BV483" s="16"/>
      <c r="BW483" s="16"/>
      <c r="BX483" s="16"/>
      <c r="BY483" s="16"/>
    </row>
    <row r="484" spans="2:77" ht="12.5" x14ac:dyDescent="0.25">
      <c r="B484" s="14"/>
      <c r="C484" s="15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  <c r="BS484" s="16"/>
      <c r="BT484" s="16"/>
      <c r="BU484" s="16"/>
      <c r="BV484" s="16"/>
      <c r="BW484" s="16"/>
      <c r="BX484" s="16"/>
      <c r="BY484" s="16"/>
    </row>
    <row r="485" spans="2:77" ht="12.5" x14ac:dyDescent="0.25">
      <c r="B485" s="14"/>
      <c r="C485" s="15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  <c r="BS485" s="16"/>
      <c r="BT485" s="16"/>
      <c r="BU485" s="16"/>
      <c r="BV485" s="16"/>
      <c r="BW485" s="16"/>
      <c r="BX485" s="16"/>
      <c r="BY485" s="16"/>
    </row>
    <row r="486" spans="2:77" ht="12.5" x14ac:dyDescent="0.25">
      <c r="B486" s="14"/>
      <c r="C486" s="15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  <c r="BS486" s="16"/>
      <c r="BT486" s="16"/>
      <c r="BU486" s="16"/>
      <c r="BV486" s="16"/>
      <c r="BW486" s="16"/>
      <c r="BX486" s="16"/>
      <c r="BY486" s="16"/>
    </row>
    <row r="487" spans="2:77" ht="12.5" x14ac:dyDescent="0.25">
      <c r="B487" s="14"/>
      <c r="C487" s="15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  <c r="BS487" s="16"/>
      <c r="BT487" s="16"/>
      <c r="BU487" s="16"/>
      <c r="BV487" s="16"/>
      <c r="BW487" s="16"/>
      <c r="BX487" s="16"/>
      <c r="BY487" s="16"/>
    </row>
    <row r="488" spans="2:77" ht="12.5" x14ac:dyDescent="0.25">
      <c r="B488" s="14"/>
      <c r="C488" s="15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  <c r="BS488" s="16"/>
      <c r="BT488" s="16"/>
      <c r="BU488" s="16"/>
      <c r="BV488" s="16"/>
      <c r="BW488" s="16"/>
      <c r="BX488" s="16"/>
      <c r="BY488" s="16"/>
    </row>
    <row r="489" spans="2:77" ht="12.5" x14ac:dyDescent="0.25">
      <c r="B489" s="14"/>
      <c r="C489" s="15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  <c r="BS489" s="16"/>
      <c r="BT489" s="16"/>
      <c r="BU489" s="16"/>
      <c r="BV489" s="16"/>
      <c r="BW489" s="16"/>
      <c r="BX489" s="16"/>
      <c r="BY489" s="16"/>
    </row>
    <row r="490" spans="2:77" ht="12.5" x14ac:dyDescent="0.25">
      <c r="B490" s="14"/>
      <c r="C490" s="15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  <c r="BS490" s="16"/>
      <c r="BT490" s="16"/>
      <c r="BU490" s="16"/>
      <c r="BV490" s="16"/>
      <c r="BW490" s="16"/>
      <c r="BX490" s="16"/>
      <c r="BY490" s="16"/>
    </row>
    <row r="491" spans="2:77" ht="12.5" x14ac:dyDescent="0.25">
      <c r="B491" s="14"/>
      <c r="C491" s="15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  <c r="BS491" s="16"/>
      <c r="BT491" s="16"/>
      <c r="BU491" s="16"/>
      <c r="BV491" s="16"/>
      <c r="BW491" s="16"/>
      <c r="BX491" s="16"/>
      <c r="BY491" s="16"/>
    </row>
    <row r="492" spans="2:77" ht="12.5" x14ac:dyDescent="0.25">
      <c r="B492" s="14"/>
      <c r="C492" s="15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  <c r="BS492" s="16"/>
      <c r="BT492" s="16"/>
      <c r="BU492" s="16"/>
      <c r="BV492" s="16"/>
      <c r="BW492" s="16"/>
      <c r="BX492" s="16"/>
      <c r="BY492" s="16"/>
    </row>
    <row r="493" spans="2:77" ht="12.5" x14ac:dyDescent="0.25">
      <c r="B493" s="14"/>
      <c r="C493" s="15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  <c r="BS493" s="16"/>
      <c r="BT493" s="16"/>
      <c r="BU493" s="16"/>
      <c r="BV493" s="16"/>
      <c r="BW493" s="16"/>
      <c r="BX493" s="16"/>
      <c r="BY493" s="16"/>
    </row>
    <row r="494" spans="2:77" ht="12.5" x14ac:dyDescent="0.25">
      <c r="B494" s="14"/>
      <c r="C494" s="15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  <c r="BS494" s="16"/>
      <c r="BT494" s="16"/>
      <c r="BU494" s="16"/>
      <c r="BV494" s="16"/>
      <c r="BW494" s="16"/>
      <c r="BX494" s="16"/>
      <c r="BY494" s="16"/>
    </row>
    <row r="495" spans="2:77" ht="12.5" x14ac:dyDescent="0.25">
      <c r="B495" s="14"/>
      <c r="C495" s="15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  <c r="BS495" s="16"/>
      <c r="BT495" s="16"/>
      <c r="BU495" s="16"/>
      <c r="BV495" s="16"/>
      <c r="BW495" s="16"/>
      <c r="BX495" s="16"/>
      <c r="BY495" s="16"/>
    </row>
    <row r="496" spans="2:77" ht="12.5" x14ac:dyDescent="0.25">
      <c r="B496" s="14"/>
      <c r="C496" s="15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  <c r="BS496" s="16"/>
      <c r="BT496" s="16"/>
      <c r="BU496" s="16"/>
      <c r="BV496" s="16"/>
      <c r="BW496" s="16"/>
      <c r="BX496" s="16"/>
      <c r="BY496" s="16"/>
    </row>
    <row r="497" spans="2:77" ht="12.5" x14ac:dyDescent="0.25">
      <c r="B497" s="14"/>
      <c r="C497" s="15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  <c r="BS497" s="16"/>
      <c r="BT497" s="16"/>
      <c r="BU497" s="16"/>
      <c r="BV497" s="16"/>
      <c r="BW497" s="16"/>
      <c r="BX497" s="16"/>
      <c r="BY497" s="16"/>
    </row>
    <row r="498" spans="2:77" ht="12.5" x14ac:dyDescent="0.25">
      <c r="B498" s="14"/>
      <c r="C498" s="15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  <c r="BS498" s="16"/>
      <c r="BT498" s="16"/>
      <c r="BU498" s="16"/>
      <c r="BV498" s="16"/>
      <c r="BW498" s="16"/>
      <c r="BX498" s="16"/>
      <c r="BY498" s="16"/>
    </row>
    <row r="499" spans="2:77" ht="12.5" x14ac:dyDescent="0.25">
      <c r="B499" s="14"/>
      <c r="C499" s="15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  <c r="BS499" s="16"/>
      <c r="BT499" s="16"/>
      <c r="BU499" s="16"/>
      <c r="BV499" s="16"/>
      <c r="BW499" s="16"/>
      <c r="BX499" s="16"/>
      <c r="BY499" s="16"/>
    </row>
    <row r="500" spans="2:77" ht="12.5" x14ac:dyDescent="0.25">
      <c r="B500" s="14"/>
      <c r="C500" s="15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  <c r="BS500" s="16"/>
      <c r="BT500" s="16"/>
      <c r="BU500" s="16"/>
      <c r="BV500" s="16"/>
      <c r="BW500" s="16"/>
      <c r="BX500" s="16"/>
      <c r="BY500" s="16"/>
    </row>
    <row r="501" spans="2:77" ht="12.5" x14ac:dyDescent="0.25">
      <c r="B501" s="14"/>
      <c r="C501" s="15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  <c r="BS501" s="16"/>
      <c r="BT501" s="16"/>
      <c r="BU501" s="16"/>
      <c r="BV501" s="16"/>
      <c r="BW501" s="16"/>
      <c r="BX501" s="16"/>
      <c r="BY501" s="16"/>
    </row>
    <row r="502" spans="2:77" ht="12.5" x14ac:dyDescent="0.25">
      <c r="B502" s="14"/>
      <c r="C502" s="15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  <c r="BS502" s="16"/>
      <c r="BT502" s="16"/>
      <c r="BU502" s="16"/>
      <c r="BV502" s="16"/>
      <c r="BW502" s="16"/>
      <c r="BX502" s="16"/>
      <c r="BY502" s="16"/>
    </row>
    <row r="503" spans="2:77" ht="12.5" x14ac:dyDescent="0.25">
      <c r="B503" s="14"/>
      <c r="C503" s="15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  <c r="BS503" s="16"/>
      <c r="BT503" s="16"/>
      <c r="BU503" s="16"/>
      <c r="BV503" s="16"/>
      <c r="BW503" s="16"/>
      <c r="BX503" s="16"/>
      <c r="BY503" s="16"/>
    </row>
    <row r="504" spans="2:77" ht="12.5" x14ac:dyDescent="0.25">
      <c r="B504" s="14"/>
      <c r="C504" s="15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  <c r="BS504" s="16"/>
      <c r="BT504" s="16"/>
      <c r="BU504" s="16"/>
      <c r="BV504" s="16"/>
      <c r="BW504" s="16"/>
      <c r="BX504" s="16"/>
      <c r="BY504" s="16"/>
    </row>
    <row r="505" spans="2:77" ht="12.5" x14ac:dyDescent="0.25">
      <c r="B505" s="14"/>
      <c r="C505" s="15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  <c r="BS505" s="16"/>
      <c r="BT505" s="16"/>
      <c r="BU505" s="16"/>
      <c r="BV505" s="16"/>
      <c r="BW505" s="16"/>
      <c r="BX505" s="16"/>
      <c r="BY505" s="16"/>
    </row>
    <row r="506" spans="2:77" ht="12.5" x14ac:dyDescent="0.25">
      <c r="B506" s="14"/>
      <c r="C506" s="15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  <c r="BS506" s="16"/>
      <c r="BT506" s="16"/>
      <c r="BU506" s="16"/>
      <c r="BV506" s="16"/>
      <c r="BW506" s="16"/>
      <c r="BX506" s="16"/>
      <c r="BY506" s="16"/>
    </row>
    <row r="507" spans="2:77" ht="12.5" x14ac:dyDescent="0.25">
      <c r="B507" s="14"/>
      <c r="C507" s="15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  <c r="BS507" s="16"/>
      <c r="BT507" s="16"/>
      <c r="BU507" s="16"/>
      <c r="BV507" s="16"/>
      <c r="BW507" s="16"/>
      <c r="BX507" s="16"/>
      <c r="BY507" s="16"/>
    </row>
    <row r="508" spans="2:77" ht="12.5" x14ac:dyDescent="0.25">
      <c r="B508" s="14"/>
      <c r="C508" s="15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  <c r="BS508" s="16"/>
      <c r="BT508" s="16"/>
      <c r="BU508" s="16"/>
      <c r="BV508" s="16"/>
      <c r="BW508" s="16"/>
      <c r="BX508" s="16"/>
      <c r="BY508" s="16"/>
    </row>
    <row r="509" spans="2:77" ht="12.5" x14ac:dyDescent="0.25">
      <c r="B509" s="14"/>
      <c r="C509" s="15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  <c r="BS509" s="16"/>
      <c r="BT509" s="16"/>
      <c r="BU509" s="16"/>
      <c r="BV509" s="16"/>
      <c r="BW509" s="16"/>
      <c r="BX509" s="16"/>
      <c r="BY509" s="16"/>
    </row>
    <row r="510" spans="2:77" ht="12.5" x14ac:dyDescent="0.25">
      <c r="B510" s="14"/>
      <c r="C510" s="15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  <c r="BS510" s="16"/>
      <c r="BT510" s="16"/>
      <c r="BU510" s="16"/>
      <c r="BV510" s="16"/>
      <c r="BW510" s="16"/>
      <c r="BX510" s="16"/>
      <c r="BY510" s="16"/>
    </row>
    <row r="511" spans="2:77" ht="12.5" x14ac:dyDescent="0.25">
      <c r="B511" s="14"/>
      <c r="C511" s="15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  <c r="BS511" s="16"/>
      <c r="BT511" s="16"/>
      <c r="BU511" s="16"/>
      <c r="BV511" s="16"/>
      <c r="BW511" s="16"/>
      <c r="BX511" s="16"/>
      <c r="BY511" s="16"/>
    </row>
    <row r="512" spans="2:77" ht="12.5" x14ac:dyDescent="0.25">
      <c r="B512" s="14"/>
      <c r="C512" s="15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  <c r="BS512" s="16"/>
      <c r="BT512" s="16"/>
      <c r="BU512" s="16"/>
      <c r="BV512" s="16"/>
      <c r="BW512" s="16"/>
      <c r="BX512" s="16"/>
      <c r="BY512" s="16"/>
    </row>
    <row r="513" spans="2:77" ht="12.5" x14ac:dyDescent="0.25">
      <c r="B513" s="14"/>
      <c r="C513" s="15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  <c r="BS513" s="16"/>
      <c r="BT513" s="16"/>
      <c r="BU513" s="16"/>
      <c r="BV513" s="16"/>
      <c r="BW513" s="16"/>
      <c r="BX513" s="16"/>
      <c r="BY513" s="16"/>
    </row>
    <row r="514" spans="2:77" ht="12.5" x14ac:dyDescent="0.25">
      <c r="B514" s="14"/>
      <c r="C514" s="15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  <c r="BS514" s="16"/>
      <c r="BT514" s="16"/>
      <c r="BU514" s="16"/>
      <c r="BV514" s="16"/>
      <c r="BW514" s="16"/>
      <c r="BX514" s="16"/>
      <c r="BY514" s="16"/>
    </row>
    <row r="515" spans="2:77" ht="12.5" x14ac:dyDescent="0.25">
      <c r="B515" s="14"/>
      <c r="C515" s="15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  <c r="BS515" s="16"/>
      <c r="BT515" s="16"/>
      <c r="BU515" s="16"/>
      <c r="BV515" s="16"/>
      <c r="BW515" s="16"/>
      <c r="BX515" s="16"/>
      <c r="BY515" s="16"/>
    </row>
    <row r="516" spans="2:77" ht="12.5" x14ac:dyDescent="0.25">
      <c r="B516" s="14"/>
      <c r="C516" s="15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  <c r="BS516" s="16"/>
      <c r="BT516" s="16"/>
      <c r="BU516" s="16"/>
      <c r="BV516" s="16"/>
      <c r="BW516" s="16"/>
      <c r="BX516" s="16"/>
      <c r="BY516" s="16"/>
    </row>
    <row r="517" spans="2:77" ht="12.5" x14ac:dyDescent="0.25">
      <c r="B517" s="14"/>
      <c r="C517" s="15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  <c r="BS517" s="16"/>
      <c r="BT517" s="16"/>
      <c r="BU517" s="16"/>
      <c r="BV517" s="16"/>
      <c r="BW517" s="16"/>
      <c r="BX517" s="16"/>
      <c r="BY517" s="16"/>
    </row>
    <row r="518" spans="2:77" ht="12.5" x14ac:dyDescent="0.25">
      <c r="B518" s="14"/>
      <c r="C518" s="15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  <c r="BS518" s="16"/>
      <c r="BT518" s="16"/>
      <c r="BU518" s="16"/>
      <c r="BV518" s="16"/>
      <c r="BW518" s="16"/>
      <c r="BX518" s="16"/>
      <c r="BY518" s="16"/>
    </row>
    <row r="519" spans="2:77" ht="12.5" x14ac:dyDescent="0.25">
      <c r="B519" s="14"/>
      <c r="C519" s="15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  <c r="BS519" s="16"/>
      <c r="BT519" s="16"/>
      <c r="BU519" s="16"/>
      <c r="BV519" s="16"/>
      <c r="BW519" s="16"/>
      <c r="BX519" s="16"/>
      <c r="BY519" s="16"/>
    </row>
    <row r="520" spans="2:77" ht="12.5" x14ac:dyDescent="0.25">
      <c r="B520" s="14"/>
      <c r="C520" s="15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16"/>
      <c r="BT520" s="16"/>
      <c r="BU520" s="16"/>
      <c r="BV520" s="16"/>
      <c r="BW520" s="16"/>
      <c r="BX520" s="16"/>
      <c r="BY520" s="16"/>
    </row>
    <row r="521" spans="2:77" ht="12.5" x14ac:dyDescent="0.25">
      <c r="B521" s="14"/>
      <c r="C521" s="15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  <c r="BS521" s="16"/>
      <c r="BT521" s="16"/>
      <c r="BU521" s="16"/>
      <c r="BV521" s="16"/>
      <c r="BW521" s="16"/>
      <c r="BX521" s="16"/>
      <c r="BY521" s="16"/>
    </row>
    <row r="522" spans="2:77" ht="12.5" x14ac:dyDescent="0.25">
      <c r="B522" s="14"/>
      <c r="C522" s="15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  <c r="BS522" s="16"/>
      <c r="BT522" s="16"/>
      <c r="BU522" s="16"/>
      <c r="BV522" s="16"/>
      <c r="BW522" s="16"/>
      <c r="BX522" s="16"/>
      <c r="BY522" s="16"/>
    </row>
    <row r="523" spans="2:77" ht="12.5" x14ac:dyDescent="0.25">
      <c r="B523" s="14"/>
      <c r="C523" s="15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  <c r="BS523" s="16"/>
      <c r="BT523" s="16"/>
      <c r="BU523" s="16"/>
      <c r="BV523" s="16"/>
      <c r="BW523" s="16"/>
      <c r="BX523" s="16"/>
      <c r="BY523" s="16"/>
    </row>
    <row r="524" spans="2:77" ht="12.5" x14ac:dyDescent="0.25">
      <c r="B524" s="14"/>
      <c r="C524" s="15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  <c r="BS524" s="16"/>
      <c r="BT524" s="16"/>
      <c r="BU524" s="16"/>
      <c r="BV524" s="16"/>
      <c r="BW524" s="16"/>
      <c r="BX524" s="16"/>
      <c r="BY524" s="16"/>
    </row>
    <row r="525" spans="2:77" ht="12.5" x14ac:dyDescent="0.25">
      <c r="B525" s="14"/>
      <c r="C525" s="15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  <c r="BS525" s="16"/>
      <c r="BT525" s="16"/>
      <c r="BU525" s="16"/>
      <c r="BV525" s="16"/>
      <c r="BW525" s="16"/>
      <c r="BX525" s="16"/>
      <c r="BY525" s="16"/>
    </row>
    <row r="526" spans="2:77" ht="12.5" x14ac:dyDescent="0.25">
      <c r="B526" s="14"/>
      <c r="C526" s="15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  <c r="BS526" s="16"/>
      <c r="BT526" s="16"/>
      <c r="BU526" s="16"/>
      <c r="BV526" s="16"/>
      <c r="BW526" s="16"/>
      <c r="BX526" s="16"/>
      <c r="BY526" s="16"/>
    </row>
    <row r="527" spans="2:77" ht="12.5" x14ac:dyDescent="0.25">
      <c r="B527" s="14"/>
      <c r="C527" s="15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  <c r="BS527" s="16"/>
      <c r="BT527" s="16"/>
      <c r="BU527" s="16"/>
      <c r="BV527" s="16"/>
      <c r="BW527" s="16"/>
      <c r="BX527" s="16"/>
      <c r="BY527" s="16"/>
    </row>
    <row r="528" spans="2:77" ht="12.5" x14ac:dyDescent="0.25">
      <c r="B528" s="14"/>
      <c r="C528" s="15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  <c r="BS528" s="16"/>
      <c r="BT528" s="16"/>
      <c r="BU528" s="16"/>
      <c r="BV528" s="16"/>
      <c r="BW528" s="16"/>
      <c r="BX528" s="16"/>
      <c r="BY528" s="16"/>
    </row>
    <row r="529" spans="2:77" ht="12.5" x14ac:dyDescent="0.25">
      <c r="B529" s="14"/>
      <c r="C529" s="15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  <c r="BS529" s="16"/>
      <c r="BT529" s="16"/>
      <c r="BU529" s="16"/>
      <c r="BV529" s="16"/>
      <c r="BW529" s="16"/>
      <c r="BX529" s="16"/>
      <c r="BY529" s="16"/>
    </row>
    <row r="530" spans="2:77" ht="12.5" x14ac:dyDescent="0.25">
      <c r="B530" s="14"/>
      <c r="C530" s="15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  <c r="BS530" s="16"/>
      <c r="BT530" s="16"/>
      <c r="BU530" s="16"/>
      <c r="BV530" s="16"/>
      <c r="BW530" s="16"/>
      <c r="BX530" s="16"/>
      <c r="BY530" s="16"/>
    </row>
    <row r="531" spans="2:77" ht="12.5" x14ac:dyDescent="0.25">
      <c r="B531" s="14"/>
      <c r="C531" s="15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  <c r="BS531" s="16"/>
      <c r="BT531" s="16"/>
      <c r="BU531" s="16"/>
      <c r="BV531" s="16"/>
      <c r="BW531" s="16"/>
      <c r="BX531" s="16"/>
      <c r="BY531" s="16"/>
    </row>
    <row r="532" spans="2:77" ht="12.5" x14ac:dyDescent="0.25">
      <c r="B532" s="14"/>
      <c r="C532" s="15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  <c r="BS532" s="16"/>
      <c r="BT532" s="16"/>
      <c r="BU532" s="16"/>
      <c r="BV532" s="16"/>
      <c r="BW532" s="16"/>
      <c r="BX532" s="16"/>
      <c r="BY532" s="16"/>
    </row>
    <row r="533" spans="2:77" ht="12.5" x14ac:dyDescent="0.25">
      <c r="B533" s="14"/>
      <c r="C533" s="15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  <c r="BS533" s="16"/>
      <c r="BT533" s="16"/>
      <c r="BU533" s="16"/>
      <c r="BV533" s="16"/>
      <c r="BW533" s="16"/>
      <c r="BX533" s="16"/>
      <c r="BY533" s="16"/>
    </row>
    <row r="534" spans="2:77" ht="12.5" x14ac:dyDescent="0.25">
      <c r="B534" s="14"/>
      <c r="C534" s="15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  <c r="BS534" s="16"/>
      <c r="BT534" s="16"/>
      <c r="BU534" s="16"/>
      <c r="BV534" s="16"/>
      <c r="BW534" s="16"/>
      <c r="BX534" s="16"/>
      <c r="BY534" s="16"/>
    </row>
    <row r="535" spans="2:77" ht="12.5" x14ac:dyDescent="0.25">
      <c r="B535" s="14"/>
      <c r="C535" s="15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  <c r="BS535" s="16"/>
      <c r="BT535" s="16"/>
      <c r="BU535" s="16"/>
      <c r="BV535" s="16"/>
      <c r="BW535" s="16"/>
      <c r="BX535" s="16"/>
      <c r="BY535" s="16"/>
    </row>
    <row r="536" spans="2:77" ht="12.5" x14ac:dyDescent="0.25">
      <c r="B536" s="14"/>
      <c r="C536" s="15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  <c r="BS536" s="16"/>
      <c r="BT536" s="16"/>
      <c r="BU536" s="16"/>
      <c r="BV536" s="16"/>
      <c r="BW536" s="16"/>
      <c r="BX536" s="16"/>
      <c r="BY536" s="16"/>
    </row>
    <row r="537" spans="2:77" ht="12.5" x14ac:dyDescent="0.25">
      <c r="B537" s="14"/>
      <c r="C537" s="15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  <c r="BS537" s="16"/>
      <c r="BT537" s="16"/>
      <c r="BU537" s="16"/>
      <c r="BV537" s="16"/>
      <c r="BW537" s="16"/>
      <c r="BX537" s="16"/>
      <c r="BY537" s="16"/>
    </row>
    <row r="538" spans="2:77" ht="12.5" x14ac:dyDescent="0.25">
      <c r="B538" s="14"/>
      <c r="C538" s="15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  <c r="BS538" s="16"/>
      <c r="BT538" s="16"/>
      <c r="BU538" s="16"/>
      <c r="BV538" s="16"/>
      <c r="BW538" s="16"/>
      <c r="BX538" s="16"/>
      <c r="BY538" s="16"/>
    </row>
    <row r="539" spans="2:77" ht="12.5" x14ac:dyDescent="0.25">
      <c r="B539" s="14"/>
      <c r="C539" s="15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  <c r="BS539" s="16"/>
      <c r="BT539" s="16"/>
      <c r="BU539" s="16"/>
      <c r="BV539" s="16"/>
      <c r="BW539" s="16"/>
      <c r="BX539" s="16"/>
      <c r="BY539" s="16"/>
    </row>
    <row r="540" spans="2:77" ht="12.5" x14ac:dyDescent="0.25">
      <c r="B540" s="14"/>
      <c r="C540" s="15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  <c r="BS540" s="16"/>
      <c r="BT540" s="16"/>
      <c r="BU540" s="16"/>
      <c r="BV540" s="16"/>
      <c r="BW540" s="16"/>
      <c r="BX540" s="16"/>
      <c r="BY540" s="16"/>
    </row>
    <row r="541" spans="2:77" ht="12.5" x14ac:dyDescent="0.25">
      <c r="B541" s="14"/>
      <c r="C541" s="15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  <c r="BS541" s="16"/>
      <c r="BT541" s="16"/>
      <c r="BU541" s="16"/>
      <c r="BV541" s="16"/>
      <c r="BW541" s="16"/>
      <c r="BX541" s="16"/>
      <c r="BY541" s="16"/>
    </row>
    <row r="542" spans="2:77" ht="12.5" x14ac:dyDescent="0.25">
      <c r="B542" s="14"/>
      <c r="C542" s="15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  <c r="BS542" s="16"/>
      <c r="BT542" s="16"/>
      <c r="BU542" s="16"/>
      <c r="BV542" s="16"/>
      <c r="BW542" s="16"/>
      <c r="BX542" s="16"/>
      <c r="BY542" s="16"/>
    </row>
    <row r="543" spans="2:77" ht="12.5" x14ac:dyDescent="0.25">
      <c r="B543" s="14"/>
      <c r="C543" s="15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  <c r="BS543" s="16"/>
      <c r="BT543" s="16"/>
      <c r="BU543" s="16"/>
      <c r="BV543" s="16"/>
      <c r="BW543" s="16"/>
      <c r="BX543" s="16"/>
      <c r="BY543" s="16"/>
    </row>
    <row r="544" spans="2:77" ht="12.5" x14ac:dyDescent="0.25">
      <c r="B544" s="14"/>
      <c r="C544" s="15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  <c r="BS544" s="16"/>
      <c r="BT544" s="16"/>
      <c r="BU544" s="16"/>
      <c r="BV544" s="16"/>
      <c r="BW544" s="16"/>
      <c r="BX544" s="16"/>
      <c r="BY544" s="16"/>
    </row>
    <row r="545" spans="2:77" ht="12.5" x14ac:dyDescent="0.25">
      <c r="B545" s="14"/>
      <c r="C545" s="15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  <c r="BS545" s="16"/>
      <c r="BT545" s="16"/>
      <c r="BU545" s="16"/>
      <c r="BV545" s="16"/>
      <c r="BW545" s="16"/>
      <c r="BX545" s="16"/>
      <c r="BY545" s="16"/>
    </row>
    <row r="546" spans="2:77" ht="12.5" x14ac:dyDescent="0.25">
      <c r="B546" s="14"/>
      <c r="C546" s="15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  <c r="BS546" s="16"/>
      <c r="BT546" s="16"/>
      <c r="BU546" s="16"/>
      <c r="BV546" s="16"/>
      <c r="BW546" s="16"/>
      <c r="BX546" s="16"/>
      <c r="BY546" s="16"/>
    </row>
    <row r="547" spans="2:77" ht="12.5" x14ac:dyDescent="0.25">
      <c r="B547" s="14"/>
      <c r="C547" s="15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  <c r="BS547" s="16"/>
      <c r="BT547" s="16"/>
      <c r="BU547" s="16"/>
      <c r="BV547" s="16"/>
      <c r="BW547" s="16"/>
      <c r="BX547" s="16"/>
      <c r="BY547" s="16"/>
    </row>
    <row r="548" spans="2:77" ht="12.5" x14ac:dyDescent="0.25">
      <c r="B548" s="14"/>
      <c r="C548" s="15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16"/>
      <c r="BT548" s="16"/>
      <c r="BU548" s="16"/>
      <c r="BV548" s="16"/>
      <c r="BW548" s="16"/>
      <c r="BX548" s="16"/>
      <c r="BY548" s="16"/>
    </row>
    <row r="549" spans="2:77" ht="12.5" x14ac:dyDescent="0.25">
      <c r="B549" s="14"/>
      <c r="C549" s="15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  <c r="BS549" s="16"/>
      <c r="BT549" s="16"/>
      <c r="BU549" s="16"/>
      <c r="BV549" s="16"/>
      <c r="BW549" s="16"/>
      <c r="BX549" s="16"/>
      <c r="BY549" s="16"/>
    </row>
    <row r="550" spans="2:77" ht="12.5" x14ac:dyDescent="0.25">
      <c r="B550" s="14"/>
      <c r="C550" s="15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  <c r="BS550" s="16"/>
      <c r="BT550" s="16"/>
      <c r="BU550" s="16"/>
      <c r="BV550" s="16"/>
      <c r="BW550" s="16"/>
      <c r="BX550" s="16"/>
      <c r="BY550" s="16"/>
    </row>
    <row r="551" spans="2:77" ht="12.5" x14ac:dyDescent="0.25">
      <c r="B551" s="14"/>
      <c r="C551" s="15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  <c r="BS551" s="16"/>
      <c r="BT551" s="16"/>
      <c r="BU551" s="16"/>
      <c r="BV551" s="16"/>
      <c r="BW551" s="16"/>
      <c r="BX551" s="16"/>
      <c r="BY551" s="16"/>
    </row>
    <row r="552" spans="2:77" ht="12.5" x14ac:dyDescent="0.25">
      <c r="B552" s="14"/>
      <c r="C552" s="15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  <c r="BS552" s="16"/>
      <c r="BT552" s="16"/>
      <c r="BU552" s="16"/>
      <c r="BV552" s="16"/>
      <c r="BW552" s="16"/>
      <c r="BX552" s="16"/>
      <c r="BY552" s="16"/>
    </row>
    <row r="553" spans="2:77" ht="12.5" x14ac:dyDescent="0.25">
      <c r="B553" s="14"/>
      <c r="C553" s="15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  <c r="BS553" s="16"/>
      <c r="BT553" s="16"/>
      <c r="BU553" s="16"/>
      <c r="BV553" s="16"/>
      <c r="BW553" s="16"/>
      <c r="BX553" s="16"/>
      <c r="BY553" s="16"/>
    </row>
    <row r="554" spans="2:77" ht="12.5" x14ac:dyDescent="0.25">
      <c r="B554" s="14"/>
      <c r="C554" s="15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  <c r="BS554" s="16"/>
      <c r="BT554" s="16"/>
      <c r="BU554" s="16"/>
      <c r="BV554" s="16"/>
      <c r="BW554" s="16"/>
      <c r="BX554" s="16"/>
      <c r="BY554" s="16"/>
    </row>
    <row r="555" spans="2:77" ht="12.5" x14ac:dyDescent="0.25">
      <c r="B555" s="14"/>
      <c r="C555" s="15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  <c r="BS555" s="16"/>
      <c r="BT555" s="16"/>
      <c r="BU555" s="16"/>
      <c r="BV555" s="16"/>
      <c r="BW555" s="16"/>
      <c r="BX555" s="16"/>
      <c r="BY555" s="16"/>
    </row>
    <row r="556" spans="2:77" ht="12.5" x14ac:dyDescent="0.25">
      <c r="B556" s="14"/>
      <c r="C556" s="15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  <c r="BS556" s="16"/>
      <c r="BT556" s="16"/>
      <c r="BU556" s="16"/>
      <c r="BV556" s="16"/>
      <c r="BW556" s="16"/>
      <c r="BX556" s="16"/>
      <c r="BY556" s="16"/>
    </row>
    <row r="557" spans="2:77" ht="12.5" x14ac:dyDescent="0.25">
      <c r="B557" s="14"/>
      <c r="C557" s="15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  <c r="BS557" s="16"/>
      <c r="BT557" s="16"/>
      <c r="BU557" s="16"/>
      <c r="BV557" s="16"/>
      <c r="BW557" s="16"/>
      <c r="BX557" s="16"/>
      <c r="BY557" s="16"/>
    </row>
    <row r="558" spans="2:77" ht="12.5" x14ac:dyDescent="0.25">
      <c r="B558" s="14"/>
      <c r="C558" s="15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  <c r="BS558" s="16"/>
      <c r="BT558" s="16"/>
      <c r="BU558" s="16"/>
      <c r="BV558" s="16"/>
      <c r="BW558" s="16"/>
      <c r="BX558" s="16"/>
      <c r="BY558" s="16"/>
    </row>
    <row r="559" spans="2:77" ht="12.5" x14ac:dyDescent="0.25">
      <c r="B559" s="14"/>
      <c r="C559" s="15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  <c r="BS559" s="16"/>
      <c r="BT559" s="16"/>
      <c r="BU559" s="16"/>
      <c r="BV559" s="16"/>
      <c r="BW559" s="16"/>
      <c r="BX559" s="16"/>
      <c r="BY559" s="16"/>
    </row>
    <row r="560" spans="2:77" ht="12.5" x14ac:dyDescent="0.25">
      <c r="B560" s="14"/>
      <c r="C560" s="15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  <c r="BS560" s="16"/>
      <c r="BT560" s="16"/>
      <c r="BU560" s="16"/>
      <c r="BV560" s="16"/>
      <c r="BW560" s="16"/>
      <c r="BX560" s="16"/>
      <c r="BY560" s="16"/>
    </row>
    <row r="561" spans="2:77" ht="12.5" x14ac:dyDescent="0.25">
      <c r="B561" s="14"/>
      <c r="C561" s="15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  <c r="BS561" s="16"/>
      <c r="BT561" s="16"/>
      <c r="BU561" s="16"/>
      <c r="BV561" s="16"/>
      <c r="BW561" s="16"/>
      <c r="BX561" s="16"/>
      <c r="BY561" s="16"/>
    </row>
    <row r="562" spans="2:77" ht="12.5" x14ac:dyDescent="0.25">
      <c r="B562" s="14"/>
      <c r="C562" s="15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  <c r="BS562" s="16"/>
      <c r="BT562" s="16"/>
      <c r="BU562" s="16"/>
      <c r="BV562" s="16"/>
      <c r="BW562" s="16"/>
      <c r="BX562" s="16"/>
      <c r="BY562" s="16"/>
    </row>
    <row r="563" spans="2:77" ht="12.5" x14ac:dyDescent="0.25">
      <c r="B563" s="14"/>
      <c r="C563" s="15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  <c r="BS563" s="16"/>
      <c r="BT563" s="16"/>
      <c r="BU563" s="16"/>
      <c r="BV563" s="16"/>
      <c r="BW563" s="16"/>
      <c r="BX563" s="16"/>
      <c r="BY563" s="16"/>
    </row>
    <row r="564" spans="2:77" ht="12.5" x14ac:dyDescent="0.25">
      <c r="B564" s="14"/>
      <c r="C564" s="15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  <c r="BS564" s="16"/>
      <c r="BT564" s="16"/>
      <c r="BU564" s="16"/>
      <c r="BV564" s="16"/>
      <c r="BW564" s="16"/>
      <c r="BX564" s="16"/>
      <c r="BY564" s="16"/>
    </row>
    <row r="565" spans="2:77" ht="12.5" x14ac:dyDescent="0.25">
      <c r="B565" s="14"/>
      <c r="C565" s="15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  <c r="BS565" s="16"/>
      <c r="BT565" s="16"/>
      <c r="BU565" s="16"/>
      <c r="BV565" s="16"/>
      <c r="BW565" s="16"/>
      <c r="BX565" s="16"/>
      <c r="BY565" s="16"/>
    </row>
    <row r="566" spans="2:77" ht="12.5" x14ac:dyDescent="0.25">
      <c r="B566" s="14"/>
      <c r="C566" s="15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  <c r="BS566" s="16"/>
      <c r="BT566" s="16"/>
      <c r="BU566" s="16"/>
      <c r="BV566" s="16"/>
      <c r="BW566" s="16"/>
      <c r="BX566" s="16"/>
      <c r="BY566" s="16"/>
    </row>
    <row r="567" spans="2:77" ht="12.5" x14ac:dyDescent="0.25">
      <c r="B567" s="14"/>
      <c r="C567" s="15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  <c r="BS567" s="16"/>
      <c r="BT567" s="16"/>
      <c r="BU567" s="16"/>
      <c r="BV567" s="16"/>
      <c r="BW567" s="16"/>
      <c r="BX567" s="16"/>
      <c r="BY567" s="16"/>
    </row>
    <row r="568" spans="2:77" ht="12.5" x14ac:dyDescent="0.25">
      <c r="B568" s="14"/>
      <c r="C568" s="15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  <c r="BS568" s="16"/>
      <c r="BT568" s="16"/>
      <c r="BU568" s="16"/>
      <c r="BV568" s="16"/>
      <c r="BW568" s="16"/>
      <c r="BX568" s="16"/>
      <c r="BY568" s="16"/>
    </row>
    <row r="569" spans="2:77" ht="12.5" x14ac:dyDescent="0.25">
      <c r="B569" s="14"/>
      <c r="C569" s="15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  <c r="BS569" s="16"/>
      <c r="BT569" s="16"/>
      <c r="BU569" s="16"/>
      <c r="BV569" s="16"/>
      <c r="BW569" s="16"/>
      <c r="BX569" s="16"/>
      <c r="BY569" s="16"/>
    </row>
    <row r="570" spans="2:77" ht="12.5" x14ac:dyDescent="0.25">
      <c r="B570" s="14"/>
      <c r="C570" s="15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  <c r="BS570" s="16"/>
      <c r="BT570" s="16"/>
      <c r="BU570" s="16"/>
      <c r="BV570" s="16"/>
      <c r="BW570" s="16"/>
      <c r="BX570" s="16"/>
      <c r="BY570" s="16"/>
    </row>
    <row r="571" spans="2:77" ht="12.5" x14ac:dyDescent="0.25">
      <c r="B571" s="14"/>
      <c r="C571" s="15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  <c r="BS571" s="16"/>
      <c r="BT571" s="16"/>
      <c r="BU571" s="16"/>
      <c r="BV571" s="16"/>
      <c r="BW571" s="16"/>
      <c r="BX571" s="16"/>
      <c r="BY571" s="16"/>
    </row>
    <row r="572" spans="2:77" ht="12.5" x14ac:dyDescent="0.25">
      <c r="B572" s="14"/>
      <c r="C572" s="15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  <c r="BS572" s="16"/>
      <c r="BT572" s="16"/>
      <c r="BU572" s="16"/>
      <c r="BV572" s="16"/>
      <c r="BW572" s="16"/>
      <c r="BX572" s="16"/>
      <c r="BY572" s="16"/>
    </row>
    <row r="573" spans="2:77" ht="12.5" x14ac:dyDescent="0.25">
      <c r="B573" s="14"/>
      <c r="C573" s="15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  <c r="BS573" s="16"/>
      <c r="BT573" s="16"/>
      <c r="BU573" s="16"/>
      <c r="BV573" s="16"/>
      <c r="BW573" s="16"/>
      <c r="BX573" s="16"/>
      <c r="BY573" s="16"/>
    </row>
    <row r="574" spans="2:77" ht="12.5" x14ac:dyDescent="0.25">
      <c r="B574" s="14"/>
      <c r="C574" s="15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  <c r="BS574" s="16"/>
      <c r="BT574" s="16"/>
      <c r="BU574" s="16"/>
      <c r="BV574" s="16"/>
      <c r="BW574" s="16"/>
      <c r="BX574" s="16"/>
      <c r="BY574" s="16"/>
    </row>
    <row r="575" spans="2:77" ht="12.5" x14ac:dyDescent="0.25">
      <c r="B575" s="14"/>
      <c r="C575" s="15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  <c r="BS575" s="16"/>
      <c r="BT575" s="16"/>
      <c r="BU575" s="16"/>
      <c r="BV575" s="16"/>
      <c r="BW575" s="16"/>
      <c r="BX575" s="16"/>
      <c r="BY575" s="16"/>
    </row>
    <row r="576" spans="2:77" ht="12.5" x14ac:dyDescent="0.25">
      <c r="B576" s="14"/>
      <c r="C576" s="15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  <c r="BS576" s="16"/>
      <c r="BT576" s="16"/>
      <c r="BU576" s="16"/>
      <c r="BV576" s="16"/>
      <c r="BW576" s="16"/>
      <c r="BX576" s="16"/>
      <c r="BY576" s="16"/>
    </row>
    <row r="577" spans="2:77" ht="12.5" x14ac:dyDescent="0.25">
      <c r="B577" s="14"/>
      <c r="C577" s="15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  <c r="BS577" s="16"/>
      <c r="BT577" s="16"/>
      <c r="BU577" s="16"/>
      <c r="BV577" s="16"/>
      <c r="BW577" s="16"/>
      <c r="BX577" s="16"/>
      <c r="BY577" s="16"/>
    </row>
    <row r="578" spans="2:77" ht="12.5" x14ac:dyDescent="0.25">
      <c r="B578" s="14"/>
      <c r="C578" s="15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  <c r="BS578" s="16"/>
      <c r="BT578" s="16"/>
      <c r="BU578" s="16"/>
      <c r="BV578" s="16"/>
      <c r="BW578" s="16"/>
      <c r="BX578" s="16"/>
      <c r="BY578" s="16"/>
    </row>
    <row r="579" spans="2:77" ht="12.5" x14ac:dyDescent="0.25">
      <c r="B579" s="14"/>
      <c r="C579" s="15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  <c r="BS579" s="16"/>
      <c r="BT579" s="16"/>
      <c r="BU579" s="16"/>
      <c r="BV579" s="16"/>
      <c r="BW579" s="16"/>
      <c r="BX579" s="16"/>
      <c r="BY579" s="16"/>
    </row>
    <row r="580" spans="2:77" ht="12.5" x14ac:dyDescent="0.25">
      <c r="B580" s="14"/>
      <c r="C580" s="15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  <c r="BS580" s="16"/>
      <c r="BT580" s="16"/>
      <c r="BU580" s="16"/>
      <c r="BV580" s="16"/>
      <c r="BW580" s="16"/>
      <c r="BX580" s="16"/>
      <c r="BY580" s="16"/>
    </row>
    <row r="581" spans="2:77" ht="12.5" x14ac:dyDescent="0.25">
      <c r="B581" s="14"/>
      <c r="C581" s="15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  <c r="BS581" s="16"/>
      <c r="BT581" s="16"/>
      <c r="BU581" s="16"/>
      <c r="BV581" s="16"/>
      <c r="BW581" s="16"/>
      <c r="BX581" s="16"/>
      <c r="BY581" s="16"/>
    </row>
    <row r="582" spans="2:77" ht="12.5" x14ac:dyDescent="0.25">
      <c r="B582" s="14"/>
      <c r="C582" s="15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  <c r="BS582" s="16"/>
      <c r="BT582" s="16"/>
      <c r="BU582" s="16"/>
      <c r="BV582" s="16"/>
      <c r="BW582" s="16"/>
      <c r="BX582" s="16"/>
      <c r="BY582" s="16"/>
    </row>
    <row r="583" spans="2:77" ht="12.5" x14ac:dyDescent="0.25">
      <c r="B583" s="14"/>
      <c r="C583" s="15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  <c r="BS583" s="16"/>
      <c r="BT583" s="16"/>
      <c r="BU583" s="16"/>
      <c r="BV583" s="16"/>
      <c r="BW583" s="16"/>
      <c r="BX583" s="16"/>
      <c r="BY583" s="16"/>
    </row>
    <row r="584" spans="2:77" ht="12.5" x14ac:dyDescent="0.25">
      <c r="B584" s="14"/>
      <c r="C584" s="15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  <c r="BS584" s="16"/>
      <c r="BT584" s="16"/>
      <c r="BU584" s="16"/>
      <c r="BV584" s="16"/>
      <c r="BW584" s="16"/>
      <c r="BX584" s="16"/>
      <c r="BY584" s="16"/>
    </row>
    <row r="585" spans="2:77" ht="12.5" x14ac:dyDescent="0.25">
      <c r="B585" s="14"/>
      <c r="C585" s="15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  <c r="BS585" s="16"/>
      <c r="BT585" s="16"/>
      <c r="BU585" s="16"/>
      <c r="BV585" s="16"/>
      <c r="BW585" s="16"/>
      <c r="BX585" s="16"/>
      <c r="BY585" s="16"/>
    </row>
    <row r="586" spans="2:77" ht="12.5" x14ac:dyDescent="0.25">
      <c r="B586" s="14"/>
      <c r="C586" s="15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  <c r="BS586" s="16"/>
      <c r="BT586" s="16"/>
      <c r="BU586" s="16"/>
      <c r="BV586" s="16"/>
      <c r="BW586" s="16"/>
      <c r="BX586" s="16"/>
      <c r="BY586" s="16"/>
    </row>
    <row r="587" spans="2:77" ht="12.5" x14ac:dyDescent="0.25">
      <c r="B587" s="14"/>
      <c r="C587" s="15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  <c r="BS587" s="16"/>
      <c r="BT587" s="16"/>
      <c r="BU587" s="16"/>
      <c r="BV587" s="16"/>
      <c r="BW587" s="16"/>
      <c r="BX587" s="16"/>
      <c r="BY587" s="16"/>
    </row>
    <row r="588" spans="2:77" ht="12.5" x14ac:dyDescent="0.25">
      <c r="B588" s="14"/>
      <c r="C588" s="15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  <c r="BS588" s="16"/>
      <c r="BT588" s="16"/>
      <c r="BU588" s="16"/>
      <c r="BV588" s="16"/>
      <c r="BW588" s="16"/>
      <c r="BX588" s="16"/>
      <c r="BY588" s="16"/>
    </row>
    <row r="589" spans="2:77" ht="12.5" x14ac:dyDescent="0.25">
      <c r="B589" s="14"/>
      <c r="C589" s="15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  <c r="BS589" s="16"/>
      <c r="BT589" s="16"/>
      <c r="BU589" s="16"/>
      <c r="BV589" s="16"/>
      <c r="BW589" s="16"/>
      <c r="BX589" s="16"/>
      <c r="BY589" s="16"/>
    </row>
    <row r="590" spans="2:77" ht="12.5" x14ac:dyDescent="0.25">
      <c r="B590" s="14"/>
      <c r="C590" s="15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  <c r="BS590" s="16"/>
      <c r="BT590" s="16"/>
      <c r="BU590" s="16"/>
      <c r="BV590" s="16"/>
      <c r="BW590" s="16"/>
      <c r="BX590" s="16"/>
      <c r="BY590" s="16"/>
    </row>
    <row r="591" spans="2:77" ht="12.5" x14ac:dyDescent="0.25">
      <c r="B591" s="14"/>
      <c r="C591" s="15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  <c r="BS591" s="16"/>
      <c r="BT591" s="16"/>
      <c r="BU591" s="16"/>
      <c r="BV591" s="16"/>
      <c r="BW591" s="16"/>
      <c r="BX591" s="16"/>
      <c r="BY591" s="16"/>
    </row>
    <row r="592" spans="2:77" ht="12.5" x14ac:dyDescent="0.25">
      <c r="B592" s="14"/>
      <c r="C592" s="15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  <c r="BS592" s="16"/>
      <c r="BT592" s="16"/>
      <c r="BU592" s="16"/>
      <c r="BV592" s="16"/>
      <c r="BW592" s="16"/>
      <c r="BX592" s="16"/>
      <c r="BY592" s="16"/>
    </row>
    <row r="593" spans="2:77" ht="12.5" x14ac:dyDescent="0.25">
      <c r="B593" s="14"/>
      <c r="C593" s="15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  <c r="BS593" s="16"/>
      <c r="BT593" s="16"/>
      <c r="BU593" s="16"/>
      <c r="BV593" s="16"/>
      <c r="BW593" s="16"/>
      <c r="BX593" s="16"/>
      <c r="BY593" s="16"/>
    </row>
    <row r="594" spans="2:77" ht="12.5" x14ac:dyDescent="0.25">
      <c r="B594" s="14"/>
      <c r="C594" s="15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  <c r="BS594" s="16"/>
      <c r="BT594" s="16"/>
      <c r="BU594" s="16"/>
      <c r="BV594" s="16"/>
      <c r="BW594" s="16"/>
      <c r="BX594" s="16"/>
      <c r="BY594" s="16"/>
    </row>
    <row r="595" spans="2:77" ht="12.5" x14ac:dyDescent="0.25">
      <c r="B595" s="14"/>
      <c r="C595" s="15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  <c r="BS595" s="16"/>
      <c r="BT595" s="16"/>
      <c r="BU595" s="16"/>
      <c r="BV595" s="16"/>
      <c r="BW595" s="16"/>
      <c r="BX595" s="16"/>
      <c r="BY595" s="16"/>
    </row>
    <row r="596" spans="2:77" ht="12.5" x14ac:dyDescent="0.25">
      <c r="B596" s="14"/>
      <c r="C596" s="15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  <c r="BS596" s="16"/>
      <c r="BT596" s="16"/>
      <c r="BU596" s="16"/>
      <c r="BV596" s="16"/>
      <c r="BW596" s="16"/>
      <c r="BX596" s="16"/>
      <c r="BY596" s="16"/>
    </row>
    <row r="597" spans="2:77" ht="12.5" x14ac:dyDescent="0.25">
      <c r="B597" s="14"/>
      <c r="C597" s="15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  <c r="BS597" s="16"/>
      <c r="BT597" s="16"/>
      <c r="BU597" s="16"/>
      <c r="BV597" s="16"/>
      <c r="BW597" s="16"/>
      <c r="BX597" s="16"/>
      <c r="BY597" s="16"/>
    </row>
    <row r="598" spans="2:77" ht="12.5" x14ac:dyDescent="0.25">
      <c r="B598" s="14"/>
      <c r="C598" s="15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  <c r="BS598" s="16"/>
      <c r="BT598" s="16"/>
      <c r="BU598" s="16"/>
      <c r="BV598" s="16"/>
      <c r="BW598" s="16"/>
      <c r="BX598" s="16"/>
      <c r="BY598" s="16"/>
    </row>
    <row r="599" spans="2:77" ht="12.5" x14ac:dyDescent="0.25">
      <c r="B599" s="14"/>
      <c r="C599" s="15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  <c r="BS599" s="16"/>
      <c r="BT599" s="16"/>
      <c r="BU599" s="16"/>
      <c r="BV599" s="16"/>
      <c r="BW599" s="16"/>
      <c r="BX599" s="16"/>
      <c r="BY599" s="16"/>
    </row>
    <row r="600" spans="2:77" ht="12.5" x14ac:dyDescent="0.25">
      <c r="B600" s="14"/>
      <c r="C600" s="15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  <c r="BS600" s="16"/>
      <c r="BT600" s="16"/>
      <c r="BU600" s="16"/>
      <c r="BV600" s="16"/>
      <c r="BW600" s="16"/>
      <c r="BX600" s="16"/>
      <c r="BY600" s="16"/>
    </row>
    <row r="601" spans="2:77" ht="12.5" x14ac:dyDescent="0.25">
      <c r="B601" s="14"/>
      <c r="C601" s="15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  <c r="BS601" s="16"/>
      <c r="BT601" s="16"/>
      <c r="BU601" s="16"/>
      <c r="BV601" s="16"/>
      <c r="BW601" s="16"/>
      <c r="BX601" s="16"/>
      <c r="BY601" s="16"/>
    </row>
    <row r="602" spans="2:77" ht="12.5" x14ac:dyDescent="0.25">
      <c r="B602" s="14"/>
      <c r="C602" s="15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  <c r="BS602" s="16"/>
      <c r="BT602" s="16"/>
      <c r="BU602" s="16"/>
      <c r="BV602" s="16"/>
      <c r="BW602" s="16"/>
      <c r="BX602" s="16"/>
      <c r="BY602" s="16"/>
    </row>
    <row r="603" spans="2:77" ht="12.5" x14ac:dyDescent="0.25">
      <c r="B603" s="14"/>
      <c r="C603" s="15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  <c r="BS603" s="16"/>
      <c r="BT603" s="16"/>
      <c r="BU603" s="16"/>
      <c r="BV603" s="16"/>
      <c r="BW603" s="16"/>
      <c r="BX603" s="16"/>
      <c r="BY603" s="16"/>
    </row>
    <row r="604" spans="2:77" ht="12.5" x14ac:dyDescent="0.25">
      <c r="B604" s="14"/>
      <c r="C604" s="15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  <c r="BS604" s="16"/>
      <c r="BT604" s="16"/>
      <c r="BU604" s="16"/>
      <c r="BV604" s="16"/>
      <c r="BW604" s="16"/>
      <c r="BX604" s="16"/>
      <c r="BY604" s="16"/>
    </row>
    <row r="605" spans="2:77" ht="12.5" x14ac:dyDescent="0.25">
      <c r="B605" s="14"/>
      <c r="C605" s="15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  <c r="BS605" s="16"/>
      <c r="BT605" s="16"/>
      <c r="BU605" s="16"/>
      <c r="BV605" s="16"/>
      <c r="BW605" s="16"/>
      <c r="BX605" s="16"/>
      <c r="BY605" s="16"/>
    </row>
    <row r="606" spans="2:77" ht="12.5" x14ac:dyDescent="0.25">
      <c r="B606" s="14"/>
      <c r="C606" s="15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  <c r="BS606" s="16"/>
      <c r="BT606" s="16"/>
      <c r="BU606" s="16"/>
      <c r="BV606" s="16"/>
      <c r="BW606" s="16"/>
      <c r="BX606" s="16"/>
      <c r="BY606" s="16"/>
    </row>
    <row r="607" spans="2:77" ht="12.5" x14ac:dyDescent="0.25">
      <c r="B607" s="14"/>
      <c r="C607" s="15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  <c r="BS607" s="16"/>
      <c r="BT607" s="16"/>
      <c r="BU607" s="16"/>
      <c r="BV607" s="16"/>
      <c r="BW607" s="16"/>
      <c r="BX607" s="16"/>
      <c r="BY607" s="16"/>
    </row>
    <row r="608" spans="2:77" ht="12.5" x14ac:dyDescent="0.25">
      <c r="B608" s="14"/>
      <c r="C608" s="15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  <c r="BS608" s="16"/>
      <c r="BT608" s="16"/>
      <c r="BU608" s="16"/>
      <c r="BV608" s="16"/>
      <c r="BW608" s="16"/>
      <c r="BX608" s="16"/>
      <c r="BY608" s="16"/>
    </row>
    <row r="609" spans="2:77" ht="12.5" x14ac:dyDescent="0.25">
      <c r="B609" s="14"/>
      <c r="C609" s="15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  <c r="BS609" s="16"/>
      <c r="BT609" s="16"/>
      <c r="BU609" s="16"/>
      <c r="BV609" s="16"/>
      <c r="BW609" s="16"/>
      <c r="BX609" s="16"/>
      <c r="BY609" s="16"/>
    </row>
    <row r="610" spans="2:77" ht="12.5" x14ac:dyDescent="0.25">
      <c r="B610" s="14"/>
      <c r="C610" s="15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  <c r="BS610" s="16"/>
      <c r="BT610" s="16"/>
      <c r="BU610" s="16"/>
      <c r="BV610" s="16"/>
      <c r="BW610" s="16"/>
      <c r="BX610" s="16"/>
      <c r="BY610" s="16"/>
    </row>
    <row r="611" spans="2:77" ht="12.5" x14ac:dyDescent="0.25">
      <c r="B611" s="14"/>
      <c r="C611" s="15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  <c r="BS611" s="16"/>
      <c r="BT611" s="16"/>
      <c r="BU611" s="16"/>
      <c r="BV611" s="16"/>
      <c r="BW611" s="16"/>
      <c r="BX611" s="16"/>
      <c r="BY611" s="16"/>
    </row>
    <row r="612" spans="2:77" ht="12.5" x14ac:dyDescent="0.25">
      <c r="B612" s="14"/>
      <c r="C612" s="15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  <c r="BS612" s="16"/>
      <c r="BT612" s="16"/>
      <c r="BU612" s="16"/>
      <c r="BV612" s="16"/>
      <c r="BW612" s="16"/>
      <c r="BX612" s="16"/>
      <c r="BY612" s="16"/>
    </row>
    <row r="613" spans="2:77" ht="12.5" x14ac:dyDescent="0.25">
      <c r="B613" s="14"/>
      <c r="C613" s="15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  <c r="BS613" s="16"/>
      <c r="BT613" s="16"/>
      <c r="BU613" s="16"/>
      <c r="BV613" s="16"/>
      <c r="BW613" s="16"/>
      <c r="BX613" s="16"/>
      <c r="BY613" s="16"/>
    </row>
    <row r="614" spans="2:77" ht="12.5" x14ac:dyDescent="0.25">
      <c r="B614" s="14"/>
      <c r="C614" s="15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  <c r="BS614" s="16"/>
      <c r="BT614" s="16"/>
      <c r="BU614" s="16"/>
      <c r="BV614" s="16"/>
      <c r="BW614" s="16"/>
      <c r="BX614" s="16"/>
      <c r="BY614" s="16"/>
    </row>
    <row r="615" spans="2:77" ht="12.5" x14ac:dyDescent="0.25">
      <c r="B615" s="14"/>
      <c r="C615" s="15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  <c r="BS615" s="16"/>
      <c r="BT615" s="16"/>
      <c r="BU615" s="16"/>
      <c r="BV615" s="16"/>
      <c r="BW615" s="16"/>
      <c r="BX615" s="16"/>
      <c r="BY615" s="16"/>
    </row>
    <row r="616" spans="2:77" ht="12.5" x14ac:dyDescent="0.25">
      <c r="B616" s="14"/>
      <c r="C616" s="15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  <c r="BS616" s="16"/>
      <c r="BT616" s="16"/>
      <c r="BU616" s="16"/>
      <c r="BV616" s="16"/>
      <c r="BW616" s="16"/>
      <c r="BX616" s="16"/>
      <c r="BY616" s="16"/>
    </row>
    <row r="617" spans="2:77" ht="12.5" x14ac:dyDescent="0.25">
      <c r="B617" s="14"/>
      <c r="C617" s="15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  <c r="BS617" s="16"/>
      <c r="BT617" s="16"/>
      <c r="BU617" s="16"/>
      <c r="BV617" s="16"/>
      <c r="BW617" s="16"/>
      <c r="BX617" s="16"/>
      <c r="BY617" s="16"/>
    </row>
    <row r="618" spans="2:77" ht="12.5" x14ac:dyDescent="0.25">
      <c r="B618" s="14"/>
      <c r="C618" s="15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  <c r="BS618" s="16"/>
      <c r="BT618" s="16"/>
      <c r="BU618" s="16"/>
      <c r="BV618" s="16"/>
      <c r="BW618" s="16"/>
      <c r="BX618" s="16"/>
      <c r="BY618" s="16"/>
    </row>
    <row r="619" spans="2:77" ht="12.5" x14ac:dyDescent="0.25">
      <c r="B619" s="14"/>
      <c r="C619" s="15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  <c r="BS619" s="16"/>
      <c r="BT619" s="16"/>
      <c r="BU619" s="16"/>
      <c r="BV619" s="16"/>
      <c r="BW619" s="16"/>
      <c r="BX619" s="16"/>
      <c r="BY619" s="16"/>
    </row>
    <row r="620" spans="2:77" ht="12.5" x14ac:dyDescent="0.25">
      <c r="B620" s="14"/>
      <c r="C620" s="15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  <c r="BS620" s="16"/>
      <c r="BT620" s="16"/>
      <c r="BU620" s="16"/>
      <c r="BV620" s="16"/>
      <c r="BW620" s="16"/>
      <c r="BX620" s="16"/>
      <c r="BY620" s="16"/>
    </row>
    <row r="621" spans="2:77" ht="12.5" x14ac:dyDescent="0.25">
      <c r="B621" s="14"/>
      <c r="C621" s="15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  <c r="BS621" s="16"/>
      <c r="BT621" s="16"/>
      <c r="BU621" s="16"/>
      <c r="BV621" s="16"/>
      <c r="BW621" s="16"/>
      <c r="BX621" s="16"/>
      <c r="BY621" s="16"/>
    </row>
    <row r="622" spans="2:77" ht="12.5" x14ac:dyDescent="0.25">
      <c r="B622" s="14"/>
      <c r="C622" s="15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  <c r="BS622" s="16"/>
      <c r="BT622" s="16"/>
      <c r="BU622" s="16"/>
      <c r="BV622" s="16"/>
      <c r="BW622" s="16"/>
      <c r="BX622" s="16"/>
      <c r="BY622" s="16"/>
    </row>
    <row r="623" spans="2:77" ht="12.5" x14ac:dyDescent="0.25">
      <c r="B623" s="14"/>
      <c r="C623" s="15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  <c r="BS623" s="16"/>
      <c r="BT623" s="16"/>
      <c r="BU623" s="16"/>
      <c r="BV623" s="16"/>
      <c r="BW623" s="16"/>
      <c r="BX623" s="16"/>
      <c r="BY623" s="16"/>
    </row>
    <row r="624" spans="2:77" ht="12.5" x14ac:dyDescent="0.25">
      <c r="B624" s="14"/>
      <c r="C624" s="15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  <c r="BS624" s="16"/>
      <c r="BT624" s="16"/>
      <c r="BU624" s="16"/>
      <c r="BV624" s="16"/>
      <c r="BW624" s="16"/>
      <c r="BX624" s="16"/>
      <c r="BY624" s="16"/>
    </row>
    <row r="625" spans="2:77" ht="12.5" x14ac:dyDescent="0.25">
      <c r="B625" s="14"/>
      <c r="C625" s="15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  <c r="BS625" s="16"/>
      <c r="BT625" s="16"/>
      <c r="BU625" s="16"/>
      <c r="BV625" s="16"/>
      <c r="BW625" s="16"/>
      <c r="BX625" s="16"/>
      <c r="BY625" s="16"/>
    </row>
    <row r="626" spans="2:77" ht="12.5" x14ac:dyDescent="0.25">
      <c r="B626" s="14"/>
      <c r="C626" s="15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  <c r="BS626" s="16"/>
      <c r="BT626" s="16"/>
      <c r="BU626" s="16"/>
      <c r="BV626" s="16"/>
      <c r="BW626" s="16"/>
      <c r="BX626" s="16"/>
      <c r="BY626" s="16"/>
    </row>
    <row r="627" spans="2:77" ht="12.5" x14ac:dyDescent="0.25">
      <c r="B627" s="14"/>
      <c r="C627" s="15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  <c r="BS627" s="16"/>
      <c r="BT627" s="16"/>
      <c r="BU627" s="16"/>
      <c r="BV627" s="16"/>
      <c r="BW627" s="16"/>
      <c r="BX627" s="16"/>
      <c r="BY627" s="16"/>
    </row>
    <row r="628" spans="2:77" ht="12.5" x14ac:dyDescent="0.25">
      <c r="B628" s="14"/>
      <c r="C628" s="15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  <c r="BS628" s="16"/>
      <c r="BT628" s="16"/>
      <c r="BU628" s="16"/>
      <c r="BV628" s="16"/>
      <c r="BW628" s="16"/>
      <c r="BX628" s="16"/>
      <c r="BY628" s="16"/>
    </row>
    <row r="629" spans="2:77" ht="12.5" x14ac:dyDescent="0.25">
      <c r="B629" s="14"/>
      <c r="C629" s="15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  <c r="BS629" s="16"/>
      <c r="BT629" s="16"/>
      <c r="BU629" s="16"/>
      <c r="BV629" s="16"/>
      <c r="BW629" s="16"/>
      <c r="BX629" s="16"/>
      <c r="BY629" s="16"/>
    </row>
    <row r="630" spans="2:77" ht="12.5" x14ac:dyDescent="0.25">
      <c r="B630" s="14"/>
      <c r="C630" s="15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  <c r="BS630" s="16"/>
      <c r="BT630" s="16"/>
      <c r="BU630" s="16"/>
      <c r="BV630" s="16"/>
      <c r="BW630" s="16"/>
      <c r="BX630" s="16"/>
      <c r="BY630" s="16"/>
    </row>
    <row r="631" spans="2:77" ht="12.5" x14ac:dyDescent="0.25">
      <c r="B631" s="14"/>
      <c r="C631" s="15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  <c r="BS631" s="16"/>
      <c r="BT631" s="16"/>
      <c r="BU631" s="16"/>
      <c r="BV631" s="16"/>
      <c r="BW631" s="16"/>
      <c r="BX631" s="16"/>
      <c r="BY631" s="16"/>
    </row>
    <row r="632" spans="2:77" ht="12.5" x14ac:dyDescent="0.25">
      <c r="B632" s="14"/>
      <c r="C632" s="15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  <c r="BS632" s="16"/>
      <c r="BT632" s="16"/>
      <c r="BU632" s="16"/>
      <c r="BV632" s="16"/>
      <c r="BW632" s="16"/>
      <c r="BX632" s="16"/>
      <c r="BY632" s="16"/>
    </row>
    <row r="633" spans="2:77" ht="12.5" x14ac:dyDescent="0.25">
      <c r="B633" s="14"/>
      <c r="C633" s="15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  <c r="BS633" s="16"/>
      <c r="BT633" s="16"/>
      <c r="BU633" s="16"/>
      <c r="BV633" s="16"/>
      <c r="BW633" s="16"/>
      <c r="BX633" s="16"/>
      <c r="BY633" s="16"/>
    </row>
    <row r="634" spans="2:77" ht="12.5" x14ac:dyDescent="0.25">
      <c r="B634" s="14"/>
      <c r="C634" s="15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  <c r="BS634" s="16"/>
      <c r="BT634" s="16"/>
      <c r="BU634" s="16"/>
      <c r="BV634" s="16"/>
      <c r="BW634" s="16"/>
      <c r="BX634" s="16"/>
      <c r="BY634" s="16"/>
    </row>
    <row r="635" spans="2:77" ht="12.5" x14ac:dyDescent="0.25">
      <c r="B635" s="14"/>
      <c r="C635" s="15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  <c r="BS635" s="16"/>
      <c r="BT635" s="16"/>
      <c r="BU635" s="16"/>
      <c r="BV635" s="16"/>
      <c r="BW635" s="16"/>
      <c r="BX635" s="16"/>
      <c r="BY635" s="16"/>
    </row>
    <row r="636" spans="2:77" ht="12.5" x14ac:dyDescent="0.25">
      <c r="B636" s="14"/>
      <c r="C636" s="15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</row>
    <row r="637" spans="2:77" ht="12.5" x14ac:dyDescent="0.25">
      <c r="B637" s="14"/>
      <c r="C637" s="15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</row>
    <row r="638" spans="2:77" ht="12.5" x14ac:dyDescent="0.25">
      <c r="B638" s="14"/>
      <c r="C638" s="15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  <c r="BS638" s="16"/>
      <c r="BT638" s="16"/>
      <c r="BU638" s="16"/>
      <c r="BV638" s="16"/>
      <c r="BW638" s="16"/>
      <c r="BX638" s="16"/>
      <c r="BY638" s="16"/>
    </row>
    <row r="639" spans="2:77" ht="12.5" x14ac:dyDescent="0.25">
      <c r="B639" s="14"/>
      <c r="C639" s="15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  <c r="BS639" s="16"/>
      <c r="BT639" s="16"/>
      <c r="BU639" s="16"/>
      <c r="BV639" s="16"/>
      <c r="BW639" s="16"/>
      <c r="BX639" s="16"/>
      <c r="BY639" s="16"/>
    </row>
    <row r="640" spans="2:77" ht="12.5" x14ac:dyDescent="0.25">
      <c r="B640" s="14"/>
      <c r="C640" s="15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  <c r="BS640" s="16"/>
      <c r="BT640" s="16"/>
      <c r="BU640" s="16"/>
      <c r="BV640" s="16"/>
      <c r="BW640" s="16"/>
      <c r="BX640" s="16"/>
      <c r="BY640" s="16"/>
    </row>
    <row r="641" spans="2:77" ht="12.5" x14ac:dyDescent="0.25">
      <c r="B641" s="14"/>
      <c r="C641" s="15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  <c r="BS641" s="16"/>
      <c r="BT641" s="16"/>
      <c r="BU641" s="16"/>
      <c r="BV641" s="16"/>
      <c r="BW641" s="16"/>
      <c r="BX641" s="16"/>
      <c r="BY641" s="16"/>
    </row>
    <row r="642" spans="2:77" ht="12.5" x14ac:dyDescent="0.25">
      <c r="B642" s="14"/>
      <c r="C642" s="15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  <c r="BS642" s="16"/>
      <c r="BT642" s="16"/>
      <c r="BU642" s="16"/>
      <c r="BV642" s="16"/>
      <c r="BW642" s="16"/>
      <c r="BX642" s="16"/>
      <c r="BY642" s="16"/>
    </row>
    <row r="643" spans="2:77" ht="12.5" x14ac:dyDescent="0.25">
      <c r="B643" s="14"/>
      <c r="C643" s="15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  <c r="BS643" s="16"/>
      <c r="BT643" s="16"/>
      <c r="BU643" s="16"/>
      <c r="BV643" s="16"/>
      <c r="BW643" s="16"/>
      <c r="BX643" s="16"/>
      <c r="BY643" s="16"/>
    </row>
    <row r="644" spans="2:77" ht="12.5" x14ac:dyDescent="0.25">
      <c r="B644" s="14"/>
      <c r="C644" s="15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  <c r="BS644" s="16"/>
      <c r="BT644" s="16"/>
      <c r="BU644" s="16"/>
      <c r="BV644" s="16"/>
      <c r="BW644" s="16"/>
      <c r="BX644" s="16"/>
      <c r="BY644" s="16"/>
    </row>
    <row r="645" spans="2:77" ht="12.5" x14ac:dyDescent="0.25">
      <c r="B645" s="14"/>
      <c r="C645" s="15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  <c r="BS645" s="16"/>
      <c r="BT645" s="16"/>
      <c r="BU645" s="16"/>
      <c r="BV645" s="16"/>
      <c r="BW645" s="16"/>
      <c r="BX645" s="16"/>
      <c r="BY645" s="16"/>
    </row>
    <row r="646" spans="2:77" ht="12.5" x14ac:dyDescent="0.25">
      <c r="B646" s="14"/>
      <c r="C646" s="15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  <c r="BS646" s="16"/>
      <c r="BT646" s="16"/>
      <c r="BU646" s="16"/>
      <c r="BV646" s="16"/>
      <c r="BW646" s="16"/>
      <c r="BX646" s="16"/>
      <c r="BY646" s="16"/>
    </row>
    <row r="647" spans="2:77" ht="12.5" x14ac:dyDescent="0.25">
      <c r="B647" s="14"/>
      <c r="C647" s="15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  <c r="BS647" s="16"/>
      <c r="BT647" s="16"/>
      <c r="BU647" s="16"/>
      <c r="BV647" s="16"/>
      <c r="BW647" s="16"/>
      <c r="BX647" s="16"/>
      <c r="BY647" s="16"/>
    </row>
    <row r="648" spans="2:77" ht="12.5" x14ac:dyDescent="0.25">
      <c r="B648" s="14"/>
      <c r="C648" s="15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  <c r="BS648" s="16"/>
      <c r="BT648" s="16"/>
      <c r="BU648" s="16"/>
      <c r="BV648" s="16"/>
      <c r="BW648" s="16"/>
      <c r="BX648" s="16"/>
      <c r="BY648" s="16"/>
    </row>
    <row r="649" spans="2:77" ht="12.5" x14ac:dyDescent="0.25">
      <c r="B649" s="14"/>
      <c r="C649" s="15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  <c r="BS649" s="16"/>
      <c r="BT649" s="16"/>
      <c r="BU649" s="16"/>
      <c r="BV649" s="16"/>
      <c r="BW649" s="16"/>
      <c r="BX649" s="16"/>
      <c r="BY649" s="16"/>
    </row>
    <row r="650" spans="2:77" ht="12.5" x14ac:dyDescent="0.25">
      <c r="B650" s="14"/>
      <c r="C650" s="15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  <c r="BS650" s="16"/>
      <c r="BT650" s="16"/>
      <c r="BU650" s="16"/>
      <c r="BV650" s="16"/>
      <c r="BW650" s="16"/>
      <c r="BX650" s="16"/>
      <c r="BY650" s="16"/>
    </row>
    <row r="651" spans="2:77" ht="12.5" x14ac:dyDescent="0.25">
      <c r="B651" s="14"/>
      <c r="C651" s="15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  <c r="BS651" s="16"/>
      <c r="BT651" s="16"/>
      <c r="BU651" s="16"/>
      <c r="BV651" s="16"/>
      <c r="BW651" s="16"/>
      <c r="BX651" s="16"/>
      <c r="BY651" s="16"/>
    </row>
    <row r="652" spans="2:77" ht="12.5" x14ac:dyDescent="0.25">
      <c r="B652" s="14"/>
      <c r="C652" s="15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  <c r="BS652" s="16"/>
      <c r="BT652" s="16"/>
      <c r="BU652" s="16"/>
      <c r="BV652" s="16"/>
      <c r="BW652" s="16"/>
      <c r="BX652" s="16"/>
      <c r="BY652" s="16"/>
    </row>
    <row r="653" spans="2:77" ht="12.5" x14ac:dyDescent="0.25">
      <c r="B653" s="14"/>
      <c r="C653" s="15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  <c r="BS653" s="16"/>
      <c r="BT653" s="16"/>
      <c r="BU653" s="16"/>
      <c r="BV653" s="16"/>
      <c r="BW653" s="16"/>
      <c r="BX653" s="16"/>
      <c r="BY653" s="16"/>
    </row>
    <row r="654" spans="2:77" ht="12.5" x14ac:dyDescent="0.25">
      <c r="B654" s="14"/>
      <c r="C654" s="15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  <c r="BS654" s="16"/>
      <c r="BT654" s="16"/>
      <c r="BU654" s="16"/>
      <c r="BV654" s="16"/>
      <c r="BW654" s="16"/>
      <c r="BX654" s="16"/>
      <c r="BY654" s="16"/>
    </row>
    <row r="655" spans="2:77" ht="12.5" x14ac:dyDescent="0.25">
      <c r="B655" s="14"/>
      <c r="C655" s="15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  <c r="BS655" s="16"/>
      <c r="BT655" s="16"/>
      <c r="BU655" s="16"/>
      <c r="BV655" s="16"/>
      <c r="BW655" s="16"/>
      <c r="BX655" s="16"/>
      <c r="BY655" s="16"/>
    </row>
    <row r="656" spans="2:77" ht="12.5" x14ac:dyDescent="0.25">
      <c r="B656" s="14"/>
      <c r="C656" s="15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  <c r="BS656" s="16"/>
      <c r="BT656" s="16"/>
      <c r="BU656" s="16"/>
      <c r="BV656" s="16"/>
      <c r="BW656" s="16"/>
      <c r="BX656" s="16"/>
      <c r="BY656" s="16"/>
    </row>
    <row r="657" spans="2:77" ht="12.5" x14ac:dyDescent="0.25">
      <c r="B657" s="14"/>
      <c r="C657" s="15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  <c r="BS657" s="16"/>
      <c r="BT657" s="16"/>
      <c r="BU657" s="16"/>
      <c r="BV657" s="16"/>
      <c r="BW657" s="16"/>
      <c r="BX657" s="16"/>
      <c r="BY657" s="16"/>
    </row>
    <row r="658" spans="2:77" ht="12.5" x14ac:dyDescent="0.25">
      <c r="B658" s="14"/>
      <c r="C658" s="15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  <c r="BS658" s="16"/>
      <c r="BT658" s="16"/>
      <c r="BU658" s="16"/>
      <c r="BV658" s="16"/>
      <c r="BW658" s="16"/>
      <c r="BX658" s="16"/>
      <c r="BY658" s="16"/>
    </row>
    <row r="659" spans="2:77" ht="12.5" x14ac:dyDescent="0.25">
      <c r="B659" s="14"/>
      <c r="C659" s="15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  <c r="BS659" s="16"/>
      <c r="BT659" s="16"/>
      <c r="BU659" s="16"/>
      <c r="BV659" s="16"/>
      <c r="BW659" s="16"/>
      <c r="BX659" s="16"/>
      <c r="BY659" s="16"/>
    </row>
    <row r="660" spans="2:77" ht="12.5" x14ac:dyDescent="0.25">
      <c r="B660" s="14"/>
      <c r="C660" s="15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  <c r="BS660" s="16"/>
      <c r="BT660" s="16"/>
      <c r="BU660" s="16"/>
      <c r="BV660" s="16"/>
      <c r="BW660" s="16"/>
      <c r="BX660" s="16"/>
      <c r="BY660" s="16"/>
    </row>
    <row r="661" spans="2:77" ht="12.5" x14ac:dyDescent="0.25">
      <c r="B661" s="14"/>
      <c r="C661" s="15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  <c r="BS661" s="16"/>
      <c r="BT661" s="16"/>
      <c r="BU661" s="16"/>
      <c r="BV661" s="16"/>
      <c r="BW661" s="16"/>
      <c r="BX661" s="16"/>
      <c r="BY661" s="16"/>
    </row>
    <row r="662" spans="2:77" ht="12.5" x14ac:dyDescent="0.25">
      <c r="B662" s="14"/>
      <c r="C662" s="15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  <c r="BS662" s="16"/>
      <c r="BT662" s="16"/>
      <c r="BU662" s="16"/>
      <c r="BV662" s="16"/>
      <c r="BW662" s="16"/>
      <c r="BX662" s="16"/>
      <c r="BY662" s="16"/>
    </row>
    <row r="663" spans="2:77" ht="12.5" x14ac:dyDescent="0.25">
      <c r="B663" s="14"/>
      <c r="C663" s="15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  <c r="BS663" s="16"/>
      <c r="BT663" s="16"/>
      <c r="BU663" s="16"/>
      <c r="BV663" s="16"/>
      <c r="BW663" s="16"/>
      <c r="BX663" s="16"/>
      <c r="BY663" s="16"/>
    </row>
    <row r="664" spans="2:77" ht="12.5" x14ac:dyDescent="0.25">
      <c r="B664" s="14"/>
      <c r="C664" s="15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</row>
    <row r="665" spans="2:77" ht="12.5" x14ac:dyDescent="0.25">
      <c r="B665" s="14"/>
      <c r="C665" s="15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</row>
    <row r="666" spans="2:77" ht="12.5" x14ac:dyDescent="0.25">
      <c r="B666" s="14"/>
      <c r="C666" s="15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  <c r="BS666" s="16"/>
      <c r="BT666" s="16"/>
      <c r="BU666" s="16"/>
      <c r="BV666" s="16"/>
      <c r="BW666" s="16"/>
      <c r="BX666" s="16"/>
      <c r="BY666" s="16"/>
    </row>
    <row r="667" spans="2:77" ht="12.5" x14ac:dyDescent="0.25">
      <c r="B667" s="14"/>
      <c r="C667" s="15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  <c r="BS667" s="16"/>
      <c r="BT667" s="16"/>
      <c r="BU667" s="16"/>
      <c r="BV667" s="16"/>
      <c r="BW667" s="16"/>
      <c r="BX667" s="16"/>
      <c r="BY667" s="16"/>
    </row>
    <row r="668" spans="2:77" ht="12.5" x14ac:dyDescent="0.25">
      <c r="B668" s="14"/>
      <c r="C668" s="15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  <c r="BS668" s="16"/>
      <c r="BT668" s="16"/>
      <c r="BU668" s="16"/>
      <c r="BV668" s="16"/>
      <c r="BW668" s="16"/>
      <c r="BX668" s="16"/>
      <c r="BY668" s="16"/>
    </row>
    <row r="669" spans="2:77" ht="12.5" x14ac:dyDescent="0.25">
      <c r="B669" s="14"/>
      <c r="C669" s="15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  <c r="BS669" s="16"/>
      <c r="BT669" s="16"/>
      <c r="BU669" s="16"/>
      <c r="BV669" s="16"/>
      <c r="BW669" s="16"/>
      <c r="BX669" s="16"/>
      <c r="BY669" s="16"/>
    </row>
    <row r="670" spans="2:77" ht="12.5" x14ac:dyDescent="0.25">
      <c r="B670" s="14"/>
      <c r="C670" s="15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  <c r="BS670" s="16"/>
      <c r="BT670" s="16"/>
      <c r="BU670" s="16"/>
      <c r="BV670" s="16"/>
      <c r="BW670" s="16"/>
      <c r="BX670" s="16"/>
      <c r="BY670" s="16"/>
    </row>
    <row r="671" spans="2:77" ht="12.5" x14ac:dyDescent="0.25">
      <c r="B671" s="14"/>
      <c r="C671" s="15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  <c r="BS671" s="16"/>
      <c r="BT671" s="16"/>
      <c r="BU671" s="16"/>
      <c r="BV671" s="16"/>
      <c r="BW671" s="16"/>
      <c r="BX671" s="16"/>
      <c r="BY671" s="16"/>
    </row>
    <row r="672" spans="2:77" ht="12.5" x14ac:dyDescent="0.25">
      <c r="B672" s="14"/>
      <c r="C672" s="15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  <c r="BS672" s="16"/>
      <c r="BT672" s="16"/>
      <c r="BU672" s="16"/>
      <c r="BV672" s="16"/>
      <c r="BW672" s="16"/>
      <c r="BX672" s="16"/>
      <c r="BY672" s="16"/>
    </row>
    <row r="673" spans="2:77" ht="12.5" x14ac:dyDescent="0.25">
      <c r="B673" s="14"/>
      <c r="C673" s="15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  <c r="BS673" s="16"/>
      <c r="BT673" s="16"/>
      <c r="BU673" s="16"/>
      <c r="BV673" s="16"/>
      <c r="BW673" s="16"/>
      <c r="BX673" s="16"/>
      <c r="BY673" s="16"/>
    </row>
    <row r="674" spans="2:77" ht="12.5" x14ac:dyDescent="0.25">
      <c r="B674" s="14"/>
      <c r="C674" s="15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  <c r="BS674" s="16"/>
      <c r="BT674" s="16"/>
      <c r="BU674" s="16"/>
      <c r="BV674" s="16"/>
      <c r="BW674" s="16"/>
      <c r="BX674" s="16"/>
      <c r="BY674" s="16"/>
    </row>
    <row r="675" spans="2:77" ht="12.5" x14ac:dyDescent="0.25">
      <c r="B675" s="14"/>
      <c r="C675" s="15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  <c r="BS675" s="16"/>
      <c r="BT675" s="16"/>
      <c r="BU675" s="16"/>
      <c r="BV675" s="16"/>
      <c r="BW675" s="16"/>
      <c r="BX675" s="16"/>
      <c r="BY675" s="16"/>
    </row>
    <row r="676" spans="2:77" ht="12.5" x14ac:dyDescent="0.25">
      <c r="B676" s="14"/>
      <c r="C676" s="15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  <c r="BS676" s="16"/>
      <c r="BT676" s="16"/>
      <c r="BU676" s="16"/>
      <c r="BV676" s="16"/>
      <c r="BW676" s="16"/>
      <c r="BX676" s="16"/>
      <c r="BY676" s="16"/>
    </row>
    <row r="677" spans="2:77" ht="12.5" x14ac:dyDescent="0.25">
      <c r="B677" s="14"/>
      <c r="C677" s="15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  <c r="BS677" s="16"/>
      <c r="BT677" s="16"/>
      <c r="BU677" s="16"/>
      <c r="BV677" s="16"/>
      <c r="BW677" s="16"/>
      <c r="BX677" s="16"/>
      <c r="BY677" s="16"/>
    </row>
    <row r="678" spans="2:77" ht="12.5" x14ac:dyDescent="0.25">
      <c r="B678" s="14"/>
      <c r="C678" s="15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  <c r="BS678" s="16"/>
      <c r="BT678" s="16"/>
      <c r="BU678" s="16"/>
      <c r="BV678" s="16"/>
      <c r="BW678" s="16"/>
      <c r="BX678" s="16"/>
      <c r="BY678" s="16"/>
    </row>
    <row r="679" spans="2:77" ht="12.5" x14ac:dyDescent="0.25">
      <c r="B679" s="14"/>
      <c r="C679" s="15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  <c r="BS679" s="16"/>
      <c r="BT679" s="16"/>
      <c r="BU679" s="16"/>
      <c r="BV679" s="16"/>
      <c r="BW679" s="16"/>
      <c r="BX679" s="16"/>
      <c r="BY679" s="16"/>
    </row>
    <row r="680" spans="2:77" ht="12.5" x14ac:dyDescent="0.25">
      <c r="B680" s="14"/>
      <c r="C680" s="15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  <c r="BS680" s="16"/>
      <c r="BT680" s="16"/>
      <c r="BU680" s="16"/>
      <c r="BV680" s="16"/>
      <c r="BW680" s="16"/>
      <c r="BX680" s="16"/>
      <c r="BY680" s="16"/>
    </row>
    <row r="681" spans="2:77" ht="12.5" x14ac:dyDescent="0.25">
      <c r="B681" s="14"/>
      <c r="C681" s="15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  <c r="BS681" s="16"/>
      <c r="BT681" s="16"/>
      <c r="BU681" s="16"/>
      <c r="BV681" s="16"/>
      <c r="BW681" s="16"/>
      <c r="BX681" s="16"/>
      <c r="BY681" s="16"/>
    </row>
    <row r="682" spans="2:77" ht="12.5" x14ac:dyDescent="0.25">
      <c r="B682" s="14"/>
      <c r="C682" s="15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  <c r="BS682" s="16"/>
      <c r="BT682" s="16"/>
      <c r="BU682" s="16"/>
      <c r="BV682" s="16"/>
      <c r="BW682" s="16"/>
      <c r="BX682" s="16"/>
      <c r="BY682" s="16"/>
    </row>
    <row r="683" spans="2:77" ht="12.5" x14ac:dyDescent="0.25">
      <c r="B683" s="14"/>
      <c r="C683" s="15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  <c r="BS683" s="16"/>
      <c r="BT683" s="16"/>
      <c r="BU683" s="16"/>
      <c r="BV683" s="16"/>
      <c r="BW683" s="16"/>
      <c r="BX683" s="16"/>
      <c r="BY683" s="16"/>
    </row>
    <row r="684" spans="2:77" ht="12.5" x14ac:dyDescent="0.25">
      <c r="B684" s="14"/>
      <c r="C684" s="15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  <c r="BS684" s="16"/>
      <c r="BT684" s="16"/>
      <c r="BU684" s="16"/>
      <c r="BV684" s="16"/>
      <c r="BW684" s="16"/>
      <c r="BX684" s="16"/>
      <c r="BY684" s="16"/>
    </row>
    <row r="685" spans="2:77" ht="12.5" x14ac:dyDescent="0.25">
      <c r="B685" s="14"/>
      <c r="C685" s="15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  <c r="BS685" s="16"/>
      <c r="BT685" s="16"/>
      <c r="BU685" s="16"/>
      <c r="BV685" s="16"/>
      <c r="BW685" s="16"/>
      <c r="BX685" s="16"/>
      <c r="BY685" s="16"/>
    </row>
    <row r="686" spans="2:77" ht="12.5" x14ac:dyDescent="0.25">
      <c r="B686" s="14"/>
      <c r="C686" s="15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  <c r="BS686" s="16"/>
      <c r="BT686" s="16"/>
      <c r="BU686" s="16"/>
      <c r="BV686" s="16"/>
      <c r="BW686" s="16"/>
      <c r="BX686" s="16"/>
      <c r="BY686" s="16"/>
    </row>
    <row r="687" spans="2:77" ht="12.5" x14ac:dyDescent="0.25">
      <c r="B687" s="14"/>
      <c r="C687" s="15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  <c r="BS687" s="16"/>
      <c r="BT687" s="16"/>
      <c r="BU687" s="16"/>
      <c r="BV687" s="16"/>
      <c r="BW687" s="16"/>
      <c r="BX687" s="16"/>
      <c r="BY687" s="16"/>
    </row>
    <row r="688" spans="2:77" ht="12.5" x14ac:dyDescent="0.25">
      <c r="B688" s="14"/>
      <c r="C688" s="15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  <c r="BS688" s="16"/>
      <c r="BT688" s="16"/>
      <c r="BU688" s="16"/>
      <c r="BV688" s="16"/>
      <c r="BW688" s="16"/>
      <c r="BX688" s="16"/>
      <c r="BY688" s="16"/>
    </row>
    <row r="689" spans="2:77" ht="12.5" x14ac:dyDescent="0.25">
      <c r="B689" s="14"/>
      <c r="C689" s="15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  <c r="BS689" s="16"/>
      <c r="BT689" s="16"/>
      <c r="BU689" s="16"/>
      <c r="BV689" s="16"/>
      <c r="BW689" s="16"/>
      <c r="BX689" s="16"/>
      <c r="BY689" s="16"/>
    </row>
    <row r="690" spans="2:77" ht="12.5" x14ac:dyDescent="0.25">
      <c r="B690" s="14"/>
      <c r="C690" s="15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  <c r="BS690" s="16"/>
      <c r="BT690" s="16"/>
      <c r="BU690" s="16"/>
      <c r="BV690" s="16"/>
      <c r="BW690" s="16"/>
      <c r="BX690" s="16"/>
      <c r="BY690" s="16"/>
    </row>
    <row r="691" spans="2:77" ht="12.5" x14ac:dyDescent="0.25">
      <c r="B691" s="14"/>
      <c r="C691" s="15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  <c r="BS691" s="16"/>
      <c r="BT691" s="16"/>
      <c r="BU691" s="16"/>
      <c r="BV691" s="16"/>
      <c r="BW691" s="16"/>
      <c r="BX691" s="16"/>
      <c r="BY691" s="16"/>
    </row>
    <row r="692" spans="2:77" ht="12.5" x14ac:dyDescent="0.25">
      <c r="B692" s="14"/>
      <c r="C692" s="15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  <c r="BS692" s="16"/>
      <c r="BT692" s="16"/>
      <c r="BU692" s="16"/>
      <c r="BV692" s="16"/>
      <c r="BW692" s="16"/>
      <c r="BX692" s="16"/>
      <c r="BY692" s="16"/>
    </row>
    <row r="693" spans="2:77" ht="12.5" x14ac:dyDescent="0.25">
      <c r="B693" s="14"/>
      <c r="C693" s="15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  <c r="BS693" s="16"/>
      <c r="BT693" s="16"/>
      <c r="BU693" s="16"/>
      <c r="BV693" s="16"/>
      <c r="BW693" s="16"/>
      <c r="BX693" s="16"/>
      <c r="BY693" s="16"/>
    </row>
    <row r="694" spans="2:77" ht="12.5" x14ac:dyDescent="0.25">
      <c r="B694" s="14"/>
      <c r="C694" s="15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  <c r="BS694" s="16"/>
      <c r="BT694" s="16"/>
      <c r="BU694" s="16"/>
      <c r="BV694" s="16"/>
      <c r="BW694" s="16"/>
      <c r="BX694" s="16"/>
      <c r="BY694" s="16"/>
    </row>
    <row r="695" spans="2:77" ht="12.5" x14ac:dyDescent="0.25">
      <c r="B695" s="14"/>
      <c r="C695" s="15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  <c r="BS695" s="16"/>
      <c r="BT695" s="16"/>
      <c r="BU695" s="16"/>
      <c r="BV695" s="16"/>
      <c r="BW695" s="16"/>
      <c r="BX695" s="16"/>
      <c r="BY695" s="16"/>
    </row>
    <row r="696" spans="2:77" ht="12.5" x14ac:dyDescent="0.25">
      <c r="B696" s="14"/>
      <c r="C696" s="15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  <c r="BS696" s="16"/>
      <c r="BT696" s="16"/>
      <c r="BU696" s="16"/>
      <c r="BV696" s="16"/>
      <c r="BW696" s="16"/>
      <c r="BX696" s="16"/>
      <c r="BY696" s="16"/>
    </row>
    <row r="697" spans="2:77" ht="12.5" x14ac:dyDescent="0.25">
      <c r="B697" s="14"/>
      <c r="C697" s="15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  <c r="BS697" s="16"/>
      <c r="BT697" s="16"/>
      <c r="BU697" s="16"/>
      <c r="BV697" s="16"/>
      <c r="BW697" s="16"/>
      <c r="BX697" s="16"/>
      <c r="BY697" s="16"/>
    </row>
    <row r="698" spans="2:77" ht="12.5" x14ac:dyDescent="0.25">
      <c r="B698" s="14"/>
      <c r="C698" s="15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  <c r="BS698" s="16"/>
      <c r="BT698" s="16"/>
      <c r="BU698" s="16"/>
      <c r="BV698" s="16"/>
      <c r="BW698" s="16"/>
      <c r="BX698" s="16"/>
      <c r="BY698" s="16"/>
    </row>
    <row r="699" spans="2:77" ht="12.5" x14ac:dyDescent="0.25">
      <c r="B699" s="14"/>
      <c r="C699" s="15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  <c r="BS699" s="16"/>
      <c r="BT699" s="16"/>
      <c r="BU699" s="16"/>
      <c r="BV699" s="16"/>
      <c r="BW699" s="16"/>
      <c r="BX699" s="16"/>
      <c r="BY699" s="16"/>
    </row>
    <row r="700" spans="2:77" ht="12.5" x14ac:dyDescent="0.25">
      <c r="B700" s="14"/>
      <c r="C700" s="15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  <c r="BS700" s="16"/>
      <c r="BT700" s="16"/>
      <c r="BU700" s="16"/>
      <c r="BV700" s="16"/>
      <c r="BW700" s="16"/>
      <c r="BX700" s="16"/>
      <c r="BY700" s="16"/>
    </row>
    <row r="701" spans="2:77" ht="12.5" x14ac:dyDescent="0.25">
      <c r="B701" s="14"/>
      <c r="C701" s="15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  <c r="BS701" s="16"/>
      <c r="BT701" s="16"/>
      <c r="BU701" s="16"/>
      <c r="BV701" s="16"/>
      <c r="BW701" s="16"/>
      <c r="BX701" s="16"/>
      <c r="BY701" s="16"/>
    </row>
    <row r="702" spans="2:77" ht="12.5" x14ac:dyDescent="0.25">
      <c r="B702" s="14"/>
      <c r="C702" s="15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  <c r="BS702" s="16"/>
      <c r="BT702" s="16"/>
      <c r="BU702" s="16"/>
      <c r="BV702" s="16"/>
      <c r="BW702" s="16"/>
      <c r="BX702" s="16"/>
      <c r="BY702" s="16"/>
    </row>
    <row r="703" spans="2:77" ht="12.5" x14ac:dyDescent="0.25">
      <c r="B703" s="14"/>
      <c r="C703" s="15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  <c r="BS703" s="16"/>
      <c r="BT703" s="16"/>
      <c r="BU703" s="16"/>
      <c r="BV703" s="16"/>
      <c r="BW703" s="16"/>
      <c r="BX703" s="16"/>
      <c r="BY703" s="16"/>
    </row>
    <row r="704" spans="2:77" ht="12.5" x14ac:dyDescent="0.25">
      <c r="B704" s="14"/>
      <c r="C704" s="15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  <c r="BS704" s="16"/>
      <c r="BT704" s="16"/>
      <c r="BU704" s="16"/>
      <c r="BV704" s="16"/>
      <c r="BW704" s="16"/>
      <c r="BX704" s="16"/>
      <c r="BY704" s="16"/>
    </row>
    <row r="705" spans="2:77" ht="12.5" x14ac:dyDescent="0.25">
      <c r="B705" s="14"/>
      <c r="C705" s="15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  <c r="BS705" s="16"/>
      <c r="BT705" s="16"/>
      <c r="BU705" s="16"/>
      <c r="BV705" s="16"/>
      <c r="BW705" s="16"/>
      <c r="BX705" s="16"/>
      <c r="BY705" s="16"/>
    </row>
    <row r="706" spans="2:77" ht="12.5" x14ac:dyDescent="0.25">
      <c r="B706" s="14"/>
      <c r="C706" s="15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  <c r="BS706" s="16"/>
      <c r="BT706" s="16"/>
      <c r="BU706" s="16"/>
      <c r="BV706" s="16"/>
      <c r="BW706" s="16"/>
      <c r="BX706" s="16"/>
      <c r="BY706" s="16"/>
    </row>
    <row r="707" spans="2:77" ht="12.5" x14ac:dyDescent="0.25">
      <c r="B707" s="14"/>
      <c r="C707" s="15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  <c r="BS707" s="16"/>
      <c r="BT707" s="16"/>
      <c r="BU707" s="16"/>
      <c r="BV707" s="16"/>
      <c r="BW707" s="16"/>
      <c r="BX707" s="16"/>
      <c r="BY707" s="16"/>
    </row>
    <row r="708" spans="2:77" ht="12.5" x14ac:dyDescent="0.25">
      <c r="B708" s="14"/>
      <c r="C708" s="15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  <c r="BS708" s="16"/>
      <c r="BT708" s="16"/>
      <c r="BU708" s="16"/>
      <c r="BV708" s="16"/>
      <c r="BW708" s="16"/>
      <c r="BX708" s="16"/>
      <c r="BY708" s="16"/>
    </row>
    <row r="709" spans="2:77" ht="12.5" x14ac:dyDescent="0.25">
      <c r="B709" s="14"/>
      <c r="C709" s="15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  <c r="BS709" s="16"/>
      <c r="BT709" s="16"/>
      <c r="BU709" s="16"/>
      <c r="BV709" s="16"/>
      <c r="BW709" s="16"/>
      <c r="BX709" s="16"/>
      <c r="BY709" s="16"/>
    </row>
    <row r="710" spans="2:77" ht="12.5" x14ac:dyDescent="0.25">
      <c r="B710" s="14"/>
      <c r="C710" s="15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  <c r="BS710" s="16"/>
      <c r="BT710" s="16"/>
      <c r="BU710" s="16"/>
      <c r="BV710" s="16"/>
      <c r="BW710" s="16"/>
      <c r="BX710" s="16"/>
      <c r="BY710" s="16"/>
    </row>
    <row r="711" spans="2:77" ht="12.5" x14ac:dyDescent="0.25">
      <c r="B711" s="14"/>
      <c r="C711" s="15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  <c r="BS711" s="16"/>
      <c r="BT711" s="16"/>
      <c r="BU711" s="16"/>
      <c r="BV711" s="16"/>
      <c r="BW711" s="16"/>
      <c r="BX711" s="16"/>
      <c r="BY711" s="16"/>
    </row>
    <row r="712" spans="2:77" ht="12.5" x14ac:dyDescent="0.25">
      <c r="B712" s="14"/>
      <c r="C712" s="15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/>
      <c r="BW712" s="16"/>
      <c r="BX712" s="16"/>
      <c r="BY712" s="16"/>
    </row>
    <row r="713" spans="2:77" ht="12.5" x14ac:dyDescent="0.25">
      <c r="B713" s="14"/>
      <c r="C713" s="15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/>
      <c r="BU713" s="16"/>
      <c r="BV713" s="16"/>
      <c r="BW713" s="16"/>
      <c r="BX713" s="16"/>
      <c r="BY713" s="16"/>
    </row>
    <row r="714" spans="2:77" ht="12.5" x14ac:dyDescent="0.25">
      <c r="B714" s="14"/>
      <c r="C714" s="15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/>
      <c r="BX714" s="16"/>
      <c r="BY714" s="16"/>
    </row>
    <row r="715" spans="2:77" ht="12.5" x14ac:dyDescent="0.25">
      <c r="B715" s="14"/>
      <c r="C715" s="15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/>
      <c r="BX715" s="16"/>
      <c r="BY715" s="16"/>
    </row>
    <row r="716" spans="2:77" ht="12.5" x14ac:dyDescent="0.25">
      <c r="B716" s="14"/>
      <c r="C716" s="15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/>
      <c r="BX716" s="16"/>
      <c r="BY716" s="16"/>
    </row>
    <row r="717" spans="2:77" ht="12.5" x14ac:dyDescent="0.25">
      <c r="B717" s="14"/>
      <c r="C717" s="15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/>
      <c r="BX717" s="16"/>
      <c r="BY717" s="16"/>
    </row>
    <row r="718" spans="2:77" ht="12.5" x14ac:dyDescent="0.25">
      <c r="B718" s="14"/>
      <c r="C718" s="15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/>
      <c r="BX718" s="16"/>
      <c r="BY718" s="16"/>
    </row>
    <row r="719" spans="2:77" ht="12.5" x14ac:dyDescent="0.25">
      <c r="B719" s="14"/>
      <c r="C719" s="15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/>
      <c r="BX719" s="16"/>
      <c r="BY719" s="16"/>
    </row>
    <row r="720" spans="2:77" ht="12.5" x14ac:dyDescent="0.25">
      <c r="B720" s="14"/>
      <c r="C720" s="15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/>
      <c r="BX720" s="16"/>
      <c r="BY720" s="16"/>
    </row>
    <row r="721" spans="2:77" ht="12.5" x14ac:dyDescent="0.25">
      <c r="B721" s="14"/>
      <c r="C721" s="15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/>
      <c r="BX721" s="16"/>
      <c r="BY721" s="16"/>
    </row>
    <row r="722" spans="2:77" ht="12.5" x14ac:dyDescent="0.25">
      <c r="B722" s="14"/>
      <c r="C722" s="15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  <c r="BS722" s="16"/>
      <c r="BT722" s="16"/>
      <c r="BU722" s="16"/>
      <c r="BV722" s="16"/>
      <c r="BW722" s="16"/>
      <c r="BX722" s="16"/>
      <c r="BY722" s="16"/>
    </row>
    <row r="723" spans="2:77" ht="12.5" x14ac:dyDescent="0.25">
      <c r="B723" s="14"/>
      <c r="C723" s="15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  <c r="BS723" s="16"/>
      <c r="BT723" s="16"/>
      <c r="BU723" s="16"/>
      <c r="BV723" s="16"/>
      <c r="BW723" s="16"/>
      <c r="BX723" s="16"/>
      <c r="BY723" s="16"/>
    </row>
    <row r="724" spans="2:77" ht="12.5" x14ac:dyDescent="0.25">
      <c r="B724" s="14"/>
      <c r="C724" s="15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  <c r="BS724" s="16"/>
      <c r="BT724" s="16"/>
      <c r="BU724" s="16"/>
      <c r="BV724" s="16"/>
      <c r="BW724" s="16"/>
      <c r="BX724" s="16"/>
      <c r="BY724" s="16"/>
    </row>
    <row r="725" spans="2:77" ht="12.5" x14ac:dyDescent="0.25">
      <c r="B725" s="14"/>
      <c r="C725" s="15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  <c r="BS725" s="16"/>
      <c r="BT725" s="16"/>
      <c r="BU725" s="16"/>
      <c r="BV725" s="16"/>
      <c r="BW725" s="16"/>
      <c r="BX725" s="16"/>
      <c r="BY725" s="16"/>
    </row>
    <row r="726" spans="2:77" ht="12.5" x14ac:dyDescent="0.25">
      <c r="B726" s="14"/>
      <c r="C726" s="15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  <c r="BS726" s="16"/>
      <c r="BT726" s="16"/>
      <c r="BU726" s="16"/>
      <c r="BV726" s="16"/>
      <c r="BW726" s="16"/>
      <c r="BX726" s="16"/>
      <c r="BY726" s="16"/>
    </row>
    <row r="727" spans="2:77" ht="12.5" x14ac:dyDescent="0.25">
      <c r="B727" s="14"/>
      <c r="C727" s="15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  <c r="BS727" s="16"/>
      <c r="BT727" s="16"/>
      <c r="BU727" s="16"/>
      <c r="BV727" s="16"/>
      <c r="BW727" s="16"/>
      <c r="BX727" s="16"/>
      <c r="BY727" s="16"/>
    </row>
    <row r="728" spans="2:77" ht="12.5" x14ac:dyDescent="0.25">
      <c r="B728" s="14"/>
      <c r="C728" s="15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/>
      <c r="BW728" s="16"/>
      <c r="BX728" s="16"/>
      <c r="BY728" s="16"/>
    </row>
    <row r="729" spans="2:77" ht="12.5" x14ac:dyDescent="0.25">
      <c r="B729" s="14"/>
      <c r="C729" s="15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  <c r="BS729" s="16"/>
      <c r="BT729" s="16"/>
      <c r="BU729" s="16"/>
      <c r="BV729" s="16"/>
      <c r="BW729" s="16"/>
      <c r="BX729" s="16"/>
      <c r="BY729" s="16"/>
    </row>
    <row r="730" spans="2:77" ht="12.5" x14ac:dyDescent="0.25">
      <c r="B730" s="14"/>
      <c r="C730" s="15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  <c r="BS730" s="16"/>
      <c r="BT730" s="16"/>
      <c r="BU730" s="16"/>
      <c r="BV730" s="16"/>
      <c r="BW730" s="16"/>
      <c r="BX730" s="16"/>
      <c r="BY730" s="16"/>
    </row>
    <row r="731" spans="2:77" ht="12.5" x14ac:dyDescent="0.25">
      <c r="B731" s="14"/>
      <c r="C731" s="15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  <c r="BS731" s="16"/>
      <c r="BT731" s="16"/>
      <c r="BU731" s="16"/>
      <c r="BV731" s="16"/>
      <c r="BW731" s="16"/>
      <c r="BX731" s="16"/>
      <c r="BY731" s="16"/>
    </row>
    <row r="732" spans="2:77" ht="12.5" x14ac:dyDescent="0.25">
      <c r="B732" s="14"/>
      <c r="C732" s="15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  <c r="BS732" s="16"/>
      <c r="BT732" s="16"/>
      <c r="BU732" s="16"/>
      <c r="BV732" s="16"/>
      <c r="BW732" s="16"/>
      <c r="BX732" s="16"/>
      <c r="BY732" s="16"/>
    </row>
    <row r="733" spans="2:77" ht="12.5" x14ac:dyDescent="0.25">
      <c r="B733" s="14"/>
      <c r="C733" s="15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  <c r="BS733" s="16"/>
      <c r="BT733" s="16"/>
      <c r="BU733" s="16"/>
      <c r="BV733" s="16"/>
      <c r="BW733" s="16"/>
      <c r="BX733" s="16"/>
      <c r="BY733" s="16"/>
    </row>
    <row r="734" spans="2:77" ht="12.5" x14ac:dyDescent="0.25">
      <c r="B734" s="14"/>
      <c r="C734" s="15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  <c r="BS734" s="16"/>
      <c r="BT734" s="16"/>
      <c r="BU734" s="16"/>
      <c r="BV734" s="16"/>
      <c r="BW734" s="16"/>
      <c r="BX734" s="16"/>
      <c r="BY734" s="16"/>
    </row>
    <row r="735" spans="2:77" ht="12.5" x14ac:dyDescent="0.25">
      <c r="B735" s="14"/>
      <c r="C735" s="15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  <c r="BS735" s="16"/>
      <c r="BT735" s="16"/>
      <c r="BU735" s="16"/>
      <c r="BV735" s="16"/>
      <c r="BW735" s="16"/>
      <c r="BX735" s="16"/>
      <c r="BY735" s="16"/>
    </row>
    <row r="736" spans="2:77" ht="12.5" x14ac:dyDescent="0.25">
      <c r="B736" s="14"/>
      <c r="C736" s="15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  <c r="BS736" s="16"/>
      <c r="BT736" s="16"/>
      <c r="BU736" s="16"/>
      <c r="BV736" s="16"/>
      <c r="BW736" s="16"/>
      <c r="BX736" s="16"/>
      <c r="BY736" s="16"/>
    </row>
    <row r="737" spans="2:77" ht="12.5" x14ac:dyDescent="0.25">
      <c r="B737" s="14"/>
      <c r="C737" s="15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  <c r="BS737" s="16"/>
      <c r="BT737" s="16"/>
      <c r="BU737" s="16"/>
      <c r="BV737" s="16"/>
      <c r="BW737" s="16"/>
      <c r="BX737" s="16"/>
      <c r="BY737" s="16"/>
    </row>
    <row r="738" spans="2:77" ht="12.5" x14ac:dyDescent="0.25">
      <c r="B738" s="14"/>
      <c r="C738" s="15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  <c r="BS738" s="16"/>
      <c r="BT738" s="16"/>
      <c r="BU738" s="16"/>
      <c r="BV738" s="16"/>
      <c r="BW738" s="16"/>
      <c r="BX738" s="16"/>
      <c r="BY738" s="16"/>
    </row>
    <row r="739" spans="2:77" ht="12.5" x14ac:dyDescent="0.25">
      <c r="B739" s="14"/>
      <c r="C739" s="15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</row>
    <row r="740" spans="2:77" ht="12.5" x14ac:dyDescent="0.25">
      <c r="B740" s="14"/>
      <c r="C740" s="15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  <c r="BS740" s="16"/>
      <c r="BT740" s="16"/>
      <c r="BU740" s="16"/>
      <c r="BV740" s="16"/>
      <c r="BW740" s="16"/>
      <c r="BX740" s="16"/>
      <c r="BY740" s="16"/>
    </row>
    <row r="741" spans="2:77" ht="12.5" x14ac:dyDescent="0.25">
      <c r="B741" s="14"/>
      <c r="C741" s="15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  <c r="BS741" s="16"/>
      <c r="BT741" s="16"/>
      <c r="BU741" s="16"/>
      <c r="BV741" s="16"/>
      <c r="BW741" s="16"/>
      <c r="BX741" s="16"/>
      <c r="BY741" s="16"/>
    </row>
    <row r="742" spans="2:77" ht="12.5" x14ac:dyDescent="0.25">
      <c r="B742" s="14"/>
      <c r="C742" s="15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  <c r="BS742" s="16"/>
      <c r="BT742" s="16"/>
      <c r="BU742" s="16"/>
      <c r="BV742" s="16"/>
      <c r="BW742" s="16"/>
      <c r="BX742" s="16"/>
      <c r="BY742" s="16"/>
    </row>
    <row r="743" spans="2:77" ht="12.5" x14ac:dyDescent="0.25">
      <c r="B743" s="14"/>
      <c r="C743" s="15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/>
      <c r="BV743" s="16"/>
      <c r="BW743" s="16"/>
      <c r="BX743" s="16"/>
      <c r="BY743" s="16"/>
    </row>
    <row r="744" spans="2:77" ht="12.5" x14ac:dyDescent="0.25">
      <c r="B744" s="14"/>
      <c r="C744" s="15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  <c r="BS744" s="16"/>
      <c r="BT744" s="16"/>
      <c r="BU744" s="16"/>
      <c r="BV744" s="16"/>
      <c r="BW744" s="16"/>
      <c r="BX744" s="16"/>
      <c r="BY744" s="16"/>
    </row>
    <row r="745" spans="2:77" ht="12.5" x14ac:dyDescent="0.25">
      <c r="B745" s="14"/>
      <c r="C745" s="15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</row>
    <row r="746" spans="2:77" ht="12.5" x14ac:dyDescent="0.25">
      <c r="B746" s="14"/>
      <c r="C746" s="15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</row>
    <row r="747" spans="2:77" ht="12.5" x14ac:dyDescent="0.25">
      <c r="B747" s="14"/>
      <c r="C747" s="15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/>
      <c r="BT747" s="16"/>
      <c r="BU747" s="16"/>
      <c r="BV747" s="16"/>
      <c r="BW747" s="16"/>
      <c r="BX747" s="16"/>
      <c r="BY747" s="16"/>
    </row>
    <row r="748" spans="2:77" ht="12.5" x14ac:dyDescent="0.25">
      <c r="B748" s="14"/>
      <c r="C748" s="15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  <c r="BS748" s="16"/>
      <c r="BT748" s="16"/>
      <c r="BU748" s="16"/>
      <c r="BV748" s="16"/>
      <c r="BW748" s="16"/>
      <c r="BX748" s="16"/>
      <c r="BY748" s="16"/>
    </row>
    <row r="749" spans="2:77" ht="12.5" x14ac:dyDescent="0.25">
      <c r="B749" s="14"/>
      <c r="C749" s="15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  <c r="BS749" s="16"/>
      <c r="BT749" s="16"/>
      <c r="BU749" s="16"/>
      <c r="BV749" s="16"/>
      <c r="BW749" s="16"/>
      <c r="BX749" s="16"/>
      <c r="BY749" s="16"/>
    </row>
    <row r="750" spans="2:77" ht="12.5" x14ac:dyDescent="0.25">
      <c r="B750" s="14"/>
      <c r="C750" s="15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  <c r="BS750" s="16"/>
      <c r="BT750" s="16"/>
      <c r="BU750" s="16"/>
      <c r="BV750" s="16"/>
      <c r="BW750" s="16"/>
      <c r="BX750" s="16"/>
      <c r="BY750" s="16"/>
    </row>
    <row r="751" spans="2:77" ht="12.5" x14ac:dyDescent="0.25">
      <c r="B751" s="14"/>
      <c r="C751" s="15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/>
      <c r="BU751" s="16"/>
      <c r="BV751" s="16"/>
      <c r="BW751" s="16"/>
      <c r="BX751" s="16"/>
      <c r="BY751" s="16"/>
    </row>
    <row r="752" spans="2:77" ht="12.5" x14ac:dyDescent="0.25">
      <c r="B752" s="14"/>
      <c r="C752" s="15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  <c r="BS752" s="16"/>
      <c r="BT752" s="16"/>
      <c r="BU752" s="16"/>
      <c r="BV752" s="16"/>
      <c r="BW752" s="16"/>
      <c r="BX752" s="16"/>
      <c r="BY752" s="16"/>
    </row>
    <row r="753" spans="2:77" ht="12.5" x14ac:dyDescent="0.25">
      <c r="B753" s="14"/>
      <c r="C753" s="15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  <c r="BS753" s="16"/>
      <c r="BT753" s="16"/>
      <c r="BU753" s="16"/>
      <c r="BV753" s="16"/>
      <c r="BW753" s="16"/>
      <c r="BX753" s="16"/>
      <c r="BY753" s="16"/>
    </row>
    <row r="754" spans="2:77" ht="12.5" x14ac:dyDescent="0.25">
      <c r="B754" s="14"/>
      <c r="C754" s="15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  <c r="BS754" s="16"/>
      <c r="BT754" s="16"/>
      <c r="BU754" s="16"/>
      <c r="BV754" s="16"/>
      <c r="BW754" s="16"/>
      <c r="BX754" s="16"/>
      <c r="BY754" s="16"/>
    </row>
    <row r="755" spans="2:77" ht="12.5" x14ac:dyDescent="0.25">
      <c r="B755" s="14"/>
      <c r="C755" s="15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  <c r="BS755" s="16"/>
      <c r="BT755" s="16"/>
      <c r="BU755" s="16"/>
      <c r="BV755" s="16"/>
      <c r="BW755" s="16"/>
      <c r="BX755" s="16"/>
      <c r="BY755" s="16"/>
    </row>
    <row r="756" spans="2:77" ht="12.5" x14ac:dyDescent="0.25">
      <c r="B756" s="14"/>
      <c r="C756" s="15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  <c r="BS756" s="16"/>
      <c r="BT756" s="16"/>
      <c r="BU756" s="16"/>
      <c r="BV756" s="16"/>
      <c r="BW756" s="16"/>
      <c r="BX756" s="16"/>
      <c r="BY756" s="16"/>
    </row>
    <row r="757" spans="2:77" ht="12.5" x14ac:dyDescent="0.25">
      <c r="B757" s="14"/>
      <c r="C757" s="15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  <c r="BS757" s="16"/>
      <c r="BT757" s="16"/>
      <c r="BU757" s="16"/>
      <c r="BV757" s="16"/>
      <c r="BW757" s="16"/>
      <c r="BX757" s="16"/>
      <c r="BY757" s="16"/>
    </row>
    <row r="758" spans="2:77" ht="12.5" x14ac:dyDescent="0.25">
      <c r="B758" s="14"/>
      <c r="C758" s="15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  <c r="BS758" s="16"/>
      <c r="BT758" s="16"/>
      <c r="BU758" s="16"/>
      <c r="BV758" s="16"/>
      <c r="BW758" s="16"/>
      <c r="BX758" s="16"/>
      <c r="BY758" s="16"/>
    </row>
    <row r="759" spans="2:77" ht="12.5" x14ac:dyDescent="0.25">
      <c r="B759" s="14"/>
      <c r="C759" s="15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  <c r="BS759" s="16"/>
      <c r="BT759" s="16"/>
      <c r="BU759" s="16"/>
      <c r="BV759" s="16"/>
      <c r="BW759" s="16"/>
      <c r="BX759" s="16"/>
      <c r="BY759" s="16"/>
    </row>
    <row r="760" spans="2:77" ht="12.5" x14ac:dyDescent="0.25">
      <c r="B760" s="14"/>
      <c r="C760" s="15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  <c r="BS760" s="16"/>
      <c r="BT760" s="16"/>
      <c r="BU760" s="16"/>
      <c r="BV760" s="16"/>
      <c r="BW760" s="16"/>
      <c r="BX760" s="16"/>
      <c r="BY760" s="16"/>
    </row>
    <row r="761" spans="2:77" ht="12.5" x14ac:dyDescent="0.25">
      <c r="B761" s="14"/>
      <c r="C761" s="15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  <c r="BS761" s="16"/>
      <c r="BT761" s="16"/>
      <c r="BU761" s="16"/>
      <c r="BV761" s="16"/>
      <c r="BW761" s="16"/>
      <c r="BX761" s="16"/>
      <c r="BY761" s="16"/>
    </row>
    <row r="762" spans="2:77" ht="12.5" x14ac:dyDescent="0.25">
      <c r="B762" s="14"/>
      <c r="C762" s="15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  <c r="BS762" s="16"/>
      <c r="BT762" s="16"/>
      <c r="BU762" s="16"/>
      <c r="BV762" s="16"/>
      <c r="BW762" s="16"/>
      <c r="BX762" s="16"/>
      <c r="BY762" s="16"/>
    </row>
    <row r="763" spans="2:77" ht="12.5" x14ac:dyDescent="0.25">
      <c r="B763" s="14"/>
      <c r="C763" s="15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  <c r="BS763" s="16"/>
      <c r="BT763" s="16"/>
      <c r="BU763" s="16"/>
      <c r="BV763" s="16"/>
      <c r="BW763" s="16"/>
      <c r="BX763" s="16"/>
      <c r="BY763" s="16"/>
    </row>
    <row r="764" spans="2:77" ht="12.5" x14ac:dyDescent="0.25">
      <c r="B764" s="14"/>
      <c r="C764" s="15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  <c r="BS764" s="16"/>
      <c r="BT764" s="16"/>
      <c r="BU764" s="16"/>
      <c r="BV764" s="16"/>
      <c r="BW764" s="16"/>
      <c r="BX764" s="16"/>
      <c r="BY764" s="16"/>
    </row>
    <row r="765" spans="2:77" ht="12.5" x14ac:dyDescent="0.25">
      <c r="B765" s="14"/>
      <c r="C765" s="15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  <c r="BS765" s="16"/>
      <c r="BT765" s="16"/>
      <c r="BU765" s="16"/>
      <c r="BV765" s="16"/>
      <c r="BW765" s="16"/>
      <c r="BX765" s="16"/>
      <c r="BY765" s="16"/>
    </row>
    <row r="766" spans="2:77" ht="12.5" x14ac:dyDescent="0.25">
      <c r="B766" s="14"/>
      <c r="C766" s="15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  <c r="BS766" s="16"/>
      <c r="BT766" s="16"/>
      <c r="BU766" s="16"/>
      <c r="BV766" s="16"/>
      <c r="BW766" s="16"/>
      <c r="BX766" s="16"/>
      <c r="BY766" s="16"/>
    </row>
    <row r="767" spans="2:77" ht="12.5" x14ac:dyDescent="0.25">
      <c r="B767" s="14"/>
      <c r="C767" s="15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  <c r="BS767" s="16"/>
      <c r="BT767" s="16"/>
      <c r="BU767" s="16"/>
      <c r="BV767" s="16"/>
      <c r="BW767" s="16"/>
      <c r="BX767" s="16"/>
      <c r="BY767" s="16"/>
    </row>
    <row r="768" spans="2:77" ht="12.5" x14ac:dyDescent="0.25">
      <c r="B768" s="14"/>
      <c r="C768" s="15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  <c r="BS768" s="16"/>
      <c r="BT768" s="16"/>
      <c r="BU768" s="16"/>
      <c r="BV768" s="16"/>
      <c r="BW768" s="16"/>
      <c r="BX768" s="16"/>
      <c r="BY768" s="16"/>
    </row>
    <row r="769" spans="2:77" ht="12.5" x14ac:dyDescent="0.25">
      <c r="B769" s="14"/>
      <c r="C769" s="15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  <c r="BS769" s="16"/>
      <c r="BT769" s="16"/>
      <c r="BU769" s="16"/>
      <c r="BV769" s="16"/>
      <c r="BW769" s="16"/>
      <c r="BX769" s="16"/>
      <c r="BY769" s="16"/>
    </row>
    <row r="770" spans="2:77" ht="12.5" x14ac:dyDescent="0.25">
      <c r="B770" s="14"/>
      <c r="C770" s="15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  <c r="BS770" s="16"/>
      <c r="BT770" s="16"/>
      <c r="BU770" s="16"/>
      <c r="BV770" s="16"/>
      <c r="BW770" s="16"/>
      <c r="BX770" s="16"/>
      <c r="BY770" s="16"/>
    </row>
    <row r="771" spans="2:77" ht="12.5" x14ac:dyDescent="0.25">
      <c r="B771" s="14"/>
      <c r="C771" s="15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  <c r="BS771" s="16"/>
      <c r="BT771" s="16"/>
      <c r="BU771" s="16"/>
      <c r="BV771" s="16"/>
      <c r="BW771" s="16"/>
      <c r="BX771" s="16"/>
      <c r="BY771" s="16"/>
    </row>
    <row r="772" spans="2:77" ht="12.5" x14ac:dyDescent="0.25">
      <c r="B772" s="14"/>
      <c r="C772" s="15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  <c r="BS772" s="16"/>
      <c r="BT772" s="16"/>
      <c r="BU772" s="16"/>
      <c r="BV772" s="16"/>
      <c r="BW772" s="16"/>
      <c r="BX772" s="16"/>
      <c r="BY772" s="16"/>
    </row>
    <row r="773" spans="2:77" ht="12.5" x14ac:dyDescent="0.25">
      <c r="B773" s="14"/>
      <c r="C773" s="15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  <c r="BS773" s="16"/>
      <c r="BT773" s="16"/>
      <c r="BU773" s="16"/>
      <c r="BV773" s="16"/>
      <c r="BW773" s="16"/>
      <c r="BX773" s="16"/>
      <c r="BY773" s="16"/>
    </row>
    <row r="774" spans="2:77" ht="12.5" x14ac:dyDescent="0.25">
      <c r="B774" s="14"/>
      <c r="C774" s="15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  <c r="BS774" s="16"/>
      <c r="BT774" s="16"/>
      <c r="BU774" s="16"/>
      <c r="BV774" s="16"/>
      <c r="BW774" s="16"/>
      <c r="BX774" s="16"/>
      <c r="BY774" s="16"/>
    </row>
    <row r="775" spans="2:77" ht="12.5" x14ac:dyDescent="0.25">
      <c r="B775" s="14"/>
      <c r="C775" s="15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  <c r="BS775" s="16"/>
      <c r="BT775" s="16"/>
      <c r="BU775" s="16"/>
      <c r="BV775" s="16"/>
      <c r="BW775" s="16"/>
      <c r="BX775" s="16"/>
      <c r="BY775" s="16"/>
    </row>
    <row r="776" spans="2:77" ht="12.5" x14ac:dyDescent="0.25">
      <c r="B776" s="14"/>
      <c r="C776" s="15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  <c r="BS776" s="16"/>
      <c r="BT776" s="16"/>
      <c r="BU776" s="16"/>
      <c r="BV776" s="16"/>
      <c r="BW776" s="16"/>
      <c r="BX776" s="16"/>
      <c r="BY776" s="16"/>
    </row>
    <row r="777" spans="2:77" ht="12.5" x14ac:dyDescent="0.25">
      <c r="B777" s="14"/>
      <c r="C777" s="15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  <c r="BS777" s="16"/>
      <c r="BT777" s="16"/>
      <c r="BU777" s="16"/>
      <c r="BV777" s="16"/>
      <c r="BW777" s="16"/>
      <c r="BX777" s="16"/>
      <c r="BY777" s="16"/>
    </row>
    <row r="778" spans="2:77" ht="12.5" x14ac:dyDescent="0.25">
      <c r="B778" s="14"/>
      <c r="C778" s="15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  <c r="BS778" s="16"/>
      <c r="BT778" s="16"/>
      <c r="BU778" s="16"/>
      <c r="BV778" s="16"/>
      <c r="BW778" s="16"/>
      <c r="BX778" s="16"/>
      <c r="BY778" s="16"/>
    </row>
    <row r="779" spans="2:77" ht="12.5" x14ac:dyDescent="0.25">
      <c r="B779" s="14"/>
      <c r="C779" s="15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  <c r="BS779" s="16"/>
      <c r="BT779" s="16"/>
      <c r="BU779" s="16"/>
      <c r="BV779" s="16"/>
      <c r="BW779" s="16"/>
      <c r="BX779" s="16"/>
      <c r="BY779" s="16"/>
    </row>
    <row r="780" spans="2:77" ht="12.5" x14ac:dyDescent="0.25">
      <c r="B780" s="14"/>
      <c r="C780" s="15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  <c r="BS780" s="16"/>
      <c r="BT780" s="16"/>
      <c r="BU780" s="16"/>
      <c r="BV780" s="16"/>
      <c r="BW780" s="16"/>
      <c r="BX780" s="16"/>
      <c r="BY780" s="16"/>
    </row>
    <row r="781" spans="2:77" ht="12.5" x14ac:dyDescent="0.25">
      <c r="B781" s="14"/>
      <c r="C781" s="15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  <c r="BS781" s="16"/>
      <c r="BT781" s="16"/>
      <c r="BU781" s="16"/>
      <c r="BV781" s="16"/>
      <c r="BW781" s="16"/>
      <c r="BX781" s="16"/>
      <c r="BY781" s="16"/>
    </row>
    <row r="782" spans="2:77" ht="12.5" x14ac:dyDescent="0.25">
      <c r="B782" s="14"/>
      <c r="C782" s="15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  <c r="BS782" s="16"/>
      <c r="BT782" s="16"/>
      <c r="BU782" s="16"/>
      <c r="BV782" s="16"/>
      <c r="BW782" s="16"/>
      <c r="BX782" s="16"/>
      <c r="BY782" s="16"/>
    </row>
    <row r="783" spans="2:77" ht="12.5" x14ac:dyDescent="0.25">
      <c r="B783" s="14"/>
      <c r="C783" s="15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  <c r="BS783" s="16"/>
      <c r="BT783" s="16"/>
      <c r="BU783" s="16"/>
      <c r="BV783" s="16"/>
      <c r="BW783" s="16"/>
      <c r="BX783" s="16"/>
      <c r="BY783" s="16"/>
    </row>
    <row r="784" spans="2:77" ht="12.5" x14ac:dyDescent="0.25">
      <c r="B784" s="14"/>
      <c r="C784" s="15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  <c r="BS784" s="16"/>
      <c r="BT784" s="16"/>
      <c r="BU784" s="16"/>
      <c r="BV784" s="16"/>
      <c r="BW784" s="16"/>
      <c r="BX784" s="16"/>
      <c r="BY784" s="16"/>
    </row>
    <row r="785" spans="2:77" ht="12.5" x14ac:dyDescent="0.25">
      <c r="B785" s="14"/>
      <c r="C785" s="15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  <c r="BS785" s="16"/>
      <c r="BT785" s="16"/>
      <c r="BU785" s="16"/>
      <c r="BV785" s="16"/>
      <c r="BW785" s="16"/>
      <c r="BX785" s="16"/>
      <c r="BY785" s="16"/>
    </row>
    <row r="786" spans="2:77" ht="12.5" x14ac:dyDescent="0.25">
      <c r="B786" s="14"/>
      <c r="C786" s="15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  <c r="BS786" s="16"/>
      <c r="BT786" s="16"/>
      <c r="BU786" s="16"/>
      <c r="BV786" s="16"/>
      <c r="BW786" s="16"/>
      <c r="BX786" s="16"/>
      <c r="BY786" s="16"/>
    </row>
    <row r="787" spans="2:77" ht="12.5" x14ac:dyDescent="0.25">
      <c r="B787" s="14"/>
      <c r="C787" s="15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  <c r="BS787" s="16"/>
      <c r="BT787" s="16"/>
      <c r="BU787" s="16"/>
      <c r="BV787" s="16"/>
      <c r="BW787" s="16"/>
      <c r="BX787" s="16"/>
      <c r="BY787" s="16"/>
    </row>
    <row r="788" spans="2:77" ht="12.5" x14ac:dyDescent="0.25">
      <c r="B788" s="14"/>
      <c r="C788" s="15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  <c r="BS788" s="16"/>
      <c r="BT788" s="16"/>
      <c r="BU788" s="16"/>
      <c r="BV788" s="16"/>
      <c r="BW788" s="16"/>
      <c r="BX788" s="16"/>
      <c r="BY788" s="16"/>
    </row>
    <row r="789" spans="2:77" ht="12.5" x14ac:dyDescent="0.25">
      <c r="B789" s="14"/>
      <c r="C789" s="15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  <c r="BS789" s="16"/>
      <c r="BT789" s="16"/>
      <c r="BU789" s="16"/>
      <c r="BV789" s="16"/>
      <c r="BW789" s="16"/>
      <c r="BX789" s="16"/>
      <c r="BY789" s="16"/>
    </row>
    <row r="790" spans="2:77" ht="12.5" x14ac:dyDescent="0.25">
      <c r="B790" s="14"/>
      <c r="C790" s="15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  <c r="BS790" s="16"/>
      <c r="BT790" s="16"/>
      <c r="BU790" s="16"/>
      <c r="BV790" s="16"/>
      <c r="BW790" s="16"/>
      <c r="BX790" s="16"/>
      <c r="BY790" s="16"/>
    </row>
    <row r="791" spans="2:77" ht="12.5" x14ac:dyDescent="0.25">
      <c r="B791" s="14"/>
      <c r="C791" s="15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  <c r="BS791" s="16"/>
      <c r="BT791" s="16"/>
      <c r="BU791" s="16"/>
      <c r="BV791" s="16"/>
      <c r="BW791" s="16"/>
      <c r="BX791" s="16"/>
      <c r="BY791" s="16"/>
    </row>
    <row r="792" spans="2:77" ht="12.5" x14ac:dyDescent="0.25">
      <c r="B792" s="14"/>
      <c r="C792" s="15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  <c r="BS792" s="16"/>
      <c r="BT792" s="16"/>
      <c r="BU792" s="16"/>
      <c r="BV792" s="16"/>
      <c r="BW792" s="16"/>
      <c r="BX792" s="16"/>
      <c r="BY792" s="16"/>
    </row>
    <row r="793" spans="2:77" ht="12.5" x14ac:dyDescent="0.25">
      <c r="B793" s="14"/>
      <c r="C793" s="15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  <c r="BS793" s="16"/>
      <c r="BT793" s="16"/>
      <c r="BU793" s="16"/>
      <c r="BV793" s="16"/>
      <c r="BW793" s="16"/>
      <c r="BX793" s="16"/>
      <c r="BY793" s="16"/>
    </row>
    <row r="794" spans="2:77" ht="12.5" x14ac:dyDescent="0.25">
      <c r="B794" s="14"/>
      <c r="C794" s="15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  <c r="BS794" s="16"/>
      <c r="BT794" s="16"/>
      <c r="BU794" s="16"/>
      <c r="BV794" s="16"/>
      <c r="BW794" s="16"/>
      <c r="BX794" s="16"/>
      <c r="BY794" s="16"/>
    </row>
    <row r="795" spans="2:77" ht="12.5" x14ac:dyDescent="0.25">
      <c r="B795" s="14"/>
      <c r="C795" s="15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  <c r="BS795" s="16"/>
      <c r="BT795" s="16"/>
      <c r="BU795" s="16"/>
      <c r="BV795" s="16"/>
      <c r="BW795" s="16"/>
      <c r="BX795" s="16"/>
      <c r="BY795" s="16"/>
    </row>
    <row r="796" spans="2:77" ht="12.5" x14ac:dyDescent="0.25">
      <c r="B796" s="14"/>
      <c r="C796" s="15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  <c r="BS796" s="16"/>
      <c r="BT796" s="16"/>
      <c r="BU796" s="16"/>
      <c r="BV796" s="16"/>
      <c r="BW796" s="16"/>
      <c r="BX796" s="16"/>
      <c r="BY796" s="16"/>
    </row>
    <row r="797" spans="2:77" ht="12.5" x14ac:dyDescent="0.25">
      <c r="B797" s="14"/>
      <c r="C797" s="15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  <c r="BS797" s="16"/>
      <c r="BT797" s="16"/>
      <c r="BU797" s="16"/>
      <c r="BV797" s="16"/>
      <c r="BW797" s="16"/>
      <c r="BX797" s="16"/>
      <c r="BY797" s="16"/>
    </row>
    <row r="798" spans="2:77" ht="12.5" x14ac:dyDescent="0.25">
      <c r="B798" s="14"/>
      <c r="C798" s="15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  <c r="BS798" s="16"/>
      <c r="BT798" s="16"/>
      <c r="BU798" s="16"/>
      <c r="BV798" s="16"/>
      <c r="BW798" s="16"/>
      <c r="BX798" s="16"/>
      <c r="BY798" s="16"/>
    </row>
    <row r="799" spans="2:77" ht="12.5" x14ac:dyDescent="0.25">
      <c r="B799" s="14"/>
      <c r="C799" s="15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  <c r="BS799" s="16"/>
      <c r="BT799" s="16"/>
      <c r="BU799" s="16"/>
      <c r="BV799" s="16"/>
      <c r="BW799" s="16"/>
      <c r="BX799" s="16"/>
      <c r="BY799" s="16"/>
    </row>
    <row r="800" spans="2:77" ht="12.5" x14ac:dyDescent="0.25">
      <c r="B800" s="14"/>
      <c r="C800" s="15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  <c r="BS800" s="16"/>
      <c r="BT800" s="16"/>
      <c r="BU800" s="16"/>
      <c r="BV800" s="16"/>
      <c r="BW800" s="16"/>
      <c r="BX800" s="16"/>
      <c r="BY800" s="16"/>
    </row>
    <row r="801" spans="2:77" ht="12.5" x14ac:dyDescent="0.25">
      <c r="B801" s="14"/>
      <c r="C801" s="15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  <c r="BS801" s="16"/>
      <c r="BT801" s="16"/>
      <c r="BU801" s="16"/>
      <c r="BV801" s="16"/>
      <c r="BW801" s="16"/>
      <c r="BX801" s="16"/>
      <c r="BY801" s="16"/>
    </row>
    <row r="802" spans="2:77" ht="12.5" x14ac:dyDescent="0.25">
      <c r="B802" s="14"/>
      <c r="C802" s="15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  <c r="BS802" s="16"/>
      <c r="BT802" s="16"/>
      <c r="BU802" s="16"/>
      <c r="BV802" s="16"/>
      <c r="BW802" s="16"/>
      <c r="BX802" s="16"/>
      <c r="BY802" s="16"/>
    </row>
    <row r="803" spans="2:77" ht="12.5" x14ac:dyDescent="0.25">
      <c r="B803" s="14"/>
      <c r="C803" s="15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  <c r="BS803" s="16"/>
      <c r="BT803" s="16"/>
      <c r="BU803" s="16"/>
      <c r="BV803" s="16"/>
      <c r="BW803" s="16"/>
      <c r="BX803" s="16"/>
      <c r="BY803" s="16"/>
    </row>
    <row r="804" spans="2:77" ht="12.5" x14ac:dyDescent="0.25">
      <c r="B804" s="14"/>
      <c r="C804" s="15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  <c r="BS804" s="16"/>
      <c r="BT804" s="16"/>
      <c r="BU804" s="16"/>
      <c r="BV804" s="16"/>
      <c r="BW804" s="16"/>
      <c r="BX804" s="16"/>
      <c r="BY804" s="16"/>
    </row>
    <row r="805" spans="2:77" ht="12.5" x14ac:dyDescent="0.25">
      <c r="B805" s="14"/>
      <c r="C805" s="15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  <c r="BS805" s="16"/>
      <c r="BT805" s="16"/>
      <c r="BU805" s="16"/>
      <c r="BV805" s="16"/>
      <c r="BW805" s="16"/>
      <c r="BX805" s="16"/>
      <c r="BY805" s="16"/>
    </row>
    <row r="806" spans="2:77" ht="12.5" x14ac:dyDescent="0.25">
      <c r="B806" s="14"/>
      <c r="C806" s="15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  <c r="BS806" s="16"/>
      <c r="BT806" s="16"/>
      <c r="BU806" s="16"/>
      <c r="BV806" s="16"/>
      <c r="BW806" s="16"/>
      <c r="BX806" s="16"/>
      <c r="BY806" s="16"/>
    </row>
    <row r="807" spans="2:77" ht="12.5" x14ac:dyDescent="0.25">
      <c r="B807" s="14"/>
      <c r="C807" s="15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  <c r="BS807" s="16"/>
      <c r="BT807" s="16"/>
      <c r="BU807" s="16"/>
      <c r="BV807" s="16"/>
      <c r="BW807" s="16"/>
      <c r="BX807" s="16"/>
      <c r="BY807" s="16"/>
    </row>
    <row r="808" spans="2:77" ht="12.5" x14ac:dyDescent="0.25">
      <c r="B808" s="14"/>
      <c r="C808" s="15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  <c r="BS808" s="16"/>
      <c r="BT808" s="16"/>
      <c r="BU808" s="16"/>
      <c r="BV808" s="16"/>
      <c r="BW808" s="16"/>
      <c r="BX808" s="16"/>
      <c r="BY808" s="16"/>
    </row>
    <row r="809" spans="2:77" ht="12.5" x14ac:dyDescent="0.25">
      <c r="B809" s="14"/>
      <c r="C809" s="15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  <c r="BS809" s="16"/>
      <c r="BT809" s="16"/>
      <c r="BU809" s="16"/>
      <c r="BV809" s="16"/>
      <c r="BW809" s="16"/>
      <c r="BX809" s="16"/>
      <c r="BY809" s="16"/>
    </row>
    <row r="810" spans="2:77" ht="12.5" x14ac:dyDescent="0.25">
      <c r="B810" s="14"/>
      <c r="C810" s="15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  <c r="BS810" s="16"/>
      <c r="BT810" s="16"/>
      <c r="BU810" s="16"/>
      <c r="BV810" s="16"/>
      <c r="BW810" s="16"/>
      <c r="BX810" s="16"/>
      <c r="BY810" s="16"/>
    </row>
    <row r="811" spans="2:77" ht="12.5" x14ac:dyDescent="0.25">
      <c r="B811" s="14"/>
      <c r="C811" s="15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  <c r="BS811" s="16"/>
      <c r="BT811" s="16"/>
      <c r="BU811" s="16"/>
      <c r="BV811" s="16"/>
      <c r="BW811" s="16"/>
      <c r="BX811" s="16"/>
      <c r="BY811" s="16"/>
    </row>
    <row r="812" spans="2:77" ht="12.5" x14ac:dyDescent="0.25">
      <c r="B812" s="14"/>
      <c r="C812" s="15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  <c r="BS812" s="16"/>
      <c r="BT812" s="16"/>
      <c r="BU812" s="16"/>
      <c r="BV812" s="16"/>
      <c r="BW812" s="16"/>
      <c r="BX812" s="16"/>
      <c r="BY812" s="16"/>
    </row>
    <row r="813" spans="2:77" ht="12.5" x14ac:dyDescent="0.25">
      <c r="B813" s="14"/>
      <c r="C813" s="15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  <c r="BS813" s="16"/>
      <c r="BT813" s="16"/>
      <c r="BU813" s="16"/>
      <c r="BV813" s="16"/>
      <c r="BW813" s="16"/>
      <c r="BX813" s="16"/>
      <c r="BY813" s="16"/>
    </row>
    <row r="814" spans="2:77" ht="12.5" x14ac:dyDescent="0.25">
      <c r="B814" s="14"/>
      <c r="C814" s="15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  <c r="BS814" s="16"/>
      <c r="BT814" s="16"/>
      <c r="BU814" s="16"/>
      <c r="BV814" s="16"/>
      <c r="BW814" s="16"/>
      <c r="BX814" s="16"/>
      <c r="BY814" s="16"/>
    </row>
    <row r="815" spans="2:77" ht="12.5" x14ac:dyDescent="0.25">
      <c r="B815" s="14"/>
      <c r="C815" s="15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  <c r="BS815" s="16"/>
      <c r="BT815" s="16"/>
      <c r="BU815" s="16"/>
      <c r="BV815" s="16"/>
      <c r="BW815" s="16"/>
      <c r="BX815" s="16"/>
      <c r="BY815" s="16"/>
    </row>
    <row r="816" spans="2:77" ht="12.5" x14ac:dyDescent="0.25">
      <c r="B816" s="14"/>
      <c r="C816" s="15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  <c r="BS816" s="16"/>
      <c r="BT816" s="16"/>
      <c r="BU816" s="16"/>
      <c r="BV816" s="16"/>
      <c r="BW816" s="16"/>
      <c r="BX816" s="16"/>
      <c r="BY816" s="16"/>
    </row>
    <row r="817" spans="2:77" ht="12.5" x14ac:dyDescent="0.25">
      <c r="B817" s="14"/>
      <c r="C817" s="15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  <c r="BS817" s="16"/>
      <c r="BT817" s="16"/>
      <c r="BU817" s="16"/>
      <c r="BV817" s="16"/>
      <c r="BW817" s="16"/>
      <c r="BX817" s="16"/>
      <c r="BY817" s="16"/>
    </row>
    <row r="818" spans="2:77" ht="12.5" x14ac:dyDescent="0.25">
      <c r="B818" s="14"/>
      <c r="C818" s="15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  <c r="BS818" s="16"/>
      <c r="BT818" s="16"/>
      <c r="BU818" s="16"/>
      <c r="BV818" s="16"/>
      <c r="BW818" s="16"/>
      <c r="BX818" s="16"/>
      <c r="BY818" s="16"/>
    </row>
    <row r="819" spans="2:77" ht="12.5" x14ac:dyDescent="0.25">
      <c r="B819" s="14"/>
      <c r="C819" s="15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  <c r="BS819" s="16"/>
      <c r="BT819" s="16"/>
      <c r="BU819" s="16"/>
      <c r="BV819" s="16"/>
      <c r="BW819" s="16"/>
      <c r="BX819" s="16"/>
      <c r="BY819" s="16"/>
    </row>
    <row r="820" spans="2:77" ht="12.5" x14ac:dyDescent="0.25">
      <c r="B820" s="14"/>
      <c r="C820" s="15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  <c r="BS820" s="16"/>
      <c r="BT820" s="16"/>
      <c r="BU820" s="16"/>
      <c r="BV820" s="16"/>
      <c r="BW820" s="16"/>
      <c r="BX820" s="16"/>
      <c r="BY820" s="16"/>
    </row>
    <row r="821" spans="2:77" ht="12.5" x14ac:dyDescent="0.25">
      <c r="B821" s="14"/>
      <c r="C821" s="15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  <c r="BS821" s="16"/>
      <c r="BT821" s="16"/>
      <c r="BU821" s="16"/>
      <c r="BV821" s="16"/>
      <c r="BW821" s="16"/>
      <c r="BX821" s="16"/>
      <c r="BY821" s="16"/>
    </row>
    <row r="822" spans="2:77" ht="12.5" x14ac:dyDescent="0.25">
      <c r="B822" s="14"/>
      <c r="C822" s="15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  <c r="BS822" s="16"/>
      <c r="BT822" s="16"/>
      <c r="BU822" s="16"/>
      <c r="BV822" s="16"/>
      <c r="BW822" s="16"/>
      <c r="BX822" s="16"/>
      <c r="BY822" s="16"/>
    </row>
    <row r="823" spans="2:77" ht="12.5" x14ac:dyDescent="0.25">
      <c r="B823" s="14"/>
      <c r="C823" s="15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  <c r="BS823" s="16"/>
      <c r="BT823" s="16"/>
      <c r="BU823" s="16"/>
      <c r="BV823" s="16"/>
      <c r="BW823" s="16"/>
      <c r="BX823" s="16"/>
      <c r="BY823" s="16"/>
    </row>
    <row r="824" spans="2:77" ht="12.5" x14ac:dyDescent="0.25">
      <c r="B824" s="14"/>
      <c r="C824" s="15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  <c r="BS824" s="16"/>
      <c r="BT824" s="16"/>
      <c r="BU824" s="16"/>
      <c r="BV824" s="16"/>
      <c r="BW824" s="16"/>
      <c r="BX824" s="16"/>
      <c r="BY824" s="16"/>
    </row>
    <row r="825" spans="2:77" ht="12.5" x14ac:dyDescent="0.25">
      <c r="B825" s="14"/>
      <c r="C825" s="15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  <c r="BS825" s="16"/>
      <c r="BT825" s="16"/>
      <c r="BU825" s="16"/>
      <c r="BV825" s="16"/>
      <c r="BW825" s="16"/>
      <c r="BX825" s="16"/>
      <c r="BY825" s="16"/>
    </row>
    <row r="826" spans="2:77" ht="12.5" x14ac:dyDescent="0.25">
      <c r="B826" s="14"/>
      <c r="C826" s="15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  <c r="BS826" s="16"/>
      <c r="BT826" s="16"/>
      <c r="BU826" s="16"/>
      <c r="BV826" s="16"/>
      <c r="BW826" s="16"/>
      <c r="BX826" s="16"/>
      <c r="BY826" s="16"/>
    </row>
    <row r="827" spans="2:77" ht="12.5" x14ac:dyDescent="0.25">
      <c r="B827" s="14"/>
      <c r="C827" s="15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  <c r="BS827" s="16"/>
      <c r="BT827" s="16"/>
      <c r="BU827" s="16"/>
      <c r="BV827" s="16"/>
      <c r="BW827" s="16"/>
      <c r="BX827" s="16"/>
      <c r="BY827" s="16"/>
    </row>
    <row r="828" spans="2:77" ht="12.5" x14ac:dyDescent="0.25">
      <c r="B828" s="14"/>
      <c r="C828" s="15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  <c r="BS828" s="16"/>
      <c r="BT828" s="16"/>
      <c r="BU828" s="16"/>
      <c r="BV828" s="16"/>
      <c r="BW828" s="16"/>
      <c r="BX828" s="16"/>
      <c r="BY828" s="16"/>
    </row>
    <row r="829" spans="2:77" ht="12.5" x14ac:dyDescent="0.25">
      <c r="B829" s="14"/>
      <c r="C829" s="15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  <c r="BS829" s="16"/>
      <c r="BT829" s="16"/>
      <c r="BU829" s="16"/>
      <c r="BV829" s="16"/>
      <c r="BW829" s="16"/>
      <c r="BX829" s="16"/>
      <c r="BY829" s="16"/>
    </row>
    <row r="830" spans="2:77" ht="12.5" x14ac:dyDescent="0.25">
      <c r="B830" s="14"/>
      <c r="C830" s="15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  <c r="BS830" s="16"/>
      <c r="BT830" s="16"/>
      <c r="BU830" s="16"/>
      <c r="BV830" s="16"/>
      <c r="BW830" s="16"/>
      <c r="BX830" s="16"/>
      <c r="BY830" s="16"/>
    </row>
    <row r="831" spans="2:77" ht="12.5" x14ac:dyDescent="0.25">
      <c r="B831" s="14"/>
      <c r="C831" s="15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  <c r="BS831" s="16"/>
      <c r="BT831" s="16"/>
      <c r="BU831" s="16"/>
      <c r="BV831" s="16"/>
      <c r="BW831" s="16"/>
      <c r="BX831" s="16"/>
      <c r="BY831" s="16"/>
    </row>
    <row r="832" spans="2:77" ht="12.5" x14ac:dyDescent="0.25">
      <c r="B832" s="14"/>
      <c r="C832" s="15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  <c r="BS832" s="16"/>
      <c r="BT832" s="16"/>
      <c r="BU832" s="16"/>
      <c r="BV832" s="16"/>
      <c r="BW832" s="16"/>
      <c r="BX832" s="16"/>
      <c r="BY832" s="16"/>
    </row>
    <row r="833" spans="2:77" ht="12.5" x14ac:dyDescent="0.25">
      <c r="B833" s="14"/>
      <c r="C833" s="15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  <c r="BS833" s="16"/>
      <c r="BT833" s="16"/>
      <c r="BU833" s="16"/>
      <c r="BV833" s="16"/>
      <c r="BW833" s="16"/>
      <c r="BX833" s="16"/>
      <c r="BY833" s="16"/>
    </row>
    <row r="834" spans="2:77" ht="12.5" x14ac:dyDescent="0.25">
      <c r="B834" s="14"/>
      <c r="C834" s="15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16"/>
      <c r="BX834" s="16"/>
      <c r="BY834" s="16"/>
    </row>
    <row r="835" spans="2:77" ht="12.5" x14ac:dyDescent="0.25">
      <c r="B835" s="14"/>
      <c r="C835" s="15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  <c r="BS835" s="16"/>
      <c r="BT835" s="16"/>
      <c r="BU835" s="16"/>
      <c r="BV835" s="16"/>
      <c r="BW835" s="16"/>
      <c r="BX835" s="16"/>
      <c r="BY835" s="16"/>
    </row>
    <row r="836" spans="2:77" ht="12.5" x14ac:dyDescent="0.25">
      <c r="B836" s="14"/>
      <c r="C836" s="15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/>
      <c r="BV836" s="16"/>
      <c r="BW836" s="16"/>
      <c r="BX836" s="16"/>
      <c r="BY836" s="16"/>
    </row>
    <row r="837" spans="2:77" ht="12.5" x14ac:dyDescent="0.25">
      <c r="B837" s="14"/>
      <c r="C837" s="15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  <c r="BS837" s="16"/>
      <c r="BT837" s="16"/>
      <c r="BU837" s="16"/>
      <c r="BV837" s="16"/>
      <c r="BW837" s="16"/>
      <c r="BX837" s="16"/>
      <c r="BY837" s="16"/>
    </row>
    <row r="838" spans="2:77" ht="12.5" x14ac:dyDescent="0.25">
      <c r="B838" s="14"/>
      <c r="C838" s="15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</row>
    <row r="839" spans="2:77" ht="12.5" x14ac:dyDescent="0.25">
      <c r="B839" s="14"/>
      <c r="C839" s="15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/>
      <c r="BX839" s="16"/>
      <c r="BY839" s="16"/>
    </row>
    <row r="840" spans="2:77" ht="12.5" x14ac:dyDescent="0.25">
      <c r="B840" s="14"/>
      <c r="C840" s="15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</row>
    <row r="841" spans="2:77" ht="12.5" x14ac:dyDescent="0.25">
      <c r="B841" s="14"/>
      <c r="C841" s="15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</row>
    <row r="842" spans="2:77" ht="12.5" x14ac:dyDescent="0.25">
      <c r="B842" s="14"/>
      <c r="C842" s="15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/>
      <c r="BW842" s="16"/>
      <c r="BX842" s="16"/>
      <c r="BY842" s="16"/>
    </row>
    <row r="843" spans="2:77" ht="12.5" x14ac:dyDescent="0.25">
      <c r="B843" s="14"/>
      <c r="C843" s="15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  <c r="BS843" s="16"/>
      <c r="BT843" s="16"/>
      <c r="BU843" s="16"/>
      <c r="BV843" s="16"/>
      <c r="BW843" s="16"/>
      <c r="BX843" s="16"/>
      <c r="BY843" s="16"/>
    </row>
    <row r="844" spans="2:77" ht="12.5" x14ac:dyDescent="0.25">
      <c r="B844" s="14"/>
      <c r="C844" s="15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  <c r="BS844" s="16"/>
      <c r="BT844" s="16"/>
      <c r="BU844" s="16"/>
      <c r="BV844" s="16"/>
      <c r="BW844" s="16"/>
      <c r="BX844" s="16"/>
      <c r="BY844" s="16"/>
    </row>
    <row r="845" spans="2:77" ht="12.5" x14ac:dyDescent="0.25">
      <c r="B845" s="14"/>
      <c r="C845" s="15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  <c r="BS845" s="16"/>
      <c r="BT845" s="16"/>
      <c r="BU845" s="16"/>
      <c r="BV845" s="16"/>
      <c r="BW845" s="16"/>
      <c r="BX845" s="16"/>
      <c r="BY845" s="16"/>
    </row>
    <row r="846" spans="2:77" ht="12.5" x14ac:dyDescent="0.25">
      <c r="B846" s="14"/>
      <c r="C846" s="15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  <c r="BS846" s="16"/>
      <c r="BT846" s="16"/>
      <c r="BU846" s="16"/>
      <c r="BV846" s="16"/>
      <c r="BW846" s="16"/>
      <c r="BX846" s="16"/>
      <c r="BY846" s="16"/>
    </row>
    <row r="847" spans="2:77" ht="12.5" x14ac:dyDescent="0.25">
      <c r="B847" s="14"/>
      <c r="C847" s="15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  <c r="BS847" s="16"/>
      <c r="BT847" s="16"/>
      <c r="BU847" s="16"/>
      <c r="BV847" s="16"/>
      <c r="BW847" s="16"/>
      <c r="BX847" s="16"/>
      <c r="BY847" s="16"/>
    </row>
    <row r="848" spans="2:77" ht="12.5" x14ac:dyDescent="0.25">
      <c r="B848" s="14"/>
      <c r="C848" s="15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  <c r="BS848" s="16"/>
      <c r="BT848" s="16"/>
      <c r="BU848" s="16"/>
      <c r="BV848" s="16"/>
      <c r="BW848" s="16"/>
      <c r="BX848" s="16"/>
      <c r="BY848" s="16"/>
    </row>
    <row r="849" spans="2:77" ht="12.5" x14ac:dyDescent="0.25">
      <c r="B849" s="14"/>
      <c r="C849" s="15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  <c r="BS849" s="16"/>
      <c r="BT849" s="16"/>
      <c r="BU849" s="16"/>
      <c r="BV849" s="16"/>
      <c r="BW849" s="16"/>
      <c r="BX849" s="16"/>
      <c r="BY849" s="16"/>
    </row>
    <row r="850" spans="2:77" ht="12.5" x14ac:dyDescent="0.25">
      <c r="B850" s="14"/>
      <c r="C850" s="15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  <c r="BS850" s="16"/>
      <c r="BT850" s="16"/>
      <c r="BU850" s="16"/>
      <c r="BV850" s="16"/>
      <c r="BW850" s="16"/>
      <c r="BX850" s="16"/>
      <c r="BY850" s="16"/>
    </row>
    <row r="851" spans="2:77" ht="12.5" x14ac:dyDescent="0.25">
      <c r="B851" s="14"/>
      <c r="C851" s="15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</row>
    <row r="852" spans="2:77" ht="12.5" x14ac:dyDescent="0.25">
      <c r="B852" s="14"/>
      <c r="C852" s="15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/>
      <c r="BX852" s="16"/>
      <c r="BY852" s="16"/>
    </row>
    <row r="853" spans="2:77" ht="12.5" x14ac:dyDescent="0.25">
      <c r="B853" s="14"/>
      <c r="C853" s="15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  <c r="BS853" s="16"/>
      <c r="BT853" s="16"/>
      <c r="BU853" s="16"/>
      <c r="BV853" s="16"/>
      <c r="BW853" s="16"/>
      <c r="BX853" s="16"/>
      <c r="BY853" s="16"/>
    </row>
    <row r="854" spans="2:77" ht="12.5" x14ac:dyDescent="0.25">
      <c r="B854" s="14"/>
      <c r="C854" s="15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</row>
    <row r="855" spans="2:77" ht="12.5" x14ac:dyDescent="0.25">
      <c r="B855" s="14"/>
      <c r="C855" s="15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</row>
    <row r="856" spans="2:77" ht="12.5" x14ac:dyDescent="0.25">
      <c r="B856" s="14"/>
      <c r="C856" s="15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  <c r="BS856" s="16"/>
      <c r="BT856" s="16"/>
      <c r="BU856" s="16"/>
      <c r="BV856" s="16"/>
      <c r="BW856" s="16"/>
      <c r="BX856" s="16"/>
      <c r="BY856" s="16"/>
    </row>
    <row r="857" spans="2:77" ht="12.5" x14ac:dyDescent="0.25">
      <c r="B857" s="14"/>
      <c r="C857" s="15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  <c r="BS857" s="16"/>
      <c r="BT857" s="16"/>
      <c r="BU857" s="16"/>
      <c r="BV857" s="16"/>
      <c r="BW857" s="16"/>
      <c r="BX857" s="16"/>
      <c r="BY857" s="16"/>
    </row>
    <row r="858" spans="2:77" ht="12.5" x14ac:dyDescent="0.25">
      <c r="B858" s="14"/>
      <c r="C858" s="15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  <c r="BS858" s="16"/>
      <c r="BT858" s="16"/>
      <c r="BU858" s="16"/>
      <c r="BV858" s="16"/>
      <c r="BW858" s="16"/>
      <c r="BX858" s="16"/>
      <c r="BY858" s="16"/>
    </row>
    <row r="859" spans="2:77" ht="12.5" x14ac:dyDescent="0.25">
      <c r="B859" s="14"/>
      <c r="C859" s="15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  <c r="BS859" s="16"/>
      <c r="BT859" s="16"/>
      <c r="BU859" s="16"/>
      <c r="BV859" s="16"/>
      <c r="BW859" s="16"/>
      <c r="BX859" s="16"/>
      <c r="BY859" s="16"/>
    </row>
    <row r="860" spans="2:77" ht="12.5" x14ac:dyDescent="0.25">
      <c r="B860" s="14"/>
      <c r="C860" s="15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  <c r="BS860" s="16"/>
      <c r="BT860" s="16"/>
      <c r="BU860" s="16"/>
      <c r="BV860" s="16"/>
      <c r="BW860" s="16"/>
      <c r="BX860" s="16"/>
      <c r="BY860" s="16"/>
    </row>
    <row r="861" spans="2:77" ht="12.5" x14ac:dyDescent="0.25">
      <c r="B861" s="14"/>
      <c r="C861" s="15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  <c r="BS861" s="16"/>
      <c r="BT861" s="16"/>
      <c r="BU861" s="16"/>
      <c r="BV861" s="16"/>
      <c r="BW861" s="16"/>
      <c r="BX861" s="16"/>
      <c r="BY861" s="16"/>
    </row>
    <row r="862" spans="2:77" ht="12.5" x14ac:dyDescent="0.25">
      <c r="B862" s="14"/>
      <c r="C862" s="15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  <c r="BS862" s="16"/>
      <c r="BT862" s="16"/>
      <c r="BU862" s="16"/>
      <c r="BV862" s="16"/>
      <c r="BW862" s="16"/>
      <c r="BX862" s="16"/>
      <c r="BY862" s="16"/>
    </row>
    <row r="863" spans="2:77" ht="12.5" x14ac:dyDescent="0.25">
      <c r="B863" s="14"/>
      <c r="C863" s="15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  <c r="BS863" s="16"/>
      <c r="BT863" s="16"/>
      <c r="BU863" s="16"/>
      <c r="BV863" s="16"/>
      <c r="BW863" s="16"/>
      <c r="BX863" s="16"/>
      <c r="BY863" s="16"/>
    </row>
    <row r="864" spans="2:77" ht="12.5" x14ac:dyDescent="0.25">
      <c r="B864" s="14"/>
      <c r="C864" s="15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  <c r="BS864" s="16"/>
      <c r="BT864" s="16"/>
      <c r="BU864" s="16"/>
      <c r="BV864" s="16"/>
      <c r="BW864" s="16"/>
      <c r="BX864" s="16"/>
      <c r="BY864" s="16"/>
    </row>
    <row r="865" spans="2:77" ht="12.5" x14ac:dyDescent="0.25">
      <c r="B865" s="14"/>
      <c r="C865" s="15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  <c r="BS865" s="16"/>
      <c r="BT865" s="16"/>
      <c r="BU865" s="16"/>
      <c r="BV865" s="16"/>
      <c r="BW865" s="16"/>
      <c r="BX865" s="16"/>
      <c r="BY865" s="16"/>
    </row>
    <row r="866" spans="2:77" ht="12.5" x14ac:dyDescent="0.25">
      <c r="B866" s="14"/>
      <c r="C866" s="15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  <c r="BS866" s="16"/>
      <c r="BT866" s="16"/>
      <c r="BU866" s="16"/>
      <c r="BV866" s="16"/>
      <c r="BW866" s="16"/>
      <c r="BX866" s="16"/>
      <c r="BY866" s="16"/>
    </row>
    <row r="867" spans="2:77" ht="12.5" x14ac:dyDescent="0.25">
      <c r="B867" s="14"/>
      <c r="C867" s="15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  <c r="BS867" s="16"/>
      <c r="BT867" s="16"/>
      <c r="BU867" s="16"/>
      <c r="BV867" s="16"/>
      <c r="BW867" s="16"/>
      <c r="BX867" s="16"/>
      <c r="BY867" s="16"/>
    </row>
    <row r="868" spans="2:77" ht="12.5" x14ac:dyDescent="0.25">
      <c r="B868" s="14"/>
      <c r="C868" s="15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  <c r="BS868" s="16"/>
      <c r="BT868" s="16"/>
      <c r="BU868" s="16"/>
      <c r="BV868" s="16"/>
      <c r="BW868" s="16"/>
      <c r="BX868" s="16"/>
      <c r="BY868" s="16"/>
    </row>
    <row r="869" spans="2:77" ht="12.5" x14ac:dyDescent="0.25">
      <c r="B869" s="14"/>
      <c r="C869" s="15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  <c r="BS869" s="16"/>
      <c r="BT869" s="16"/>
      <c r="BU869" s="16"/>
      <c r="BV869" s="16"/>
      <c r="BW869" s="16"/>
      <c r="BX869" s="16"/>
      <c r="BY869" s="16"/>
    </row>
    <row r="870" spans="2:77" ht="12.5" x14ac:dyDescent="0.25">
      <c r="B870" s="14"/>
      <c r="C870" s="15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  <c r="BS870" s="16"/>
      <c r="BT870" s="16"/>
      <c r="BU870" s="16"/>
      <c r="BV870" s="16"/>
      <c r="BW870" s="16"/>
      <c r="BX870" s="16"/>
      <c r="BY870" s="16"/>
    </row>
    <row r="871" spans="2:77" ht="12.5" x14ac:dyDescent="0.25">
      <c r="B871" s="14"/>
      <c r="C871" s="15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  <c r="BS871" s="16"/>
      <c r="BT871" s="16"/>
      <c r="BU871" s="16"/>
      <c r="BV871" s="16"/>
      <c r="BW871" s="16"/>
      <c r="BX871" s="16"/>
      <c r="BY871" s="16"/>
    </row>
    <row r="872" spans="2:77" ht="12.5" x14ac:dyDescent="0.25">
      <c r="B872" s="14"/>
      <c r="C872" s="15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  <c r="BS872" s="16"/>
      <c r="BT872" s="16"/>
      <c r="BU872" s="16"/>
      <c r="BV872" s="16"/>
      <c r="BW872" s="16"/>
      <c r="BX872" s="16"/>
      <c r="BY872" s="16"/>
    </row>
    <row r="873" spans="2:77" ht="12.5" x14ac:dyDescent="0.25">
      <c r="B873" s="14"/>
      <c r="C873" s="15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  <c r="BS873" s="16"/>
      <c r="BT873" s="16"/>
      <c r="BU873" s="16"/>
      <c r="BV873" s="16"/>
      <c r="BW873" s="16"/>
      <c r="BX873" s="16"/>
      <c r="BY873" s="16"/>
    </row>
    <row r="874" spans="2:77" ht="12.5" x14ac:dyDescent="0.25">
      <c r="B874" s="14"/>
      <c r="C874" s="15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  <c r="BS874" s="16"/>
      <c r="BT874" s="16"/>
      <c r="BU874" s="16"/>
      <c r="BV874" s="16"/>
      <c r="BW874" s="16"/>
      <c r="BX874" s="16"/>
      <c r="BY874" s="16"/>
    </row>
    <row r="875" spans="2:77" ht="12.5" x14ac:dyDescent="0.25">
      <c r="B875" s="14"/>
      <c r="C875" s="15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  <c r="BS875" s="16"/>
      <c r="BT875" s="16"/>
      <c r="BU875" s="16"/>
      <c r="BV875" s="16"/>
      <c r="BW875" s="16"/>
      <c r="BX875" s="16"/>
      <c r="BY875" s="16"/>
    </row>
    <row r="876" spans="2:77" ht="12.5" x14ac:dyDescent="0.25">
      <c r="B876" s="14"/>
      <c r="C876" s="15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  <c r="BS876" s="16"/>
      <c r="BT876" s="16"/>
      <c r="BU876" s="16"/>
      <c r="BV876" s="16"/>
      <c r="BW876" s="16"/>
      <c r="BX876" s="16"/>
      <c r="BY876" s="16"/>
    </row>
    <row r="877" spans="2:77" ht="12.5" x14ac:dyDescent="0.25">
      <c r="B877" s="14"/>
      <c r="C877" s="15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  <c r="BS877" s="16"/>
      <c r="BT877" s="16"/>
      <c r="BU877" s="16"/>
      <c r="BV877" s="16"/>
      <c r="BW877" s="16"/>
      <c r="BX877" s="16"/>
      <c r="BY877" s="16"/>
    </row>
    <row r="878" spans="2:77" ht="12.5" x14ac:dyDescent="0.25">
      <c r="B878" s="14"/>
      <c r="C878" s="15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  <c r="BS878" s="16"/>
      <c r="BT878" s="16"/>
      <c r="BU878" s="16"/>
      <c r="BV878" s="16"/>
      <c r="BW878" s="16"/>
      <c r="BX878" s="16"/>
      <c r="BY878" s="16"/>
    </row>
    <row r="879" spans="2:77" ht="12.5" x14ac:dyDescent="0.25">
      <c r="B879" s="14"/>
      <c r="C879" s="15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  <c r="BS879" s="16"/>
      <c r="BT879" s="16"/>
      <c r="BU879" s="16"/>
      <c r="BV879" s="16"/>
      <c r="BW879" s="16"/>
      <c r="BX879" s="16"/>
      <c r="BY879" s="16"/>
    </row>
    <row r="880" spans="2:77" ht="12.5" x14ac:dyDescent="0.25">
      <c r="B880" s="14"/>
      <c r="C880" s="15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  <c r="BS880" s="16"/>
      <c r="BT880" s="16"/>
      <c r="BU880" s="16"/>
      <c r="BV880" s="16"/>
      <c r="BW880" s="16"/>
      <c r="BX880" s="16"/>
      <c r="BY880" s="16"/>
    </row>
    <row r="881" spans="2:77" ht="12.5" x14ac:dyDescent="0.25">
      <c r="B881" s="14"/>
      <c r="C881" s="15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  <c r="BS881" s="16"/>
      <c r="BT881" s="16"/>
      <c r="BU881" s="16"/>
      <c r="BV881" s="16"/>
      <c r="BW881" s="16"/>
      <c r="BX881" s="16"/>
      <c r="BY881" s="16"/>
    </row>
    <row r="882" spans="2:77" ht="12.5" x14ac:dyDescent="0.25">
      <c r="B882" s="14"/>
      <c r="C882" s="15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  <c r="BS882" s="16"/>
      <c r="BT882" s="16"/>
      <c r="BU882" s="16"/>
      <c r="BV882" s="16"/>
      <c r="BW882" s="16"/>
      <c r="BX882" s="16"/>
      <c r="BY882" s="16"/>
    </row>
    <row r="883" spans="2:77" ht="12.5" x14ac:dyDescent="0.25">
      <c r="B883" s="14"/>
      <c r="C883" s="15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  <c r="BS883" s="16"/>
      <c r="BT883" s="16"/>
      <c r="BU883" s="16"/>
      <c r="BV883" s="16"/>
      <c r="BW883" s="16"/>
      <c r="BX883" s="16"/>
      <c r="BY883" s="16"/>
    </row>
    <row r="884" spans="2:77" ht="12.5" x14ac:dyDescent="0.25">
      <c r="B884" s="14"/>
      <c r="C884" s="15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  <c r="BS884" s="16"/>
      <c r="BT884" s="16"/>
      <c r="BU884" s="16"/>
      <c r="BV884" s="16"/>
      <c r="BW884" s="16"/>
      <c r="BX884" s="16"/>
      <c r="BY884" s="16"/>
    </row>
    <row r="885" spans="2:77" ht="12.5" x14ac:dyDescent="0.25">
      <c r="B885" s="14"/>
      <c r="C885" s="15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  <c r="BS885" s="16"/>
      <c r="BT885" s="16"/>
      <c r="BU885" s="16"/>
      <c r="BV885" s="16"/>
      <c r="BW885" s="16"/>
      <c r="BX885" s="16"/>
      <c r="BY885" s="16"/>
    </row>
    <row r="886" spans="2:77" ht="12.5" x14ac:dyDescent="0.25">
      <c r="B886" s="14"/>
      <c r="C886" s="15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  <c r="BS886" s="16"/>
      <c r="BT886" s="16"/>
      <c r="BU886" s="16"/>
      <c r="BV886" s="16"/>
      <c r="BW886" s="16"/>
      <c r="BX886" s="16"/>
      <c r="BY886" s="16"/>
    </row>
    <row r="887" spans="2:77" ht="12.5" x14ac:dyDescent="0.25">
      <c r="B887" s="14"/>
      <c r="C887" s="15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  <c r="BS887" s="16"/>
      <c r="BT887" s="16"/>
      <c r="BU887" s="16"/>
      <c r="BV887" s="16"/>
      <c r="BW887" s="16"/>
      <c r="BX887" s="16"/>
      <c r="BY887" s="16"/>
    </row>
    <row r="888" spans="2:77" ht="12.5" x14ac:dyDescent="0.25">
      <c r="B888" s="14"/>
      <c r="C888" s="15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  <c r="BS888" s="16"/>
      <c r="BT888" s="16"/>
      <c r="BU888" s="16"/>
      <c r="BV888" s="16"/>
      <c r="BW888" s="16"/>
      <c r="BX888" s="16"/>
      <c r="BY888" s="16"/>
    </row>
    <row r="889" spans="2:77" ht="12.5" x14ac:dyDescent="0.25">
      <c r="B889" s="14"/>
      <c r="C889" s="15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  <c r="BS889" s="16"/>
      <c r="BT889" s="16"/>
      <c r="BU889" s="16"/>
      <c r="BV889" s="16"/>
      <c r="BW889" s="16"/>
      <c r="BX889" s="16"/>
      <c r="BY889" s="16"/>
    </row>
    <row r="890" spans="2:77" ht="12.5" x14ac:dyDescent="0.25">
      <c r="B890" s="14"/>
      <c r="C890" s="15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  <c r="BS890" s="16"/>
      <c r="BT890" s="16"/>
      <c r="BU890" s="16"/>
      <c r="BV890" s="16"/>
      <c r="BW890" s="16"/>
      <c r="BX890" s="16"/>
      <c r="BY890" s="16"/>
    </row>
    <row r="891" spans="2:77" ht="12.5" x14ac:dyDescent="0.25">
      <c r="B891" s="14"/>
      <c r="C891" s="15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  <c r="BS891" s="16"/>
      <c r="BT891" s="16"/>
      <c r="BU891" s="16"/>
      <c r="BV891" s="16"/>
      <c r="BW891" s="16"/>
      <c r="BX891" s="16"/>
      <c r="BY891" s="16"/>
    </row>
    <row r="892" spans="2:77" ht="12.5" x14ac:dyDescent="0.25">
      <c r="B892" s="14"/>
      <c r="C892" s="15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  <c r="BS892" s="16"/>
      <c r="BT892" s="16"/>
      <c r="BU892" s="16"/>
      <c r="BV892" s="16"/>
      <c r="BW892" s="16"/>
      <c r="BX892" s="16"/>
      <c r="BY892" s="16"/>
    </row>
    <row r="893" spans="2:77" ht="12.5" x14ac:dyDescent="0.25">
      <c r="B893" s="14"/>
      <c r="C893" s="15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  <c r="BS893" s="16"/>
      <c r="BT893" s="16"/>
      <c r="BU893" s="16"/>
      <c r="BV893" s="16"/>
      <c r="BW893" s="16"/>
      <c r="BX893" s="16"/>
      <c r="BY893" s="16"/>
    </row>
    <row r="894" spans="2:77" ht="12.5" x14ac:dyDescent="0.25">
      <c r="B894" s="14"/>
      <c r="C894" s="15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  <c r="BS894" s="16"/>
      <c r="BT894" s="16"/>
      <c r="BU894" s="16"/>
      <c r="BV894" s="16"/>
      <c r="BW894" s="16"/>
      <c r="BX894" s="16"/>
      <c r="BY894" s="16"/>
    </row>
    <row r="895" spans="2:77" ht="12.5" x14ac:dyDescent="0.25">
      <c r="B895" s="14"/>
      <c r="C895" s="15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  <c r="BS895" s="16"/>
      <c r="BT895" s="16"/>
      <c r="BU895" s="16"/>
      <c r="BV895" s="16"/>
      <c r="BW895" s="16"/>
      <c r="BX895" s="16"/>
      <c r="BY895" s="16"/>
    </row>
    <row r="896" spans="2:77" ht="12.5" x14ac:dyDescent="0.25">
      <c r="B896" s="14"/>
      <c r="C896" s="15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  <c r="BS896" s="16"/>
      <c r="BT896" s="16"/>
      <c r="BU896" s="16"/>
      <c r="BV896" s="16"/>
      <c r="BW896" s="16"/>
      <c r="BX896" s="16"/>
      <c r="BY896" s="16"/>
    </row>
    <row r="897" spans="2:77" ht="12.5" x14ac:dyDescent="0.25">
      <c r="B897" s="14"/>
      <c r="C897" s="15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  <c r="BS897" s="16"/>
      <c r="BT897" s="16"/>
      <c r="BU897" s="16"/>
      <c r="BV897" s="16"/>
      <c r="BW897" s="16"/>
      <c r="BX897" s="16"/>
      <c r="BY897" s="16"/>
    </row>
    <row r="898" spans="2:77" ht="12.5" x14ac:dyDescent="0.25">
      <c r="B898" s="14"/>
      <c r="C898" s="15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  <c r="BS898" s="16"/>
      <c r="BT898" s="16"/>
      <c r="BU898" s="16"/>
      <c r="BV898" s="16"/>
      <c r="BW898" s="16"/>
      <c r="BX898" s="16"/>
      <c r="BY898" s="16"/>
    </row>
    <row r="899" spans="2:77" ht="12.5" x14ac:dyDescent="0.25">
      <c r="B899" s="14"/>
      <c r="C899" s="15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  <c r="BS899" s="16"/>
      <c r="BT899" s="16"/>
      <c r="BU899" s="16"/>
      <c r="BV899" s="16"/>
      <c r="BW899" s="16"/>
      <c r="BX899" s="16"/>
      <c r="BY899" s="16"/>
    </row>
    <row r="900" spans="2:77" ht="12.5" x14ac:dyDescent="0.25">
      <c r="B900" s="14"/>
      <c r="C900" s="15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  <c r="BS900" s="16"/>
      <c r="BT900" s="16"/>
      <c r="BU900" s="16"/>
      <c r="BV900" s="16"/>
      <c r="BW900" s="16"/>
      <c r="BX900" s="16"/>
      <c r="BY900" s="16"/>
    </row>
    <row r="901" spans="2:77" ht="12.5" x14ac:dyDescent="0.25">
      <c r="B901" s="14"/>
      <c r="C901" s="15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  <c r="BS901" s="16"/>
      <c r="BT901" s="16"/>
      <c r="BU901" s="16"/>
      <c r="BV901" s="16"/>
      <c r="BW901" s="16"/>
      <c r="BX901" s="16"/>
      <c r="BY901" s="16"/>
    </row>
    <row r="902" spans="2:77" ht="12.5" x14ac:dyDescent="0.25">
      <c r="B902" s="14"/>
      <c r="C902" s="15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  <c r="BS902" s="16"/>
      <c r="BT902" s="16"/>
      <c r="BU902" s="16"/>
      <c r="BV902" s="16"/>
      <c r="BW902" s="16"/>
      <c r="BX902" s="16"/>
      <c r="BY902" s="16"/>
    </row>
    <row r="903" spans="2:77" ht="12.5" x14ac:dyDescent="0.25">
      <c r="B903" s="14"/>
      <c r="C903" s="15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  <c r="BS903" s="16"/>
      <c r="BT903" s="16"/>
      <c r="BU903" s="16"/>
      <c r="BV903" s="16"/>
      <c r="BW903" s="16"/>
      <c r="BX903" s="16"/>
      <c r="BY903" s="16"/>
    </row>
    <row r="904" spans="2:77" ht="12.5" x14ac:dyDescent="0.25">
      <c r="B904" s="14"/>
      <c r="C904" s="15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  <c r="BS904" s="16"/>
      <c r="BT904" s="16"/>
      <c r="BU904" s="16"/>
      <c r="BV904" s="16"/>
      <c r="BW904" s="16"/>
      <c r="BX904" s="16"/>
      <c r="BY904" s="16"/>
    </row>
    <row r="905" spans="2:77" ht="12.5" x14ac:dyDescent="0.25">
      <c r="B905" s="14"/>
      <c r="C905" s="15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  <c r="BS905" s="16"/>
      <c r="BT905" s="16"/>
      <c r="BU905" s="16"/>
      <c r="BV905" s="16"/>
      <c r="BW905" s="16"/>
      <c r="BX905" s="16"/>
      <c r="BY905" s="16"/>
    </row>
    <row r="906" spans="2:77" ht="12.5" x14ac:dyDescent="0.25">
      <c r="B906" s="14"/>
      <c r="C906" s="15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  <c r="BS906" s="16"/>
      <c r="BT906" s="16"/>
      <c r="BU906" s="16"/>
      <c r="BV906" s="16"/>
      <c r="BW906" s="16"/>
      <c r="BX906" s="16"/>
      <c r="BY906" s="16"/>
    </row>
    <row r="907" spans="2:77" ht="12.5" x14ac:dyDescent="0.25">
      <c r="B907" s="14"/>
      <c r="C907" s="15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  <c r="BS907" s="16"/>
      <c r="BT907" s="16"/>
      <c r="BU907" s="16"/>
      <c r="BV907" s="16"/>
      <c r="BW907" s="16"/>
      <c r="BX907" s="16"/>
      <c r="BY907" s="16"/>
    </row>
    <row r="908" spans="2:77" ht="12.5" x14ac:dyDescent="0.25">
      <c r="B908" s="14"/>
      <c r="C908" s="15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  <c r="BS908" s="16"/>
      <c r="BT908" s="16"/>
      <c r="BU908" s="16"/>
      <c r="BV908" s="16"/>
      <c r="BW908" s="16"/>
      <c r="BX908" s="16"/>
      <c r="BY908" s="16"/>
    </row>
    <row r="909" spans="2:77" ht="12.5" x14ac:dyDescent="0.25">
      <c r="B909" s="14"/>
      <c r="C909" s="15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  <c r="BS909" s="16"/>
      <c r="BT909" s="16"/>
      <c r="BU909" s="16"/>
      <c r="BV909" s="16"/>
      <c r="BW909" s="16"/>
      <c r="BX909" s="16"/>
      <c r="BY909" s="16"/>
    </row>
    <row r="910" spans="2:77" ht="12.5" x14ac:dyDescent="0.25">
      <c r="B910" s="14"/>
      <c r="C910" s="15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  <c r="BS910" s="16"/>
      <c r="BT910" s="16"/>
      <c r="BU910" s="16"/>
      <c r="BV910" s="16"/>
      <c r="BW910" s="16"/>
      <c r="BX910" s="16"/>
      <c r="BY910" s="16"/>
    </row>
    <row r="911" spans="2:77" ht="12.5" x14ac:dyDescent="0.25">
      <c r="B911" s="14"/>
      <c r="C911" s="15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  <c r="BS911" s="16"/>
      <c r="BT911" s="16"/>
      <c r="BU911" s="16"/>
      <c r="BV911" s="16"/>
      <c r="BW911" s="16"/>
      <c r="BX911" s="16"/>
      <c r="BY911" s="16"/>
    </row>
    <row r="912" spans="2:77" ht="12.5" x14ac:dyDescent="0.25">
      <c r="B912" s="14"/>
      <c r="C912" s="15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  <c r="BS912" s="16"/>
      <c r="BT912" s="16"/>
      <c r="BU912" s="16"/>
      <c r="BV912" s="16"/>
      <c r="BW912" s="16"/>
      <c r="BX912" s="16"/>
      <c r="BY912" s="16"/>
    </row>
    <row r="913" spans="2:77" ht="12.5" x14ac:dyDescent="0.25">
      <c r="B913" s="14"/>
      <c r="C913" s="15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  <c r="BS913" s="16"/>
      <c r="BT913" s="16"/>
      <c r="BU913" s="16"/>
      <c r="BV913" s="16"/>
      <c r="BW913" s="16"/>
      <c r="BX913" s="16"/>
      <c r="BY913" s="16"/>
    </row>
    <row r="914" spans="2:77" ht="12.5" x14ac:dyDescent="0.25">
      <c r="B914" s="14"/>
      <c r="C914" s="15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  <c r="BS914" s="16"/>
      <c r="BT914" s="16"/>
      <c r="BU914" s="16"/>
      <c r="BV914" s="16"/>
      <c r="BW914" s="16"/>
      <c r="BX914" s="16"/>
      <c r="BY914" s="16"/>
    </row>
    <row r="915" spans="2:77" ht="12.5" x14ac:dyDescent="0.25">
      <c r="B915" s="14"/>
      <c r="C915" s="15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  <c r="BS915" s="16"/>
      <c r="BT915" s="16"/>
      <c r="BU915" s="16"/>
      <c r="BV915" s="16"/>
      <c r="BW915" s="16"/>
      <c r="BX915" s="16"/>
      <c r="BY915" s="16"/>
    </row>
    <row r="916" spans="2:77" ht="12.5" x14ac:dyDescent="0.25">
      <c r="B916" s="14"/>
      <c r="C916" s="15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  <c r="BS916" s="16"/>
      <c r="BT916" s="16"/>
      <c r="BU916" s="16"/>
      <c r="BV916" s="16"/>
      <c r="BW916" s="16"/>
      <c r="BX916" s="16"/>
      <c r="BY916" s="16"/>
    </row>
    <row r="917" spans="2:77" ht="12.5" x14ac:dyDescent="0.25">
      <c r="B917" s="14"/>
      <c r="C917" s="15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  <c r="BS917" s="16"/>
      <c r="BT917" s="16"/>
      <c r="BU917" s="16"/>
      <c r="BV917" s="16"/>
      <c r="BW917" s="16"/>
      <c r="BX917" s="16"/>
      <c r="BY917" s="16"/>
    </row>
    <row r="918" spans="2:77" ht="12.5" x14ac:dyDescent="0.25">
      <c r="B918" s="14"/>
      <c r="C918" s="15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  <c r="BS918" s="16"/>
      <c r="BT918" s="16"/>
      <c r="BU918" s="16"/>
      <c r="BV918" s="16"/>
      <c r="BW918" s="16"/>
      <c r="BX918" s="16"/>
      <c r="BY918" s="16"/>
    </row>
    <row r="919" spans="2:77" ht="12.5" x14ac:dyDescent="0.25">
      <c r="B919" s="14"/>
      <c r="C919" s="15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  <c r="BS919" s="16"/>
      <c r="BT919" s="16"/>
      <c r="BU919" s="16"/>
      <c r="BV919" s="16"/>
      <c r="BW919" s="16"/>
      <c r="BX919" s="16"/>
      <c r="BY919" s="16"/>
    </row>
    <row r="920" spans="2:77" ht="12.5" x14ac:dyDescent="0.25">
      <c r="B920" s="14"/>
      <c r="C920" s="15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  <c r="BS920" s="16"/>
      <c r="BT920" s="16"/>
      <c r="BU920" s="16"/>
      <c r="BV920" s="16"/>
      <c r="BW920" s="16"/>
      <c r="BX920" s="16"/>
      <c r="BY920" s="16"/>
    </row>
    <row r="921" spans="2:77" ht="12.5" x14ac:dyDescent="0.25">
      <c r="B921" s="14"/>
      <c r="C921" s="15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  <c r="BS921" s="16"/>
      <c r="BT921" s="16"/>
      <c r="BU921" s="16"/>
      <c r="BV921" s="16"/>
      <c r="BW921" s="16"/>
      <c r="BX921" s="16"/>
      <c r="BY921" s="16"/>
    </row>
    <row r="922" spans="2:77" ht="12.5" x14ac:dyDescent="0.25">
      <c r="B922" s="14"/>
      <c r="C922" s="15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  <c r="BS922" s="16"/>
      <c r="BT922" s="16"/>
      <c r="BU922" s="16"/>
      <c r="BV922" s="16"/>
      <c r="BW922" s="16"/>
      <c r="BX922" s="16"/>
      <c r="BY922" s="16"/>
    </row>
    <row r="923" spans="2:77" ht="12.5" x14ac:dyDescent="0.25">
      <c r="B923" s="14"/>
      <c r="C923" s="15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  <c r="BS923" s="16"/>
      <c r="BT923" s="16"/>
      <c r="BU923" s="16"/>
      <c r="BV923" s="16"/>
      <c r="BW923" s="16"/>
      <c r="BX923" s="16"/>
      <c r="BY923" s="16"/>
    </row>
    <row r="924" spans="2:77" ht="12.5" x14ac:dyDescent="0.25">
      <c r="B924" s="14"/>
      <c r="C924" s="15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  <c r="BS924" s="16"/>
      <c r="BT924" s="16"/>
      <c r="BU924" s="16"/>
      <c r="BV924" s="16"/>
      <c r="BW924" s="16"/>
      <c r="BX924" s="16"/>
      <c r="BY924" s="16"/>
    </row>
    <row r="925" spans="2:77" ht="12.5" x14ac:dyDescent="0.25">
      <c r="B925" s="14"/>
      <c r="C925" s="15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  <c r="BS925" s="16"/>
      <c r="BT925" s="16"/>
      <c r="BU925" s="16"/>
      <c r="BV925" s="16"/>
      <c r="BW925" s="16"/>
      <c r="BX925" s="16"/>
      <c r="BY925" s="16"/>
    </row>
    <row r="926" spans="2:77" ht="12.5" x14ac:dyDescent="0.25">
      <c r="B926" s="14"/>
      <c r="C926" s="15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  <c r="BS926" s="16"/>
      <c r="BT926" s="16"/>
      <c r="BU926" s="16"/>
      <c r="BV926" s="16"/>
      <c r="BW926" s="16"/>
      <c r="BX926" s="16"/>
      <c r="BY926" s="16"/>
    </row>
    <row r="927" spans="2:77" ht="12.5" x14ac:dyDescent="0.25">
      <c r="B927" s="14"/>
      <c r="C927" s="15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  <c r="BS927" s="16"/>
      <c r="BT927" s="16"/>
      <c r="BU927" s="16"/>
      <c r="BV927" s="16"/>
      <c r="BW927" s="16"/>
      <c r="BX927" s="16"/>
      <c r="BY927" s="16"/>
    </row>
    <row r="928" spans="2:77" ht="12.5" x14ac:dyDescent="0.25">
      <c r="B928" s="14"/>
      <c r="C928" s="15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  <c r="BS928" s="16"/>
      <c r="BT928" s="16"/>
      <c r="BU928" s="16"/>
      <c r="BV928" s="16"/>
      <c r="BW928" s="16"/>
      <c r="BX928" s="16"/>
      <c r="BY928" s="16"/>
    </row>
    <row r="929" spans="2:77" ht="12.5" x14ac:dyDescent="0.25">
      <c r="B929" s="14"/>
      <c r="C929" s="15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  <c r="BS929" s="16"/>
      <c r="BT929" s="16"/>
      <c r="BU929" s="16"/>
      <c r="BV929" s="16"/>
      <c r="BW929" s="16"/>
      <c r="BX929" s="16"/>
      <c r="BY929" s="16"/>
    </row>
    <row r="930" spans="2:77" ht="12.5" x14ac:dyDescent="0.25">
      <c r="B930" s="14"/>
      <c r="C930" s="15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  <c r="BS930" s="16"/>
      <c r="BT930" s="16"/>
      <c r="BU930" s="16"/>
      <c r="BV930" s="16"/>
      <c r="BW930" s="16"/>
      <c r="BX930" s="16"/>
      <c r="BY930" s="16"/>
    </row>
    <row r="931" spans="2:77" ht="12.5" x14ac:dyDescent="0.25">
      <c r="B931" s="14"/>
      <c r="C931" s="15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  <c r="BS931" s="16"/>
      <c r="BT931" s="16"/>
      <c r="BU931" s="16"/>
      <c r="BV931" s="16"/>
      <c r="BW931" s="16"/>
      <c r="BX931" s="16"/>
      <c r="BY931" s="16"/>
    </row>
    <row r="932" spans="2:77" ht="12.5" x14ac:dyDescent="0.25">
      <c r="B932" s="14"/>
      <c r="C932" s="15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  <c r="BS932" s="16"/>
      <c r="BT932" s="16"/>
      <c r="BU932" s="16"/>
      <c r="BV932" s="16"/>
      <c r="BW932" s="16"/>
      <c r="BX932" s="16"/>
      <c r="BY932" s="16"/>
    </row>
    <row r="933" spans="2:77" ht="12.5" x14ac:dyDescent="0.25">
      <c r="B933" s="14"/>
      <c r="C933" s="15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  <c r="BS933" s="16"/>
      <c r="BT933" s="16"/>
      <c r="BU933" s="16"/>
      <c r="BV933" s="16"/>
      <c r="BW933" s="16"/>
      <c r="BX933" s="16"/>
      <c r="BY933" s="16"/>
    </row>
    <row r="934" spans="2:77" ht="12.5" x14ac:dyDescent="0.25">
      <c r="B934" s="14"/>
      <c r="C934" s="15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  <c r="BS934" s="16"/>
      <c r="BT934" s="16"/>
      <c r="BU934" s="16"/>
      <c r="BV934" s="16"/>
      <c r="BW934" s="16"/>
      <c r="BX934" s="16"/>
      <c r="BY934" s="16"/>
    </row>
    <row r="935" spans="2:77" ht="12.5" x14ac:dyDescent="0.25">
      <c r="B935" s="14"/>
      <c r="C935" s="15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  <c r="BS935" s="16"/>
      <c r="BT935" s="16"/>
      <c r="BU935" s="16"/>
      <c r="BV935" s="16"/>
      <c r="BW935" s="16"/>
      <c r="BX935" s="16"/>
      <c r="BY935" s="16"/>
    </row>
    <row r="936" spans="2:77" ht="12.5" x14ac:dyDescent="0.25">
      <c r="B936" s="14"/>
      <c r="C936" s="15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  <c r="BS936" s="16"/>
      <c r="BT936" s="16"/>
      <c r="BU936" s="16"/>
      <c r="BV936" s="16"/>
      <c r="BW936" s="16"/>
      <c r="BX936" s="16"/>
      <c r="BY936" s="16"/>
    </row>
    <row r="937" spans="2:77" ht="12.5" x14ac:dyDescent="0.25">
      <c r="B937" s="14"/>
      <c r="C937" s="15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  <c r="BS937" s="16"/>
      <c r="BT937" s="16"/>
      <c r="BU937" s="16"/>
      <c r="BV937" s="16"/>
      <c r="BW937" s="16"/>
      <c r="BX937" s="16"/>
      <c r="BY937" s="16"/>
    </row>
    <row r="938" spans="2:77" ht="12.5" x14ac:dyDescent="0.25">
      <c r="B938" s="14"/>
      <c r="C938" s="15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  <c r="BS938" s="16"/>
      <c r="BT938" s="16"/>
      <c r="BU938" s="16"/>
      <c r="BV938" s="16"/>
      <c r="BW938" s="16"/>
      <c r="BX938" s="16"/>
      <c r="BY938" s="16"/>
    </row>
    <row r="939" spans="2:77" ht="12.5" x14ac:dyDescent="0.25">
      <c r="B939" s="14"/>
      <c r="C939" s="15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  <c r="BS939" s="16"/>
      <c r="BT939" s="16"/>
      <c r="BU939" s="16"/>
      <c r="BV939" s="16"/>
      <c r="BW939" s="16"/>
      <c r="BX939" s="16"/>
      <c r="BY939" s="16"/>
    </row>
    <row r="940" spans="2:77" ht="12.5" x14ac:dyDescent="0.25">
      <c r="B940" s="14"/>
      <c r="C940" s="15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  <c r="BS940" s="16"/>
      <c r="BT940" s="16"/>
      <c r="BU940" s="16"/>
      <c r="BV940" s="16"/>
      <c r="BW940" s="16"/>
      <c r="BX940" s="16"/>
      <c r="BY940" s="16"/>
    </row>
    <row r="941" spans="2:77" ht="12.5" x14ac:dyDescent="0.25">
      <c r="B941" s="14"/>
      <c r="C941" s="15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  <c r="BS941" s="16"/>
      <c r="BT941" s="16"/>
      <c r="BU941" s="16"/>
      <c r="BV941" s="16"/>
      <c r="BW941" s="16"/>
      <c r="BX941" s="16"/>
      <c r="BY941" s="16"/>
    </row>
    <row r="942" spans="2:77" ht="12.5" x14ac:dyDescent="0.25">
      <c r="B942" s="14"/>
      <c r="C942" s="15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  <c r="BS942" s="16"/>
      <c r="BT942" s="16"/>
      <c r="BU942" s="16"/>
      <c r="BV942" s="16"/>
      <c r="BW942" s="16"/>
      <c r="BX942" s="16"/>
      <c r="BY942" s="16"/>
    </row>
    <row r="943" spans="2:77" ht="12.5" x14ac:dyDescent="0.25">
      <c r="B943" s="14"/>
      <c r="C943" s="15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  <c r="BS943" s="16"/>
      <c r="BT943" s="16"/>
      <c r="BU943" s="16"/>
      <c r="BV943" s="16"/>
      <c r="BW943" s="16"/>
      <c r="BX943" s="16"/>
      <c r="BY943" s="16"/>
    </row>
    <row r="944" spans="2:77" ht="12.5" x14ac:dyDescent="0.25">
      <c r="B944" s="14"/>
      <c r="C944" s="15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  <c r="BS944" s="16"/>
      <c r="BT944" s="16"/>
      <c r="BU944" s="16"/>
      <c r="BV944" s="16"/>
      <c r="BW944" s="16"/>
      <c r="BX944" s="16"/>
      <c r="BY944" s="16"/>
    </row>
    <row r="945" spans="2:77" ht="12.5" x14ac:dyDescent="0.25">
      <c r="B945" s="14"/>
      <c r="C945" s="15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  <c r="BS945" s="16"/>
      <c r="BT945" s="16"/>
      <c r="BU945" s="16"/>
      <c r="BV945" s="16"/>
      <c r="BW945" s="16"/>
      <c r="BX945" s="16"/>
      <c r="BY945" s="16"/>
    </row>
    <row r="946" spans="2:77" ht="12.5" x14ac:dyDescent="0.25">
      <c r="B946" s="14"/>
      <c r="C946" s="15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  <c r="BS946" s="16"/>
      <c r="BT946" s="16"/>
      <c r="BU946" s="16"/>
      <c r="BV946" s="16"/>
      <c r="BW946" s="16"/>
      <c r="BX946" s="16"/>
      <c r="BY946" s="16"/>
    </row>
    <row r="947" spans="2:77" ht="12.5" x14ac:dyDescent="0.25">
      <c r="B947" s="14"/>
      <c r="C947" s="15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  <c r="BS947" s="16"/>
      <c r="BT947" s="16"/>
      <c r="BU947" s="16"/>
      <c r="BV947" s="16"/>
      <c r="BW947" s="16"/>
      <c r="BX947" s="16"/>
      <c r="BY947" s="16"/>
    </row>
    <row r="948" spans="2:77" ht="12.5" x14ac:dyDescent="0.25">
      <c r="B948" s="14"/>
      <c r="C948" s="15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  <c r="BS948" s="16"/>
      <c r="BT948" s="16"/>
      <c r="BU948" s="16"/>
      <c r="BV948" s="16"/>
      <c r="BW948" s="16"/>
      <c r="BX948" s="16"/>
      <c r="BY948" s="16"/>
    </row>
    <row r="949" spans="2:77" ht="12.5" x14ac:dyDescent="0.25">
      <c r="B949" s="14"/>
      <c r="C949" s="15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  <c r="BS949" s="16"/>
      <c r="BT949" s="16"/>
      <c r="BU949" s="16"/>
      <c r="BV949" s="16"/>
      <c r="BW949" s="16"/>
      <c r="BX949" s="16"/>
      <c r="BY949" s="16"/>
    </row>
    <row r="950" spans="2:77" ht="12.5" x14ac:dyDescent="0.25">
      <c r="B950" s="14"/>
      <c r="C950" s="15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  <c r="BS950" s="16"/>
      <c r="BT950" s="16"/>
      <c r="BU950" s="16"/>
      <c r="BV950" s="16"/>
      <c r="BW950" s="16"/>
      <c r="BX950" s="16"/>
      <c r="BY950" s="16"/>
    </row>
    <row r="951" spans="2:77" ht="12.5" x14ac:dyDescent="0.25">
      <c r="B951" s="14"/>
      <c r="C951" s="15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  <c r="BS951" s="16"/>
      <c r="BT951" s="16"/>
      <c r="BU951" s="16"/>
      <c r="BV951" s="16"/>
      <c r="BW951" s="16"/>
      <c r="BX951" s="16"/>
      <c r="BY951" s="16"/>
    </row>
    <row r="952" spans="2:77" ht="12.5" x14ac:dyDescent="0.25">
      <c r="B952" s="14"/>
      <c r="C952" s="15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  <c r="BS952" s="16"/>
      <c r="BT952" s="16"/>
      <c r="BU952" s="16"/>
      <c r="BV952" s="16"/>
      <c r="BW952" s="16"/>
      <c r="BX952" s="16"/>
      <c r="BY952" s="16"/>
    </row>
    <row r="953" spans="2:77" ht="12.5" x14ac:dyDescent="0.25">
      <c r="B953" s="14"/>
      <c r="C953" s="15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  <c r="BS953" s="16"/>
      <c r="BT953" s="16"/>
      <c r="BU953" s="16"/>
      <c r="BV953" s="16"/>
      <c r="BW953" s="16"/>
      <c r="BX953" s="16"/>
      <c r="BY953" s="16"/>
    </row>
    <row r="954" spans="2:77" ht="12.5" x14ac:dyDescent="0.25">
      <c r="B954" s="14"/>
      <c r="C954" s="15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  <c r="BS954" s="16"/>
      <c r="BT954" s="16"/>
      <c r="BU954" s="16"/>
      <c r="BV954" s="16"/>
      <c r="BW954" s="16"/>
      <c r="BX954" s="16"/>
      <c r="BY954" s="16"/>
    </row>
    <row r="955" spans="2:77" ht="12.5" x14ac:dyDescent="0.25">
      <c r="B955" s="14"/>
      <c r="C955" s="15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  <c r="BS955" s="16"/>
      <c r="BT955" s="16"/>
      <c r="BU955" s="16"/>
      <c r="BV955" s="16"/>
      <c r="BW955" s="16"/>
      <c r="BX955" s="16"/>
      <c r="BY955" s="16"/>
    </row>
    <row r="956" spans="2:77" ht="12.5" x14ac:dyDescent="0.25">
      <c r="B956" s="14"/>
      <c r="C956" s="15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  <c r="BS956" s="16"/>
      <c r="BT956" s="16"/>
      <c r="BU956" s="16"/>
      <c r="BV956" s="16"/>
      <c r="BW956" s="16"/>
      <c r="BX956" s="16"/>
      <c r="BY956" s="16"/>
    </row>
    <row r="957" spans="2:77" ht="12.5" x14ac:dyDescent="0.25">
      <c r="B957" s="14"/>
      <c r="C957" s="15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  <c r="BS957" s="16"/>
      <c r="BT957" s="16"/>
      <c r="BU957" s="16"/>
      <c r="BV957" s="16"/>
      <c r="BW957" s="16"/>
      <c r="BX957" s="16"/>
      <c r="BY957" s="16"/>
    </row>
    <row r="958" spans="2:77" ht="12.5" x14ac:dyDescent="0.25">
      <c r="B958" s="14"/>
      <c r="C958" s="15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  <c r="BS958" s="16"/>
      <c r="BT958" s="16"/>
      <c r="BU958" s="16"/>
      <c r="BV958" s="16"/>
      <c r="BW958" s="16"/>
      <c r="BX958" s="16"/>
      <c r="BY958" s="16"/>
    </row>
    <row r="959" spans="2:77" ht="12.5" x14ac:dyDescent="0.25">
      <c r="B959" s="14"/>
      <c r="C959" s="15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  <c r="BS959" s="16"/>
      <c r="BT959" s="16"/>
      <c r="BU959" s="16"/>
      <c r="BV959" s="16"/>
      <c r="BW959" s="16"/>
      <c r="BX959" s="16"/>
      <c r="BY959" s="16"/>
    </row>
    <row r="960" spans="2:77" ht="12.5" x14ac:dyDescent="0.25">
      <c r="B960" s="14"/>
      <c r="C960" s="15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  <c r="BS960" s="16"/>
      <c r="BT960" s="16"/>
      <c r="BU960" s="16"/>
      <c r="BV960" s="16"/>
      <c r="BW960" s="16"/>
      <c r="BX960" s="16"/>
      <c r="BY960" s="16"/>
    </row>
    <row r="961" spans="2:77" ht="12.5" x14ac:dyDescent="0.25">
      <c r="B961" s="14"/>
      <c r="C961" s="15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  <c r="BS961" s="16"/>
      <c r="BT961" s="16"/>
      <c r="BU961" s="16"/>
      <c r="BV961" s="16"/>
      <c r="BW961" s="16"/>
      <c r="BX961" s="16"/>
      <c r="BY961" s="16"/>
    </row>
    <row r="962" spans="2:77" ht="12.5" x14ac:dyDescent="0.25">
      <c r="B962" s="14"/>
      <c r="C962" s="15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  <c r="BS962" s="16"/>
      <c r="BT962" s="16"/>
      <c r="BU962" s="16"/>
      <c r="BV962" s="16"/>
      <c r="BW962" s="16"/>
      <c r="BX962" s="16"/>
      <c r="BY962" s="16"/>
    </row>
    <row r="963" spans="2:77" ht="12.5" x14ac:dyDescent="0.25">
      <c r="B963" s="14"/>
      <c r="C963" s="15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  <c r="BS963" s="16"/>
      <c r="BT963" s="16"/>
      <c r="BU963" s="16"/>
      <c r="BV963" s="16"/>
      <c r="BW963" s="16"/>
      <c r="BX963" s="16"/>
      <c r="BY963" s="16"/>
    </row>
    <row r="964" spans="2:77" ht="12.5" x14ac:dyDescent="0.25">
      <c r="B964" s="14"/>
      <c r="C964" s="15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  <c r="BS964" s="16"/>
      <c r="BT964" s="16"/>
      <c r="BU964" s="16"/>
      <c r="BV964" s="16"/>
      <c r="BW964" s="16"/>
      <c r="BX964" s="16"/>
      <c r="BY964" s="16"/>
    </row>
    <row r="965" spans="2:77" ht="12.5" x14ac:dyDescent="0.25">
      <c r="B965" s="14"/>
      <c r="C965" s="15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  <c r="BS965" s="16"/>
      <c r="BT965" s="16"/>
      <c r="BU965" s="16"/>
      <c r="BV965" s="16"/>
      <c r="BW965" s="16"/>
      <c r="BX965" s="16"/>
      <c r="BY965" s="16"/>
    </row>
    <row r="966" spans="2:77" ht="12.5" x14ac:dyDescent="0.25">
      <c r="B966" s="14"/>
      <c r="C966" s="15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  <c r="BS966" s="16"/>
      <c r="BT966" s="16"/>
      <c r="BU966" s="16"/>
      <c r="BV966" s="16"/>
      <c r="BW966" s="16"/>
      <c r="BX966" s="16"/>
      <c r="BY966" s="16"/>
    </row>
    <row r="967" spans="2:77" ht="12.5" x14ac:dyDescent="0.25">
      <c r="B967" s="14"/>
      <c r="C967" s="15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  <c r="BS967" s="16"/>
      <c r="BT967" s="16"/>
      <c r="BU967" s="16"/>
      <c r="BV967" s="16"/>
      <c r="BW967" s="16"/>
      <c r="BX967" s="16"/>
      <c r="BY967" s="16"/>
    </row>
    <row r="968" spans="2:77" ht="12.5" x14ac:dyDescent="0.25">
      <c r="B968" s="14"/>
      <c r="C968" s="15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  <c r="BS968" s="16"/>
      <c r="BT968" s="16"/>
      <c r="BU968" s="16"/>
      <c r="BV968" s="16"/>
      <c r="BW968" s="16"/>
      <c r="BX968" s="16"/>
      <c r="BY968" s="16"/>
    </row>
    <row r="969" spans="2:77" ht="12.5" x14ac:dyDescent="0.25">
      <c r="B969" s="14"/>
      <c r="C969" s="15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  <c r="BS969" s="16"/>
      <c r="BT969" s="16"/>
      <c r="BU969" s="16"/>
      <c r="BV969" s="16"/>
      <c r="BW969" s="16"/>
      <c r="BX969" s="16"/>
      <c r="BY969" s="16"/>
    </row>
    <row r="970" spans="2:77" ht="12.5" x14ac:dyDescent="0.25">
      <c r="B970" s="14"/>
      <c r="C970" s="15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  <c r="BS970" s="16"/>
      <c r="BT970" s="16"/>
      <c r="BU970" s="16"/>
      <c r="BV970" s="16"/>
      <c r="BW970" s="16"/>
      <c r="BX970" s="16"/>
      <c r="BY970" s="16"/>
    </row>
    <row r="971" spans="2:77" ht="12.5" x14ac:dyDescent="0.25">
      <c r="B971" s="14"/>
      <c r="C971" s="15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</row>
    <row r="972" spans="2:77" ht="12.5" x14ac:dyDescent="0.25">
      <c r="B972" s="14"/>
      <c r="C972" s="15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  <c r="BS972" s="16"/>
      <c r="BT972" s="16"/>
      <c r="BU972" s="16"/>
      <c r="BV972" s="16"/>
      <c r="BW972" s="16"/>
      <c r="BX972" s="16"/>
      <c r="BY972" s="16"/>
    </row>
    <row r="973" spans="2:77" ht="12.5" x14ac:dyDescent="0.25">
      <c r="B973" s="14"/>
      <c r="C973" s="15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</row>
    <row r="974" spans="2:77" ht="12.5" x14ac:dyDescent="0.25">
      <c r="B974" s="14"/>
      <c r="C974" s="15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  <c r="BS974" s="16"/>
      <c r="BT974" s="16"/>
      <c r="BU974" s="16"/>
      <c r="BV974" s="16"/>
      <c r="BW974" s="16"/>
      <c r="BX974" s="16"/>
      <c r="BY974" s="16"/>
    </row>
    <row r="975" spans="2:77" ht="12.5" x14ac:dyDescent="0.25">
      <c r="B975" s="14"/>
      <c r="C975" s="15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/>
      <c r="BV975" s="16"/>
      <c r="BW975" s="16"/>
      <c r="BX975" s="16"/>
      <c r="BY975" s="16"/>
    </row>
    <row r="976" spans="2:77" ht="12.5" x14ac:dyDescent="0.25">
      <c r="B976" s="14"/>
      <c r="C976" s="15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/>
      <c r="BV976" s="16"/>
      <c r="BW976" s="16"/>
      <c r="BX976" s="16"/>
      <c r="BY976" s="16"/>
    </row>
    <row r="977" spans="2:77" ht="12.5" x14ac:dyDescent="0.25">
      <c r="B977" s="14"/>
      <c r="C977" s="15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  <c r="BS977" s="16"/>
      <c r="BT977" s="16"/>
      <c r="BU977" s="16"/>
      <c r="BV977" s="16"/>
      <c r="BW977" s="16"/>
      <c r="BX977" s="16"/>
      <c r="BY977" s="16"/>
    </row>
    <row r="978" spans="2:77" ht="12.5" x14ac:dyDescent="0.25">
      <c r="B978" s="14"/>
      <c r="C978" s="15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  <c r="BS978" s="16"/>
      <c r="BT978" s="16"/>
      <c r="BU978" s="16"/>
      <c r="BV978" s="16"/>
      <c r="BW978" s="16"/>
      <c r="BX978" s="16"/>
      <c r="BY978" s="16"/>
    </row>
    <row r="979" spans="2:77" ht="12.5" x14ac:dyDescent="0.25">
      <c r="B979" s="14"/>
      <c r="C979" s="15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/>
      <c r="BX979" s="16"/>
      <c r="BY979" s="16"/>
    </row>
    <row r="980" spans="2:77" ht="12.5" x14ac:dyDescent="0.25">
      <c r="B980" s="14"/>
      <c r="C980" s="15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  <c r="BS980" s="16"/>
      <c r="BT980" s="16"/>
      <c r="BU980" s="16"/>
      <c r="BV980" s="16"/>
      <c r="BW980" s="16"/>
      <c r="BX980" s="16"/>
      <c r="BY980" s="16"/>
    </row>
    <row r="981" spans="2:77" ht="12.5" x14ac:dyDescent="0.25">
      <c r="B981" s="14"/>
      <c r="C981" s="15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  <c r="BS981" s="16"/>
      <c r="BT981" s="16"/>
      <c r="BU981" s="16"/>
      <c r="BV981" s="16"/>
      <c r="BW981" s="16"/>
      <c r="BX981" s="16"/>
      <c r="BY981" s="16"/>
    </row>
    <row r="982" spans="2:77" ht="12.5" x14ac:dyDescent="0.25">
      <c r="B982" s="14"/>
      <c r="C982" s="15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  <c r="BS982" s="16"/>
      <c r="BT982" s="16"/>
      <c r="BU982" s="16"/>
      <c r="BV982" s="16"/>
      <c r="BW982" s="16"/>
      <c r="BX982" s="16"/>
      <c r="BY982" s="16"/>
    </row>
    <row r="983" spans="2:77" ht="12.5" x14ac:dyDescent="0.25">
      <c r="B983" s="14"/>
      <c r="C983" s="15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  <c r="BS983" s="16"/>
      <c r="BT983" s="16"/>
      <c r="BU983" s="16"/>
      <c r="BV983" s="16"/>
      <c r="BW983" s="16"/>
      <c r="BX983" s="16"/>
      <c r="BY983" s="16"/>
    </row>
    <row r="984" spans="2:77" ht="12.5" x14ac:dyDescent="0.25">
      <c r="B984" s="14"/>
      <c r="C984" s="15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  <c r="BS984" s="16"/>
      <c r="BT984" s="16"/>
      <c r="BU984" s="16"/>
      <c r="BV984" s="16"/>
      <c r="BW984" s="16"/>
      <c r="BX984" s="16"/>
      <c r="BY984" s="16"/>
    </row>
    <row r="985" spans="2:77" ht="12.5" x14ac:dyDescent="0.25">
      <c r="B985" s="14"/>
      <c r="C985" s="15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  <c r="BS985" s="16"/>
      <c r="BT985" s="16"/>
      <c r="BU985" s="16"/>
      <c r="BV985" s="16"/>
      <c r="BW985" s="16"/>
      <c r="BX985" s="16"/>
      <c r="BY985" s="16"/>
    </row>
    <row r="986" spans="2:77" ht="12.5" x14ac:dyDescent="0.25">
      <c r="B986" s="14"/>
      <c r="C986" s="15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  <c r="BS986" s="16"/>
      <c r="BT986" s="16"/>
      <c r="BU986" s="16"/>
      <c r="BV986" s="16"/>
      <c r="BW986" s="16"/>
      <c r="BX986" s="16"/>
      <c r="BY986" s="16"/>
    </row>
    <row r="987" spans="2:77" ht="12.5" x14ac:dyDescent="0.25">
      <c r="B987" s="14"/>
      <c r="C987" s="15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  <c r="BS987" s="16"/>
      <c r="BT987" s="16"/>
      <c r="BU987" s="16"/>
      <c r="BV987" s="16"/>
      <c r="BW987" s="16"/>
      <c r="BX987" s="16"/>
      <c r="BY987" s="16"/>
    </row>
    <row r="988" spans="2:77" ht="12.5" x14ac:dyDescent="0.25">
      <c r="B988" s="14"/>
      <c r="C988" s="15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  <c r="BS988" s="16"/>
      <c r="BT988" s="16"/>
      <c r="BU988" s="16"/>
      <c r="BV988" s="16"/>
      <c r="BW988" s="16"/>
      <c r="BX988" s="16"/>
      <c r="BY988" s="16"/>
    </row>
    <row r="989" spans="2:77" ht="12.5" x14ac:dyDescent="0.25">
      <c r="B989" s="14"/>
      <c r="C989" s="15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  <c r="BS989" s="16"/>
      <c r="BT989" s="16"/>
      <c r="BU989" s="16"/>
      <c r="BV989" s="16"/>
      <c r="BW989" s="16"/>
      <c r="BX989" s="16"/>
      <c r="BY989" s="16"/>
    </row>
    <row r="990" spans="2:77" ht="12.5" x14ac:dyDescent="0.25">
      <c r="B990" s="14"/>
      <c r="C990" s="15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  <c r="BS990" s="16"/>
      <c r="BT990" s="16"/>
      <c r="BU990" s="16"/>
      <c r="BV990" s="16"/>
      <c r="BW990" s="16"/>
      <c r="BX990" s="16"/>
      <c r="BY990" s="16"/>
    </row>
    <row r="991" spans="2:77" ht="12.5" x14ac:dyDescent="0.25">
      <c r="B991" s="14"/>
      <c r="C991" s="15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  <c r="BS991" s="16"/>
      <c r="BT991" s="16"/>
      <c r="BU991" s="16"/>
      <c r="BV991" s="16"/>
      <c r="BW991" s="16"/>
      <c r="BX991" s="16"/>
      <c r="BY991" s="16"/>
    </row>
    <row r="992" spans="2:77" ht="12.5" x14ac:dyDescent="0.25">
      <c r="B992" s="14"/>
      <c r="C992" s="15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  <c r="BS992" s="16"/>
      <c r="BT992" s="16"/>
      <c r="BU992" s="16"/>
      <c r="BV992" s="16"/>
      <c r="BW992" s="16"/>
      <c r="BX992" s="16"/>
      <c r="BY992" s="16"/>
    </row>
    <row r="993" spans="2:77" ht="12.5" x14ac:dyDescent="0.25">
      <c r="B993" s="14"/>
      <c r="C993" s="15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  <c r="BS993" s="16"/>
      <c r="BT993" s="16"/>
      <c r="BU993" s="16"/>
      <c r="BV993" s="16"/>
      <c r="BW993" s="16"/>
      <c r="BX993" s="16"/>
      <c r="BY993" s="16"/>
    </row>
    <row r="994" spans="2:77" ht="12.5" x14ac:dyDescent="0.25">
      <c r="B994" s="14"/>
      <c r="C994" s="15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  <c r="BS994" s="16"/>
      <c r="BT994" s="16"/>
      <c r="BU994" s="16"/>
      <c r="BV994" s="16"/>
      <c r="BW994" s="16"/>
      <c r="BX994" s="16"/>
      <c r="BY994" s="16"/>
    </row>
    <row r="995" spans="2:77" ht="12.5" x14ac:dyDescent="0.25">
      <c r="B995" s="14"/>
      <c r="C995" s="15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  <c r="BS995" s="16"/>
      <c r="BT995" s="16"/>
      <c r="BU995" s="16"/>
      <c r="BV995" s="16"/>
      <c r="BW995" s="16"/>
      <c r="BX995" s="16"/>
      <c r="BY995" s="16"/>
    </row>
    <row r="996" spans="2:77" ht="12.5" x14ac:dyDescent="0.25">
      <c r="B996" s="14"/>
      <c r="C996" s="15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  <c r="BS996" s="16"/>
      <c r="BT996" s="16"/>
      <c r="BU996" s="16"/>
      <c r="BV996" s="16"/>
      <c r="BW996" s="16"/>
      <c r="BX996" s="16"/>
      <c r="BY996" s="16"/>
    </row>
    <row r="997" spans="2:77" ht="12.5" x14ac:dyDescent="0.25">
      <c r="B997" s="14"/>
      <c r="C997" s="15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  <c r="AT997" s="16"/>
      <c r="AU997" s="16"/>
      <c r="AV997" s="16"/>
      <c r="AW997" s="16"/>
      <c r="AX997" s="16"/>
      <c r="AY997" s="16"/>
      <c r="AZ997" s="16"/>
      <c r="BA997" s="16"/>
      <c r="BB997" s="16"/>
      <c r="BC997" s="16"/>
      <c r="BD997" s="16"/>
      <c r="BE997" s="16"/>
      <c r="BF997" s="16"/>
      <c r="BG997" s="16"/>
      <c r="BH997" s="16"/>
      <c r="BI997" s="16"/>
      <c r="BJ997" s="16"/>
      <c r="BK997" s="16"/>
      <c r="BL997" s="16"/>
      <c r="BM997" s="16"/>
      <c r="BN997" s="16"/>
      <c r="BO997" s="16"/>
      <c r="BP997" s="16"/>
      <c r="BQ997" s="16"/>
      <c r="BR997" s="16"/>
      <c r="BS997" s="16"/>
      <c r="BT997" s="16"/>
      <c r="BU997" s="16"/>
      <c r="BV997" s="16"/>
      <c r="BW997" s="16"/>
      <c r="BX997" s="16"/>
      <c r="BY997" s="16"/>
    </row>
    <row r="998" spans="2:77" ht="12.5" x14ac:dyDescent="0.25">
      <c r="B998" s="14"/>
      <c r="C998" s="15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  <c r="AT998" s="16"/>
      <c r="AU998" s="16"/>
      <c r="AV998" s="16"/>
      <c r="AW998" s="16"/>
      <c r="AX998" s="16"/>
      <c r="AY998" s="16"/>
      <c r="AZ998" s="16"/>
      <c r="BA998" s="16"/>
      <c r="BB998" s="16"/>
      <c r="BC998" s="16"/>
      <c r="BD998" s="16"/>
      <c r="BE998" s="16"/>
      <c r="BF998" s="16"/>
      <c r="BG998" s="16"/>
      <c r="BH998" s="16"/>
      <c r="BI998" s="16"/>
      <c r="BJ998" s="16"/>
      <c r="BK998" s="16"/>
      <c r="BL998" s="16"/>
      <c r="BM998" s="16"/>
      <c r="BN998" s="16"/>
      <c r="BO998" s="16"/>
      <c r="BP998" s="16"/>
      <c r="BQ998" s="16"/>
      <c r="BR998" s="16"/>
      <c r="BS998" s="16"/>
      <c r="BT998" s="16"/>
      <c r="BU998" s="16"/>
      <c r="BV998" s="16"/>
      <c r="BW998" s="16"/>
      <c r="BX998" s="16"/>
      <c r="BY998" s="16"/>
    </row>
    <row r="999" spans="2:77" ht="12.5" x14ac:dyDescent="0.25">
      <c r="B999" s="14"/>
      <c r="C999" s="15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  <c r="AZ999" s="16"/>
      <c r="BA999" s="16"/>
      <c r="BB999" s="16"/>
      <c r="BC999" s="16"/>
      <c r="BD999" s="16"/>
      <c r="BE999" s="16"/>
      <c r="BF999" s="16"/>
      <c r="BG999" s="16"/>
      <c r="BH999" s="16"/>
      <c r="BI999" s="16"/>
      <c r="BJ999" s="16"/>
      <c r="BK999" s="16"/>
      <c r="BL999" s="16"/>
      <c r="BM999" s="16"/>
      <c r="BN999" s="16"/>
      <c r="BO999" s="16"/>
      <c r="BP999" s="16"/>
      <c r="BQ999" s="16"/>
      <c r="BR999" s="16"/>
      <c r="BS999" s="16"/>
      <c r="BT999" s="16"/>
      <c r="BU999" s="16"/>
      <c r="BV999" s="16"/>
      <c r="BW999" s="16"/>
      <c r="BX999" s="16"/>
      <c r="BY999" s="16"/>
    </row>
    <row r="1000" spans="2:77" ht="12.5" x14ac:dyDescent="0.25">
      <c r="B1000" s="14"/>
      <c r="C1000" s="15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  <c r="AY1000" s="16"/>
      <c r="AZ1000" s="16"/>
      <c r="BA1000" s="16"/>
      <c r="BB1000" s="16"/>
      <c r="BC1000" s="16"/>
      <c r="BD1000" s="16"/>
      <c r="BE1000" s="16"/>
      <c r="BF1000" s="16"/>
      <c r="BG1000" s="16"/>
      <c r="BH1000" s="16"/>
      <c r="BI1000" s="16"/>
      <c r="BJ1000" s="16"/>
      <c r="BK1000" s="16"/>
      <c r="BL1000" s="16"/>
      <c r="BM1000" s="16"/>
      <c r="BN1000" s="16"/>
      <c r="BO1000" s="16"/>
      <c r="BP1000" s="16"/>
      <c r="BQ1000" s="16"/>
      <c r="BR1000" s="16"/>
      <c r="BS1000" s="16"/>
      <c r="BT1000" s="16"/>
      <c r="BU1000" s="16"/>
      <c r="BV1000" s="16"/>
      <c r="BW1000" s="16"/>
      <c r="BX1000" s="16"/>
      <c r="BY1000" s="16"/>
    </row>
    <row r="1001" spans="2:77" ht="12.5" x14ac:dyDescent="0.25">
      <c r="B1001" s="14"/>
      <c r="C1001" s="15"/>
      <c r="D1001" s="16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  <c r="AT1001" s="16"/>
      <c r="AU1001" s="16"/>
      <c r="AV1001" s="16"/>
      <c r="AW1001" s="16"/>
      <c r="AX1001" s="16"/>
      <c r="AY1001" s="16"/>
      <c r="AZ1001" s="16"/>
      <c r="BA1001" s="16"/>
      <c r="BB1001" s="16"/>
      <c r="BC1001" s="16"/>
      <c r="BD1001" s="16"/>
      <c r="BE1001" s="16"/>
      <c r="BF1001" s="16"/>
      <c r="BG1001" s="16"/>
      <c r="BH1001" s="16"/>
      <c r="BI1001" s="16"/>
      <c r="BJ1001" s="16"/>
      <c r="BK1001" s="16"/>
      <c r="BL1001" s="16"/>
      <c r="BM1001" s="16"/>
      <c r="BN1001" s="16"/>
      <c r="BO1001" s="16"/>
      <c r="BP1001" s="16"/>
      <c r="BQ1001" s="16"/>
      <c r="BR1001" s="16"/>
      <c r="BS1001" s="16"/>
      <c r="BT1001" s="16"/>
      <c r="BU1001" s="16"/>
      <c r="BV1001" s="16"/>
      <c r="BW1001" s="16"/>
      <c r="BX1001" s="16"/>
      <c r="BY1001" s="16"/>
    </row>
    <row r="1002" spans="2:77" ht="12.5" x14ac:dyDescent="0.25">
      <c r="B1002" s="14"/>
      <c r="C1002" s="15"/>
      <c r="D1002" s="16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  <c r="AT1002" s="16"/>
      <c r="AU1002" s="16"/>
      <c r="AV1002" s="16"/>
      <c r="AW1002" s="16"/>
      <c r="AX1002" s="16"/>
      <c r="AY1002" s="16"/>
      <c r="AZ1002" s="16"/>
      <c r="BA1002" s="16"/>
      <c r="BB1002" s="16"/>
      <c r="BC1002" s="16"/>
      <c r="BD1002" s="16"/>
      <c r="BE1002" s="16"/>
      <c r="BF1002" s="16"/>
      <c r="BG1002" s="16"/>
      <c r="BH1002" s="16"/>
      <c r="BI1002" s="16"/>
      <c r="BJ1002" s="16"/>
      <c r="BK1002" s="16"/>
      <c r="BL1002" s="16"/>
      <c r="BM1002" s="16"/>
      <c r="BN1002" s="16"/>
      <c r="BO1002" s="16"/>
      <c r="BP1002" s="16"/>
      <c r="BQ1002" s="16"/>
      <c r="BR1002" s="16"/>
      <c r="BS1002" s="16"/>
      <c r="BT1002" s="16"/>
      <c r="BU1002" s="16"/>
      <c r="BV1002" s="16"/>
      <c r="BW1002" s="16"/>
      <c r="BX1002" s="16"/>
      <c r="BY1002" s="16"/>
    </row>
    <row r="1003" spans="2:77" ht="12.5" x14ac:dyDescent="0.25">
      <c r="B1003" s="14"/>
      <c r="C1003" s="15"/>
      <c r="D1003" s="16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  <c r="AT1003" s="16"/>
      <c r="AU1003" s="16"/>
      <c r="AV1003" s="16"/>
      <c r="AW1003" s="16"/>
      <c r="AX1003" s="16"/>
      <c r="AY1003" s="16"/>
      <c r="AZ1003" s="16"/>
      <c r="BA1003" s="16"/>
      <c r="BB1003" s="16"/>
      <c r="BC1003" s="16"/>
      <c r="BD1003" s="16"/>
      <c r="BE1003" s="16"/>
      <c r="BF1003" s="16"/>
      <c r="BG1003" s="16"/>
      <c r="BH1003" s="16"/>
      <c r="BI1003" s="16"/>
      <c r="BJ1003" s="16"/>
      <c r="BK1003" s="16"/>
      <c r="BL1003" s="16"/>
      <c r="BM1003" s="16"/>
      <c r="BN1003" s="16"/>
      <c r="BO1003" s="16"/>
      <c r="BP1003" s="16"/>
      <c r="BQ1003" s="16"/>
      <c r="BR1003" s="16"/>
      <c r="BS1003" s="16"/>
      <c r="BT1003" s="16"/>
      <c r="BU1003" s="16"/>
      <c r="BV1003" s="16"/>
      <c r="BW1003" s="16"/>
      <c r="BX1003" s="16"/>
      <c r="BY1003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W1003"/>
  <sheetViews>
    <sheetView tabSelected="1" workbookViewId="0">
      <selection activeCell="A3" sqref="A3"/>
    </sheetView>
  </sheetViews>
  <sheetFormatPr defaultColWidth="12.6328125" defaultRowHeight="15.75" customHeight="1" x14ac:dyDescent="0.25"/>
  <cols>
    <col min="1" max="1" width="37.36328125" customWidth="1"/>
    <col min="3" max="7" width="16.7265625" customWidth="1"/>
  </cols>
  <sheetData>
    <row r="1" spans="1:23" ht="15.75" customHeight="1" x14ac:dyDescent="0.35">
      <c r="A1" s="1" t="s">
        <v>107</v>
      </c>
      <c r="B1" s="2" t="s">
        <v>0</v>
      </c>
      <c r="C1" s="3" t="e">
        <f t="array" aca="1" ref="C1" ca="1">INDEX(D1:G1, MATCH(1, D16:G16, 0))</f>
        <v>#N/A</v>
      </c>
      <c r="D1" s="23" t="s">
        <v>108</v>
      </c>
      <c r="E1" s="6" t="s">
        <v>109</v>
      </c>
      <c r="F1" s="6" t="s">
        <v>110</v>
      </c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15.75" customHeight="1" x14ac:dyDescent="0.35">
      <c r="A2" s="8" t="str">
        <f>Specs!C2</f>
        <v>Switching Bandwidth - Full Duplex (Gbps)</v>
      </c>
      <c r="B2" s="9">
        <f ca="1">IFERROR(__xludf.DUMMYFUNCTION("IMPORTRANGE(""https://docs.google.com/spreadsheets/d/18TjePryHG687L54fIGU6Od12DGyT3mPoblPemZTZRY4"",""SwitchCampus!B3:B10"")"),200)</f>
        <v>200</v>
      </c>
      <c r="C2" s="10" t="e">
        <f ca="1">HLOOKUP($C$1,$D$1:$G$10,2,0)</f>
        <v>#N/A</v>
      </c>
      <c r="D2" s="24"/>
      <c r="E2" s="13"/>
      <c r="F2" s="13"/>
      <c r="G2" s="13"/>
    </row>
    <row r="3" spans="1:23" ht="15.75" customHeight="1" x14ac:dyDescent="0.35">
      <c r="A3" s="8" t="str">
        <f>Specs!C3</f>
        <v>Forwarding Capacity (Mpps)</v>
      </c>
      <c r="B3" s="9">
        <f ca="1">IFERROR(__xludf.DUMMYFUNCTION("""COMPUTED_VALUE"""),100)</f>
        <v>100</v>
      </c>
      <c r="C3" s="10" t="e">
        <f ca="1">HLOOKUP($C$1,$D$1:$G$10,3,0)</f>
        <v>#N/A</v>
      </c>
      <c r="D3" s="24"/>
      <c r="E3" s="13"/>
      <c r="F3" s="13"/>
      <c r="G3" s="13"/>
    </row>
    <row r="4" spans="1:23" ht="15.75" customHeight="1" x14ac:dyDescent="0.35">
      <c r="A4" s="8" t="str">
        <f>Specs!C4</f>
        <v>Số lượng cổng 1GE đồng</v>
      </c>
      <c r="B4" s="9">
        <f ca="1">IFERROR(__xludf.DUMMYFUNCTION("""COMPUTED_VALUE"""),16)</f>
        <v>16</v>
      </c>
      <c r="C4" s="10" t="e">
        <f ca="1">HLOOKUP($C$1,$D$1:$G$10,4,0)</f>
        <v>#N/A</v>
      </c>
      <c r="D4" s="24">
        <v>48</v>
      </c>
      <c r="E4" s="13">
        <v>48</v>
      </c>
      <c r="F4" s="13"/>
      <c r="G4" s="13"/>
    </row>
    <row r="5" spans="1:23" ht="15.75" customHeight="1" x14ac:dyDescent="0.35">
      <c r="A5" s="8" t="str">
        <f>Specs!C5</f>
        <v>Số lượng cổng 1GE SFP</v>
      </c>
      <c r="B5" s="9">
        <f ca="1">IFERROR(__xludf.DUMMYFUNCTION("""COMPUTED_VALUE"""),2)</f>
        <v>2</v>
      </c>
      <c r="C5" s="10" t="e">
        <f ca="1">HLOOKUP($C$1,$D$1:$G$10,5,0)</f>
        <v>#N/A</v>
      </c>
      <c r="D5" s="24"/>
      <c r="E5" s="13"/>
      <c r="F5" s="13">
        <v>48</v>
      </c>
      <c r="G5" s="13"/>
    </row>
    <row r="6" spans="1:23" ht="15.75" customHeight="1" x14ac:dyDescent="0.35">
      <c r="A6" s="8" t="str">
        <f>Specs!C6</f>
        <v>Số lượng cổng 10GE đồng</v>
      </c>
      <c r="B6" s="9">
        <f ca="1">IFERROR(__xludf.DUMMYFUNCTION("""COMPUTED_VALUE"""),10)</f>
        <v>10</v>
      </c>
      <c r="C6" s="10" t="e">
        <f ca="1">HLOOKUP($C$1,$D$1:$G$10,6,0)</f>
        <v>#N/A</v>
      </c>
      <c r="D6" s="24"/>
      <c r="E6" s="13">
        <v>48</v>
      </c>
      <c r="F6" s="13"/>
      <c r="G6" s="13"/>
    </row>
    <row r="7" spans="1:23" ht="15.75" customHeight="1" x14ac:dyDescent="0.35">
      <c r="A7" s="8" t="str">
        <f>Specs!C7</f>
        <v>Số lượng cổng 10GE quang</v>
      </c>
      <c r="B7" s="9"/>
      <c r="C7" s="10" t="e">
        <f ca="1">HLOOKUP($C$1,$D$1:$G$10,7,0)</f>
        <v>#N/A</v>
      </c>
      <c r="D7" s="24">
        <v>4</v>
      </c>
      <c r="E7" s="13"/>
      <c r="F7" s="13">
        <v>48</v>
      </c>
      <c r="G7" s="13"/>
    </row>
    <row r="8" spans="1:23" ht="15.75" customHeight="1" x14ac:dyDescent="0.35">
      <c r="A8" s="8" t="str">
        <f>Specs!C8</f>
        <v>Số lượng cổng 100GE</v>
      </c>
      <c r="B8" s="9"/>
      <c r="C8" s="10" t="e">
        <f ca="1">HLOOKUP($C$1,$D$1:$G$10,8,0)</f>
        <v>#N/A</v>
      </c>
      <c r="D8" s="24">
        <v>2</v>
      </c>
      <c r="E8" s="13">
        <v>6</v>
      </c>
      <c r="F8" s="13">
        <v>6</v>
      </c>
      <c r="G8" s="13"/>
    </row>
    <row r="9" spans="1:23" ht="15.75" customHeight="1" x14ac:dyDescent="0.35">
      <c r="A9" s="8" t="str">
        <f>Specs!C9</f>
        <v>Stacking (Y/N)</v>
      </c>
      <c r="B9" s="9" t="str">
        <f ca="1">IFERROR(__xludf.DUMMYFUNCTION("""COMPUTED_VALUE"""),"Y")</f>
        <v>Y</v>
      </c>
      <c r="C9" s="10" t="e">
        <f ca="1">HLOOKUP($C$1,$D$1:$G$10,9,0)</f>
        <v>#N/A</v>
      </c>
      <c r="D9" s="24"/>
      <c r="E9" s="13"/>
      <c r="F9" s="13"/>
      <c r="G9" s="13"/>
    </row>
    <row r="10" spans="1:23" ht="15.75" customHeight="1" x14ac:dyDescent="0.35">
      <c r="A10" s="8" t="str">
        <f>Specs!C10</f>
        <v>PoE (Y/N)</v>
      </c>
      <c r="B10" s="9"/>
      <c r="C10" s="10" t="e">
        <f ca="1">HLOOKUP($C$1,$D$1:$G$10,10,0)</f>
        <v>#N/A</v>
      </c>
      <c r="D10" s="24"/>
      <c r="E10" s="13"/>
      <c r="F10" s="13"/>
      <c r="G10" s="13"/>
    </row>
    <row r="11" spans="1:23" x14ac:dyDescent="0.3">
      <c r="A11" s="7" t="s">
        <v>106</v>
      </c>
      <c r="B11" s="14"/>
      <c r="C11" s="15" t="e">
        <f ca="1">HLOOKUP($C$1,$D$1:$G$11,11,0)</f>
        <v>#N/A</v>
      </c>
      <c r="D11" s="16" t="s">
        <v>25</v>
      </c>
      <c r="E11" s="16" t="s">
        <v>25</v>
      </c>
      <c r="F11" s="16" t="s">
        <v>25</v>
      </c>
      <c r="G11" s="16"/>
    </row>
    <row r="12" spans="1:23" ht="15.75" customHeight="1" x14ac:dyDescent="0.25">
      <c r="A12" s="17"/>
      <c r="B12" s="14"/>
      <c r="C12" s="15"/>
      <c r="D12" s="16"/>
      <c r="E12" s="16"/>
      <c r="F12" s="16"/>
      <c r="G12" s="16"/>
    </row>
    <row r="13" spans="1:23" ht="15.75" customHeight="1" x14ac:dyDescent="0.25">
      <c r="A13" s="17" t="s">
        <v>26</v>
      </c>
      <c r="B13" s="14"/>
      <c r="C13" s="15" t="e">
        <f t="shared" ref="C13:E13" ca="1" si="0">SUM(1*(C2&gt;=$B$2)+1*(C3&gt;=$B$3)+1*(C4&gt;=$B$4)+1*(C5&gt;=$B$5)+1*(C6&gt;=$B$6)+1*(C7&gt;=$B$7)+1*(C8&gt;=$B$8)+1*OR(C9="Y",$B$9="N",$B$9="")+1*OR(C10="Y",$B$10="N",$B$10=""))</f>
        <v>#N/A</v>
      </c>
      <c r="D13" s="16">
        <f t="shared" ca="1" si="0"/>
        <v>4</v>
      </c>
      <c r="E13" s="16">
        <f t="shared" ca="1" si="0"/>
        <v>5</v>
      </c>
      <c r="F13" s="16"/>
      <c r="G13" s="16">
        <f ca="1">SUM(1*(G2&gt;=$B$2)+1*(G3&gt;=$B$3)+1*(G4&gt;=$B$4)+1*(G5&gt;=$B$5)+1*(G6&gt;=$B$6)+1*(G7&gt;=$B$7)+1*(G8&gt;=$B$8)+1*OR(G9="Y",$B$9="N",$B$9="")+1*OR(G10="Y",$B$10="N",$B$10=""))</f>
        <v>3</v>
      </c>
    </row>
    <row r="14" spans="1:23" ht="15.75" customHeight="1" x14ac:dyDescent="0.25">
      <c r="A14" s="17" t="s">
        <v>27</v>
      </c>
      <c r="B14" s="14"/>
      <c r="C14" s="18">
        <f ca="1">IFERROR(VLOOKUP(C1,AllListPrice!$A$2:$D$1000,4,0),0)</f>
        <v>0</v>
      </c>
      <c r="D14" s="19">
        <f ca="1">IFERROR(VLOOKUP(D1,AllListPrice!$A$2:$D$1000,4,0),0)</f>
        <v>30084.92</v>
      </c>
      <c r="E14" s="19">
        <f ca="1">IFERROR(VLOOKUP(E1,AllListPrice!$A$2:$D$1000,4,0),0)</f>
        <v>0</v>
      </c>
      <c r="F14" s="19"/>
      <c r="G14" s="19">
        <f ca="1">IFERROR(VLOOKUP(G1,Cisco!$A$2:$D$1000,4,0),0)</f>
        <v>0</v>
      </c>
    </row>
    <row r="15" spans="1:23" ht="15.75" customHeight="1" x14ac:dyDescent="0.25">
      <c r="A15" s="17" t="s">
        <v>28</v>
      </c>
      <c r="B15" s="14"/>
      <c r="C15" s="15" t="e">
        <f t="shared" ref="C15:E15" ca="1" si="1">1*(C13=MAX($D$13:$G$13))</f>
        <v>#N/A</v>
      </c>
      <c r="D15" s="16">
        <f t="shared" ca="1" si="1"/>
        <v>0</v>
      </c>
      <c r="E15" s="16">
        <f t="shared" ca="1" si="1"/>
        <v>1</v>
      </c>
      <c r="F15" s="16"/>
      <c r="G15" s="16">
        <f ca="1">1*(G13=MAX($D$13:$G$13))</f>
        <v>0</v>
      </c>
    </row>
    <row r="16" spans="1:23" ht="15.75" customHeight="1" x14ac:dyDescent="0.25">
      <c r="A16" s="17" t="s">
        <v>29</v>
      </c>
      <c r="B16" s="14"/>
      <c r="C16" s="15" t="e">
        <f t="shared" ref="C16:E16" ca="1" si="2">C15*(C14=_xludf.minifs($D$14:$G$14,$D$15:$G$15,1))</f>
        <v>#N/A</v>
      </c>
      <c r="D16" s="16" t="e">
        <f t="shared" ca="1" si="2"/>
        <v>#NAME?</v>
      </c>
      <c r="E16" s="16" t="e">
        <f t="shared" ca="1" si="2"/>
        <v>#NAME?</v>
      </c>
      <c r="F16" s="16"/>
      <c r="G16" s="16" t="e">
        <f ca="1">G15*(G14=_xludf.minifs($D$14:$G$14,$D$15:$G$15,1))</f>
        <v>#NAME?</v>
      </c>
    </row>
    <row r="17" spans="1:23" ht="15.75" customHeight="1" x14ac:dyDescent="0.25">
      <c r="A17" s="17" t="s">
        <v>30</v>
      </c>
      <c r="B17" s="14"/>
      <c r="C17" s="15" t="e">
        <f t="shared" ref="C17:E17" ca="1" si="3">(1-($C$1=C1))*(C15=1)</f>
        <v>#N/A</v>
      </c>
      <c r="D17" s="16" t="e">
        <f t="shared" ca="1" si="3"/>
        <v>#N/A</v>
      </c>
      <c r="E17" s="16" t="e">
        <f t="shared" ca="1" si="3"/>
        <v>#N/A</v>
      </c>
      <c r="F17" s="16"/>
      <c r="G17" s="16" t="e">
        <f ca="1">(1-($C$1=G1))*(G15=1)</f>
        <v>#N/A</v>
      </c>
    </row>
    <row r="18" spans="1:23" ht="15.75" customHeight="1" x14ac:dyDescent="0.25">
      <c r="B18" s="14"/>
      <c r="C18" s="15"/>
      <c r="D18" s="16"/>
      <c r="E18" s="16"/>
      <c r="F18" s="16"/>
      <c r="G18" s="16"/>
    </row>
    <row r="19" spans="1:23" x14ac:dyDescent="0.3">
      <c r="A19" s="7" t="s">
        <v>31</v>
      </c>
      <c r="B19" s="20"/>
      <c r="C19" s="21" t="str">
        <f ca="1">IFERROR(__xludf.DUMMYFUNCTION("iferror(filter(D1:G1,$D$17:$G$17=1),"""")"),"")</f>
        <v/>
      </c>
      <c r="D19" s="22"/>
      <c r="E19" s="22"/>
      <c r="F19" s="22"/>
      <c r="G19" s="22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</row>
    <row r="20" spans="1:23" ht="12.5" x14ac:dyDescent="0.25">
      <c r="A20" s="17" t="str">
        <f t="shared" ref="A20:B20" si="4">A2</f>
        <v>Switching Bandwidth - Full Duplex (Gbps)</v>
      </c>
      <c r="B20" s="14">
        <f t="shared" ca="1" si="4"/>
        <v>200</v>
      </c>
      <c r="C20" s="15" t="str">
        <f ca="1">IFERROR(__xludf.DUMMYFUNCTION("iferror(filter(D2:G2,$D$17:$G$17=1),"""")"),"")</f>
        <v/>
      </c>
      <c r="D20" s="16"/>
      <c r="E20" s="16"/>
      <c r="F20" s="16"/>
      <c r="G20" s="16"/>
    </row>
    <row r="21" spans="1:23" ht="12.5" x14ac:dyDescent="0.25">
      <c r="A21" s="17" t="str">
        <f t="shared" ref="A21:B21" si="5">A3</f>
        <v>Forwarding Capacity (Mpps)</v>
      </c>
      <c r="B21" s="14">
        <f t="shared" ca="1" si="5"/>
        <v>100</v>
      </c>
      <c r="C21" s="15" t="str">
        <f ca="1">IFERROR(__xludf.DUMMYFUNCTION("iferror(filter(D3:G3,$D$17:$G$17=1),"""")"),"")</f>
        <v/>
      </c>
      <c r="D21" s="16"/>
      <c r="E21" s="16"/>
      <c r="F21" s="16"/>
      <c r="G21" s="16"/>
    </row>
    <row r="22" spans="1:23" ht="12.5" x14ac:dyDescent="0.25">
      <c r="A22" s="17" t="str">
        <f t="shared" ref="A22:B22" si="6">A4</f>
        <v>Số lượng cổng 1GE đồng</v>
      </c>
      <c r="B22" s="14">
        <f t="shared" ca="1" si="6"/>
        <v>16</v>
      </c>
      <c r="C22" s="15" t="str">
        <f ca="1">IFERROR(__xludf.DUMMYFUNCTION("iferror(filter(D4:G4,$D$17:$G$17=1),"""")"),"")</f>
        <v/>
      </c>
      <c r="D22" s="16"/>
      <c r="E22" s="16"/>
      <c r="F22" s="16"/>
      <c r="G22" s="16"/>
    </row>
    <row r="23" spans="1:23" ht="12.5" x14ac:dyDescent="0.25">
      <c r="A23" s="17" t="str">
        <f t="shared" ref="A23:B23" si="7">A5</f>
        <v>Số lượng cổng 1GE SFP</v>
      </c>
      <c r="B23" s="14">
        <f t="shared" ca="1" si="7"/>
        <v>2</v>
      </c>
      <c r="C23" s="15" t="str">
        <f ca="1">IFERROR(__xludf.DUMMYFUNCTION("iferror(filter(D5:G5,$D$17:$G$17=1),"""")"),"")</f>
        <v/>
      </c>
      <c r="D23" s="16"/>
      <c r="E23" s="16"/>
      <c r="F23" s="16"/>
      <c r="G23" s="16"/>
    </row>
    <row r="24" spans="1:23" ht="12.5" x14ac:dyDescent="0.25">
      <c r="A24" s="17" t="str">
        <f t="shared" ref="A24:B24" si="8">A6</f>
        <v>Số lượng cổng 10GE đồng</v>
      </c>
      <c r="B24" s="14">
        <f t="shared" ca="1" si="8"/>
        <v>10</v>
      </c>
      <c r="C24" s="15" t="str">
        <f ca="1">IFERROR(__xludf.DUMMYFUNCTION("iferror(filter(D6:G6,$D$17:$G$17=1),"""")"),"")</f>
        <v/>
      </c>
      <c r="D24" s="16"/>
      <c r="E24" s="16"/>
      <c r="F24" s="16"/>
      <c r="G24" s="16"/>
    </row>
    <row r="25" spans="1:23" ht="12.5" x14ac:dyDescent="0.25">
      <c r="A25" s="17" t="str">
        <f t="shared" ref="A25:B25" si="9">A7</f>
        <v>Số lượng cổng 10GE quang</v>
      </c>
      <c r="B25" s="14">
        <f t="shared" si="9"/>
        <v>0</v>
      </c>
      <c r="C25" s="15" t="str">
        <f ca="1">IFERROR(__xludf.DUMMYFUNCTION("iferror(filter(D7:G7,$D$17:$G$17=1),"""")"),"")</f>
        <v/>
      </c>
      <c r="D25" s="16"/>
      <c r="E25" s="16"/>
      <c r="F25" s="16"/>
      <c r="G25" s="16"/>
    </row>
    <row r="26" spans="1:23" ht="12.5" x14ac:dyDescent="0.25">
      <c r="A26" s="17" t="str">
        <f t="shared" ref="A26:B26" si="10">A8</f>
        <v>Số lượng cổng 100GE</v>
      </c>
      <c r="B26" s="14">
        <f t="shared" si="10"/>
        <v>0</v>
      </c>
      <c r="C26" s="15" t="str">
        <f ca="1">IFERROR(__xludf.DUMMYFUNCTION("iferror(filter(D8:G8,$D$17:$G$17=1),"""")"),"")</f>
        <v/>
      </c>
      <c r="D26" s="16"/>
      <c r="E26" s="16"/>
      <c r="F26" s="16"/>
      <c r="G26" s="16"/>
    </row>
    <row r="27" spans="1:23" ht="12.5" x14ac:dyDescent="0.25">
      <c r="A27" s="17" t="str">
        <f t="shared" ref="A27:B27" si="11">A9</f>
        <v>Stacking (Y/N)</v>
      </c>
      <c r="B27" s="14" t="str">
        <f t="shared" ca="1" si="11"/>
        <v>Y</v>
      </c>
      <c r="C27" s="15" t="str">
        <f ca="1">IFERROR(__xludf.DUMMYFUNCTION("iferror(filter(D9:G9,$D$17:$G$17=1),"""")"),"")</f>
        <v/>
      </c>
      <c r="D27" s="16"/>
      <c r="E27" s="16"/>
      <c r="F27" s="16"/>
      <c r="G27" s="16"/>
    </row>
    <row r="28" spans="1:23" ht="12.5" x14ac:dyDescent="0.25">
      <c r="A28" s="17" t="str">
        <f>A10</f>
        <v>PoE (Y/N)</v>
      </c>
      <c r="B28" s="14"/>
      <c r="C28" s="15" t="str">
        <f ca="1">IFERROR(__xludf.DUMMYFUNCTION("iferror(filter(D10,$D$17=1),"""")"),"")</f>
        <v/>
      </c>
      <c r="D28" s="16"/>
      <c r="E28" s="16"/>
      <c r="F28" s="16"/>
      <c r="G28" s="16"/>
    </row>
    <row r="29" spans="1:23" ht="12.5" x14ac:dyDescent="0.25">
      <c r="B29" s="14"/>
      <c r="C29" s="15"/>
      <c r="D29" s="16"/>
      <c r="E29" s="16"/>
      <c r="F29" s="16"/>
      <c r="G29" s="16"/>
    </row>
    <row r="30" spans="1:23" ht="12.5" x14ac:dyDescent="0.25">
      <c r="B30" s="14"/>
      <c r="C30" s="15"/>
      <c r="D30" s="16"/>
      <c r="E30" s="16"/>
      <c r="F30" s="16"/>
      <c r="G30" s="16"/>
    </row>
    <row r="31" spans="1:23" ht="12.5" x14ac:dyDescent="0.25">
      <c r="B31" s="14"/>
      <c r="C31" s="15"/>
      <c r="D31" s="16"/>
      <c r="E31" s="16"/>
      <c r="F31" s="16"/>
      <c r="G31" s="16"/>
    </row>
    <row r="32" spans="1:23" ht="12.5" x14ac:dyDescent="0.25">
      <c r="B32" s="14"/>
      <c r="C32" s="15"/>
      <c r="D32" s="16"/>
      <c r="E32" s="16"/>
      <c r="F32" s="16"/>
      <c r="G32" s="16"/>
    </row>
    <row r="33" spans="2:7" ht="12.5" x14ac:dyDescent="0.25">
      <c r="B33" s="14"/>
      <c r="C33" s="15"/>
      <c r="D33" s="16"/>
      <c r="E33" s="16"/>
      <c r="F33" s="16"/>
      <c r="G33" s="16"/>
    </row>
    <row r="34" spans="2:7" ht="12.5" x14ac:dyDescent="0.25">
      <c r="B34" s="14"/>
      <c r="C34" s="15"/>
      <c r="D34" s="16"/>
      <c r="E34" s="16"/>
      <c r="F34" s="16"/>
      <c r="G34" s="16"/>
    </row>
    <row r="35" spans="2:7" ht="12.5" x14ac:dyDescent="0.25">
      <c r="B35" s="14"/>
      <c r="C35" s="15"/>
      <c r="D35" s="16"/>
      <c r="E35" s="16"/>
      <c r="F35" s="16"/>
      <c r="G35" s="16"/>
    </row>
    <row r="36" spans="2:7" ht="12.5" x14ac:dyDescent="0.25">
      <c r="B36" s="14"/>
      <c r="C36" s="15"/>
      <c r="D36" s="16"/>
      <c r="E36" s="16"/>
      <c r="F36" s="16"/>
      <c r="G36" s="16"/>
    </row>
    <row r="37" spans="2:7" ht="12.5" x14ac:dyDescent="0.25">
      <c r="B37" s="14"/>
      <c r="C37" s="15"/>
      <c r="D37" s="16"/>
      <c r="E37" s="16"/>
      <c r="F37" s="16"/>
      <c r="G37" s="16"/>
    </row>
    <row r="38" spans="2:7" ht="12.5" x14ac:dyDescent="0.25">
      <c r="B38" s="14"/>
      <c r="C38" s="15"/>
      <c r="D38" s="16"/>
      <c r="E38" s="16"/>
      <c r="F38" s="16"/>
      <c r="G38" s="16"/>
    </row>
    <row r="39" spans="2:7" ht="12.5" x14ac:dyDescent="0.25">
      <c r="B39" s="14"/>
      <c r="C39" s="15"/>
      <c r="D39" s="16"/>
      <c r="E39" s="16"/>
      <c r="F39" s="16"/>
      <c r="G39" s="16"/>
    </row>
    <row r="40" spans="2:7" ht="12.5" x14ac:dyDescent="0.25">
      <c r="B40" s="14"/>
      <c r="C40" s="15"/>
      <c r="D40" s="16"/>
      <c r="E40" s="16"/>
      <c r="F40" s="16"/>
      <c r="G40" s="16"/>
    </row>
    <row r="41" spans="2:7" ht="12.5" x14ac:dyDescent="0.25">
      <c r="B41" s="14"/>
      <c r="C41" s="15"/>
      <c r="D41" s="16"/>
      <c r="E41" s="16"/>
      <c r="F41" s="16"/>
      <c r="G41" s="16"/>
    </row>
    <row r="42" spans="2:7" ht="12.5" x14ac:dyDescent="0.25">
      <c r="B42" s="14"/>
      <c r="C42" s="15"/>
      <c r="D42" s="16"/>
      <c r="E42" s="16"/>
      <c r="F42" s="16"/>
      <c r="G42" s="16"/>
    </row>
    <row r="43" spans="2:7" ht="12.5" x14ac:dyDescent="0.25">
      <c r="B43" s="14"/>
      <c r="C43" s="15"/>
      <c r="D43" s="16"/>
      <c r="E43" s="16"/>
      <c r="F43" s="16"/>
      <c r="G43" s="16"/>
    </row>
    <row r="44" spans="2:7" ht="12.5" x14ac:dyDescent="0.25">
      <c r="B44" s="14"/>
      <c r="C44" s="15"/>
      <c r="D44" s="16"/>
      <c r="E44" s="16"/>
      <c r="F44" s="16"/>
      <c r="G44" s="16"/>
    </row>
    <row r="45" spans="2:7" ht="12.5" x14ac:dyDescent="0.25">
      <c r="B45" s="14"/>
      <c r="C45" s="15"/>
      <c r="D45" s="16"/>
      <c r="E45" s="16"/>
      <c r="F45" s="16"/>
      <c r="G45" s="16"/>
    </row>
    <row r="46" spans="2:7" ht="12.5" x14ac:dyDescent="0.25">
      <c r="B46" s="14"/>
      <c r="C46" s="15"/>
      <c r="D46" s="16"/>
      <c r="E46" s="16"/>
      <c r="F46" s="16"/>
      <c r="G46" s="16"/>
    </row>
    <row r="47" spans="2:7" ht="12.5" x14ac:dyDescent="0.25">
      <c r="B47" s="14"/>
      <c r="C47" s="15"/>
      <c r="D47" s="16"/>
      <c r="E47" s="16"/>
      <c r="F47" s="16"/>
      <c r="G47" s="16"/>
    </row>
    <row r="48" spans="2:7" ht="12.5" x14ac:dyDescent="0.25">
      <c r="B48" s="14"/>
      <c r="C48" s="15"/>
      <c r="D48" s="16"/>
      <c r="E48" s="16"/>
      <c r="F48" s="16"/>
      <c r="G48" s="16"/>
    </row>
    <row r="49" spans="2:7" ht="12.5" x14ac:dyDescent="0.25">
      <c r="B49" s="14"/>
      <c r="C49" s="15"/>
      <c r="D49" s="16"/>
      <c r="E49" s="16"/>
      <c r="F49" s="16"/>
      <c r="G49" s="16"/>
    </row>
    <row r="50" spans="2:7" ht="12.5" x14ac:dyDescent="0.25">
      <c r="B50" s="14"/>
      <c r="C50" s="15"/>
      <c r="D50" s="16"/>
      <c r="E50" s="16"/>
      <c r="F50" s="16"/>
      <c r="G50" s="16"/>
    </row>
    <row r="51" spans="2:7" ht="12.5" x14ac:dyDescent="0.25">
      <c r="B51" s="14"/>
      <c r="C51" s="15"/>
      <c r="D51" s="16"/>
      <c r="E51" s="16"/>
      <c r="F51" s="16"/>
      <c r="G51" s="16"/>
    </row>
    <row r="52" spans="2:7" ht="12.5" x14ac:dyDescent="0.25">
      <c r="B52" s="14"/>
      <c r="C52" s="15"/>
      <c r="D52" s="16"/>
      <c r="E52" s="16"/>
      <c r="F52" s="16"/>
      <c r="G52" s="16"/>
    </row>
    <row r="53" spans="2:7" ht="12.5" x14ac:dyDescent="0.25">
      <c r="B53" s="14"/>
      <c r="C53" s="15"/>
      <c r="D53" s="16"/>
      <c r="E53" s="16"/>
      <c r="F53" s="16"/>
      <c r="G53" s="16"/>
    </row>
    <row r="54" spans="2:7" ht="12.5" x14ac:dyDescent="0.25">
      <c r="B54" s="14"/>
      <c r="C54" s="15"/>
      <c r="D54" s="16"/>
      <c r="E54" s="16"/>
      <c r="F54" s="16"/>
      <c r="G54" s="16"/>
    </row>
    <row r="55" spans="2:7" ht="12.5" x14ac:dyDescent="0.25">
      <c r="B55" s="14"/>
      <c r="C55" s="15"/>
      <c r="D55" s="16"/>
      <c r="E55" s="16"/>
      <c r="F55" s="16"/>
      <c r="G55" s="16"/>
    </row>
    <row r="56" spans="2:7" ht="12.5" x14ac:dyDescent="0.25">
      <c r="B56" s="14"/>
      <c r="C56" s="15"/>
      <c r="D56" s="16"/>
      <c r="E56" s="16"/>
      <c r="F56" s="16"/>
      <c r="G56" s="16"/>
    </row>
    <row r="57" spans="2:7" ht="12.5" x14ac:dyDescent="0.25">
      <c r="B57" s="14"/>
      <c r="C57" s="15"/>
      <c r="D57" s="16"/>
      <c r="E57" s="16"/>
      <c r="F57" s="16"/>
      <c r="G57" s="16"/>
    </row>
    <row r="58" spans="2:7" ht="12.5" x14ac:dyDescent="0.25">
      <c r="B58" s="14"/>
      <c r="C58" s="15"/>
      <c r="D58" s="16"/>
      <c r="E58" s="16"/>
      <c r="F58" s="16"/>
      <c r="G58" s="16"/>
    </row>
    <row r="59" spans="2:7" ht="12.5" x14ac:dyDescent="0.25">
      <c r="B59" s="14"/>
      <c r="C59" s="15"/>
      <c r="D59" s="16"/>
      <c r="E59" s="16"/>
      <c r="F59" s="16"/>
      <c r="G59" s="16"/>
    </row>
    <row r="60" spans="2:7" ht="12.5" x14ac:dyDescent="0.25">
      <c r="B60" s="14"/>
      <c r="C60" s="15"/>
      <c r="D60" s="16"/>
      <c r="E60" s="16"/>
      <c r="F60" s="16"/>
      <c r="G60" s="16"/>
    </row>
    <row r="61" spans="2:7" ht="12.5" x14ac:dyDescent="0.25">
      <c r="B61" s="14"/>
      <c r="C61" s="15"/>
      <c r="D61" s="16"/>
      <c r="E61" s="16"/>
      <c r="F61" s="16"/>
      <c r="G61" s="16"/>
    </row>
    <row r="62" spans="2:7" ht="12.5" x14ac:dyDescent="0.25">
      <c r="B62" s="14"/>
      <c r="C62" s="15"/>
      <c r="D62" s="16"/>
      <c r="E62" s="16"/>
      <c r="F62" s="16"/>
      <c r="G62" s="16"/>
    </row>
    <row r="63" spans="2:7" ht="12.5" x14ac:dyDescent="0.25">
      <c r="B63" s="14"/>
      <c r="C63" s="15"/>
      <c r="D63" s="16"/>
      <c r="E63" s="16"/>
      <c r="F63" s="16"/>
      <c r="G63" s="16"/>
    </row>
    <row r="64" spans="2:7" ht="12.5" x14ac:dyDescent="0.25">
      <c r="B64" s="14"/>
      <c r="C64" s="15"/>
      <c r="D64" s="16"/>
      <c r="E64" s="16"/>
      <c r="F64" s="16"/>
      <c r="G64" s="16"/>
    </row>
    <row r="65" spans="2:7" ht="12.5" x14ac:dyDescent="0.25">
      <c r="B65" s="14"/>
      <c r="C65" s="15"/>
      <c r="D65" s="16"/>
      <c r="E65" s="16"/>
      <c r="F65" s="16"/>
      <c r="G65" s="16"/>
    </row>
    <row r="66" spans="2:7" ht="12.5" x14ac:dyDescent="0.25">
      <c r="B66" s="14"/>
      <c r="C66" s="15"/>
      <c r="D66" s="16"/>
      <c r="E66" s="16"/>
      <c r="F66" s="16"/>
      <c r="G66" s="16"/>
    </row>
    <row r="67" spans="2:7" ht="12.5" x14ac:dyDescent="0.25">
      <c r="B67" s="14"/>
      <c r="C67" s="15"/>
      <c r="D67" s="16"/>
      <c r="E67" s="16"/>
      <c r="F67" s="16"/>
      <c r="G67" s="16"/>
    </row>
    <row r="68" spans="2:7" ht="12.5" x14ac:dyDescent="0.25">
      <c r="B68" s="14"/>
      <c r="C68" s="15"/>
      <c r="D68" s="16"/>
      <c r="E68" s="16"/>
      <c r="F68" s="16"/>
      <c r="G68" s="16"/>
    </row>
    <row r="69" spans="2:7" ht="12.5" x14ac:dyDescent="0.25">
      <c r="B69" s="14"/>
      <c r="C69" s="15"/>
      <c r="D69" s="16"/>
      <c r="E69" s="16"/>
      <c r="F69" s="16"/>
      <c r="G69" s="16"/>
    </row>
    <row r="70" spans="2:7" ht="12.5" x14ac:dyDescent="0.25">
      <c r="B70" s="14"/>
      <c r="C70" s="15"/>
      <c r="D70" s="16"/>
      <c r="E70" s="16"/>
      <c r="F70" s="16"/>
      <c r="G70" s="16"/>
    </row>
    <row r="71" spans="2:7" ht="12.5" x14ac:dyDescent="0.25">
      <c r="B71" s="14"/>
      <c r="C71" s="15"/>
      <c r="D71" s="16"/>
      <c r="E71" s="16"/>
      <c r="F71" s="16"/>
      <c r="G71" s="16"/>
    </row>
    <row r="72" spans="2:7" ht="12.5" x14ac:dyDescent="0.25">
      <c r="B72" s="14"/>
      <c r="C72" s="15"/>
      <c r="D72" s="16"/>
      <c r="E72" s="16"/>
      <c r="F72" s="16"/>
      <c r="G72" s="16"/>
    </row>
    <row r="73" spans="2:7" ht="12.5" x14ac:dyDescent="0.25">
      <c r="B73" s="14"/>
      <c r="C73" s="15"/>
      <c r="D73" s="16"/>
      <c r="E73" s="16"/>
      <c r="F73" s="16"/>
      <c r="G73" s="16"/>
    </row>
    <row r="74" spans="2:7" ht="12.5" x14ac:dyDescent="0.25">
      <c r="B74" s="14"/>
      <c r="C74" s="15"/>
      <c r="D74" s="16"/>
      <c r="E74" s="16"/>
      <c r="F74" s="16"/>
      <c r="G74" s="16"/>
    </row>
    <row r="75" spans="2:7" ht="12.5" x14ac:dyDescent="0.25">
      <c r="B75" s="14"/>
      <c r="C75" s="15"/>
      <c r="D75" s="16"/>
      <c r="E75" s="16"/>
      <c r="F75" s="16"/>
      <c r="G75" s="16"/>
    </row>
    <row r="76" spans="2:7" ht="12.5" x14ac:dyDescent="0.25">
      <c r="B76" s="14"/>
      <c r="C76" s="15"/>
      <c r="D76" s="16"/>
      <c r="E76" s="16"/>
      <c r="F76" s="16"/>
      <c r="G76" s="16"/>
    </row>
    <row r="77" spans="2:7" ht="12.5" x14ac:dyDescent="0.25">
      <c r="B77" s="14"/>
      <c r="C77" s="15"/>
      <c r="D77" s="16"/>
      <c r="E77" s="16"/>
      <c r="F77" s="16"/>
      <c r="G77" s="16"/>
    </row>
    <row r="78" spans="2:7" ht="12.5" x14ac:dyDescent="0.25">
      <c r="B78" s="14"/>
      <c r="C78" s="15"/>
      <c r="D78" s="16"/>
      <c r="E78" s="16"/>
      <c r="F78" s="16"/>
      <c r="G78" s="16"/>
    </row>
    <row r="79" spans="2:7" ht="12.5" x14ac:dyDescent="0.25">
      <c r="B79" s="14"/>
      <c r="C79" s="15"/>
      <c r="D79" s="16"/>
      <c r="E79" s="16"/>
      <c r="F79" s="16"/>
      <c r="G79" s="16"/>
    </row>
    <row r="80" spans="2:7" ht="12.5" x14ac:dyDescent="0.25">
      <c r="B80" s="14"/>
      <c r="C80" s="15"/>
      <c r="D80" s="16"/>
      <c r="E80" s="16"/>
      <c r="F80" s="16"/>
      <c r="G80" s="16"/>
    </row>
    <row r="81" spans="2:7" ht="12.5" x14ac:dyDescent="0.25">
      <c r="B81" s="14"/>
      <c r="C81" s="15"/>
      <c r="D81" s="16"/>
      <c r="E81" s="16"/>
      <c r="F81" s="16"/>
      <c r="G81" s="16"/>
    </row>
    <row r="82" spans="2:7" ht="12.5" x14ac:dyDescent="0.25">
      <c r="B82" s="14"/>
      <c r="C82" s="15"/>
      <c r="D82" s="16"/>
      <c r="E82" s="16"/>
      <c r="F82" s="16"/>
      <c r="G82" s="16"/>
    </row>
    <row r="83" spans="2:7" ht="12.5" x14ac:dyDescent="0.25">
      <c r="B83" s="14"/>
      <c r="C83" s="15"/>
      <c r="D83" s="16"/>
      <c r="E83" s="16"/>
      <c r="F83" s="16"/>
      <c r="G83" s="16"/>
    </row>
    <row r="84" spans="2:7" ht="12.5" x14ac:dyDescent="0.25">
      <c r="B84" s="14"/>
      <c r="C84" s="15"/>
      <c r="D84" s="16"/>
      <c r="E84" s="16"/>
      <c r="F84" s="16"/>
      <c r="G84" s="16"/>
    </row>
    <row r="85" spans="2:7" ht="12.5" x14ac:dyDescent="0.25">
      <c r="B85" s="14"/>
      <c r="C85" s="15"/>
      <c r="D85" s="16"/>
      <c r="E85" s="16"/>
      <c r="F85" s="16"/>
      <c r="G85" s="16"/>
    </row>
    <row r="86" spans="2:7" ht="12.5" x14ac:dyDescent="0.25">
      <c r="B86" s="14"/>
      <c r="C86" s="15"/>
      <c r="D86" s="16"/>
      <c r="E86" s="16"/>
      <c r="F86" s="16"/>
      <c r="G86" s="16"/>
    </row>
    <row r="87" spans="2:7" ht="12.5" x14ac:dyDescent="0.25">
      <c r="B87" s="14"/>
      <c r="C87" s="15"/>
      <c r="D87" s="16"/>
      <c r="E87" s="16"/>
      <c r="F87" s="16"/>
      <c r="G87" s="16"/>
    </row>
    <row r="88" spans="2:7" ht="12.5" x14ac:dyDescent="0.25">
      <c r="B88" s="14"/>
      <c r="C88" s="15"/>
      <c r="D88" s="16"/>
      <c r="E88" s="16"/>
      <c r="F88" s="16"/>
      <c r="G88" s="16"/>
    </row>
    <row r="89" spans="2:7" ht="12.5" x14ac:dyDescent="0.25">
      <c r="B89" s="14"/>
      <c r="C89" s="15"/>
      <c r="D89" s="16"/>
      <c r="E89" s="16"/>
      <c r="F89" s="16"/>
      <c r="G89" s="16"/>
    </row>
    <row r="90" spans="2:7" ht="12.5" x14ac:dyDescent="0.25">
      <c r="B90" s="14"/>
      <c r="C90" s="15"/>
      <c r="D90" s="16"/>
      <c r="E90" s="16"/>
      <c r="F90" s="16"/>
      <c r="G90" s="16"/>
    </row>
    <row r="91" spans="2:7" ht="12.5" x14ac:dyDescent="0.25">
      <c r="B91" s="14"/>
      <c r="C91" s="15"/>
      <c r="D91" s="16"/>
      <c r="E91" s="16"/>
      <c r="F91" s="16"/>
      <c r="G91" s="16"/>
    </row>
    <row r="92" spans="2:7" ht="12.5" x14ac:dyDescent="0.25">
      <c r="B92" s="14"/>
      <c r="C92" s="15"/>
      <c r="D92" s="16"/>
      <c r="E92" s="16"/>
      <c r="F92" s="16"/>
      <c r="G92" s="16"/>
    </row>
    <row r="93" spans="2:7" ht="12.5" x14ac:dyDescent="0.25">
      <c r="B93" s="14"/>
      <c r="C93" s="15"/>
      <c r="D93" s="16"/>
      <c r="E93" s="16"/>
      <c r="F93" s="16"/>
      <c r="G93" s="16"/>
    </row>
    <row r="94" spans="2:7" ht="12.5" x14ac:dyDescent="0.25">
      <c r="B94" s="14"/>
      <c r="C94" s="15"/>
      <c r="D94" s="16"/>
      <c r="E94" s="16"/>
      <c r="F94" s="16"/>
      <c r="G94" s="16"/>
    </row>
    <row r="95" spans="2:7" ht="12.5" x14ac:dyDescent="0.25">
      <c r="B95" s="14"/>
      <c r="C95" s="15"/>
      <c r="D95" s="16"/>
      <c r="E95" s="16"/>
      <c r="F95" s="16"/>
      <c r="G95" s="16"/>
    </row>
    <row r="96" spans="2:7" ht="12.5" x14ac:dyDescent="0.25">
      <c r="B96" s="14"/>
      <c r="C96" s="15"/>
      <c r="D96" s="16"/>
      <c r="E96" s="16"/>
      <c r="F96" s="16"/>
      <c r="G96" s="16"/>
    </row>
    <row r="97" spans="2:7" ht="12.5" x14ac:dyDescent="0.25">
      <c r="B97" s="14"/>
      <c r="C97" s="15"/>
      <c r="D97" s="16"/>
      <c r="E97" s="16"/>
      <c r="F97" s="16"/>
      <c r="G97" s="16"/>
    </row>
    <row r="98" spans="2:7" ht="12.5" x14ac:dyDescent="0.25">
      <c r="B98" s="14"/>
      <c r="C98" s="15"/>
      <c r="D98" s="16"/>
      <c r="E98" s="16"/>
      <c r="F98" s="16"/>
      <c r="G98" s="16"/>
    </row>
    <row r="99" spans="2:7" ht="12.5" x14ac:dyDescent="0.25">
      <c r="B99" s="14"/>
      <c r="C99" s="15"/>
      <c r="D99" s="16"/>
      <c r="E99" s="16"/>
      <c r="F99" s="16"/>
      <c r="G99" s="16"/>
    </row>
    <row r="100" spans="2:7" ht="12.5" x14ac:dyDescent="0.25">
      <c r="B100" s="14"/>
      <c r="C100" s="15"/>
      <c r="D100" s="16"/>
      <c r="E100" s="16"/>
      <c r="F100" s="16"/>
      <c r="G100" s="16"/>
    </row>
    <row r="101" spans="2:7" ht="12.5" x14ac:dyDescent="0.25">
      <c r="B101" s="14"/>
      <c r="C101" s="15"/>
      <c r="D101" s="16"/>
      <c r="E101" s="16"/>
      <c r="F101" s="16"/>
      <c r="G101" s="16"/>
    </row>
    <row r="102" spans="2:7" ht="12.5" x14ac:dyDescent="0.25">
      <c r="B102" s="14"/>
      <c r="C102" s="15"/>
      <c r="D102" s="16"/>
      <c r="E102" s="16"/>
      <c r="F102" s="16"/>
      <c r="G102" s="16"/>
    </row>
    <row r="103" spans="2:7" ht="12.5" x14ac:dyDescent="0.25">
      <c r="B103" s="14"/>
      <c r="C103" s="15"/>
      <c r="D103" s="16"/>
      <c r="E103" s="16"/>
      <c r="F103" s="16"/>
      <c r="G103" s="16"/>
    </row>
    <row r="104" spans="2:7" ht="12.5" x14ac:dyDescent="0.25">
      <c r="B104" s="14"/>
      <c r="C104" s="15"/>
      <c r="D104" s="16"/>
      <c r="E104" s="16"/>
      <c r="F104" s="16"/>
      <c r="G104" s="16"/>
    </row>
    <row r="105" spans="2:7" ht="12.5" x14ac:dyDescent="0.25">
      <c r="B105" s="14"/>
      <c r="C105" s="15"/>
      <c r="D105" s="16"/>
      <c r="E105" s="16"/>
      <c r="F105" s="16"/>
      <c r="G105" s="16"/>
    </row>
    <row r="106" spans="2:7" ht="12.5" x14ac:dyDescent="0.25">
      <c r="B106" s="14"/>
      <c r="C106" s="15"/>
      <c r="D106" s="16"/>
      <c r="E106" s="16"/>
      <c r="F106" s="16"/>
      <c r="G106" s="16"/>
    </row>
    <row r="107" spans="2:7" ht="12.5" x14ac:dyDescent="0.25">
      <c r="B107" s="14"/>
      <c r="C107" s="15"/>
      <c r="D107" s="16"/>
      <c r="E107" s="16"/>
      <c r="F107" s="16"/>
      <c r="G107" s="16"/>
    </row>
    <row r="108" spans="2:7" ht="12.5" x14ac:dyDescent="0.25">
      <c r="B108" s="14"/>
      <c r="C108" s="15"/>
      <c r="D108" s="16"/>
      <c r="E108" s="16"/>
      <c r="F108" s="16"/>
      <c r="G108" s="16"/>
    </row>
    <row r="109" spans="2:7" ht="12.5" x14ac:dyDescent="0.25">
      <c r="B109" s="14"/>
      <c r="C109" s="15"/>
      <c r="D109" s="16"/>
      <c r="E109" s="16"/>
      <c r="F109" s="16"/>
      <c r="G109" s="16"/>
    </row>
    <row r="110" spans="2:7" ht="12.5" x14ac:dyDescent="0.25">
      <c r="B110" s="14"/>
      <c r="C110" s="15"/>
      <c r="D110" s="16"/>
      <c r="E110" s="16"/>
      <c r="F110" s="16"/>
      <c r="G110" s="16"/>
    </row>
    <row r="111" spans="2:7" ht="12.5" x14ac:dyDescent="0.25">
      <c r="B111" s="14"/>
      <c r="C111" s="15"/>
      <c r="D111" s="16"/>
      <c r="E111" s="16"/>
      <c r="F111" s="16"/>
      <c r="G111" s="16"/>
    </row>
    <row r="112" spans="2:7" ht="12.5" x14ac:dyDescent="0.25">
      <c r="B112" s="14"/>
      <c r="C112" s="15"/>
      <c r="D112" s="16"/>
      <c r="E112" s="16"/>
      <c r="F112" s="16"/>
      <c r="G112" s="16"/>
    </row>
    <row r="113" spans="2:7" ht="12.5" x14ac:dyDescent="0.25">
      <c r="B113" s="14"/>
      <c r="C113" s="15"/>
      <c r="D113" s="16"/>
      <c r="E113" s="16"/>
      <c r="F113" s="16"/>
      <c r="G113" s="16"/>
    </row>
    <row r="114" spans="2:7" ht="12.5" x14ac:dyDescent="0.25">
      <c r="B114" s="14"/>
      <c r="C114" s="15"/>
      <c r="D114" s="16"/>
      <c r="E114" s="16"/>
      <c r="F114" s="16"/>
      <c r="G114" s="16"/>
    </row>
    <row r="115" spans="2:7" ht="12.5" x14ac:dyDescent="0.25">
      <c r="B115" s="14"/>
      <c r="C115" s="15"/>
      <c r="D115" s="16"/>
      <c r="E115" s="16"/>
      <c r="F115" s="16"/>
      <c r="G115" s="16"/>
    </row>
    <row r="116" spans="2:7" ht="12.5" x14ac:dyDescent="0.25">
      <c r="B116" s="14"/>
      <c r="C116" s="15"/>
      <c r="D116" s="16"/>
      <c r="E116" s="16"/>
      <c r="F116" s="16"/>
      <c r="G116" s="16"/>
    </row>
    <row r="117" spans="2:7" ht="12.5" x14ac:dyDescent="0.25">
      <c r="B117" s="14"/>
      <c r="C117" s="15"/>
      <c r="D117" s="16"/>
      <c r="E117" s="16"/>
      <c r="F117" s="16"/>
      <c r="G117" s="16"/>
    </row>
    <row r="118" spans="2:7" ht="12.5" x14ac:dyDescent="0.25">
      <c r="B118" s="14"/>
      <c r="C118" s="15"/>
      <c r="D118" s="16"/>
      <c r="E118" s="16"/>
      <c r="F118" s="16"/>
      <c r="G118" s="16"/>
    </row>
    <row r="119" spans="2:7" ht="12.5" x14ac:dyDescent="0.25">
      <c r="B119" s="14"/>
      <c r="C119" s="15"/>
      <c r="D119" s="16"/>
      <c r="E119" s="16"/>
      <c r="F119" s="16"/>
      <c r="G119" s="16"/>
    </row>
    <row r="120" spans="2:7" ht="12.5" x14ac:dyDescent="0.25">
      <c r="B120" s="14"/>
      <c r="C120" s="15"/>
      <c r="D120" s="16"/>
      <c r="E120" s="16"/>
      <c r="F120" s="16"/>
      <c r="G120" s="16"/>
    </row>
    <row r="121" spans="2:7" ht="12.5" x14ac:dyDescent="0.25">
      <c r="B121" s="14"/>
      <c r="C121" s="15"/>
      <c r="D121" s="16"/>
      <c r="E121" s="16"/>
      <c r="F121" s="16"/>
      <c r="G121" s="16"/>
    </row>
    <row r="122" spans="2:7" ht="12.5" x14ac:dyDescent="0.25">
      <c r="B122" s="14"/>
      <c r="C122" s="15"/>
      <c r="D122" s="16"/>
      <c r="E122" s="16"/>
      <c r="F122" s="16"/>
      <c r="G122" s="16"/>
    </row>
    <row r="123" spans="2:7" ht="12.5" x14ac:dyDescent="0.25">
      <c r="B123" s="14"/>
      <c r="C123" s="15"/>
      <c r="D123" s="16"/>
      <c r="E123" s="16"/>
      <c r="F123" s="16"/>
      <c r="G123" s="16"/>
    </row>
    <row r="124" spans="2:7" ht="12.5" x14ac:dyDescent="0.25">
      <c r="B124" s="14"/>
      <c r="C124" s="15"/>
      <c r="D124" s="16"/>
      <c r="E124" s="16"/>
      <c r="F124" s="16"/>
      <c r="G124" s="16"/>
    </row>
    <row r="125" spans="2:7" ht="12.5" x14ac:dyDescent="0.25">
      <c r="B125" s="14"/>
      <c r="C125" s="15"/>
      <c r="D125" s="16"/>
      <c r="E125" s="16"/>
      <c r="F125" s="16"/>
      <c r="G125" s="16"/>
    </row>
    <row r="126" spans="2:7" ht="12.5" x14ac:dyDescent="0.25">
      <c r="B126" s="14"/>
      <c r="C126" s="15"/>
      <c r="D126" s="16"/>
      <c r="E126" s="16"/>
      <c r="F126" s="16"/>
      <c r="G126" s="16"/>
    </row>
    <row r="127" spans="2:7" ht="12.5" x14ac:dyDescent="0.25">
      <c r="B127" s="14"/>
      <c r="C127" s="15"/>
      <c r="D127" s="16"/>
      <c r="E127" s="16"/>
      <c r="F127" s="16"/>
      <c r="G127" s="16"/>
    </row>
    <row r="128" spans="2:7" ht="12.5" x14ac:dyDescent="0.25">
      <c r="B128" s="14"/>
      <c r="C128" s="15"/>
      <c r="D128" s="16"/>
      <c r="E128" s="16"/>
      <c r="F128" s="16"/>
      <c r="G128" s="16"/>
    </row>
    <row r="129" spans="2:7" ht="12.5" x14ac:dyDescent="0.25">
      <c r="B129" s="14"/>
      <c r="C129" s="15"/>
      <c r="D129" s="16"/>
      <c r="E129" s="16"/>
      <c r="F129" s="16"/>
      <c r="G129" s="16"/>
    </row>
    <row r="130" spans="2:7" ht="12.5" x14ac:dyDescent="0.25">
      <c r="B130" s="14"/>
      <c r="C130" s="15"/>
      <c r="D130" s="16"/>
      <c r="E130" s="16"/>
      <c r="F130" s="16"/>
      <c r="G130" s="16"/>
    </row>
    <row r="131" spans="2:7" ht="12.5" x14ac:dyDescent="0.25">
      <c r="B131" s="14"/>
      <c r="C131" s="15"/>
      <c r="D131" s="16"/>
      <c r="E131" s="16"/>
      <c r="F131" s="16"/>
      <c r="G131" s="16"/>
    </row>
    <row r="132" spans="2:7" ht="12.5" x14ac:dyDescent="0.25">
      <c r="B132" s="14"/>
      <c r="C132" s="15"/>
      <c r="D132" s="16"/>
      <c r="E132" s="16"/>
      <c r="F132" s="16"/>
      <c r="G132" s="16"/>
    </row>
    <row r="133" spans="2:7" ht="12.5" x14ac:dyDescent="0.25">
      <c r="B133" s="14"/>
      <c r="C133" s="15"/>
      <c r="D133" s="16"/>
      <c r="E133" s="16"/>
      <c r="F133" s="16"/>
      <c r="G133" s="16"/>
    </row>
    <row r="134" spans="2:7" ht="12.5" x14ac:dyDescent="0.25">
      <c r="B134" s="14"/>
      <c r="C134" s="15"/>
      <c r="D134" s="16"/>
      <c r="E134" s="16"/>
      <c r="F134" s="16"/>
      <c r="G134" s="16"/>
    </row>
    <row r="135" spans="2:7" ht="12.5" x14ac:dyDescent="0.25">
      <c r="B135" s="14"/>
      <c r="C135" s="15"/>
      <c r="D135" s="16"/>
      <c r="E135" s="16"/>
      <c r="F135" s="16"/>
      <c r="G135" s="16"/>
    </row>
    <row r="136" spans="2:7" ht="12.5" x14ac:dyDescent="0.25">
      <c r="B136" s="14"/>
      <c r="C136" s="15"/>
      <c r="D136" s="16"/>
      <c r="E136" s="16"/>
      <c r="F136" s="16"/>
      <c r="G136" s="16"/>
    </row>
    <row r="137" spans="2:7" ht="12.5" x14ac:dyDescent="0.25">
      <c r="B137" s="14"/>
      <c r="C137" s="15"/>
      <c r="D137" s="16"/>
      <c r="E137" s="16"/>
      <c r="F137" s="16"/>
      <c r="G137" s="16"/>
    </row>
    <row r="138" spans="2:7" ht="12.5" x14ac:dyDescent="0.25">
      <c r="B138" s="14"/>
      <c r="C138" s="15"/>
      <c r="D138" s="16"/>
      <c r="E138" s="16"/>
      <c r="F138" s="16"/>
      <c r="G138" s="16"/>
    </row>
    <row r="139" spans="2:7" ht="12.5" x14ac:dyDescent="0.25">
      <c r="B139" s="14"/>
      <c r="C139" s="15"/>
      <c r="D139" s="16"/>
      <c r="E139" s="16"/>
      <c r="F139" s="16"/>
      <c r="G139" s="16"/>
    </row>
    <row r="140" spans="2:7" ht="12.5" x14ac:dyDescent="0.25">
      <c r="B140" s="14"/>
      <c r="C140" s="15"/>
      <c r="D140" s="16"/>
      <c r="E140" s="16"/>
      <c r="F140" s="16"/>
      <c r="G140" s="16"/>
    </row>
    <row r="141" spans="2:7" ht="12.5" x14ac:dyDescent="0.25">
      <c r="B141" s="14"/>
      <c r="C141" s="15"/>
      <c r="D141" s="16"/>
      <c r="E141" s="16"/>
      <c r="F141" s="16"/>
      <c r="G141" s="16"/>
    </row>
    <row r="142" spans="2:7" ht="12.5" x14ac:dyDescent="0.25">
      <c r="B142" s="14"/>
      <c r="C142" s="15"/>
      <c r="D142" s="16"/>
      <c r="E142" s="16"/>
      <c r="F142" s="16"/>
      <c r="G142" s="16"/>
    </row>
    <row r="143" spans="2:7" ht="12.5" x14ac:dyDescent="0.25">
      <c r="B143" s="14"/>
      <c r="C143" s="15"/>
      <c r="D143" s="16"/>
      <c r="E143" s="16"/>
      <c r="F143" s="16"/>
      <c r="G143" s="16"/>
    </row>
    <row r="144" spans="2:7" ht="12.5" x14ac:dyDescent="0.25">
      <c r="B144" s="14"/>
      <c r="C144" s="15"/>
      <c r="D144" s="16"/>
      <c r="E144" s="16"/>
      <c r="F144" s="16"/>
      <c r="G144" s="16"/>
    </row>
    <row r="145" spans="2:7" ht="12.5" x14ac:dyDescent="0.25">
      <c r="B145" s="14"/>
      <c r="C145" s="15"/>
      <c r="D145" s="16"/>
      <c r="E145" s="16"/>
      <c r="F145" s="16"/>
      <c r="G145" s="16"/>
    </row>
    <row r="146" spans="2:7" ht="12.5" x14ac:dyDescent="0.25">
      <c r="B146" s="14"/>
      <c r="C146" s="15"/>
      <c r="D146" s="16"/>
      <c r="E146" s="16"/>
      <c r="F146" s="16"/>
      <c r="G146" s="16"/>
    </row>
    <row r="147" spans="2:7" ht="12.5" x14ac:dyDescent="0.25">
      <c r="B147" s="14"/>
      <c r="C147" s="15"/>
      <c r="D147" s="16"/>
      <c r="E147" s="16"/>
      <c r="F147" s="16"/>
      <c r="G147" s="16"/>
    </row>
    <row r="148" spans="2:7" ht="12.5" x14ac:dyDescent="0.25">
      <c r="B148" s="14"/>
      <c r="C148" s="15"/>
      <c r="D148" s="16"/>
      <c r="E148" s="16"/>
      <c r="F148" s="16"/>
      <c r="G148" s="16"/>
    </row>
    <row r="149" spans="2:7" ht="12.5" x14ac:dyDescent="0.25">
      <c r="B149" s="14"/>
      <c r="C149" s="15"/>
      <c r="D149" s="16"/>
      <c r="E149" s="16"/>
      <c r="F149" s="16"/>
      <c r="G149" s="16"/>
    </row>
    <row r="150" spans="2:7" ht="12.5" x14ac:dyDescent="0.25">
      <c r="B150" s="14"/>
      <c r="C150" s="15"/>
      <c r="D150" s="16"/>
      <c r="E150" s="16"/>
      <c r="F150" s="16"/>
      <c r="G150" s="16"/>
    </row>
    <row r="151" spans="2:7" ht="12.5" x14ac:dyDescent="0.25">
      <c r="B151" s="14"/>
      <c r="C151" s="15"/>
      <c r="D151" s="16"/>
      <c r="E151" s="16"/>
      <c r="F151" s="16"/>
      <c r="G151" s="16"/>
    </row>
    <row r="152" spans="2:7" ht="12.5" x14ac:dyDescent="0.25">
      <c r="B152" s="14"/>
      <c r="C152" s="15"/>
      <c r="D152" s="16"/>
      <c r="E152" s="16"/>
      <c r="F152" s="16"/>
      <c r="G152" s="16"/>
    </row>
    <row r="153" spans="2:7" ht="12.5" x14ac:dyDescent="0.25">
      <c r="B153" s="14"/>
      <c r="C153" s="15"/>
      <c r="D153" s="16"/>
      <c r="E153" s="16"/>
      <c r="F153" s="16"/>
      <c r="G153" s="16"/>
    </row>
    <row r="154" spans="2:7" ht="12.5" x14ac:dyDescent="0.25">
      <c r="B154" s="14"/>
      <c r="C154" s="15"/>
      <c r="D154" s="16"/>
      <c r="E154" s="16"/>
      <c r="F154" s="16"/>
      <c r="G154" s="16"/>
    </row>
    <row r="155" spans="2:7" ht="12.5" x14ac:dyDescent="0.25">
      <c r="B155" s="14"/>
      <c r="C155" s="15"/>
      <c r="D155" s="16"/>
      <c r="E155" s="16"/>
      <c r="F155" s="16"/>
      <c r="G155" s="16"/>
    </row>
    <row r="156" spans="2:7" ht="12.5" x14ac:dyDescent="0.25">
      <c r="B156" s="14"/>
      <c r="C156" s="15"/>
      <c r="D156" s="16"/>
      <c r="E156" s="16"/>
      <c r="F156" s="16"/>
      <c r="G156" s="16"/>
    </row>
    <row r="157" spans="2:7" ht="12.5" x14ac:dyDescent="0.25">
      <c r="B157" s="14"/>
      <c r="C157" s="15"/>
      <c r="D157" s="16"/>
      <c r="E157" s="16"/>
      <c r="F157" s="16"/>
      <c r="G157" s="16"/>
    </row>
    <row r="158" spans="2:7" ht="12.5" x14ac:dyDescent="0.25">
      <c r="B158" s="14"/>
      <c r="C158" s="15"/>
      <c r="D158" s="16"/>
      <c r="E158" s="16"/>
      <c r="F158" s="16"/>
      <c r="G158" s="16"/>
    </row>
    <row r="159" spans="2:7" ht="12.5" x14ac:dyDescent="0.25">
      <c r="B159" s="14"/>
      <c r="C159" s="15"/>
      <c r="D159" s="16"/>
      <c r="E159" s="16"/>
      <c r="F159" s="16"/>
      <c r="G159" s="16"/>
    </row>
    <row r="160" spans="2:7" ht="12.5" x14ac:dyDescent="0.25">
      <c r="B160" s="14"/>
      <c r="C160" s="15"/>
      <c r="D160" s="16"/>
      <c r="E160" s="16"/>
      <c r="F160" s="16"/>
      <c r="G160" s="16"/>
    </row>
    <row r="161" spans="2:7" ht="12.5" x14ac:dyDescent="0.25">
      <c r="B161" s="14"/>
      <c r="C161" s="15"/>
      <c r="D161" s="16"/>
      <c r="E161" s="16"/>
      <c r="F161" s="16"/>
      <c r="G161" s="16"/>
    </row>
    <row r="162" spans="2:7" ht="12.5" x14ac:dyDescent="0.25">
      <c r="B162" s="14"/>
      <c r="C162" s="15"/>
      <c r="D162" s="16"/>
      <c r="E162" s="16"/>
      <c r="F162" s="16"/>
      <c r="G162" s="16"/>
    </row>
    <row r="163" spans="2:7" ht="12.5" x14ac:dyDescent="0.25">
      <c r="B163" s="14"/>
      <c r="C163" s="15"/>
      <c r="D163" s="16"/>
      <c r="E163" s="16"/>
      <c r="F163" s="16"/>
      <c r="G163" s="16"/>
    </row>
    <row r="164" spans="2:7" ht="12.5" x14ac:dyDescent="0.25">
      <c r="B164" s="14"/>
      <c r="C164" s="15"/>
      <c r="D164" s="16"/>
      <c r="E164" s="16"/>
      <c r="F164" s="16"/>
      <c r="G164" s="16"/>
    </row>
    <row r="165" spans="2:7" ht="12.5" x14ac:dyDescent="0.25">
      <c r="B165" s="14"/>
      <c r="C165" s="15"/>
      <c r="D165" s="16"/>
      <c r="E165" s="16"/>
      <c r="F165" s="16"/>
      <c r="G165" s="16"/>
    </row>
    <row r="166" spans="2:7" ht="12.5" x14ac:dyDescent="0.25">
      <c r="B166" s="14"/>
      <c r="C166" s="15"/>
      <c r="D166" s="16"/>
      <c r="E166" s="16"/>
      <c r="F166" s="16"/>
      <c r="G166" s="16"/>
    </row>
    <row r="167" spans="2:7" ht="12.5" x14ac:dyDescent="0.25">
      <c r="B167" s="14"/>
      <c r="C167" s="15"/>
      <c r="D167" s="16"/>
      <c r="E167" s="16"/>
      <c r="F167" s="16"/>
      <c r="G167" s="16"/>
    </row>
    <row r="168" spans="2:7" ht="12.5" x14ac:dyDescent="0.25">
      <c r="B168" s="14"/>
      <c r="C168" s="15"/>
      <c r="D168" s="16"/>
      <c r="E168" s="16"/>
      <c r="F168" s="16"/>
      <c r="G168" s="16"/>
    </row>
    <row r="169" spans="2:7" ht="12.5" x14ac:dyDescent="0.25">
      <c r="B169" s="14"/>
      <c r="C169" s="15"/>
      <c r="D169" s="16"/>
      <c r="E169" s="16"/>
      <c r="F169" s="16"/>
      <c r="G169" s="16"/>
    </row>
    <row r="170" spans="2:7" ht="12.5" x14ac:dyDescent="0.25">
      <c r="B170" s="14"/>
      <c r="C170" s="15"/>
      <c r="D170" s="16"/>
      <c r="E170" s="16"/>
      <c r="F170" s="16"/>
      <c r="G170" s="16"/>
    </row>
    <row r="171" spans="2:7" ht="12.5" x14ac:dyDescent="0.25">
      <c r="B171" s="14"/>
      <c r="C171" s="15"/>
      <c r="D171" s="16"/>
      <c r="E171" s="16"/>
      <c r="F171" s="16"/>
      <c r="G171" s="16"/>
    </row>
    <row r="172" spans="2:7" ht="12.5" x14ac:dyDescent="0.25">
      <c r="B172" s="14"/>
      <c r="C172" s="15"/>
      <c r="D172" s="16"/>
      <c r="E172" s="16"/>
      <c r="F172" s="16"/>
      <c r="G172" s="16"/>
    </row>
    <row r="173" spans="2:7" ht="12.5" x14ac:dyDescent="0.25">
      <c r="B173" s="14"/>
      <c r="C173" s="15"/>
      <c r="D173" s="16"/>
      <c r="E173" s="16"/>
      <c r="F173" s="16"/>
      <c r="G173" s="16"/>
    </row>
    <row r="174" spans="2:7" ht="12.5" x14ac:dyDescent="0.25">
      <c r="B174" s="14"/>
      <c r="C174" s="15"/>
      <c r="D174" s="16"/>
      <c r="E174" s="16"/>
      <c r="F174" s="16"/>
      <c r="G174" s="16"/>
    </row>
    <row r="175" spans="2:7" ht="12.5" x14ac:dyDescent="0.25">
      <c r="B175" s="14"/>
      <c r="C175" s="15"/>
      <c r="D175" s="16"/>
      <c r="E175" s="16"/>
      <c r="F175" s="16"/>
      <c r="G175" s="16"/>
    </row>
    <row r="176" spans="2:7" ht="12.5" x14ac:dyDescent="0.25">
      <c r="B176" s="14"/>
      <c r="C176" s="15"/>
      <c r="D176" s="16"/>
      <c r="E176" s="16"/>
      <c r="F176" s="16"/>
      <c r="G176" s="16"/>
    </row>
    <row r="177" spans="2:7" ht="12.5" x14ac:dyDescent="0.25">
      <c r="B177" s="14"/>
      <c r="C177" s="15"/>
      <c r="D177" s="16"/>
      <c r="E177" s="16"/>
      <c r="F177" s="16"/>
      <c r="G177" s="16"/>
    </row>
    <row r="178" spans="2:7" ht="12.5" x14ac:dyDescent="0.25">
      <c r="B178" s="14"/>
      <c r="C178" s="15"/>
      <c r="D178" s="16"/>
      <c r="E178" s="16"/>
      <c r="F178" s="16"/>
      <c r="G178" s="16"/>
    </row>
    <row r="179" spans="2:7" ht="12.5" x14ac:dyDescent="0.25">
      <c r="B179" s="14"/>
      <c r="C179" s="15"/>
      <c r="D179" s="16"/>
      <c r="E179" s="16"/>
      <c r="F179" s="16"/>
      <c r="G179" s="16"/>
    </row>
    <row r="180" spans="2:7" ht="12.5" x14ac:dyDescent="0.25">
      <c r="B180" s="14"/>
      <c r="C180" s="15"/>
      <c r="D180" s="16"/>
      <c r="E180" s="16"/>
      <c r="F180" s="16"/>
      <c r="G180" s="16"/>
    </row>
    <row r="181" spans="2:7" ht="12.5" x14ac:dyDescent="0.25">
      <c r="B181" s="14"/>
      <c r="C181" s="15"/>
      <c r="D181" s="16"/>
      <c r="E181" s="16"/>
      <c r="F181" s="16"/>
      <c r="G181" s="16"/>
    </row>
    <row r="182" spans="2:7" ht="12.5" x14ac:dyDescent="0.25">
      <c r="B182" s="14"/>
      <c r="C182" s="15"/>
      <c r="D182" s="16"/>
      <c r="E182" s="16"/>
      <c r="F182" s="16"/>
      <c r="G182" s="16"/>
    </row>
    <row r="183" spans="2:7" ht="12.5" x14ac:dyDescent="0.25">
      <c r="B183" s="14"/>
      <c r="C183" s="15"/>
      <c r="D183" s="16"/>
      <c r="E183" s="16"/>
      <c r="F183" s="16"/>
      <c r="G183" s="16"/>
    </row>
    <row r="184" spans="2:7" ht="12.5" x14ac:dyDescent="0.25">
      <c r="B184" s="14"/>
      <c r="C184" s="15"/>
      <c r="D184" s="16"/>
      <c r="E184" s="16"/>
      <c r="F184" s="16"/>
      <c r="G184" s="16"/>
    </row>
    <row r="185" spans="2:7" ht="12.5" x14ac:dyDescent="0.25">
      <c r="B185" s="14"/>
      <c r="C185" s="15"/>
      <c r="D185" s="16"/>
      <c r="E185" s="16"/>
      <c r="F185" s="16"/>
      <c r="G185" s="16"/>
    </row>
    <row r="186" spans="2:7" ht="12.5" x14ac:dyDescent="0.25">
      <c r="B186" s="14"/>
      <c r="C186" s="15"/>
      <c r="D186" s="16"/>
      <c r="E186" s="16"/>
      <c r="F186" s="16"/>
      <c r="G186" s="16"/>
    </row>
    <row r="187" spans="2:7" ht="12.5" x14ac:dyDescent="0.25">
      <c r="B187" s="14"/>
      <c r="C187" s="15"/>
      <c r="D187" s="16"/>
      <c r="E187" s="16"/>
      <c r="F187" s="16"/>
      <c r="G187" s="16"/>
    </row>
    <row r="188" spans="2:7" ht="12.5" x14ac:dyDescent="0.25">
      <c r="B188" s="14"/>
      <c r="C188" s="15"/>
      <c r="D188" s="16"/>
      <c r="E188" s="16"/>
      <c r="F188" s="16"/>
      <c r="G188" s="16"/>
    </row>
    <row r="189" spans="2:7" ht="12.5" x14ac:dyDescent="0.25">
      <c r="B189" s="14"/>
      <c r="C189" s="15"/>
      <c r="D189" s="16"/>
      <c r="E189" s="16"/>
      <c r="F189" s="16"/>
      <c r="G189" s="16"/>
    </row>
    <row r="190" spans="2:7" ht="12.5" x14ac:dyDescent="0.25">
      <c r="B190" s="14"/>
      <c r="C190" s="15"/>
      <c r="D190" s="16"/>
      <c r="E190" s="16"/>
      <c r="F190" s="16"/>
      <c r="G190" s="16"/>
    </row>
    <row r="191" spans="2:7" ht="12.5" x14ac:dyDescent="0.25">
      <c r="B191" s="14"/>
      <c r="C191" s="15"/>
      <c r="D191" s="16"/>
      <c r="E191" s="16"/>
      <c r="F191" s="16"/>
      <c r="G191" s="16"/>
    </row>
    <row r="192" spans="2:7" ht="12.5" x14ac:dyDescent="0.25">
      <c r="B192" s="14"/>
      <c r="C192" s="15"/>
      <c r="D192" s="16"/>
      <c r="E192" s="16"/>
      <c r="F192" s="16"/>
      <c r="G192" s="16"/>
    </row>
    <row r="193" spans="2:7" ht="12.5" x14ac:dyDescent="0.25">
      <c r="B193" s="14"/>
      <c r="C193" s="15"/>
      <c r="D193" s="16"/>
      <c r="E193" s="16"/>
      <c r="F193" s="16"/>
      <c r="G193" s="16"/>
    </row>
    <row r="194" spans="2:7" ht="12.5" x14ac:dyDescent="0.25">
      <c r="B194" s="14"/>
      <c r="C194" s="15"/>
      <c r="D194" s="16"/>
      <c r="E194" s="16"/>
      <c r="F194" s="16"/>
      <c r="G194" s="16"/>
    </row>
    <row r="195" spans="2:7" ht="12.5" x14ac:dyDescent="0.25">
      <c r="B195" s="14"/>
      <c r="C195" s="15"/>
      <c r="D195" s="16"/>
      <c r="E195" s="16"/>
      <c r="F195" s="16"/>
      <c r="G195" s="16"/>
    </row>
    <row r="196" spans="2:7" ht="12.5" x14ac:dyDescent="0.25">
      <c r="B196" s="14"/>
      <c r="C196" s="15"/>
      <c r="D196" s="16"/>
      <c r="E196" s="16"/>
      <c r="F196" s="16"/>
      <c r="G196" s="16"/>
    </row>
    <row r="197" spans="2:7" ht="12.5" x14ac:dyDescent="0.25">
      <c r="B197" s="14"/>
      <c r="C197" s="15"/>
      <c r="D197" s="16"/>
      <c r="E197" s="16"/>
      <c r="F197" s="16"/>
      <c r="G197" s="16"/>
    </row>
    <row r="198" spans="2:7" ht="12.5" x14ac:dyDescent="0.25">
      <c r="B198" s="14"/>
      <c r="C198" s="15"/>
      <c r="D198" s="16"/>
      <c r="E198" s="16"/>
      <c r="F198" s="16"/>
      <c r="G198" s="16"/>
    </row>
    <row r="199" spans="2:7" ht="12.5" x14ac:dyDescent="0.25">
      <c r="B199" s="14"/>
      <c r="C199" s="15"/>
      <c r="D199" s="16"/>
      <c r="E199" s="16"/>
      <c r="F199" s="16"/>
      <c r="G199" s="16"/>
    </row>
    <row r="200" spans="2:7" ht="12.5" x14ac:dyDescent="0.25">
      <c r="B200" s="14"/>
      <c r="C200" s="15"/>
      <c r="D200" s="16"/>
      <c r="E200" s="16"/>
      <c r="F200" s="16"/>
      <c r="G200" s="16"/>
    </row>
    <row r="201" spans="2:7" ht="12.5" x14ac:dyDescent="0.25">
      <c r="B201" s="14"/>
      <c r="C201" s="15"/>
      <c r="D201" s="16"/>
      <c r="E201" s="16"/>
      <c r="F201" s="16"/>
      <c r="G201" s="16"/>
    </row>
    <row r="202" spans="2:7" ht="12.5" x14ac:dyDescent="0.25">
      <c r="B202" s="14"/>
      <c r="C202" s="15"/>
      <c r="D202" s="16"/>
      <c r="E202" s="16"/>
      <c r="F202" s="16"/>
      <c r="G202" s="16"/>
    </row>
    <row r="203" spans="2:7" ht="12.5" x14ac:dyDescent="0.25">
      <c r="B203" s="14"/>
      <c r="C203" s="15"/>
      <c r="D203" s="16"/>
      <c r="E203" s="16"/>
      <c r="F203" s="16"/>
      <c r="G203" s="16"/>
    </row>
    <row r="204" spans="2:7" ht="12.5" x14ac:dyDescent="0.25">
      <c r="B204" s="14"/>
      <c r="C204" s="15"/>
      <c r="D204" s="16"/>
      <c r="E204" s="16"/>
      <c r="F204" s="16"/>
      <c r="G204" s="16"/>
    </row>
    <row r="205" spans="2:7" ht="12.5" x14ac:dyDescent="0.25">
      <c r="B205" s="14"/>
      <c r="C205" s="15"/>
      <c r="D205" s="16"/>
      <c r="E205" s="16"/>
      <c r="F205" s="16"/>
      <c r="G205" s="16"/>
    </row>
    <row r="206" spans="2:7" ht="12.5" x14ac:dyDescent="0.25">
      <c r="B206" s="14"/>
      <c r="C206" s="15"/>
      <c r="D206" s="16"/>
      <c r="E206" s="16"/>
      <c r="F206" s="16"/>
      <c r="G206" s="16"/>
    </row>
    <row r="207" spans="2:7" ht="12.5" x14ac:dyDescent="0.25">
      <c r="B207" s="14"/>
      <c r="C207" s="15"/>
      <c r="D207" s="16"/>
      <c r="E207" s="16"/>
      <c r="F207" s="16"/>
      <c r="G207" s="16"/>
    </row>
    <row r="208" spans="2:7" ht="12.5" x14ac:dyDescent="0.25">
      <c r="B208" s="14"/>
      <c r="C208" s="15"/>
      <c r="D208" s="16"/>
      <c r="E208" s="16"/>
      <c r="F208" s="16"/>
      <c r="G208" s="16"/>
    </row>
    <row r="209" spans="2:7" ht="12.5" x14ac:dyDescent="0.25">
      <c r="B209" s="14"/>
      <c r="C209" s="15"/>
      <c r="D209" s="16"/>
      <c r="E209" s="16"/>
      <c r="F209" s="16"/>
      <c r="G209" s="16"/>
    </row>
    <row r="210" spans="2:7" ht="12.5" x14ac:dyDescent="0.25">
      <c r="B210" s="14"/>
      <c r="C210" s="15"/>
      <c r="D210" s="16"/>
      <c r="E210" s="16"/>
      <c r="F210" s="16"/>
      <c r="G210" s="16"/>
    </row>
    <row r="211" spans="2:7" ht="12.5" x14ac:dyDescent="0.25">
      <c r="B211" s="14"/>
      <c r="C211" s="15"/>
      <c r="D211" s="16"/>
      <c r="E211" s="16"/>
      <c r="F211" s="16"/>
      <c r="G211" s="16"/>
    </row>
    <row r="212" spans="2:7" ht="12.5" x14ac:dyDescent="0.25">
      <c r="B212" s="14"/>
      <c r="C212" s="15"/>
      <c r="D212" s="16"/>
      <c r="E212" s="16"/>
      <c r="F212" s="16"/>
      <c r="G212" s="16"/>
    </row>
    <row r="213" spans="2:7" ht="12.5" x14ac:dyDescent="0.25">
      <c r="B213" s="14"/>
      <c r="C213" s="15"/>
      <c r="D213" s="16"/>
      <c r="E213" s="16"/>
      <c r="F213" s="16"/>
      <c r="G213" s="16"/>
    </row>
    <row r="214" spans="2:7" ht="12.5" x14ac:dyDescent="0.25">
      <c r="B214" s="14"/>
      <c r="C214" s="15"/>
      <c r="D214" s="16"/>
      <c r="E214" s="16"/>
      <c r="F214" s="16"/>
      <c r="G214" s="16"/>
    </row>
    <row r="215" spans="2:7" ht="12.5" x14ac:dyDescent="0.25">
      <c r="B215" s="14"/>
      <c r="C215" s="15"/>
      <c r="D215" s="16"/>
      <c r="E215" s="16"/>
      <c r="F215" s="16"/>
      <c r="G215" s="16"/>
    </row>
    <row r="216" spans="2:7" ht="12.5" x14ac:dyDescent="0.25">
      <c r="B216" s="14"/>
      <c r="C216" s="15"/>
      <c r="D216" s="16"/>
      <c r="E216" s="16"/>
      <c r="F216" s="16"/>
      <c r="G216" s="16"/>
    </row>
    <row r="217" spans="2:7" ht="12.5" x14ac:dyDescent="0.25">
      <c r="B217" s="14"/>
      <c r="C217" s="15"/>
      <c r="D217" s="16"/>
      <c r="E217" s="16"/>
      <c r="F217" s="16"/>
      <c r="G217" s="16"/>
    </row>
    <row r="218" spans="2:7" ht="12.5" x14ac:dyDescent="0.25">
      <c r="B218" s="14"/>
      <c r="C218" s="15"/>
      <c r="D218" s="16"/>
      <c r="E218" s="16"/>
      <c r="F218" s="16"/>
      <c r="G218" s="16"/>
    </row>
    <row r="219" spans="2:7" ht="12.5" x14ac:dyDescent="0.25">
      <c r="B219" s="14"/>
      <c r="C219" s="15"/>
      <c r="D219" s="16"/>
      <c r="E219" s="16"/>
      <c r="F219" s="16"/>
      <c r="G219" s="16"/>
    </row>
    <row r="220" spans="2:7" ht="12.5" x14ac:dyDescent="0.25">
      <c r="B220" s="14"/>
      <c r="C220" s="15"/>
      <c r="D220" s="16"/>
      <c r="E220" s="16"/>
      <c r="F220" s="16"/>
      <c r="G220" s="16"/>
    </row>
    <row r="221" spans="2:7" ht="12.5" x14ac:dyDescent="0.25">
      <c r="B221" s="14"/>
      <c r="C221" s="15"/>
      <c r="D221" s="16"/>
      <c r="E221" s="16"/>
      <c r="F221" s="16"/>
      <c r="G221" s="16"/>
    </row>
    <row r="222" spans="2:7" ht="12.5" x14ac:dyDescent="0.25">
      <c r="B222" s="14"/>
      <c r="C222" s="15"/>
      <c r="D222" s="16"/>
      <c r="E222" s="16"/>
      <c r="F222" s="16"/>
      <c r="G222" s="16"/>
    </row>
    <row r="223" spans="2:7" ht="12.5" x14ac:dyDescent="0.25">
      <c r="B223" s="14"/>
      <c r="C223" s="15"/>
      <c r="D223" s="16"/>
      <c r="E223" s="16"/>
      <c r="F223" s="16"/>
      <c r="G223" s="16"/>
    </row>
    <row r="224" spans="2:7" ht="12.5" x14ac:dyDescent="0.25">
      <c r="B224" s="14"/>
      <c r="C224" s="15"/>
      <c r="D224" s="16"/>
      <c r="E224" s="16"/>
      <c r="F224" s="16"/>
      <c r="G224" s="16"/>
    </row>
    <row r="225" spans="2:7" ht="12.5" x14ac:dyDescent="0.25">
      <c r="B225" s="14"/>
      <c r="C225" s="15"/>
      <c r="D225" s="16"/>
      <c r="E225" s="16"/>
      <c r="F225" s="16"/>
      <c r="G225" s="16"/>
    </row>
    <row r="226" spans="2:7" ht="12.5" x14ac:dyDescent="0.25">
      <c r="B226" s="14"/>
      <c r="C226" s="15"/>
      <c r="D226" s="16"/>
      <c r="E226" s="16"/>
      <c r="F226" s="16"/>
      <c r="G226" s="16"/>
    </row>
    <row r="227" spans="2:7" ht="12.5" x14ac:dyDescent="0.25">
      <c r="B227" s="14"/>
      <c r="C227" s="15"/>
      <c r="D227" s="16"/>
      <c r="E227" s="16"/>
      <c r="F227" s="16"/>
      <c r="G227" s="16"/>
    </row>
    <row r="228" spans="2:7" ht="12.5" x14ac:dyDescent="0.25">
      <c r="B228" s="14"/>
      <c r="C228" s="15"/>
      <c r="D228" s="16"/>
      <c r="E228" s="16"/>
      <c r="F228" s="16"/>
      <c r="G228" s="16"/>
    </row>
    <row r="229" spans="2:7" ht="12.5" x14ac:dyDescent="0.25">
      <c r="B229" s="14"/>
      <c r="C229" s="15"/>
      <c r="D229" s="16"/>
      <c r="E229" s="16"/>
      <c r="F229" s="16"/>
      <c r="G229" s="16"/>
    </row>
    <row r="230" spans="2:7" ht="12.5" x14ac:dyDescent="0.25">
      <c r="B230" s="14"/>
      <c r="C230" s="15"/>
      <c r="D230" s="16"/>
      <c r="E230" s="16"/>
      <c r="F230" s="16"/>
      <c r="G230" s="16"/>
    </row>
    <row r="231" spans="2:7" ht="12.5" x14ac:dyDescent="0.25">
      <c r="B231" s="14"/>
      <c r="C231" s="15"/>
      <c r="D231" s="16"/>
      <c r="E231" s="16"/>
      <c r="F231" s="16"/>
      <c r="G231" s="16"/>
    </row>
    <row r="232" spans="2:7" ht="12.5" x14ac:dyDescent="0.25">
      <c r="B232" s="14"/>
      <c r="C232" s="15"/>
      <c r="D232" s="16"/>
      <c r="E232" s="16"/>
      <c r="F232" s="16"/>
      <c r="G232" s="16"/>
    </row>
    <row r="233" spans="2:7" ht="12.5" x14ac:dyDescent="0.25">
      <c r="B233" s="14"/>
      <c r="C233" s="15"/>
      <c r="D233" s="16"/>
      <c r="E233" s="16"/>
      <c r="F233" s="16"/>
      <c r="G233" s="16"/>
    </row>
    <row r="234" spans="2:7" ht="12.5" x14ac:dyDescent="0.25">
      <c r="B234" s="14"/>
      <c r="C234" s="15"/>
      <c r="D234" s="16"/>
      <c r="E234" s="16"/>
      <c r="F234" s="16"/>
      <c r="G234" s="16"/>
    </row>
    <row r="235" spans="2:7" ht="12.5" x14ac:dyDescent="0.25">
      <c r="B235" s="14"/>
      <c r="C235" s="15"/>
      <c r="D235" s="16"/>
      <c r="E235" s="16"/>
      <c r="F235" s="16"/>
      <c r="G235" s="16"/>
    </row>
    <row r="236" spans="2:7" ht="12.5" x14ac:dyDescent="0.25">
      <c r="B236" s="14"/>
      <c r="C236" s="15"/>
      <c r="D236" s="16"/>
      <c r="E236" s="16"/>
      <c r="F236" s="16"/>
      <c r="G236" s="16"/>
    </row>
    <row r="237" spans="2:7" ht="12.5" x14ac:dyDescent="0.25">
      <c r="B237" s="14"/>
      <c r="C237" s="15"/>
      <c r="D237" s="16"/>
      <c r="E237" s="16"/>
      <c r="F237" s="16"/>
      <c r="G237" s="16"/>
    </row>
    <row r="238" spans="2:7" ht="12.5" x14ac:dyDescent="0.25">
      <c r="B238" s="14"/>
      <c r="C238" s="15"/>
      <c r="D238" s="16"/>
      <c r="E238" s="16"/>
      <c r="F238" s="16"/>
      <c r="G238" s="16"/>
    </row>
    <row r="239" spans="2:7" ht="12.5" x14ac:dyDescent="0.25">
      <c r="B239" s="14"/>
      <c r="C239" s="15"/>
      <c r="D239" s="16"/>
      <c r="E239" s="16"/>
      <c r="F239" s="16"/>
      <c r="G239" s="16"/>
    </row>
    <row r="240" spans="2:7" ht="12.5" x14ac:dyDescent="0.25">
      <c r="B240" s="14"/>
      <c r="C240" s="15"/>
      <c r="D240" s="16"/>
      <c r="E240" s="16"/>
      <c r="F240" s="16"/>
      <c r="G240" s="16"/>
    </row>
    <row r="241" spans="2:7" ht="12.5" x14ac:dyDescent="0.25">
      <c r="B241" s="14"/>
      <c r="C241" s="15"/>
      <c r="D241" s="16"/>
      <c r="E241" s="16"/>
      <c r="F241" s="16"/>
      <c r="G241" s="16"/>
    </row>
    <row r="242" spans="2:7" ht="12.5" x14ac:dyDescent="0.25">
      <c r="B242" s="14"/>
      <c r="C242" s="15"/>
      <c r="D242" s="16"/>
      <c r="E242" s="16"/>
      <c r="F242" s="16"/>
      <c r="G242" s="16"/>
    </row>
    <row r="243" spans="2:7" ht="12.5" x14ac:dyDescent="0.25">
      <c r="B243" s="14"/>
      <c r="C243" s="15"/>
      <c r="D243" s="16"/>
      <c r="E243" s="16"/>
      <c r="F243" s="16"/>
      <c r="G243" s="16"/>
    </row>
    <row r="244" spans="2:7" ht="12.5" x14ac:dyDescent="0.25">
      <c r="B244" s="14"/>
      <c r="C244" s="15"/>
      <c r="D244" s="16"/>
      <c r="E244" s="16"/>
      <c r="F244" s="16"/>
      <c r="G244" s="16"/>
    </row>
    <row r="245" spans="2:7" ht="12.5" x14ac:dyDescent="0.25">
      <c r="B245" s="14"/>
      <c r="C245" s="15"/>
      <c r="D245" s="16"/>
      <c r="E245" s="16"/>
      <c r="F245" s="16"/>
      <c r="G245" s="16"/>
    </row>
    <row r="246" spans="2:7" ht="12.5" x14ac:dyDescent="0.25">
      <c r="B246" s="14"/>
      <c r="C246" s="15"/>
      <c r="D246" s="16"/>
      <c r="E246" s="16"/>
      <c r="F246" s="16"/>
      <c r="G246" s="16"/>
    </row>
    <row r="247" spans="2:7" ht="12.5" x14ac:dyDescent="0.25">
      <c r="B247" s="14"/>
      <c r="C247" s="15"/>
      <c r="D247" s="16"/>
      <c r="E247" s="16"/>
      <c r="F247" s="16"/>
      <c r="G247" s="16"/>
    </row>
    <row r="248" spans="2:7" ht="12.5" x14ac:dyDescent="0.25">
      <c r="B248" s="14"/>
      <c r="C248" s="15"/>
      <c r="D248" s="16"/>
      <c r="E248" s="16"/>
      <c r="F248" s="16"/>
      <c r="G248" s="16"/>
    </row>
    <row r="249" spans="2:7" ht="12.5" x14ac:dyDescent="0.25">
      <c r="B249" s="14"/>
      <c r="C249" s="15"/>
      <c r="D249" s="16"/>
      <c r="E249" s="16"/>
      <c r="F249" s="16"/>
      <c r="G249" s="16"/>
    </row>
    <row r="250" spans="2:7" ht="12.5" x14ac:dyDescent="0.25">
      <c r="B250" s="14"/>
      <c r="C250" s="15"/>
      <c r="D250" s="16"/>
      <c r="E250" s="16"/>
      <c r="F250" s="16"/>
      <c r="G250" s="16"/>
    </row>
    <row r="251" spans="2:7" ht="12.5" x14ac:dyDescent="0.25">
      <c r="B251" s="14"/>
      <c r="C251" s="15"/>
      <c r="D251" s="16"/>
      <c r="E251" s="16"/>
      <c r="F251" s="16"/>
      <c r="G251" s="16"/>
    </row>
    <row r="252" spans="2:7" ht="12.5" x14ac:dyDescent="0.25">
      <c r="B252" s="14"/>
      <c r="C252" s="15"/>
      <c r="D252" s="16"/>
      <c r="E252" s="16"/>
      <c r="F252" s="16"/>
      <c r="G252" s="16"/>
    </row>
    <row r="253" spans="2:7" ht="12.5" x14ac:dyDescent="0.25">
      <c r="B253" s="14"/>
      <c r="C253" s="15"/>
      <c r="D253" s="16"/>
      <c r="E253" s="16"/>
      <c r="F253" s="16"/>
      <c r="G253" s="16"/>
    </row>
    <row r="254" spans="2:7" ht="12.5" x14ac:dyDescent="0.25">
      <c r="B254" s="14"/>
      <c r="C254" s="15"/>
      <c r="D254" s="16"/>
      <c r="E254" s="16"/>
      <c r="F254" s="16"/>
      <c r="G254" s="16"/>
    </row>
    <row r="255" spans="2:7" ht="12.5" x14ac:dyDescent="0.25">
      <c r="B255" s="14"/>
      <c r="C255" s="15"/>
      <c r="D255" s="16"/>
      <c r="E255" s="16"/>
      <c r="F255" s="16"/>
      <c r="G255" s="16"/>
    </row>
    <row r="256" spans="2:7" ht="12.5" x14ac:dyDescent="0.25">
      <c r="B256" s="14"/>
      <c r="C256" s="15"/>
      <c r="D256" s="16"/>
      <c r="E256" s="16"/>
      <c r="F256" s="16"/>
      <c r="G256" s="16"/>
    </row>
    <row r="257" spans="2:7" ht="12.5" x14ac:dyDescent="0.25">
      <c r="B257" s="14"/>
      <c r="C257" s="15"/>
      <c r="D257" s="16"/>
      <c r="E257" s="16"/>
      <c r="F257" s="16"/>
      <c r="G257" s="16"/>
    </row>
    <row r="258" spans="2:7" ht="12.5" x14ac:dyDescent="0.25">
      <c r="B258" s="14"/>
      <c r="C258" s="15"/>
      <c r="D258" s="16"/>
      <c r="E258" s="16"/>
      <c r="F258" s="16"/>
      <c r="G258" s="16"/>
    </row>
    <row r="259" spans="2:7" ht="12.5" x14ac:dyDescent="0.25">
      <c r="B259" s="14"/>
      <c r="C259" s="15"/>
      <c r="D259" s="16"/>
      <c r="E259" s="16"/>
      <c r="F259" s="16"/>
      <c r="G259" s="16"/>
    </row>
    <row r="260" spans="2:7" ht="12.5" x14ac:dyDescent="0.25">
      <c r="B260" s="14"/>
      <c r="C260" s="15"/>
      <c r="D260" s="16"/>
      <c r="E260" s="16"/>
      <c r="F260" s="16"/>
      <c r="G260" s="16"/>
    </row>
    <row r="261" spans="2:7" ht="12.5" x14ac:dyDescent="0.25">
      <c r="B261" s="14"/>
      <c r="C261" s="15"/>
      <c r="D261" s="16"/>
      <c r="E261" s="16"/>
      <c r="F261" s="16"/>
      <c r="G261" s="16"/>
    </row>
    <row r="262" spans="2:7" ht="12.5" x14ac:dyDescent="0.25">
      <c r="B262" s="14"/>
      <c r="C262" s="15"/>
      <c r="D262" s="16"/>
      <c r="E262" s="16"/>
      <c r="F262" s="16"/>
      <c r="G262" s="16"/>
    </row>
    <row r="263" spans="2:7" ht="12.5" x14ac:dyDescent="0.25">
      <c r="B263" s="14"/>
      <c r="C263" s="15"/>
      <c r="D263" s="16"/>
      <c r="E263" s="16"/>
      <c r="F263" s="16"/>
      <c r="G263" s="16"/>
    </row>
    <row r="264" spans="2:7" ht="12.5" x14ac:dyDescent="0.25">
      <c r="B264" s="14"/>
      <c r="C264" s="15"/>
      <c r="D264" s="16"/>
      <c r="E264" s="16"/>
      <c r="F264" s="16"/>
      <c r="G264" s="16"/>
    </row>
    <row r="265" spans="2:7" ht="12.5" x14ac:dyDescent="0.25">
      <c r="B265" s="14"/>
      <c r="C265" s="15"/>
      <c r="D265" s="16"/>
      <c r="E265" s="16"/>
      <c r="F265" s="16"/>
      <c r="G265" s="16"/>
    </row>
    <row r="266" spans="2:7" ht="12.5" x14ac:dyDescent="0.25">
      <c r="B266" s="14"/>
      <c r="C266" s="15"/>
      <c r="D266" s="16"/>
      <c r="E266" s="16"/>
      <c r="F266" s="16"/>
      <c r="G266" s="16"/>
    </row>
    <row r="267" spans="2:7" ht="12.5" x14ac:dyDescent="0.25">
      <c r="B267" s="14"/>
      <c r="C267" s="15"/>
      <c r="D267" s="16"/>
      <c r="E267" s="16"/>
      <c r="F267" s="16"/>
      <c r="G267" s="16"/>
    </row>
    <row r="268" spans="2:7" ht="12.5" x14ac:dyDescent="0.25">
      <c r="B268" s="14"/>
      <c r="C268" s="15"/>
      <c r="D268" s="16"/>
      <c r="E268" s="16"/>
      <c r="F268" s="16"/>
      <c r="G268" s="16"/>
    </row>
    <row r="269" spans="2:7" ht="12.5" x14ac:dyDescent="0.25">
      <c r="B269" s="14"/>
      <c r="C269" s="15"/>
      <c r="D269" s="16"/>
      <c r="E269" s="16"/>
      <c r="F269" s="16"/>
      <c r="G269" s="16"/>
    </row>
    <row r="270" spans="2:7" ht="12.5" x14ac:dyDescent="0.25">
      <c r="B270" s="14"/>
      <c r="C270" s="15"/>
      <c r="D270" s="16"/>
      <c r="E270" s="16"/>
      <c r="F270" s="16"/>
      <c r="G270" s="16"/>
    </row>
    <row r="271" spans="2:7" ht="12.5" x14ac:dyDescent="0.25">
      <c r="B271" s="14"/>
      <c r="C271" s="15"/>
      <c r="D271" s="16"/>
      <c r="E271" s="16"/>
      <c r="F271" s="16"/>
      <c r="G271" s="16"/>
    </row>
    <row r="272" spans="2:7" ht="12.5" x14ac:dyDescent="0.25">
      <c r="B272" s="14"/>
      <c r="C272" s="15"/>
      <c r="D272" s="16"/>
      <c r="E272" s="16"/>
      <c r="F272" s="16"/>
      <c r="G272" s="16"/>
    </row>
    <row r="273" spans="2:7" ht="12.5" x14ac:dyDescent="0.25">
      <c r="B273" s="14"/>
      <c r="C273" s="15"/>
      <c r="D273" s="16"/>
      <c r="E273" s="16"/>
      <c r="F273" s="16"/>
      <c r="G273" s="16"/>
    </row>
    <row r="274" spans="2:7" ht="12.5" x14ac:dyDescent="0.25">
      <c r="B274" s="14"/>
      <c r="C274" s="15"/>
      <c r="D274" s="16"/>
      <c r="E274" s="16"/>
      <c r="F274" s="16"/>
      <c r="G274" s="16"/>
    </row>
    <row r="275" spans="2:7" ht="12.5" x14ac:dyDescent="0.25">
      <c r="B275" s="14"/>
      <c r="C275" s="15"/>
      <c r="D275" s="16"/>
      <c r="E275" s="16"/>
      <c r="F275" s="16"/>
      <c r="G275" s="16"/>
    </row>
    <row r="276" spans="2:7" ht="12.5" x14ac:dyDescent="0.25">
      <c r="B276" s="14"/>
      <c r="C276" s="15"/>
      <c r="D276" s="16"/>
      <c r="E276" s="16"/>
      <c r="F276" s="16"/>
      <c r="G276" s="16"/>
    </row>
    <row r="277" spans="2:7" ht="12.5" x14ac:dyDescent="0.25">
      <c r="B277" s="14"/>
      <c r="C277" s="15"/>
      <c r="D277" s="16"/>
      <c r="E277" s="16"/>
      <c r="F277" s="16"/>
      <c r="G277" s="16"/>
    </row>
    <row r="278" spans="2:7" ht="12.5" x14ac:dyDescent="0.25">
      <c r="B278" s="14"/>
      <c r="C278" s="15"/>
      <c r="D278" s="16"/>
      <c r="E278" s="16"/>
      <c r="F278" s="16"/>
      <c r="G278" s="16"/>
    </row>
    <row r="279" spans="2:7" ht="12.5" x14ac:dyDescent="0.25">
      <c r="B279" s="14"/>
      <c r="C279" s="15"/>
      <c r="D279" s="16"/>
      <c r="E279" s="16"/>
      <c r="F279" s="16"/>
      <c r="G279" s="16"/>
    </row>
    <row r="280" spans="2:7" ht="12.5" x14ac:dyDescent="0.25">
      <c r="B280" s="14"/>
      <c r="C280" s="15"/>
      <c r="D280" s="16"/>
      <c r="E280" s="16"/>
      <c r="F280" s="16"/>
      <c r="G280" s="16"/>
    </row>
    <row r="281" spans="2:7" ht="12.5" x14ac:dyDescent="0.25">
      <c r="B281" s="14"/>
      <c r="C281" s="15"/>
      <c r="D281" s="16"/>
      <c r="E281" s="16"/>
      <c r="F281" s="16"/>
      <c r="G281" s="16"/>
    </row>
    <row r="282" spans="2:7" ht="12.5" x14ac:dyDescent="0.25">
      <c r="B282" s="14"/>
      <c r="C282" s="15"/>
      <c r="D282" s="16"/>
      <c r="E282" s="16"/>
      <c r="F282" s="16"/>
      <c r="G282" s="16"/>
    </row>
    <row r="283" spans="2:7" ht="12.5" x14ac:dyDescent="0.25">
      <c r="B283" s="14"/>
      <c r="C283" s="15"/>
      <c r="D283" s="16"/>
      <c r="E283" s="16"/>
      <c r="F283" s="16"/>
      <c r="G283" s="16"/>
    </row>
    <row r="284" spans="2:7" ht="12.5" x14ac:dyDescent="0.25">
      <c r="B284" s="14"/>
      <c r="C284" s="15"/>
      <c r="D284" s="16"/>
      <c r="E284" s="16"/>
      <c r="F284" s="16"/>
      <c r="G284" s="16"/>
    </row>
    <row r="285" spans="2:7" ht="12.5" x14ac:dyDescent="0.25">
      <c r="B285" s="14"/>
      <c r="C285" s="15"/>
      <c r="D285" s="16"/>
      <c r="E285" s="16"/>
      <c r="F285" s="16"/>
      <c r="G285" s="16"/>
    </row>
    <row r="286" spans="2:7" ht="12.5" x14ac:dyDescent="0.25">
      <c r="B286" s="14"/>
      <c r="C286" s="15"/>
      <c r="D286" s="16"/>
      <c r="E286" s="16"/>
      <c r="F286" s="16"/>
      <c r="G286" s="16"/>
    </row>
    <row r="287" spans="2:7" ht="12.5" x14ac:dyDescent="0.25">
      <c r="B287" s="14"/>
      <c r="C287" s="15"/>
      <c r="D287" s="16"/>
      <c r="E287" s="16"/>
      <c r="F287" s="16"/>
      <c r="G287" s="16"/>
    </row>
    <row r="288" spans="2:7" ht="12.5" x14ac:dyDescent="0.25">
      <c r="B288" s="14"/>
      <c r="C288" s="15"/>
      <c r="D288" s="16"/>
      <c r="E288" s="16"/>
      <c r="F288" s="16"/>
      <c r="G288" s="16"/>
    </row>
    <row r="289" spans="2:7" ht="12.5" x14ac:dyDescent="0.25">
      <c r="B289" s="14"/>
      <c r="C289" s="15"/>
      <c r="D289" s="16"/>
      <c r="E289" s="16"/>
      <c r="F289" s="16"/>
      <c r="G289" s="16"/>
    </row>
    <row r="290" spans="2:7" ht="12.5" x14ac:dyDescent="0.25">
      <c r="B290" s="14"/>
      <c r="C290" s="15"/>
      <c r="D290" s="16"/>
      <c r="E290" s="16"/>
      <c r="F290" s="16"/>
      <c r="G290" s="16"/>
    </row>
    <row r="291" spans="2:7" ht="12.5" x14ac:dyDescent="0.25">
      <c r="B291" s="14"/>
      <c r="C291" s="15"/>
      <c r="D291" s="16"/>
      <c r="E291" s="16"/>
      <c r="F291" s="16"/>
      <c r="G291" s="16"/>
    </row>
    <row r="292" spans="2:7" ht="12.5" x14ac:dyDescent="0.25">
      <c r="B292" s="14"/>
      <c r="C292" s="15"/>
      <c r="D292" s="16"/>
      <c r="E292" s="16"/>
      <c r="F292" s="16"/>
      <c r="G292" s="16"/>
    </row>
    <row r="293" spans="2:7" ht="12.5" x14ac:dyDescent="0.25">
      <c r="B293" s="14"/>
      <c r="C293" s="15"/>
      <c r="D293" s="16"/>
      <c r="E293" s="16"/>
      <c r="F293" s="16"/>
      <c r="G293" s="16"/>
    </row>
    <row r="294" spans="2:7" ht="12.5" x14ac:dyDescent="0.25">
      <c r="B294" s="14"/>
      <c r="C294" s="15"/>
      <c r="D294" s="16"/>
      <c r="E294" s="16"/>
      <c r="F294" s="16"/>
      <c r="G294" s="16"/>
    </row>
    <row r="295" spans="2:7" ht="12.5" x14ac:dyDescent="0.25">
      <c r="B295" s="14"/>
      <c r="C295" s="15"/>
      <c r="D295" s="16"/>
      <c r="E295" s="16"/>
      <c r="F295" s="16"/>
      <c r="G295" s="16"/>
    </row>
    <row r="296" spans="2:7" ht="12.5" x14ac:dyDescent="0.25">
      <c r="B296" s="14"/>
      <c r="C296" s="15"/>
      <c r="D296" s="16"/>
      <c r="E296" s="16"/>
      <c r="F296" s="16"/>
      <c r="G296" s="16"/>
    </row>
    <row r="297" spans="2:7" ht="12.5" x14ac:dyDescent="0.25">
      <c r="B297" s="14"/>
      <c r="C297" s="15"/>
      <c r="D297" s="16"/>
      <c r="E297" s="16"/>
      <c r="F297" s="16"/>
      <c r="G297" s="16"/>
    </row>
    <row r="298" spans="2:7" ht="12.5" x14ac:dyDescent="0.25">
      <c r="B298" s="14"/>
      <c r="C298" s="15"/>
      <c r="D298" s="16"/>
      <c r="E298" s="16"/>
      <c r="F298" s="16"/>
      <c r="G298" s="16"/>
    </row>
    <row r="299" spans="2:7" ht="12.5" x14ac:dyDescent="0.25">
      <c r="B299" s="14"/>
      <c r="C299" s="15"/>
      <c r="D299" s="16"/>
      <c r="E299" s="16"/>
      <c r="F299" s="16"/>
      <c r="G299" s="16"/>
    </row>
    <row r="300" spans="2:7" ht="12.5" x14ac:dyDescent="0.25">
      <c r="B300" s="14"/>
      <c r="C300" s="15"/>
      <c r="D300" s="16"/>
      <c r="E300" s="16"/>
      <c r="F300" s="16"/>
      <c r="G300" s="16"/>
    </row>
    <row r="301" spans="2:7" ht="12.5" x14ac:dyDescent="0.25">
      <c r="B301" s="14"/>
      <c r="C301" s="15"/>
      <c r="D301" s="16"/>
      <c r="E301" s="16"/>
      <c r="F301" s="16"/>
      <c r="G301" s="16"/>
    </row>
    <row r="302" spans="2:7" ht="12.5" x14ac:dyDescent="0.25">
      <c r="B302" s="14"/>
      <c r="C302" s="15"/>
      <c r="D302" s="16"/>
      <c r="E302" s="16"/>
      <c r="F302" s="16"/>
      <c r="G302" s="16"/>
    </row>
    <row r="303" spans="2:7" ht="12.5" x14ac:dyDescent="0.25">
      <c r="B303" s="14"/>
      <c r="C303" s="15"/>
      <c r="D303" s="16"/>
      <c r="E303" s="16"/>
      <c r="F303" s="16"/>
      <c r="G303" s="16"/>
    </row>
    <row r="304" spans="2:7" ht="12.5" x14ac:dyDescent="0.25">
      <c r="B304" s="14"/>
      <c r="C304" s="15"/>
      <c r="D304" s="16"/>
      <c r="E304" s="16"/>
      <c r="F304" s="16"/>
      <c r="G304" s="16"/>
    </row>
    <row r="305" spans="2:7" ht="12.5" x14ac:dyDescent="0.25">
      <c r="B305" s="14"/>
      <c r="C305" s="15"/>
      <c r="D305" s="16"/>
      <c r="E305" s="16"/>
      <c r="F305" s="16"/>
      <c r="G305" s="16"/>
    </row>
    <row r="306" spans="2:7" ht="12.5" x14ac:dyDescent="0.25">
      <c r="B306" s="14"/>
      <c r="C306" s="15"/>
      <c r="D306" s="16"/>
      <c r="E306" s="16"/>
      <c r="F306" s="16"/>
      <c r="G306" s="16"/>
    </row>
    <row r="307" spans="2:7" ht="12.5" x14ac:dyDescent="0.25">
      <c r="B307" s="14"/>
      <c r="C307" s="15"/>
      <c r="D307" s="16"/>
      <c r="E307" s="16"/>
      <c r="F307" s="16"/>
      <c r="G307" s="16"/>
    </row>
    <row r="308" spans="2:7" ht="12.5" x14ac:dyDescent="0.25">
      <c r="B308" s="14"/>
      <c r="C308" s="15"/>
      <c r="D308" s="16"/>
      <c r="E308" s="16"/>
      <c r="F308" s="16"/>
      <c r="G308" s="16"/>
    </row>
    <row r="309" spans="2:7" ht="12.5" x14ac:dyDescent="0.25">
      <c r="B309" s="14"/>
      <c r="C309" s="15"/>
      <c r="D309" s="16"/>
      <c r="E309" s="16"/>
      <c r="F309" s="16"/>
      <c r="G309" s="16"/>
    </row>
    <row r="310" spans="2:7" ht="12.5" x14ac:dyDescent="0.25">
      <c r="B310" s="14"/>
      <c r="C310" s="15"/>
      <c r="D310" s="16"/>
      <c r="E310" s="16"/>
      <c r="F310" s="16"/>
      <c r="G310" s="16"/>
    </row>
    <row r="311" spans="2:7" ht="12.5" x14ac:dyDescent="0.25">
      <c r="B311" s="14"/>
      <c r="C311" s="15"/>
      <c r="D311" s="16"/>
      <c r="E311" s="16"/>
      <c r="F311" s="16"/>
      <c r="G311" s="16"/>
    </row>
    <row r="312" spans="2:7" ht="12.5" x14ac:dyDescent="0.25">
      <c r="B312" s="14"/>
      <c r="C312" s="15"/>
      <c r="D312" s="16"/>
      <c r="E312" s="16"/>
      <c r="F312" s="16"/>
      <c r="G312" s="16"/>
    </row>
    <row r="313" spans="2:7" ht="12.5" x14ac:dyDescent="0.25">
      <c r="B313" s="14"/>
      <c r="C313" s="15"/>
      <c r="D313" s="16"/>
      <c r="E313" s="16"/>
      <c r="F313" s="16"/>
      <c r="G313" s="16"/>
    </row>
    <row r="314" spans="2:7" ht="12.5" x14ac:dyDescent="0.25">
      <c r="B314" s="14"/>
      <c r="C314" s="15"/>
      <c r="D314" s="16"/>
      <c r="E314" s="16"/>
      <c r="F314" s="16"/>
      <c r="G314" s="16"/>
    </row>
    <row r="315" spans="2:7" ht="12.5" x14ac:dyDescent="0.25">
      <c r="B315" s="14"/>
      <c r="C315" s="15"/>
      <c r="D315" s="16"/>
      <c r="E315" s="16"/>
      <c r="F315" s="16"/>
      <c r="G315" s="16"/>
    </row>
    <row r="316" spans="2:7" ht="12.5" x14ac:dyDescent="0.25">
      <c r="B316" s="14"/>
      <c r="C316" s="15"/>
      <c r="D316" s="16"/>
      <c r="E316" s="16"/>
      <c r="F316" s="16"/>
      <c r="G316" s="16"/>
    </row>
    <row r="317" spans="2:7" ht="12.5" x14ac:dyDescent="0.25">
      <c r="B317" s="14"/>
      <c r="C317" s="15"/>
      <c r="D317" s="16"/>
      <c r="E317" s="16"/>
      <c r="F317" s="16"/>
      <c r="G317" s="16"/>
    </row>
    <row r="318" spans="2:7" ht="12.5" x14ac:dyDescent="0.25">
      <c r="B318" s="14"/>
      <c r="C318" s="15"/>
      <c r="D318" s="16"/>
      <c r="E318" s="16"/>
      <c r="F318" s="16"/>
      <c r="G318" s="16"/>
    </row>
    <row r="319" spans="2:7" ht="12.5" x14ac:dyDescent="0.25">
      <c r="B319" s="14"/>
      <c r="C319" s="15"/>
      <c r="D319" s="16"/>
      <c r="E319" s="16"/>
      <c r="F319" s="16"/>
      <c r="G319" s="16"/>
    </row>
    <row r="320" spans="2:7" ht="12.5" x14ac:dyDescent="0.25">
      <c r="B320" s="14"/>
      <c r="C320" s="15"/>
      <c r="D320" s="16"/>
      <c r="E320" s="16"/>
      <c r="F320" s="16"/>
      <c r="G320" s="16"/>
    </row>
    <row r="321" spans="2:7" ht="12.5" x14ac:dyDescent="0.25">
      <c r="B321" s="14"/>
      <c r="C321" s="15"/>
      <c r="D321" s="16"/>
      <c r="E321" s="16"/>
      <c r="F321" s="16"/>
      <c r="G321" s="16"/>
    </row>
    <row r="322" spans="2:7" ht="12.5" x14ac:dyDescent="0.25">
      <c r="B322" s="14"/>
      <c r="C322" s="15"/>
      <c r="D322" s="16"/>
      <c r="E322" s="16"/>
      <c r="F322" s="16"/>
      <c r="G322" s="16"/>
    </row>
    <row r="323" spans="2:7" ht="12.5" x14ac:dyDescent="0.25">
      <c r="B323" s="14"/>
      <c r="C323" s="15"/>
      <c r="D323" s="16"/>
      <c r="E323" s="16"/>
      <c r="F323" s="16"/>
      <c r="G323" s="16"/>
    </row>
    <row r="324" spans="2:7" ht="12.5" x14ac:dyDescent="0.25">
      <c r="B324" s="14"/>
      <c r="C324" s="15"/>
      <c r="D324" s="16"/>
      <c r="E324" s="16"/>
      <c r="F324" s="16"/>
      <c r="G324" s="16"/>
    </row>
    <row r="325" spans="2:7" ht="12.5" x14ac:dyDescent="0.25">
      <c r="B325" s="14"/>
      <c r="C325" s="15"/>
      <c r="D325" s="16"/>
      <c r="E325" s="16"/>
      <c r="F325" s="16"/>
      <c r="G325" s="16"/>
    </row>
    <row r="326" spans="2:7" ht="12.5" x14ac:dyDescent="0.25">
      <c r="B326" s="14"/>
      <c r="C326" s="15"/>
      <c r="D326" s="16"/>
      <c r="E326" s="16"/>
      <c r="F326" s="16"/>
      <c r="G326" s="16"/>
    </row>
    <row r="327" spans="2:7" ht="12.5" x14ac:dyDescent="0.25">
      <c r="B327" s="14"/>
      <c r="C327" s="15"/>
      <c r="D327" s="16"/>
      <c r="E327" s="16"/>
      <c r="F327" s="16"/>
      <c r="G327" s="16"/>
    </row>
    <row r="328" spans="2:7" ht="12.5" x14ac:dyDescent="0.25">
      <c r="B328" s="14"/>
      <c r="C328" s="15"/>
      <c r="D328" s="16"/>
      <c r="E328" s="16"/>
      <c r="F328" s="16"/>
      <c r="G328" s="16"/>
    </row>
    <row r="329" spans="2:7" ht="12.5" x14ac:dyDescent="0.25">
      <c r="B329" s="14"/>
      <c r="C329" s="15"/>
      <c r="D329" s="16"/>
      <c r="E329" s="16"/>
      <c r="F329" s="16"/>
      <c r="G329" s="16"/>
    </row>
    <row r="330" spans="2:7" ht="12.5" x14ac:dyDescent="0.25">
      <c r="B330" s="14"/>
      <c r="C330" s="15"/>
      <c r="D330" s="16"/>
      <c r="E330" s="16"/>
      <c r="F330" s="16"/>
      <c r="G330" s="16"/>
    </row>
    <row r="331" spans="2:7" ht="12.5" x14ac:dyDescent="0.25">
      <c r="B331" s="14"/>
      <c r="C331" s="15"/>
      <c r="D331" s="16"/>
      <c r="E331" s="16"/>
      <c r="F331" s="16"/>
      <c r="G331" s="16"/>
    </row>
    <row r="332" spans="2:7" ht="12.5" x14ac:dyDescent="0.25">
      <c r="B332" s="14"/>
      <c r="C332" s="15"/>
      <c r="D332" s="16"/>
      <c r="E332" s="16"/>
      <c r="F332" s="16"/>
      <c r="G332" s="16"/>
    </row>
    <row r="333" spans="2:7" ht="12.5" x14ac:dyDescent="0.25">
      <c r="B333" s="14"/>
      <c r="C333" s="15"/>
      <c r="D333" s="16"/>
      <c r="E333" s="16"/>
      <c r="F333" s="16"/>
      <c r="G333" s="16"/>
    </row>
    <row r="334" spans="2:7" ht="12.5" x14ac:dyDescent="0.25">
      <c r="B334" s="14"/>
      <c r="C334" s="15"/>
      <c r="D334" s="16"/>
      <c r="E334" s="16"/>
      <c r="F334" s="16"/>
      <c r="G334" s="16"/>
    </row>
    <row r="335" spans="2:7" ht="12.5" x14ac:dyDescent="0.25">
      <c r="B335" s="14"/>
      <c r="C335" s="15"/>
      <c r="D335" s="16"/>
      <c r="E335" s="16"/>
      <c r="F335" s="16"/>
      <c r="G335" s="16"/>
    </row>
    <row r="336" spans="2:7" ht="12.5" x14ac:dyDescent="0.25">
      <c r="B336" s="14"/>
      <c r="C336" s="15"/>
      <c r="D336" s="16"/>
      <c r="E336" s="16"/>
      <c r="F336" s="16"/>
      <c r="G336" s="16"/>
    </row>
    <row r="337" spans="2:7" ht="12.5" x14ac:dyDescent="0.25">
      <c r="B337" s="14"/>
      <c r="C337" s="15"/>
      <c r="D337" s="16"/>
      <c r="E337" s="16"/>
      <c r="F337" s="16"/>
      <c r="G337" s="16"/>
    </row>
    <row r="338" spans="2:7" ht="12.5" x14ac:dyDescent="0.25">
      <c r="B338" s="14"/>
      <c r="C338" s="15"/>
      <c r="D338" s="16"/>
      <c r="E338" s="16"/>
      <c r="F338" s="16"/>
      <c r="G338" s="16"/>
    </row>
    <row r="339" spans="2:7" ht="12.5" x14ac:dyDescent="0.25">
      <c r="B339" s="14"/>
      <c r="C339" s="15"/>
      <c r="D339" s="16"/>
      <c r="E339" s="16"/>
      <c r="F339" s="16"/>
      <c r="G339" s="16"/>
    </row>
    <row r="340" spans="2:7" ht="12.5" x14ac:dyDescent="0.25">
      <c r="B340" s="14"/>
      <c r="C340" s="15"/>
      <c r="D340" s="16"/>
      <c r="E340" s="16"/>
      <c r="F340" s="16"/>
      <c r="G340" s="16"/>
    </row>
    <row r="341" spans="2:7" ht="12.5" x14ac:dyDescent="0.25">
      <c r="B341" s="14"/>
      <c r="C341" s="15"/>
      <c r="D341" s="16"/>
      <c r="E341" s="16"/>
      <c r="F341" s="16"/>
      <c r="G341" s="16"/>
    </row>
    <row r="342" spans="2:7" ht="12.5" x14ac:dyDescent="0.25">
      <c r="B342" s="14"/>
      <c r="C342" s="15"/>
      <c r="D342" s="16"/>
      <c r="E342" s="16"/>
      <c r="F342" s="16"/>
      <c r="G342" s="16"/>
    </row>
    <row r="343" spans="2:7" ht="12.5" x14ac:dyDescent="0.25">
      <c r="B343" s="14"/>
      <c r="C343" s="15"/>
      <c r="D343" s="16"/>
      <c r="E343" s="16"/>
      <c r="F343" s="16"/>
      <c r="G343" s="16"/>
    </row>
    <row r="344" spans="2:7" ht="12.5" x14ac:dyDescent="0.25">
      <c r="B344" s="14"/>
      <c r="C344" s="15"/>
      <c r="D344" s="16"/>
      <c r="E344" s="16"/>
      <c r="F344" s="16"/>
      <c r="G344" s="16"/>
    </row>
    <row r="345" spans="2:7" ht="12.5" x14ac:dyDescent="0.25">
      <c r="B345" s="14"/>
      <c r="C345" s="15"/>
      <c r="D345" s="16"/>
      <c r="E345" s="16"/>
      <c r="F345" s="16"/>
      <c r="G345" s="16"/>
    </row>
    <row r="346" spans="2:7" ht="12.5" x14ac:dyDescent="0.25">
      <c r="B346" s="14"/>
      <c r="C346" s="15"/>
      <c r="D346" s="16"/>
      <c r="E346" s="16"/>
      <c r="F346" s="16"/>
      <c r="G346" s="16"/>
    </row>
    <row r="347" spans="2:7" ht="12.5" x14ac:dyDescent="0.25">
      <c r="B347" s="14"/>
      <c r="C347" s="15"/>
      <c r="D347" s="16"/>
      <c r="E347" s="16"/>
      <c r="F347" s="16"/>
      <c r="G347" s="16"/>
    </row>
    <row r="348" spans="2:7" ht="12.5" x14ac:dyDescent="0.25">
      <c r="B348" s="14"/>
      <c r="C348" s="15"/>
      <c r="D348" s="16"/>
      <c r="E348" s="16"/>
      <c r="F348" s="16"/>
      <c r="G348" s="16"/>
    </row>
    <row r="349" spans="2:7" ht="12.5" x14ac:dyDescent="0.25">
      <c r="B349" s="14"/>
      <c r="C349" s="15"/>
      <c r="D349" s="16"/>
      <c r="E349" s="16"/>
      <c r="F349" s="16"/>
      <c r="G349" s="16"/>
    </row>
    <row r="350" spans="2:7" ht="12.5" x14ac:dyDescent="0.25">
      <c r="B350" s="14"/>
      <c r="C350" s="15"/>
      <c r="D350" s="16"/>
      <c r="E350" s="16"/>
      <c r="F350" s="16"/>
      <c r="G350" s="16"/>
    </row>
    <row r="351" spans="2:7" ht="12.5" x14ac:dyDescent="0.25">
      <c r="B351" s="14"/>
      <c r="C351" s="15"/>
      <c r="D351" s="16"/>
      <c r="E351" s="16"/>
      <c r="F351" s="16"/>
      <c r="G351" s="16"/>
    </row>
    <row r="352" spans="2:7" ht="12.5" x14ac:dyDescent="0.25">
      <c r="B352" s="14"/>
      <c r="C352" s="15"/>
      <c r="D352" s="16"/>
      <c r="E352" s="16"/>
      <c r="F352" s="16"/>
      <c r="G352" s="16"/>
    </row>
    <row r="353" spans="2:7" ht="12.5" x14ac:dyDescent="0.25">
      <c r="B353" s="14"/>
      <c r="C353" s="15"/>
      <c r="D353" s="16"/>
      <c r="E353" s="16"/>
      <c r="F353" s="16"/>
      <c r="G353" s="16"/>
    </row>
    <row r="354" spans="2:7" ht="12.5" x14ac:dyDescent="0.25">
      <c r="B354" s="14"/>
      <c r="C354" s="15"/>
      <c r="D354" s="16"/>
      <c r="E354" s="16"/>
      <c r="F354" s="16"/>
      <c r="G354" s="16"/>
    </row>
    <row r="355" spans="2:7" ht="12.5" x14ac:dyDescent="0.25">
      <c r="B355" s="14"/>
      <c r="C355" s="15"/>
      <c r="D355" s="16"/>
      <c r="E355" s="16"/>
      <c r="F355" s="16"/>
      <c r="G355" s="16"/>
    </row>
    <row r="356" spans="2:7" ht="12.5" x14ac:dyDescent="0.25">
      <c r="B356" s="14"/>
      <c r="C356" s="15"/>
      <c r="D356" s="16"/>
      <c r="E356" s="16"/>
      <c r="F356" s="16"/>
      <c r="G356" s="16"/>
    </row>
    <row r="357" spans="2:7" ht="12.5" x14ac:dyDescent="0.25">
      <c r="B357" s="14"/>
      <c r="C357" s="15"/>
      <c r="D357" s="16"/>
      <c r="E357" s="16"/>
      <c r="F357" s="16"/>
      <c r="G357" s="16"/>
    </row>
    <row r="358" spans="2:7" ht="12.5" x14ac:dyDescent="0.25">
      <c r="B358" s="14"/>
      <c r="C358" s="15"/>
      <c r="D358" s="16"/>
      <c r="E358" s="16"/>
      <c r="F358" s="16"/>
      <c r="G358" s="16"/>
    </row>
    <row r="359" spans="2:7" ht="12.5" x14ac:dyDescent="0.25">
      <c r="B359" s="14"/>
      <c r="C359" s="15"/>
      <c r="D359" s="16"/>
      <c r="E359" s="16"/>
      <c r="F359" s="16"/>
      <c r="G359" s="16"/>
    </row>
    <row r="360" spans="2:7" ht="12.5" x14ac:dyDescent="0.25">
      <c r="B360" s="14"/>
      <c r="C360" s="15"/>
      <c r="D360" s="16"/>
      <c r="E360" s="16"/>
      <c r="F360" s="16"/>
      <c r="G360" s="16"/>
    </row>
    <row r="361" spans="2:7" ht="12.5" x14ac:dyDescent="0.25">
      <c r="B361" s="14"/>
      <c r="C361" s="15"/>
      <c r="D361" s="16"/>
      <c r="E361" s="16"/>
      <c r="F361" s="16"/>
      <c r="G361" s="16"/>
    </row>
    <row r="362" spans="2:7" ht="12.5" x14ac:dyDescent="0.25">
      <c r="B362" s="14"/>
      <c r="C362" s="15"/>
      <c r="D362" s="16"/>
      <c r="E362" s="16"/>
      <c r="F362" s="16"/>
      <c r="G362" s="16"/>
    </row>
    <row r="363" spans="2:7" ht="12.5" x14ac:dyDescent="0.25">
      <c r="B363" s="14"/>
      <c r="C363" s="15"/>
      <c r="D363" s="16"/>
      <c r="E363" s="16"/>
      <c r="F363" s="16"/>
      <c r="G363" s="16"/>
    </row>
    <row r="364" spans="2:7" ht="12.5" x14ac:dyDescent="0.25">
      <c r="B364" s="14"/>
      <c r="C364" s="15"/>
      <c r="D364" s="16"/>
      <c r="E364" s="16"/>
      <c r="F364" s="16"/>
      <c r="G364" s="16"/>
    </row>
    <row r="365" spans="2:7" ht="12.5" x14ac:dyDescent="0.25">
      <c r="B365" s="14"/>
      <c r="C365" s="15"/>
      <c r="D365" s="16"/>
      <c r="E365" s="16"/>
      <c r="F365" s="16"/>
      <c r="G365" s="16"/>
    </row>
    <row r="366" spans="2:7" ht="12.5" x14ac:dyDescent="0.25">
      <c r="B366" s="14"/>
      <c r="C366" s="15"/>
      <c r="D366" s="16"/>
      <c r="E366" s="16"/>
      <c r="F366" s="16"/>
      <c r="G366" s="16"/>
    </row>
    <row r="367" spans="2:7" ht="12.5" x14ac:dyDescent="0.25">
      <c r="B367" s="14"/>
      <c r="C367" s="15"/>
      <c r="D367" s="16"/>
      <c r="E367" s="16"/>
      <c r="F367" s="16"/>
      <c r="G367" s="16"/>
    </row>
    <row r="368" spans="2:7" ht="12.5" x14ac:dyDescent="0.25">
      <c r="B368" s="14"/>
      <c r="C368" s="15"/>
      <c r="D368" s="16"/>
      <c r="E368" s="16"/>
      <c r="F368" s="16"/>
      <c r="G368" s="16"/>
    </row>
    <row r="369" spans="2:7" ht="12.5" x14ac:dyDescent="0.25">
      <c r="B369" s="14"/>
      <c r="C369" s="15"/>
      <c r="D369" s="16"/>
      <c r="E369" s="16"/>
      <c r="F369" s="16"/>
      <c r="G369" s="16"/>
    </row>
    <row r="370" spans="2:7" ht="12.5" x14ac:dyDescent="0.25">
      <c r="B370" s="14"/>
      <c r="C370" s="15"/>
      <c r="D370" s="16"/>
      <c r="E370" s="16"/>
      <c r="F370" s="16"/>
      <c r="G370" s="16"/>
    </row>
    <row r="371" spans="2:7" ht="12.5" x14ac:dyDescent="0.25">
      <c r="B371" s="14"/>
      <c r="C371" s="15"/>
      <c r="D371" s="16"/>
      <c r="E371" s="16"/>
      <c r="F371" s="16"/>
      <c r="G371" s="16"/>
    </row>
    <row r="372" spans="2:7" ht="12.5" x14ac:dyDescent="0.25">
      <c r="B372" s="14"/>
      <c r="C372" s="15"/>
      <c r="D372" s="16"/>
      <c r="E372" s="16"/>
      <c r="F372" s="16"/>
      <c r="G372" s="16"/>
    </row>
    <row r="373" spans="2:7" ht="12.5" x14ac:dyDescent="0.25">
      <c r="B373" s="14"/>
      <c r="C373" s="15"/>
      <c r="D373" s="16"/>
      <c r="E373" s="16"/>
      <c r="F373" s="16"/>
      <c r="G373" s="16"/>
    </row>
    <row r="374" spans="2:7" ht="12.5" x14ac:dyDescent="0.25">
      <c r="B374" s="14"/>
      <c r="C374" s="15"/>
      <c r="D374" s="16"/>
      <c r="E374" s="16"/>
      <c r="F374" s="16"/>
      <c r="G374" s="16"/>
    </row>
    <row r="375" spans="2:7" ht="12.5" x14ac:dyDescent="0.25">
      <c r="B375" s="14"/>
      <c r="C375" s="15"/>
      <c r="D375" s="16"/>
      <c r="E375" s="16"/>
      <c r="F375" s="16"/>
      <c r="G375" s="16"/>
    </row>
    <row r="376" spans="2:7" ht="12.5" x14ac:dyDescent="0.25">
      <c r="B376" s="14"/>
      <c r="C376" s="15"/>
      <c r="D376" s="16"/>
      <c r="E376" s="16"/>
      <c r="F376" s="16"/>
      <c r="G376" s="16"/>
    </row>
    <row r="377" spans="2:7" ht="12.5" x14ac:dyDescent="0.25">
      <c r="B377" s="14"/>
      <c r="C377" s="15"/>
      <c r="D377" s="16"/>
      <c r="E377" s="16"/>
      <c r="F377" s="16"/>
      <c r="G377" s="16"/>
    </row>
    <row r="378" spans="2:7" ht="12.5" x14ac:dyDescent="0.25">
      <c r="B378" s="14"/>
      <c r="C378" s="15"/>
      <c r="D378" s="16"/>
      <c r="E378" s="16"/>
      <c r="F378" s="16"/>
      <c r="G378" s="16"/>
    </row>
    <row r="379" spans="2:7" ht="12.5" x14ac:dyDescent="0.25">
      <c r="B379" s="14"/>
      <c r="C379" s="15"/>
      <c r="D379" s="16"/>
      <c r="E379" s="16"/>
      <c r="F379" s="16"/>
      <c r="G379" s="16"/>
    </row>
    <row r="380" spans="2:7" ht="12.5" x14ac:dyDescent="0.25">
      <c r="B380" s="14"/>
      <c r="C380" s="15"/>
      <c r="D380" s="16"/>
      <c r="E380" s="16"/>
      <c r="F380" s="16"/>
      <c r="G380" s="16"/>
    </row>
    <row r="381" spans="2:7" ht="12.5" x14ac:dyDescent="0.25">
      <c r="B381" s="14"/>
      <c r="C381" s="15"/>
      <c r="D381" s="16"/>
      <c r="E381" s="16"/>
      <c r="F381" s="16"/>
      <c r="G381" s="16"/>
    </row>
    <row r="382" spans="2:7" ht="12.5" x14ac:dyDescent="0.25">
      <c r="B382" s="14"/>
      <c r="C382" s="15"/>
      <c r="D382" s="16"/>
      <c r="E382" s="16"/>
      <c r="F382" s="16"/>
      <c r="G382" s="16"/>
    </row>
    <row r="383" spans="2:7" ht="12.5" x14ac:dyDescent="0.25">
      <c r="B383" s="14"/>
      <c r="C383" s="15"/>
      <c r="D383" s="16"/>
      <c r="E383" s="16"/>
      <c r="F383" s="16"/>
      <c r="G383" s="16"/>
    </row>
    <row r="384" spans="2:7" ht="12.5" x14ac:dyDescent="0.25">
      <c r="B384" s="14"/>
      <c r="C384" s="15"/>
      <c r="D384" s="16"/>
      <c r="E384" s="16"/>
      <c r="F384" s="16"/>
      <c r="G384" s="16"/>
    </row>
    <row r="385" spans="2:7" ht="12.5" x14ac:dyDescent="0.25">
      <c r="B385" s="14"/>
      <c r="C385" s="15"/>
      <c r="D385" s="16"/>
      <c r="E385" s="16"/>
      <c r="F385" s="16"/>
      <c r="G385" s="16"/>
    </row>
    <row r="386" spans="2:7" ht="12.5" x14ac:dyDescent="0.25">
      <c r="B386" s="14"/>
      <c r="C386" s="15"/>
      <c r="D386" s="16"/>
      <c r="E386" s="16"/>
      <c r="F386" s="16"/>
      <c r="G386" s="16"/>
    </row>
    <row r="387" spans="2:7" ht="12.5" x14ac:dyDescent="0.25">
      <c r="B387" s="14"/>
      <c r="C387" s="15"/>
      <c r="D387" s="16"/>
      <c r="E387" s="16"/>
      <c r="F387" s="16"/>
      <c r="G387" s="16"/>
    </row>
    <row r="388" spans="2:7" ht="12.5" x14ac:dyDescent="0.25">
      <c r="B388" s="14"/>
      <c r="C388" s="15"/>
      <c r="D388" s="16"/>
      <c r="E388" s="16"/>
      <c r="F388" s="16"/>
      <c r="G388" s="16"/>
    </row>
    <row r="389" spans="2:7" ht="12.5" x14ac:dyDescent="0.25">
      <c r="B389" s="14"/>
      <c r="C389" s="15"/>
      <c r="D389" s="16"/>
      <c r="E389" s="16"/>
      <c r="F389" s="16"/>
      <c r="G389" s="16"/>
    </row>
    <row r="390" spans="2:7" ht="12.5" x14ac:dyDescent="0.25">
      <c r="B390" s="14"/>
      <c r="C390" s="15"/>
      <c r="D390" s="16"/>
      <c r="E390" s="16"/>
      <c r="F390" s="16"/>
      <c r="G390" s="16"/>
    </row>
    <row r="391" spans="2:7" ht="12.5" x14ac:dyDescent="0.25">
      <c r="B391" s="14"/>
      <c r="C391" s="15"/>
      <c r="D391" s="16"/>
      <c r="E391" s="16"/>
      <c r="F391" s="16"/>
      <c r="G391" s="16"/>
    </row>
    <row r="392" spans="2:7" ht="12.5" x14ac:dyDescent="0.25">
      <c r="B392" s="14"/>
      <c r="C392" s="15"/>
      <c r="D392" s="16"/>
      <c r="E392" s="16"/>
      <c r="F392" s="16"/>
      <c r="G392" s="16"/>
    </row>
    <row r="393" spans="2:7" ht="12.5" x14ac:dyDescent="0.25">
      <c r="B393" s="14"/>
      <c r="C393" s="15"/>
      <c r="D393" s="16"/>
      <c r="E393" s="16"/>
      <c r="F393" s="16"/>
      <c r="G393" s="16"/>
    </row>
    <row r="394" spans="2:7" ht="12.5" x14ac:dyDescent="0.25">
      <c r="B394" s="14"/>
      <c r="C394" s="15"/>
      <c r="D394" s="16"/>
      <c r="E394" s="16"/>
      <c r="F394" s="16"/>
      <c r="G394" s="16"/>
    </row>
    <row r="395" spans="2:7" ht="12.5" x14ac:dyDescent="0.25">
      <c r="B395" s="14"/>
      <c r="C395" s="15"/>
      <c r="D395" s="16"/>
      <c r="E395" s="16"/>
      <c r="F395" s="16"/>
      <c r="G395" s="16"/>
    </row>
    <row r="396" spans="2:7" ht="12.5" x14ac:dyDescent="0.25">
      <c r="B396" s="14"/>
      <c r="C396" s="15"/>
      <c r="D396" s="16"/>
      <c r="E396" s="16"/>
      <c r="F396" s="16"/>
      <c r="G396" s="16"/>
    </row>
    <row r="397" spans="2:7" ht="12.5" x14ac:dyDescent="0.25">
      <c r="B397" s="14"/>
      <c r="C397" s="15"/>
      <c r="D397" s="16"/>
      <c r="E397" s="16"/>
      <c r="F397" s="16"/>
      <c r="G397" s="16"/>
    </row>
    <row r="398" spans="2:7" ht="12.5" x14ac:dyDescent="0.25">
      <c r="B398" s="14"/>
      <c r="C398" s="15"/>
      <c r="D398" s="16"/>
      <c r="E398" s="16"/>
      <c r="F398" s="16"/>
      <c r="G398" s="16"/>
    </row>
    <row r="399" spans="2:7" ht="12.5" x14ac:dyDescent="0.25">
      <c r="B399" s="14"/>
      <c r="C399" s="15"/>
      <c r="D399" s="16"/>
      <c r="E399" s="16"/>
      <c r="F399" s="16"/>
      <c r="G399" s="16"/>
    </row>
    <row r="400" spans="2:7" ht="12.5" x14ac:dyDescent="0.25">
      <c r="B400" s="14"/>
      <c r="C400" s="15"/>
      <c r="D400" s="16"/>
      <c r="E400" s="16"/>
      <c r="F400" s="16"/>
      <c r="G400" s="16"/>
    </row>
    <row r="401" spans="2:7" ht="12.5" x14ac:dyDescent="0.25">
      <c r="B401" s="14"/>
      <c r="C401" s="15"/>
      <c r="D401" s="16"/>
      <c r="E401" s="16"/>
      <c r="F401" s="16"/>
      <c r="G401" s="16"/>
    </row>
    <row r="402" spans="2:7" ht="12.5" x14ac:dyDescent="0.25">
      <c r="B402" s="14"/>
      <c r="C402" s="15"/>
      <c r="D402" s="16"/>
      <c r="E402" s="16"/>
      <c r="F402" s="16"/>
      <c r="G402" s="16"/>
    </row>
    <row r="403" spans="2:7" ht="12.5" x14ac:dyDescent="0.25">
      <c r="B403" s="14"/>
      <c r="C403" s="15"/>
      <c r="D403" s="16"/>
      <c r="E403" s="16"/>
      <c r="F403" s="16"/>
      <c r="G403" s="16"/>
    </row>
    <row r="404" spans="2:7" ht="12.5" x14ac:dyDescent="0.25">
      <c r="B404" s="14"/>
      <c r="C404" s="15"/>
      <c r="D404" s="16"/>
      <c r="E404" s="16"/>
      <c r="F404" s="16"/>
      <c r="G404" s="16"/>
    </row>
    <row r="405" spans="2:7" ht="12.5" x14ac:dyDescent="0.25">
      <c r="B405" s="14"/>
      <c r="C405" s="15"/>
      <c r="D405" s="16"/>
      <c r="E405" s="16"/>
      <c r="F405" s="16"/>
      <c r="G405" s="16"/>
    </row>
    <row r="406" spans="2:7" ht="12.5" x14ac:dyDescent="0.25">
      <c r="B406" s="14"/>
      <c r="C406" s="15"/>
      <c r="D406" s="16"/>
      <c r="E406" s="16"/>
      <c r="F406" s="16"/>
      <c r="G406" s="16"/>
    </row>
    <row r="407" spans="2:7" ht="12.5" x14ac:dyDescent="0.25">
      <c r="B407" s="14"/>
      <c r="C407" s="15"/>
      <c r="D407" s="16"/>
      <c r="E407" s="16"/>
      <c r="F407" s="16"/>
      <c r="G407" s="16"/>
    </row>
    <row r="408" spans="2:7" ht="12.5" x14ac:dyDescent="0.25">
      <c r="B408" s="14"/>
      <c r="C408" s="15"/>
      <c r="D408" s="16"/>
      <c r="E408" s="16"/>
      <c r="F408" s="16"/>
      <c r="G408" s="16"/>
    </row>
    <row r="409" spans="2:7" ht="12.5" x14ac:dyDescent="0.25">
      <c r="B409" s="14"/>
      <c r="C409" s="15"/>
      <c r="D409" s="16"/>
      <c r="E409" s="16"/>
      <c r="F409" s="16"/>
      <c r="G409" s="16"/>
    </row>
    <row r="410" spans="2:7" ht="12.5" x14ac:dyDescent="0.25">
      <c r="B410" s="14"/>
      <c r="C410" s="15"/>
      <c r="D410" s="16"/>
      <c r="E410" s="16"/>
      <c r="F410" s="16"/>
      <c r="G410" s="16"/>
    </row>
    <row r="411" spans="2:7" ht="12.5" x14ac:dyDescent="0.25">
      <c r="B411" s="14"/>
      <c r="C411" s="15"/>
      <c r="D411" s="16"/>
      <c r="E411" s="16"/>
      <c r="F411" s="16"/>
      <c r="G411" s="16"/>
    </row>
    <row r="412" spans="2:7" ht="12.5" x14ac:dyDescent="0.25">
      <c r="B412" s="14"/>
      <c r="C412" s="15"/>
      <c r="D412" s="16"/>
      <c r="E412" s="16"/>
      <c r="F412" s="16"/>
      <c r="G412" s="16"/>
    </row>
    <row r="413" spans="2:7" ht="12.5" x14ac:dyDescent="0.25">
      <c r="B413" s="14"/>
      <c r="C413" s="15"/>
      <c r="D413" s="16"/>
      <c r="E413" s="16"/>
      <c r="F413" s="16"/>
      <c r="G413" s="16"/>
    </row>
    <row r="414" spans="2:7" ht="12.5" x14ac:dyDescent="0.25">
      <c r="B414" s="14"/>
      <c r="C414" s="15"/>
      <c r="D414" s="16"/>
      <c r="E414" s="16"/>
      <c r="F414" s="16"/>
      <c r="G414" s="16"/>
    </row>
    <row r="415" spans="2:7" ht="12.5" x14ac:dyDescent="0.25">
      <c r="B415" s="14"/>
      <c r="C415" s="15"/>
      <c r="D415" s="16"/>
      <c r="E415" s="16"/>
      <c r="F415" s="16"/>
      <c r="G415" s="16"/>
    </row>
    <row r="416" spans="2:7" ht="12.5" x14ac:dyDescent="0.25">
      <c r="B416" s="14"/>
      <c r="C416" s="15"/>
      <c r="D416" s="16"/>
      <c r="E416" s="16"/>
      <c r="F416" s="16"/>
      <c r="G416" s="16"/>
    </row>
    <row r="417" spans="2:7" ht="12.5" x14ac:dyDescent="0.25">
      <c r="B417" s="14"/>
      <c r="C417" s="15"/>
      <c r="D417" s="16"/>
      <c r="E417" s="16"/>
      <c r="F417" s="16"/>
      <c r="G417" s="16"/>
    </row>
    <row r="418" spans="2:7" ht="12.5" x14ac:dyDescent="0.25">
      <c r="B418" s="14"/>
      <c r="C418" s="15"/>
      <c r="D418" s="16"/>
      <c r="E418" s="16"/>
      <c r="F418" s="16"/>
      <c r="G418" s="16"/>
    </row>
    <row r="419" spans="2:7" ht="12.5" x14ac:dyDescent="0.25">
      <c r="B419" s="14"/>
      <c r="C419" s="15"/>
      <c r="D419" s="16"/>
      <c r="E419" s="16"/>
      <c r="F419" s="16"/>
      <c r="G419" s="16"/>
    </row>
    <row r="420" spans="2:7" ht="12.5" x14ac:dyDescent="0.25">
      <c r="B420" s="14"/>
      <c r="C420" s="15"/>
      <c r="D420" s="16"/>
      <c r="E420" s="16"/>
      <c r="F420" s="16"/>
      <c r="G420" s="16"/>
    </row>
    <row r="421" spans="2:7" ht="12.5" x14ac:dyDescent="0.25">
      <c r="B421" s="14"/>
      <c r="C421" s="15"/>
      <c r="D421" s="16"/>
      <c r="E421" s="16"/>
      <c r="F421" s="16"/>
      <c r="G421" s="16"/>
    </row>
    <row r="422" spans="2:7" ht="12.5" x14ac:dyDescent="0.25">
      <c r="B422" s="14"/>
      <c r="C422" s="15"/>
      <c r="D422" s="16"/>
      <c r="E422" s="16"/>
      <c r="F422" s="16"/>
      <c r="G422" s="16"/>
    </row>
    <row r="423" spans="2:7" ht="12.5" x14ac:dyDescent="0.25">
      <c r="B423" s="14"/>
      <c r="C423" s="15"/>
      <c r="D423" s="16"/>
      <c r="E423" s="16"/>
      <c r="F423" s="16"/>
      <c r="G423" s="16"/>
    </row>
    <row r="424" spans="2:7" ht="12.5" x14ac:dyDescent="0.25">
      <c r="B424" s="14"/>
      <c r="C424" s="15"/>
      <c r="D424" s="16"/>
      <c r="E424" s="16"/>
      <c r="F424" s="16"/>
      <c r="G424" s="16"/>
    </row>
    <row r="425" spans="2:7" ht="12.5" x14ac:dyDescent="0.25">
      <c r="B425" s="14"/>
      <c r="C425" s="15"/>
      <c r="D425" s="16"/>
      <c r="E425" s="16"/>
      <c r="F425" s="16"/>
      <c r="G425" s="16"/>
    </row>
    <row r="426" spans="2:7" ht="12.5" x14ac:dyDescent="0.25">
      <c r="B426" s="14"/>
      <c r="C426" s="15"/>
      <c r="D426" s="16"/>
      <c r="E426" s="16"/>
      <c r="F426" s="16"/>
      <c r="G426" s="16"/>
    </row>
    <row r="427" spans="2:7" ht="12.5" x14ac:dyDescent="0.25">
      <c r="B427" s="14"/>
      <c r="C427" s="15"/>
      <c r="D427" s="16"/>
      <c r="E427" s="16"/>
      <c r="F427" s="16"/>
      <c r="G427" s="16"/>
    </row>
    <row r="428" spans="2:7" ht="12.5" x14ac:dyDescent="0.25">
      <c r="B428" s="14"/>
      <c r="C428" s="15"/>
      <c r="D428" s="16"/>
      <c r="E428" s="16"/>
      <c r="F428" s="16"/>
      <c r="G428" s="16"/>
    </row>
    <row r="429" spans="2:7" ht="12.5" x14ac:dyDescent="0.25">
      <c r="B429" s="14"/>
      <c r="C429" s="15"/>
      <c r="D429" s="16"/>
      <c r="E429" s="16"/>
      <c r="F429" s="16"/>
      <c r="G429" s="16"/>
    </row>
    <row r="430" spans="2:7" ht="12.5" x14ac:dyDescent="0.25">
      <c r="B430" s="14"/>
      <c r="C430" s="15"/>
      <c r="D430" s="16"/>
      <c r="E430" s="16"/>
      <c r="F430" s="16"/>
      <c r="G430" s="16"/>
    </row>
    <row r="431" spans="2:7" ht="12.5" x14ac:dyDescent="0.25">
      <c r="B431" s="14"/>
      <c r="C431" s="15"/>
      <c r="D431" s="16"/>
      <c r="E431" s="16"/>
      <c r="F431" s="16"/>
      <c r="G431" s="16"/>
    </row>
    <row r="432" spans="2:7" ht="12.5" x14ac:dyDescent="0.25">
      <c r="B432" s="14"/>
      <c r="C432" s="15"/>
      <c r="D432" s="16"/>
      <c r="E432" s="16"/>
      <c r="F432" s="16"/>
      <c r="G432" s="16"/>
    </row>
    <row r="433" spans="2:7" ht="12.5" x14ac:dyDescent="0.25">
      <c r="B433" s="14"/>
      <c r="C433" s="15"/>
      <c r="D433" s="16"/>
      <c r="E433" s="16"/>
      <c r="F433" s="16"/>
      <c r="G433" s="16"/>
    </row>
    <row r="434" spans="2:7" ht="12.5" x14ac:dyDescent="0.25">
      <c r="B434" s="14"/>
      <c r="C434" s="15"/>
      <c r="D434" s="16"/>
      <c r="E434" s="16"/>
      <c r="F434" s="16"/>
      <c r="G434" s="16"/>
    </row>
    <row r="435" spans="2:7" ht="12.5" x14ac:dyDescent="0.25">
      <c r="B435" s="14"/>
      <c r="C435" s="15"/>
      <c r="D435" s="16"/>
      <c r="E435" s="16"/>
      <c r="F435" s="16"/>
      <c r="G435" s="16"/>
    </row>
    <row r="436" spans="2:7" ht="12.5" x14ac:dyDescent="0.25">
      <c r="B436" s="14"/>
      <c r="C436" s="15"/>
      <c r="D436" s="16"/>
      <c r="E436" s="16"/>
      <c r="F436" s="16"/>
      <c r="G436" s="16"/>
    </row>
    <row r="437" spans="2:7" ht="12.5" x14ac:dyDescent="0.25">
      <c r="B437" s="14"/>
      <c r="C437" s="15"/>
      <c r="D437" s="16"/>
      <c r="E437" s="16"/>
      <c r="F437" s="16"/>
      <c r="G437" s="16"/>
    </row>
    <row r="438" spans="2:7" ht="12.5" x14ac:dyDescent="0.25">
      <c r="B438" s="14"/>
      <c r="C438" s="15"/>
      <c r="D438" s="16"/>
      <c r="E438" s="16"/>
      <c r="F438" s="16"/>
      <c r="G438" s="16"/>
    </row>
    <row r="439" spans="2:7" ht="12.5" x14ac:dyDescent="0.25">
      <c r="B439" s="14"/>
      <c r="C439" s="15"/>
      <c r="D439" s="16"/>
      <c r="E439" s="16"/>
      <c r="F439" s="16"/>
      <c r="G439" s="16"/>
    </row>
    <row r="440" spans="2:7" ht="12.5" x14ac:dyDescent="0.25">
      <c r="B440" s="14"/>
      <c r="C440" s="15"/>
      <c r="D440" s="16"/>
      <c r="E440" s="16"/>
      <c r="F440" s="16"/>
      <c r="G440" s="16"/>
    </row>
    <row r="441" spans="2:7" ht="12.5" x14ac:dyDescent="0.25">
      <c r="B441" s="14"/>
      <c r="C441" s="15"/>
      <c r="D441" s="16"/>
      <c r="E441" s="16"/>
      <c r="F441" s="16"/>
      <c r="G441" s="16"/>
    </row>
    <row r="442" spans="2:7" ht="12.5" x14ac:dyDescent="0.25">
      <c r="B442" s="14"/>
      <c r="C442" s="15"/>
      <c r="D442" s="16"/>
      <c r="E442" s="16"/>
      <c r="F442" s="16"/>
      <c r="G442" s="16"/>
    </row>
    <row r="443" spans="2:7" ht="12.5" x14ac:dyDescent="0.25">
      <c r="B443" s="14"/>
      <c r="C443" s="15"/>
      <c r="D443" s="16"/>
      <c r="E443" s="16"/>
      <c r="F443" s="16"/>
      <c r="G443" s="16"/>
    </row>
    <row r="444" spans="2:7" ht="12.5" x14ac:dyDescent="0.25">
      <c r="B444" s="14"/>
      <c r="C444" s="15"/>
      <c r="D444" s="16"/>
      <c r="E444" s="16"/>
      <c r="F444" s="16"/>
      <c r="G444" s="16"/>
    </row>
    <row r="445" spans="2:7" ht="12.5" x14ac:dyDescent="0.25">
      <c r="B445" s="14"/>
      <c r="C445" s="15"/>
      <c r="D445" s="16"/>
      <c r="E445" s="16"/>
      <c r="F445" s="16"/>
      <c r="G445" s="16"/>
    </row>
    <row r="446" spans="2:7" ht="12.5" x14ac:dyDescent="0.25">
      <c r="B446" s="14"/>
      <c r="C446" s="15"/>
      <c r="D446" s="16"/>
      <c r="E446" s="16"/>
      <c r="F446" s="16"/>
      <c r="G446" s="16"/>
    </row>
    <row r="447" spans="2:7" ht="12.5" x14ac:dyDescent="0.25">
      <c r="B447" s="14"/>
      <c r="C447" s="15"/>
      <c r="D447" s="16"/>
      <c r="E447" s="16"/>
      <c r="F447" s="16"/>
      <c r="G447" s="16"/>
    </row>
    <row r="448" spans="2:7" ht="12.5" x14ac:dyDescent="0.25">
      <c r="B448" s="14"/>
      <c r="C448" s="15"/>
      <c r="D448" s="16"/>
      <c r="E448" s="16"/>
      <c r="F448" s="16"/>
      <c r="G448" s="16"/>
    </row>
    <row r="449" spans="2:7" ht="12.5" x14ac:dyDescent="0.25">
      <c r="B449" s="14"/>
      <c r="C449" s="15"/>
      <c r="D449" s="16"/>
      <c r="E449" s="16"/>
      <c r="F449" s="16"/>
      <c r="G449" s="16"/>
    </row>
    <row r="450" spans="2:7" ht="12.5" x14ac:dyDescent="0.25">
      <c r="B450" s="14"/>
      <c r="C450" s="15"/>
      <c r="D450" s="16"/>
      <c r="E450" s="16"/>
      <c r="F450" s="16"/>
      <c r="G450" s="16"/>
    </row>
    <row r="451" spans="2:7" ht="12.5" x14ac:dyDescent="0.25">
      <c r="B451" s="14"/>
      <c r="C451" s="15"/>
      <c r="D451" s="16"/>
      <c r="E451" s="16"/>
      <c r="F451" s="16"/>
      <c r="G451" s="16"/>
    </row>
    <row r="452" spans="2:7" ht="12.5" x14ac:dyDescent="0.25">
      <c r="B452" s="14"/>
      <c r="C452" s="15"/>
      <c r="D452" s="16"/>
      <c r="E452" s="16"/>
      <c r="F452" s="16"/>
      <c r="G452" s="16"/>
    </row>
    <row r="453" spans="2:7" ht="12.5" x14ac:dyDescent="0.25">
      <c r="B453" s="14"/>
      <c r="C453" s="15"/>
      <c r="D453" s="16"/>
      <c r="E453" s="16"/>
      <c r="F453" s="16"/>
      <c r="G453" s="16"/>
    </row>
    <row r="454" spans="2:7" ht="12.5" x14ac:dyDescent="0.25">
      <c r="B454" s="14"/>
      <c r="C454" s="15"/>
      <c r="D454" s="16"/>
      <c r="E454" s="16"/>
      <c r="F454" s="16"/>
      <c r="G454" s="16"/>
    </row>
    <row r="455" spans="2:7" ht="12.5" x14ac:dyDescent="0.25">
      <c r="B455" s="14"/>
      <c r="C455" s="15"/>
      <c r="D455" s="16"/>
      <c r="E455" s="16"/>
      <c r="F455" s="16"/>
      <c r="G455" s="16"/>
    </row>
    <row r="456" spans="2:7" ht="12.5" x14ac:dyDescent="0.25">
      <c r="B456" s="14"/>
      <c r="C456" s="15"/>
      <c r="D456" s="16"/>
      <c r="E456" s="16"/>
      <c r="F456" s="16"/>
      <c r="G456" s="16"/>
    </row>
    <row r="457" spans="2:7" ht="12.5" x14ac:dyDescent="0.25">
      <c r="B457" s="14"/>
      <c r="C457" s="15"/>
      <c r="D457" s="16"/>
      <c r="E457" s="16"/>
      <c r="F457" s="16"/>
      <c r="G457" s="16"/>
    </row>
    <row r="458" spans="2:7" ht="12.5" x14ac:dyDescent="0.25">
      <c r="B458" s="14"/>
      <c r="C458" s="15"/>
      <c r="D458" s="16"/>
      <c r="E458" s="16"/>
      <c r="F458" s="16"/>
      <c r="G458" s="16"/>
    </row>
    <row r="459" spans="2:7" ht="12.5" x14ac:dyDescent="0.25">
      <c r="B459" s="14"/>
      <c r="C459" s="15"/>
      <c r="D459" s="16"/>
      <c r="E459" s="16"/>
      <c r="F459" s="16"/>
      <c r="G459" s="16"/>
    </row>
    <row r="460" spans="2:7" ht="12.5" x14ac:dyDescent="0.25">
      <c r="B460" s="14"/>
      <c r="C460" s="15"/>
      <c r="D460" s="16"/>
      <c r="E460" s="16"/>
      <c r="F460" s="16"/>
      <c r="G460" s="16"/>
    </row>
    <row r="461" spans="2:7" ht="12.5" x14ac:dyDescent="0.25">
      <c r="B461" s="14"/>
      <c r="C461" s="15"/>
      <c r="D461" s="16"/>
      <c r="E461" s="16"/>
      <c r="F461" s="16"/>
      <c r="G461" s="16"/>
    </row>
    <row r="462" spans="2:7" ht="12.5" x14ac:dyDescent="0.25">
      <c r="B462" s="14"/>
      <c r="C462" s="15"/>
      <c r="D462" s="16"/>
      <c r="E462" s="16"/>
      <c r="F462" s="16"/>
      <c r="G462" s="16"/>
    </row>
    <row r="463" spans="2:7" ht="12.5" x14ac:dyDescent="0.25">
      <c r="B463" s="14"/>
      <c r="C463" s="15"/>
      <c r="D463" s="16"/>
      <c r="E463" s="16"/>
      <c r="F463" s="16"/>
      <c r="G463" s="16"/>
    </row>
    <row r="464" spans="2:7" ht="12.5" x14ac:dyDescent="0.25">
      <c r="B464" s="14"/>
      <c r="C464" s="15"/>
      <c r="D464" s="16"/>
      <c r="E464" s="16"/>
      <c r="F464" s="16"/>
      <c r="G464" s="16"/>
    </row>
    <row r="465" spans="2:7" ht="12.5" x14ac:dyDescent="0.25">
      <c r="B465" s="14"/>
      <c r="C465" s="15"/>
      <c r="D465" s="16"/>
      <c r="E465" s="16"/>
      <c r="F465" s="16"/>
      <c r="G465" s="16"/>
    </row>
    <row r="466" spans="2:7" ht="12.5" x14ac:dyDescent="0.25">
      <c r="B466" s="14"/>
      <c r="C466" s="15"/>
      <c r="D466" s="16"/>
      <c r="E466" s="16"/>
      <c r="F466" s="16"/>
      <c r="G466" s="16"/>
    </row>
    <row r="467" spans="2:7" ht="12.5" x14ac:dyDescent="0.25">
      <c r="B467" s="14"/>
      <c r="C467" s="15"/>
      <c r="D467" s="16"/>
      <c r="E467" s="16"/>
      <c r="F467" s="16"/>
      <c r="G467" s="16"/>
    </row>
    <row r="468" spans="2:7" ht="12.5" x14ac:dyDescent="0.25">
      <c r="B468" s="14"/>
      <c r="C468" s="15"/>
      <c r="D468" s="16"/>
      <c r="E468" s="16"/>
      <c r="F468" s="16"/>
      <c r="G468" s="16"/>
    </row>
    <row r="469" spans="2:7" ht="12.5" x14ac:dyDescent="0.25">
      <c r="B469" s="14"/>
      <c r="C469" s="15"/>
      <c r="D469" s="16"/>
      <c r="E469" s="16"/>
      <c r="F469" s="16"/>
      <c r="G469" s="16"/>
    </row>
    <row r="470" spans="2:7" ht="12.5" x14ac:dyDescent="0.25">
      <c r="B470" s="14"/>
      <c r="C470" s="15"/>
      <c r="D470" s="16"/>
      <c r="E470" s="16"/>
      <c r="F470" s="16"/>
      <c r="G470" s="16"/>
    </row>
    <row r="471" spans="2:7" ht="12.5" x14ac:dyDescent="0.25">
      <c r="B471" s="14"/>
      <c r="C471" s="15"/>
      <c r="D471" s="16"/>
      <c r="E471" s="16"/>
      <c r="F471" s="16"/>
      <c r="G471" s="16"/>
    </row>
    <row r="472" spans="2:7" ht="12.5" x14ac:dyDescent="0.25">
      <c r="B472" s="14"/>
      <c r="C472" s="15"/>
      <c r="D472" s="16"/>
      <c r="E472" s="16"/>
      <c r="F472" s="16"/>
      <c r="G472" s="16"/>
    </row>
    <row r="473" spans="2:7" ht="12.5" x14ac:dyDescent="0.25">
      <c r="B473" s="14"/>
      <c r="C473" s="15"/>
      <c r="D473" s="16"/>
      <c r="E473" s="16"/>
      <c r="F473" s="16"/>
      <c r="G473" s="16"/>
    </row>
    <row r="474" spans="2:7" ht="12.5" x14ac:dyDescent="0.25">
      <c r="B474" s="14"/>
      <c r="C474" s="15"/>
      <c r="D474" s="16"/>
      <c r="E474" s="16"/>
      <c r="F474" s="16"/>
      <c r="G474" s="16"/>
    </row>
    <row r="475" spans="2:7" ht="12.5" x14ac:dyDescent="0.25">
      <c r="B475" s="14"/>
      <c r="C475" s="15"/>
      <c r="D475" s="16"/>
      <c r="E475" s="16"/>
      <c r="F475" s="16"/>
      <c r="G475" s="16"/>
    </row>
    <row r="476" spans="2:7" ht="12.5" x14ac:dyDescent="0.25">
      <c r="B476" s="14"/>
      <c r="C476" s="15"/>
      <c r="D476" s="16"/>
      <c r="E476" s="16"/>
      <c r="F476" s="16"/>
      <c r="G476" s="16"/>
    </row>
    <row r="477" spans="2:7" ht="12.5" x14ac:dyDescent="0.25">
      <c r="B477" s="14"/>
      <c r="C477" s="15"/>
      <c r="D477" s="16"/>
      <c r="E477" s="16"/>
      <c r="F477" s="16"/>
      <c r="G477" s="16"/>
    </row>
    <row r="478" spans="2:7" ht="12.5" x14ac:dyDescent="0.25">
      <c r="B478" s="14"/>
      <c r="C478" s="15"/>
      <c r="D478" s="16"/>
      <c r="E478" s="16"/>
      <c r="F478" s="16"/>
      <c r="G478" s="16"/>
    </row>
    <row r="479" spans="2:7" ht="12.5" x14ac:dyDescent="0.25">
      <c r="B479" s="14"/>
      <c r="C479" s="15"/>
      <c r="D479" s="16"/>
      <c r="E479" s="16"/>
      <c r="F479" s="16"/>
      <c r="G479" s="16"/>
    </row>
    <row r="480" spans="2:7" ht="12.5" x14ac:dyDescent="0.25">
      <c r="B480" s="14"/>
      <c r="C480" s="15"/>
      <c r="D480" s="16"/>
      <c r="E480" s="16"/>
      <c r="F480" s="16"/>
      <c r="G480" s="16"/>
    </row>
    <row r="481" spans="2:7" ht="12.5" x14ac:dyDescent="0.25">
      <c r="B481" s="14"/>
      <c r="C481" s="15"/>
      <c r="D481" s="16"/>
      <c r="E481" s="16"/>
      <c r="F481" s="16"/>
      <c r="G481" s="16"/>
    </row>
    <row r="482" spans="2:7" ht="12.5" x14ac:dyDescent="0.25">
      <c r="B482" s="14"/>
      <c r="C482" s="15"/>
      <c r="D482" s="16"/>
      <c r="E482" s="16"/>
      <c r="F482" s="16"/>
      <c r="G482" s="16"/>
    </row>
    <row r="483" spans="2:7" ht="12.5" x14ac:dyDescent="0.25">
      <c r="B483" s="14"/>
      <c r="C483" s="15"/>
      <c r="D483" s="16"/>
      <c r="E483" s="16"/>
      <c r="F483" s="16"/>
      <c r="G483" s="16"/>
    </row>
    <row r="484" spans="2:7" ht="12.5" x14ac:dyDescent="0.25">
      <c r="B484" s="14"/>
      <c r="C484" s="15"/>
      <c r="D484" s="16"/>
      <c r="E484" s="16"/>
      <c r="F484" s="16"/>
      <c r="G484" s="16"/>
    </row>
    <row r="485" spans="2:7" ht="12.5" x14ac:dyDescent="0.25">
      <c r="B485" s="14"/>
      <c r="C485" s="15"/>
      <c r="D485" s="16"/>
      <c r="E485" s="16"/>
      <c r="F485" s="16"/>
      <c r="G485" s="16"/>
    </row>
    <row r="486" spans="2:7" ht="12.5" x14ac:dyDescent="0.25">
      <c r="B486" s="14"/>
      <c r="C486" s="15"/>
      <c r="D486" s="16"/>
      <c r="E486" s="16"/>
      <c r="F486" s="16"/>
      <c r="G486" s="16"/>
    </row>
    <row r="487" spans="2:7" ht="12.5" x14ac:dyDescent="0.25">
      <c r="B487" s="14"/>
      <c r="C487" s="15"/>
      <c r="D487" s="16"/>
      <c r="E487" s="16"/>
      <c r="F487" s="16"/>
      <c r="G487" s="16"/>
    </row>
    <row r="488" spans="2:7" ht="12.5" x14ac:dyDescent="0.25">
      <c r="B488" s="14"/>
      <c r="C488" s="15"/>
      <c r="D488" s="16"/>
      <c r="E488" s="16"/>
      <c r="F488" s="16"/>
      <c r="G488" s="16"/>
    </row>
    <row r="489" spans="2:7" ht="12.5" x14ac:dyDescent="0.25">
      <c r="B489" s="14"/>
      <c r="C489" s="15"/>
      <c r="D489" s="16"/>
      <c r="E489" s="16"/>
      <c r="F489" s="16"/>
      <c r="G489" s="16"/>
    </row>
    <row r="490" spans="2:7" ht="12.5" x14ac:dyDescent="0.25">
      <c r="B490" s="14"/>
      <c r="C490" s="15"/>
      <c r="D490" s="16"/>
      <c r="E490" s="16"/>
      <c r="F490" s="16"/>
      <c r="G490" s="16"/>
    </row>
    <row r="491" spans="2:7" ht="12.5" x14ac:dyDescent="0.25">
      <c r="B491" s="14"/>
      <c r="C491" s="15"/>
      <c r="D491" s="16"/>
      <c r="E491" s="16"/>
      <c r="F491" s="16"/>
      <c r="G491" s="16"/>
    </row>
    <row r="492" spans="2:7" ht="12.5" x14ac:dyDescent="0.25">
      <c r="B492" s="14"/>
      <c r="C492" s="15"/>
      <c r="D492" s="16"/>
      <c r="E492" s="16"/>
      <c r="F492" s="16"/>
      <c r="G492" s="16"/>
    </row>
    <row r="493" spans="2:7" ht="12.5" x14ac:dyDescent="0.25">
      <c r="B493" s="14"/>
      <c r="C493" s="15"/>
      <c r="D493" s="16"/>
      <c r="E493" s="16"/>
      <c r="F493" s="16"/>
      <c r="G493" s="16"/>
    </row>
    <row r="494" spans="2:7" ht="12.5" x14ac:dyDescent="0.25">
      <c r="B494" s="14"/>
      <c r="C494" s="15"/>
      <c r="D494" s="16"/>
      <c r="E494" s="16"/>
      <c r="F494" s="16"/>
      <c r="G494" s="16"/>
    </row>
    <row r="495" spans="2:7" ht="12.5" x14ac:dyDescent="0.25">
      <c r="B495" s="14"/>
      <c r="C495" s="15"/>
      <c r="D495" s="16"/>
      <c r="E495" s="16"/>
      <c r="F495" s="16"/>
      <c r="G495" s="16"/>
    </row>
    <row r="496" spans="2:7" ht="12.5" x14ac:dyDescent="0.25">
      <c r="B496" s="14"/>
      <c r="C496" s="15"/>
      <c r="D496" s="16"/>
      <c r="E496" s="16"/>
      <c r="F496" s="16"/>
      <c r="G496" s="16"/>
    </row>
    <row r="497" spans="2:7" ht="12.5" x14ac:dyDescent="0.25">
      <c r="B497" s="14"/>
      <c r="C497" s="15"/>
      <c r="D497" s="16"/>
      <c r="E497" s="16"/>
      <c r="F497" s="16"/>
      <c r="G497" s="16"/>
    </row>
    <row r="498" spans="2:7" ht="12.5" x14ac:dyDescent="0.25">
      <c r="B498" s="14"/>
      <c r="C498" s="15"/>
      <c r="D498" s="16"/>
      <c r="E498" s="16"/>
      <c r="F498" s="16"/>
      <c r="G498" s="16"/>
    </row>
    <row r="499" spans="2:7" ht="12.5" x14ac:dyDescent="0.25">
      <c r="B499" s="14"/>
      <c r="C499" s="15"/>
      <c r="D499" s="16"/>
      <c r="E499" s="16"/>
      <c r="F499" s="16"/>
      <c r="G499" s="16"/>
    </row>
    <row r="500" spans="2:7" ht="12.5" x14ac:dyDescent="0.25">
      <c r="B500" s="14"/>
      <c r="C500" s="15"/>
      <c r="D500" s="16"/>
      <c r="E500" s="16"/>
      <c r="F500" s="16"/>
      <c r="G500" s="16"/>
    </row>
    <row r="501" spans="2:7" ht="12.5" x14ac:dyDescent="0.25">
      <c r="B501" s="14"/>
      <c r="C501" s="15"/>
      <c r="D501" s="16"/>
      <c r="E501" s="16"/>
      <c r="F501" s="16"/>
      <c r="G501" s="16"/>
    </row>
    <row r="502" spans="2:7" ht="12.5" x14ac:dyDescent="0.25">
      <c r="B502" s="14"/>
      <c r="C502" s="15"/>
      <c r="D502" s="16"/>
      <c r="E502" s="16"/>
      <c r="F502" s="16"/>
      <c r="G502" s="16"/>
    </row>
    <row r="503" spans="2:7" ht="12.5" x14ac:dyDescent="0.25">
      <c r="B503" s="14"/>
      <c r="C503" s="15"/>
      <c r="D503" s="16"/>
      <c r="E503" s="16"/>
      <c r="F503" s="16"/>
      <c r="G503" s="16"/>
    </row>
    <row r="504" spans="2:7" ht="12.5" x14ac:dyDescent="0.25">
      <c r="B504" s="14"/>
      <c r="C504" s="15"/>
      <c r="D504" s="16"/>
      <c r="E504" s="16"/>
      <c r="F504" s="16"/>
      <c r="G504" s="16"/>
    </row>
    <row r="505" spans="2:7" ht="12.5" x14ac:dyDescent="0.25">
      <c r="B505" s="14"/>
      <c r="C505" s="15"/>
      <c r="D505" s="16"/>
      <c r="E505" s="16"/>
      <c r="F505" s="16"/>
      <c r="G505" s="16"/>
    </row>
    <row r="506" spans="2:7" ht="12.5" x14ac:dyDescent="0.25">
      <c r="B506" s="14"/>
      <c r="C506" s="15"/>
      <c r="D506" s="16"/>
      <c r="E506" s="16"/>
      <c r="F506" s="16"/>
      <c r="G506" s="16"/>
    </row>
    <row r="507" spans="2:7" ht="12.5" x14ac:dyDescent="0.25">
      <c r="B507" s="14"/>
      <c r="C507" s="15"/>
      <c r="D507" s="16"/>
      <c r="E507" s="16"/>
      <c r="F507" s="16"/>
      <c r="G507" s="16"/>
    </row>
    <row r="508" spans="2:7" ht="12.5" x14ac:dyDescent="0.25">
      <c r="B508" s="14"/>
      <c r="C508" s="15"/>
      <c r="D508" s="16"/>
      <c r="E508" s="16"/>
      <c r="F508" s="16"/>
      <c r="G508" s="16"/>
    </row>
    <row r="509" spans="2:7" ht="12.5" x14ac:dyDescent="0.25">
      <c r="B509" s="14"/>
      <c r="C509" s="15"/>
      <c r="D509" s="16"/>
      <c r="E509" s="16"/>
      <c r="F509" s="16"/>
      <c r="G509" s="16"/>
    </row>
    <row r="510" spans="2:7" ht="12.5" x14ac:dyDescent="0.25">
      <c r="B510" s="14"/>
      <c r="C510" s="15"/>
      <c r="D510" s="16"/>
      <c r="E510" s="16"/>
      <c r="F510" s="16"/>
      <c r="G510" s="16"/>
    </row>
    <row r="511" spans="2:7" ht="12.5" x14ac:dyDescent="0.25">
      <c r="B511" s="14"/>
      <c r="C511" s="15"/>
      <c r="D511" s="16"/>
      <c r="E511" s="16"/>
      <c r="F511" s="16"/>
      <c r="G511" s="16"/>
    </row>
    <row r="512" spans="2:7" ht="12.5" x14ac:dyDescent="0.25">
      <c r="B512" s="14"/>
      <c r="C512" s="15"/>
      <c r="D512" s="16"/>
      <c r="E512" s="16"/>
      <c r="F512" s="16"/>
      <c r="G512" s="16"/>
    </row>
    <row r="513" spans="2:7" ht="12.5" x14ac:dyDescent="0.25">
      <c r="B513" s="14"/>
      <c r="C513" s="15"/>
      <c r="D513" s="16"/>
      <c r="E513" s="16"/>
      <c r="F513" s="16"/>
      <c r="G513" s="16"/>
    </row>
    <row r="514" spans="2:7" ht="12.5" x14ac:dyDescent="0.25">
      <c r="B514" s="14"/>
      <c r="C514" s="15"/>
      <c r="D514" s="16"/>
      <c r="E514" s="16"/>
      <c r="F514" s="16"/>
      <c r="G514" s="16"/>
    </row>
    <row r="515" spans="2:7" ht="12.5" x14ac:dyDescent="0.25">
      <c r="B515" s="14"/>
      <c r="C515" s="15"/>
      <c r="D515" s="16"/>
      <c r="E515" s="16"/>
      <c r="F515" s="16"/>
      <c r="G515" s="16"/>
    </row>
    <row r="516" spans="2:7" ht="12.5" x14ac:dyDescent="0.25">
      <c r="B516" s="14"/>
      <c r="C516" s="15"/>
      <c r="D516" s="16"/>
      <c r="E516" s="16"/>
      <c r="F516" s="16"/>
      <c r="G516" s="16"/>
    </row>
    <row r="517" spans="2:7" ht="12.5" x14ac:dyDescent="0.25">
      <c r="B517" s="14"/>
      <c r="C517" s="15"/>
      <c r="D517" s="16"/>
      <c r="E517" s="16"/>
      <c r="F517" s="16"/>
      <c r="G517" s="16"/>
    </row>
    <row r="518" spans="2:7" ht="12.5" x14ac:dyDescent="0.25">
      <c r="B518" s="14"/>
      <c r="C518" s="15"/>
      <c r="D518" s="16"/>
      <c r="E518" s="16"/>
      <c r="F518" s="16"/>
      <c r="G518" s="16"/>
    </row>
    <row r="519" spans="2:7" ht="12.5" x14ac:dyDescent="0.25">
      <c r="B519" s="14"/>
      <c r="C519" s="15"/>
      <c r="D519" s="16"/>
      <c r="E519" s="16"/>
      <c r="F519" s="16"/>
      <c r="G519" s="16"/>
    </row>
    <row r="520" spans="2:7" ht="12.5" x14ac:dyDescent="0.25">
      <c r="B520" s="14"/>
      <c r="C520" s="15"/>
      <c r="D520" s="16"/>
      <c r="E520" s="16"/>
      <c r="F520" s="16"/>
      <c r="G520" s="16"/>
    </row>
    <row r="521" spans="2:7" ht="12.5" x14ac:dyDescent="0.25">
      <c r="B521" s="14"/>
      <c r="C521" s="15"/>
      <c r="D521" s="16"/>
      <c r="E521" s="16"/>
      <c r="F521" s="16"/>
      <c r="G521" s="16"/>
    </row>
    <row r="522" spans="2:7" ht="12.5" x14ac:dyDescent="0.25">
      <c r="B522" s="14"/>
      <c r="C522" s="15"/>
      <c r="D522" s="16"/>
      <c r="E522" s="16"/>
      <c r="F522" s="16"/>
      <c r="G522" s="16"/>
    </row>
    <row r="523" spans="2:7" ht="12.5" x14ac:dyDescent="0.25">
      <c r="B523" s="14"/>
      <c r="C523" s="15"/>
      <c r="D523" s="16"/>
      <c r="E523" s="16"/>
      <c r="F523" s="16"/>
      <c r="G523" s="16"/>
    </row>
    <row r="524" spans="2:7" ht="12.5" x14ac:dyDescent="0.25">
      <c r="B524" s="14"/>
      <c r="C524" s="15"/>
      <c r="D524" s="16"/>
      <c r="E524" s="16"/>
      <c r="F524" s="16"/>
      <c r="G524" s="16"/>
    </row>
    <row r="525" spans="2:7" ht="12.5" x14ac:dyDescent="0.25">
      <c r="B525" s="14"/>
      <c r="C525" s="15"/>
      <c r="D525" s="16"/>
      <c r="E525" s="16"/>
      <c r="F525" s="16"/>
      <c r="G525" s="16"/>
    </row>
    <row r="526" spans="2:7" ht="12.5" x14ac:dyDescent="0.25">
      <c r="B526" s="14"/>
      <c r="C526" s="15"/>
      <c r="D526" s="16"/>
      <c r="E526" s="16"/>
      <c r="F526" s="16"/>
      <c r="G526" s="16"/>
    </row>
    <row r="527" spans="2:7" ht="12.5" x14ac:dyDescent="0.25">
      <c r="B527" s="14"/>
      <c r="C527" s="15"/>
      <c r="D527" s="16"/>
      <c r="E527" s="16"/>
      <c r="F527" s="16"/>
      <c r="G527" s="16"/>
    </row>
    <row r="528" spans="2:7" ht="12.5" x14ac:dyDescent="0.25">
      <c r="B528" s="14"/>
      <c r="C528" s="15"/>
      <c r="D528" s="16"/>
      <c r="E528" s="16"/>
      <c r="F528" s="16"/>
      <c r="G528" s="16"/>
    </row>
    <row r="529" spans="2:7" ht="12.5" x14ac:dyDescent="0.25">
      <c r="B529" s="14"/>
      <c r="C529" s="15"/>
      <c r="D529" s="16"/>
      <c r="E529" s="16"/>
      <c r="F529" s="16"/>
      <c r="G529" s="16"/>
    </row>
    <row r="530" spans="2:7" ht="12.5" x14ac:dyDescent="0.25">
      <c r="B530" s="14"/>
      <c r="C530" s="15"/>
      <c r="D530" s="16"/>
      <c r="E530" s="16"/>
      <c r="F530" s="16"/>
      <c r="G530" s="16"/>
    </row>
    <row r="531" spans="2:7" ht="12.5" x14ac:dyDescent="0.25">
      <c r="B531" s="14"/>
      <c r="C531" s="15"/>
      <c r="D531" s="16"/>
      <c r="E531" s="16"/>
      <c r="F531" s="16"/>
      <c r="G531" s="16"/>
    </row>
    <row r="532" spans="2:7" ht="12.5" x14ac:dyDescent="0.25">
      <c r="B532" s="14"/>
      <c r="C532" s="15"/>
      <c r="D532" s="16"/>
      <c r="E532" s="16"/>
      <c r="F532" s="16"/>
      <c r="G532" s="16"/>
    </row>
    <row r="533" spans="2:7" ht="12.5" x14ac:dyDescent="0.25">
      <c r="B533" s="14"/>
      <c r="C533" s="15"/>
      <c r="D533" s="16"/>
      <c r="E533" s="16"/>
      <c r="F533" s="16"/>
      <c r="G533" s="16"/>
    </row>
    <row r="534" spans="2:7" ht="12.5" x14ac:dyDescent="0.25">
      <c r="B534" s="14"/>
      <c r="C534" s="15"/>
      <c r="D534" s="16"/>
      <c r="E534" s="16"/>
      <c r="F534" s="16"/>
      <c r="G534" s="16"/>
    </row>
    <row r="535" spans="2:7" ht="12.5" x14ac:dyDescent="0.25">
      <c r="B535" s="14"/>
      <c r="C535" s="15"/>
      <c r="D535" s="16"/>
      <c r="E535" s="16"/>
      <c r="F535" s="16"/>
      <c r="G535" s="16"/>
    </row>
    <row r="536" spans="2:7" ht="12.5" x14ac:dyDescent="0.25">
      <c r="B536" s="14"/>
      <c r="C536" s="15"/>
      <c r="D536" s="16"/>
      <c r="E536" s="16"/>
      <c r="F536" s="16"/>
      <c r="G536" s="16"/>
    </row>
    <row r="537" spans="2:7" ht="12.5" x14ac:dyDescent="0.25">
      <c r="B537" s="14"/>
      <c r="C537" s="15"/>
      <c r="D537" s="16"/>
      <c r="E537" s="16"/>
      <c r="F537" s="16"/>
      <c r="G537" s="16"/>
    </row>
    <row r="538" spans="2:7" ht="12.5" x14ac:dyDescent="0.25">
      <c r="B538" s="14"/>
      <c r="C538" s="15"/>
      <c r="D538" s="16"/>
      <c r="E538" s="16"/>
      <c r="F538" s="16"/>
      <c r="G538" s="16"/>
    </row>
    <row r="539" spans="2:7" ht="12.5" x14ac:dyDescent="0.25">
      <c r="B539" s="14"/>
      <c r="C539" s="15"/>
      <c r="D539" s="16"/>
      <c r="E539" s="16"/>
      <c r="F539" s="16"/>
      <c r="G539" s="16"/>
    </row>
    <row r="540" spans="2:7" ht="12.5" x14ac:dyDescent="0.25">
      <c r="B540" s="14"/>
      <c r="C540" s="15"/>
      <c r="D540" s="16"/>
      <c r="E540" s="16"/>
      <c r="F540" s="16"/>
      <c r="G540" s="16"/>
    </row>
    <row r="541" spans="2:7" ht="12.5" x14ac:dyDescent="0.25">
      <c r="B541" s="14"/>
      <c r="C541" s="15"/>
      <c r="D541" s="16"/>
      <c r="E541" s="16"/>
      <c r="F541" s="16"/>
      <c r="G541" s="16"/>
    </row>
    <row r="542" spans="2:7" ht="12.5" x14ac:dyDescent="0.25">
      <c r="B542" s="14"/>
      <c r="C542" s="15"/>
      <c r="D542" s="16"/>
      <c r="E542" s="16"/>
      <c r="F542" s="16"/>
      <c r="G542" s="16"/>
    </row>
    <row r="543" spans="2:7" ht="12.5" x14ac:dyDescent="0.25">
      <c r="B543" s="14"/>
      <c r="C543" s="15"/>
      <c r="D543" s="16"/>
      <c r="E543" s="16"/>
      <c r="F543" s="16"/>
      <c r="G543" s="16"/>
    </row>
    <row r="544" spans="2:7" ht="12.5" x14ac:dyDescent="0.25">
      <c r="B544" s="14"/>
      <c r="C544" s="15"/>
      <c r="D544" s="16"/>
      <c r="E544" s="16"/>
      <c r="F544" s="16"/>
      <c r="G544" s="16"/>
    </row>
    <row r="545" spans="2:7" ht="12.5" x14ac:dyDescent="0.25">
      <c r="B545" s="14"/>
      <c r="C545" s="15"/>
      <c r="D545" s="16"/>
      <c r="E545" s="16"/>
      <c r="F545" s="16"/>
      <c r="G545" s="16"/>
    </row>
    <row r="546" spans="2:7" ht="12.5" x14ac:dyDescent="0.25">
      <c r="B546" s="14"/>
      <c r="C546" s="15"/>
      <c r="D546" s="16"/>
      <c r="E546" s="16"/>
      <c r="F546" s="16"/>
      <c r="G546" s="16"/>
    </row>
    <row r="547" spans="2:7" ht="12.5" x14ac:dyDescent="0.25">
      <c r="B547" s="14"/>
      <c r="C547" s="15"/>
      <c r="D547" s="16"/>
      <c r="E547" s="16"/>
      <c r="F547" s="16"/>
      <c r="G547" s="16"/>
    </row>
    <row r="548" spans="2:7" ht="12.5" x14ac:dyDescent="0.25">
      <c r="B548" s="14"/>
      <c r="C548" s="15"/>
      <c r="D548" s="16"/>
      <c r="E548" s="16"/>
      <c r="F548" s="16"/>
      <c r="G548" s="16"/>
    </row>
    <row r="549" spans="2:7" ht="12.5" x14ac:dyDescent="0.25">
      <c r="B549" s="14"/>
      <c r="C549" s="15"/>
      <c r="D549" s="16"/>
      <c r="E549" s="16"/>
      <c r="F549" s="16"/>
      <c r="G549" s="16"/>
    </row>
    <row r="550" spans="2:7" ht="12.5" x14ac:dyDescent="0.25">
      <c r="B550" s="14"/>
      <c r="C550" s="15"/>
      <c r="D550" s="16"/>
      <c r="E550" s="16"/>
      <c r="F550" s="16"/>
      <c r="G550" s="16"/>
    </row>
    <row r="551" spans="2:7" ht="12.5" x14ac:dyDescent="0.25">
      <c r="B551" s="14"/>
      <c r="C551" s="15"/>
      <c r="D551" s="16"/>
      <c r="E551" s="16"/>
      <c r="F551" s="16"/>
      <c r="G551" s="16"/>
    </row>
    <row r="552" spans="2:7" ht="12.5" x14ac:dyDescent="0.25">
      <c r="B552" s="14"/>
      <c r="C552" s="15"/>
      <c r="D552" s="16"/>
      <c r="E552" s="16"/>
      <c r="F552" s="16"/>
      <c r="G552" s="16"/>
    </row>
    <row r="553" spans="2:7" ht="12.5" x14ac:dyDescent="0.25">
      <c r="B553" s="14"/>
      <c r="C553" s="15"/>
      <c r="D553" s="16"/>
      <c r="E553" s="16"/>
      <c r="F553" s="16"/>
      <c r="G553" s="16"/>
    </row>
    <row r="554" spans="2:7" ht="12.5" x14ac:dyDescent="0.25">
      <c r="B554" s="14"/>
      <c r="C554" s="15"/>
      <c r="D554" s="16"/>
      <c r="E554" s="16"/>
      <c r="F554" s="16"/>
      <c r="G554" s="16"/>
    </row>
    <row r="555" spans="2:7" ht="12.5" x14ac:dyDescent="0.25">
      <c r="B555" s="14"/>
      <c r="C555" s="15"/>
      <c r="D555" s="16"/>
      <c r="E555" s="16"/>
      <c r="F555" s="16"/>
      <c r="G555" s="16"/>
    </row>
    <row r="556" spans="2:7" ht="12.5" x14ac:dyDescent="0.25">
      <c r="B556" s="14"/>
      <c r="C556" s="15"/>
      <c r="D556" s="16"/>
      <c r="E556" s="16"/>
      <c r="F556" s="16"/>
      <c r="G556" s="16"/>
    </row>
    <row r="557" spans="2:7" ht="12.5" x14ac:dyDescent="0.25">
      <c r="B557" s="14"/>
      <c r="C557" s="15"/>
      <c r="D557" s="16"/>
      <c r="E557" s="16"/>
      <c r="F557" s="16"/>
      <c r="G557" s="16"/>
    </row>
    <row r="558" spans="2:7" ht="12.5" x14ac:dyDescent="0.25">
      <c r="B558" s="14"/>
      <c r="C558" s="15"/>
      <c r="D558" s="16"/>
      <c r="E558" s="16"/>
      <c r="F558" s="16"/>
      <c r="G558" s="16"/>
    </row>
    <row r="559" spans="2:7" ht="12.5" x14ac:dyDescent="0.25">
      <c r="B559" s="14"/>
      <c r="C559" s="15"/>
      <c r="D559" s="16"/>
      <c r="E559" s="16"/>
      <c r="F559" s="16"/>
      <c r="G559" s="16"/>
    </row>
    <row r="560" spans="2:7" ht="12.5" x14ac:dyDescent="0.25">
      <c r="B560" s="14"/>
      <c r="C560" s="15"/>
      <c r="D560" s="16"/>
      <c r="E560" s="16"/>
      <c r="F560" s="16"/>
      <c r="G560" s="16"/>
    </row>
    <row r="561" spans="2:7" ht="12.5" x14ac:dyDescent="0.25">
      <c r="B561" s="14"/>
      <c r="C561" s="15"/>
      <c r="D561" s="16"/>
      <c r="E561" s="16"/>
      <c r="F561" s="16"/>
      <c r="G561" s="16"/>
    </row>
    <row r="562" spans="2:7" ht="12.5" x14ac:dyDescent="0.25">
      <c r="B562" s="14"/>
      <c r="C562" s="15"/>
      <c r="D562" s="16"/>
      <c r="E562" s="16"/>
      <c r="F562" s="16"/>
      <c r="G562" s="16"/>
    </row>
    <row r="563" spans="2:7" ht="12.5" x14ac:dyDescent="0.25">
      <c r="B563" s="14"/>
      <c r="C563" s="15"/>
      <c r="D563" s="16"/>
      <c r="E563" s="16"/>
      <c r="F563" s="16"/>
      <c r="G563" s="16"/>
    </row>
    <row r="564" spans="2:7" ht="12.5" x14ac:dyDescent="0.25">
      <c r="B564" s="14"/>
      <c r="C564" s="15"/>
      <c r="D564" s="16"/>
      <c r="E564" s="16"/>
      <c r="F564" s="16"/>
      <c r="G564" s="16"/>
    </row>
    <row r="565" spans="2:7" ht="12.5" x14ac:dyDescent="0.25">
      <c r="B565" s="14"/>
      <c r="C565" s="15"/>
      <c r="D565" s="16"/>
      <c r="E565" s="16"/>
      <c r="F565" s="16"/>
      <c r="G565" s="16"/>
    </row>
    <row r="566" spans="2:7" ht="12.5" x14ac:dyDescent="0.25">
      <c r="B566" s="14"/>
      <c r="C566" s="15"/>
      <c r="D566" s="16"/>
      <c r="E566" s="16"/>
      <c r="F566" s="16"/>
      <c r="G566" s="16"/>
    </row>
    <row r="567" spans="2:7" ht="12.5" x14ac:dyDescent="0.25">
      <c r="B567" s="14"/>
      <c r="C567" s="15"/>
      <c r="D567" s="16"/>
      <c r="E567" s="16"/>
      <c r="F567" s="16"/>
      <c r="G567" s="16"/>
    </row>
    <row r="568" spans="2:7" ht="12.5" x14ac:dyDescent="0.25">
      <c r="B568" s="14"/>
      <c r="C568" s="15"/>
      <c r="D568" s="16"/>
      <c r="E568" s="16"/>
      <c r="F568" s="16"/>
      <c r="G568" s="16"/>
    </row>
    <row r="569" spans="2:7" ht="12.5" x14ac:dyDescent="0.25">
      <c r="B569" s="14"/>
      <c r="C569" s="15"/>
      <c r="D569" s="16"/>
      <c r="E569" s="16"/>
      <c r="F569" s="16"/>
      <c r="G569" s="16"/>
    </row>
    <row r="570" spans="2:7" ht="12.5" x14ac:dyDescent="0.25">
      <c r="B570" s="14"/>
      <c r="C570" s="15"/>
      <c r="D570" s="16"/>
      <c r="E570" s="16"/>
      <c r="F570" s="16"/>
      <c r="G570" s="16"/>
    </row>
    <row r="571" spans="2:7" ht="12.5" x14ac:dyDescent="0.25">
      <c r="B571" s="14"/>
      <c r="C571" s="15"/>
      <c r="D571" s="16"/>
      <c r="E571" s="16"/>
      <c r="F571" s="16"/>
      <c r="G571" s="16"/>
    </row>
    <row r="572" spans="2:7" ht="12.5" x14ac:dyDescent="0.25">
      <c r="B572" s="14"/>
      <c r="C572" s="15"/>
      <c r="D572" s="16"/>
      <c r="E572" s="16"/>
      <c r="F572" s="16"/>
      <c r="G572" s="16"/>
    </row>
    <row r="573" spans="2:7" ht="12.5" x14ac:dyDescent="0.25">
      <c r="B573" s="14"/>
      <c r="C573" s="15"/>
      <c r="D573" s="16"/>
      <c r="E573" s="16"/>
      <c r="F573" s="16"/>
      <c r="G573" s="16"/>
    </row>
    <row r="574" spans="2:7" ht="12.5" x14ac:dyDescent="0.25">
      <c r="B574" s="14"/>
      <c r="C574" s="15"/>
      <c r="D574" s="16"/>
      <c r="E574" s="16"/>
      <c r="F574" s="16"/>
      <c r="G574" s="16"/>
    </row>
    <row r="575" spans="2:7" ht="12.5" x14ac:dyDescent="0.25">
      <c r="B575" s="14"/>
      <c r="C575" s="15"/>
      <c r="D575" s="16"/>
      <c r="E575" s="16"/>
      <c r="F575" s="16"/>
      <c r="G575" s="16"/>
    </row>
    <row r="576" spans="2:7" ht="12.5" x14ac:dyDescent="0.25">
      <c r="B576" s="14"/>
      <c r="C576" s="15"/>
      <c r="D576" s="16"/>
      <c r="E576" s="16"/>
      <c r="F576" s="16"/>
      <c r="G576" s="16"/>
    </row>
    <row r="577" spans="2:7" ht="12.5" x14ac:dyDescent="0.25">
      <c r="B577" s="14"/>
      <c r="C577" s="15"/>
      <c r="D577" s="16"/>
      <c r="E577" s="16"/>
      <c r="F577" s="16"/>
      <c r="G577" s="16"/>
    </row>
    <row r="578" spans="2:7" ht="12.5" x14ac:dyDescent="0.25">
      <c r="B578" s="14"/>
      <c r="C578" s="15"/>
      <c r="D578" s="16"/>
      <c r="E578" s="16"/>
      <c r="F578" s="16"/>
      <c r="G578" s="16"/>
    </row>
    <row r="579" spans="2:7" ht="12.5" x14ac:dyDescent="0.25">
      <c r="B579" s="14"/>
      <c r="C579" s="15"/>
      <c r="D579" s="16"/>
      <c r="E579" s="16"/>
      <c r="F579" s="16"/>
      <c r="G579" s="16"/>
    </row>
    <row r="580" spans="2:7" ht="12.5" x14ac:dyDescent="0.25">
      <c r="B580" s="14"/>
      <c r="C580" s="15"/>
      <c r="D580" s="16"/>
      <c r="E580" s="16"/>
      <c r="F580" s="16"/>
      <c r="G580" s="16"/>
    </row>
    <row r="581" spans="2:7" ht="12.5" x14ac:dyDescent="0.25">
      <c r="B581" s="14"/>
      <c r="C581" s="15"/>
      <c r="D581" s="16"/>
      <c r="E581" s="16"/>
      <c r="F581" s="16"/>
      <c r="G581" s="16"/>
    </row>
    <row r="582" spans="2:7" ht="12.5" x14ac:dyDescent="0.25">
      <c r="B582" s="14"/>
      <c r="C582" s="15"/>
      <c r="D582" s="16"/>
      <c r="E582" s="16"/>
      <c r="F582" s="16"/>
      <c r="G582" s="16"/>
    </row>
    <row r="583" spans="2:7" ht="12.5" x14ac:dyDescent="0.25">
      <c r="B583" s="14"/>
      <c r="C583" s="15"/>
      <c r="D583" s="16"/>
      <c r="E583" s="16"/>
      <c r="F583" s="16"/>
      <c r="G583" s="16"/>
    </row>
    <row r="584" spans="2:7" ht="12.5" x14ac:dyDescent="0.25">
      <c r="B584" s="14"/>
      <c r="C584" s="15"/>
      <c r="D584" s="16"/>
      <c r="E584" s="16"/>
      <c r="F584" s="16"/>
      <c r="G584" s="16"/>
    </row>
    <row r="585" spans="2:7" ht="12.5" x14ac:dyDescent="0.25">
      <c r="B585" s="14"/>
      <c r="C585" s="15"/>
      <c r="D585" s="16"/>
      <c r="E585" s="16"/>
      <c r="F585" s="16"/>
      <c r="G585" s="16"/>
    </row>
    <row r="586" spans="2:7" ht="12.5" x14ac:dyDescent="0.25">
      <c r="B586" s="14"/>
      <c r="C586" s="15"/>
      <c r="D586" s="16"/>
      <c r="E586" s="16"/>
      <c r="F586" s="16"/>
      <c r="G586" s="16"/>
    </row>
    <row r="587" spans="2:7" ht="12.5" x14ac:dyDescent="0.25">
      <c r="B587" s="14"/>
      <c r="C587" s="15"/>
      <c r="D587" s="16"/>
      <c r="E587" s="16"/>
      <c r="F587" s="16"/>
      <c r="G587" s="16"/>
    </row>
    <row r="588" spans="2:7" ht="12.5" x14ac:dyDescent="0.25">
      <c r="B588" s="14"/>
      <c r="C588" s="15"/>
      <c r="D588" s="16"/>
      <c r="E588" s="16"/>
      <c r="F588" s="16"/>
      <c r="G588" s="16"/>
    </row>
    <row r="589" spans="2:7" ht="12.5" x14ac:dyDescent="0.25">
      <c r="B589" s="14"/>
      <c r="C589" s="15"/>
      <c r="D589" s="16"/>
      <c r="E589" s="16"/>
      <c r="F589" s="16"/>
      <c r="G589" s="16"/>
    </row>
    <row r="590" spans="2:7" ht="12.5" x14ac:dyDescent="0.25">
      <c r="B590" s="14"/>
      <c r="C590" s="15"/>
      <c r="D590" s="16"/>
      <c r="E590" s="16"/>
      <c r="F590" s="16"/>
      <c r="G590" s="16"/>
    </row>
    <row r="591" spans="2:7" ht="12.5" x14ac:dyDescent="0.25">
      <c r="B591" s="14"/>
      <c r="C591" s="15"/>
      <c r="D591" s="16"/>
      <c r="E591" s="16"/>
      <c r="F591" s="16"/>
      <c r="G591" s="16"/>
    </row>
    <row r="592" spans="2:7" ht="12.5" x14ac:dyDescent="0.25">
      <c r="B592" s="14"/>
      <c r="C592" s="15"/>
      <c r="D592" s="16"/>
      <c r="E592" s="16"/>
      <c r="F592" s="16"/>
      <c r="G592" s="16"/>
    </row>
    <row r="593" spans="2:7" ht="12.5" x14ac:dyDescent="0.25">
      <c r="B593" s="14"/>
      <c r="C593" s="15"/>
      <c r="D593" s="16"/>
      <c r="E593" s="16"/>
      <c r="F593" s="16"/>
      <c r="G593" s="16"/>
    </row>
    <row r="594" spans="2:7" ht="12.5" x14ac:dyDescent="0.25">
      <c r="B594" s="14"/>
      <c r="C594" s="15"/>
      <c r="D594" s="16"/>
      <c r="E594" s="16"/>
      <c r="F594" s="16"/>
      <c r="G594" s="16"/>
    </row>
    <row r="595" spans="2:7" ht="12.5" x14ac:dyDescent="0.25">
      <c r="B595" s="14"/>
      <c r="C595" s="15"/>
      <c r="D595" s="16"/>
      <c r="E595" s="16"/>
      <c r="F595" s="16"/>
      <c r="G595" s="16"/>
    </row>
    <row r="596" spans="2:7" ht="12.5" x14ac:dyDescent="0.25">
      <c r="B596" s="14"/>
      <c r="C596" s="15"/>
      <c r="D596" s="16"/>
      <c r="E596" s="16"/>
      <c r="F596" s="16"/>
      <c r="G596" s="16"/>
    </row>
    <row r="597" spans="2:7" ht="12.5" x14ac:dyDescent="0.25">
      <c r="B597" s="14"/>
      <c r="C597" s="15"/>
      <c r="D597" s="16"/>
      <c r="E597" s="16"/>
      <c r="F597" s="16"/>
      <c r="G597" s="16"/>
    </row>
    <row r="598" spans="2:7" ht="12.5" x14ac:dyDescent="0.25">
      <c r="B598" s="14"/>
      <c r="C598" s="15"/>
      <c r="D598" s="16"/>
      <c r="E598" s="16"/>
      <c r="F598" s="16"/>
      <c r="G598" s="16"/>
    </row>
    <row r="599" spans="2:7" ht="12.5" x14ac:dyDescent="0.25">
      <c r="B599" s="14"/>
      <c r="C599" s="15"/>
      <c r="D599" s="16"/>
      <c r="E599" s="16"/>
      <c r="F599" s="16"/>
      <c r="G599" s="16"/>
    </row>
    <row r="600" spans="2:7" ht="12.5" x14ac:dyDescent="0.25">
      <c r="B600" s="14"/>
      <c r="C600" s="15"/>
      <c r="D600" s="16"/>
      <c r="E600" s="16"/>
      <c r="F600" s="16"/>
      <c r="G600" s="16"/>
    </row>
    <row r="601" spans="2:7" ht="12.5" x14ac:dyDescent="0.25">
      <c r="B601" s="14"/>
      <c r="C601" s="15"/>
      <c r="D601" s="16"/>
      <c r="E601" s="16"/>
      <c r="F601" s="16"/>
      <c r="G601" s="16"/>
    </row>
    <row r="602" spans="2:7" ht="12.5" x14ac:dyDescent="0.25">
      <c r="B602" s="14"/>
      <c r="C602" s="15"/>
      <c r="D602" s="16"/>
      <c r="E602" s="16"/>
      <c r="F602" s="16"/>
      <c r="G602" s="16"/>
    </row>
    <row r="603" spans="2:7" ht="12.5" x14ac:dyDescent="0.25">
      <c r="B603" s="14"/>
      <c r="C603" s="15"/>
      <c r="D603" s="16"/>
      <c r="E603" s="16"/>
      <c r="F603" s="16"/>
      <c r="G603" s="16"/>
    </row>
    <row r="604" spans="2:7" ht="12.5" x14ac:dyDescent="0.25">
      <c r="B604" s="14"/>
      <c r="C604" s="15"/>
      <c r="D604" s="16"/>
      <c r="E604" s="16"/>
      <c r="F604" s="16"/>
      <c r="G604" s="16"/>
    </row>
    <row r="605" spans="2:7" ht="12.5" x14ac:dyDescent="0.25">
      <c r="B605" s="14"/>
      <c r="C605" s="15"/>
      <c r="D605" s="16"/>
      <c r="E605" s="16"/>
      <c r="F605" s="16"/>
      <c r="G605" s="16"/>
    </row>
    <row r="606" spans="2:7" ht="12.5" x14ac:dyDescent="0.25">
      <c r="B606" s="14"/>
      <c r="C606" s="15"/>
      <c r="D606" s="16"/>
      <c r="E606" s="16"/>
      <c r="F606" s="16"/>
      <c r="G606" s="16"/>
    </row>
    <row r="607" spans="2:7" ht="12.5" x14ac:dyDescent="0.25">
      <c r="B607" s="14"/>
      <c r="C607" s="15"/>
      <c r="D607" s="16"/>
      <c r="E607" s="16"/>
      <c r="F607" s="16"/>
      <c r="G607" s="16"/>
    </row>
    <row r="608" spans="2:7" ht="12.5" x14ac:dyDescent="0.25">
      <c r="B608" s="14"/>
      <c r="C608" s="15"/>
      <c r="D608" s="16"/>
      <c r="E608" s="16"/>
      <c r="F608" s="16"/>
      <c r="G608" s="16"/>
    </row>
    <row r="609" spans="2:7" ht="12.5" x14ac:dyDescent="0.25">
      <c r="B609" s="14"/>
      <c r="C609" s="15"/>
      <c r="D609" s="16"/>
      <c r="E609" s="16"/>
      <c r="F609" s="16"/>
      <c r="G609" s="16"/>
    </row>
    <row r="610" spans="2:7" ht="12.5" x14ac:dyDescent="0.25">
      <c r="B610" s="14"/>
      <c r="C610" s="15"/>
      <c r="D610" s="16"/>
      <c r="E610" s="16"/>
      <c r="F610" s="16"/>
      <c r="G610" s="16"/>
    </row>
    <row r="611" spans="2:7" ht="12.5" x14ac:dyDescent="0.25">
      <c r="B611" s="14"/>
      <c r="C611" s="15"/>
      <c r="D611" s="16"/>
      <c r="E611" s="16"/>
      <c r="F611" s="16"/>
      <c r="G611" s="16"/>
    </row>
    <row r="612" spans="2:7" ht="12.5" x14ac:dyDescent="0.25">
      <c r="B612" s="14"/>
      <c r="C612" s="15"/>
      <c r="D612" s="16"/>
      <c r="E612" s="16"/>
      <c r="F612" s="16"/>
      <c r="G612" s="16"/>
    </row>
    <row r="613" spans="2:7" ht="12.5" x14ac:dyDescent="0.25">
      <c r="B613" s="14"/>
      <c r="C613" s="15"/>
      <c r="D613" s="16"/>
      <c r="E613" s="16"/>
      <c r="F613" s="16"/>
      <c r="G613" s="16"/>
    </row>
    <row r="614" spans="2:7" ht="12.5" x14ac:dyDescent="0.25">
      <c r="B614" s="14"/>
      <c r="C614" s="15"/>
      <c r="D614" s="16"/>
      <c r="E614" s="16"/>
      <c r="F614" s="16"/>
      <c r="G614" s="16"/>
    </row>
    <row r="615" spans="2:7" ht="12.5" x14ac:dyDescent="0.25">
      <c r="B615" s="14"/>
      <c r="C615" s="15"/>
      <c r="D615" s="16"/>
      <c r="E615" s="16"/>
      <c r="F615" s="16"/>
      <c r="G615" s="16"/>
    </row>
    <row r="616" spans="2:7" ht="12.5" x14ac:dyDescent="0.25">
      <c r="B616" s="14"/>
      <c r="C616" s="15"/>
      <c r="D616" s="16"/>
      <c r="E616" s="16"/>
      <c r="F616" s="16"/>
      <c r="G616" s="16"/>
    </row>
    <row r="617" spans="2:7" ht="12.5" x14ac:dyDescent="0.25">
      <c r="B617" s="14"/>
      <c r="C617" s="15"/>
      <c r="D617" s="16"/>
      <c r="E617" s="16"/>
      <c r="F617" s="16"/>
      <c r="G617" s="16"/>
    </row>
    <row r="618" spans="2:7" ht="12.5" x14ac:dyDescent="0.25">
      <c r="B618" s="14"/>
      <c r="C618" s="15"/>
      <c r="D618" s="16"/>
      <c r="E618" s="16"/>
      <c r="F618" s="16"/>
      <c r="G618" s="16"/>
    </row>
    <row r="619" spans="2:7" ht="12.5" x14ac:dyDescent="0.25">
      <c r="B619" s="14"/>
      <c r="C619" s="15"/>
      <c r="D619" s="16"/>
      <c r="E619" s="16"/>
      <c r="F619" s="16"/>
      <c r="G619" s="16"/>
    </row>
    <row r="620" spans="2:7" ht="12.5" x14ac:dyDescent="0.25">
      <c r="B620" s="14"/>
      <c r="C620" s="15"/>
      <c r="D620" s="16"/>
      <c r="E620" s="16"/>
      <c r="F620" s="16"/>
      <c r="G620" s="16"/>
    </row>
    <row r="621" spans="2:7" ht="12.5" x14ac:dyDescent="0.25">
      <c r="B621" s="14"/>
      <c r="C621" s="15"/>
      <c r="D621" s="16"/>
      <c r="E621" s="16"/>
      <c r="F621" s="16"/>
      <c r="G621" s="16"/>
    </row>
    <row r="622" spans="2:7" ht="12.5" x14ac:dyDescent="0.25">
      <c r="B622" s="14"/>
      <c r="C622" s="15"/>
      <c r="D622" s="16"/>
      <c r="E622" s="16"/>
      <c r="F622" s="16"/>
      <c r="G622" s="16"/>
    </row>
    <row r="623" spans="2:7" ht="12.5" x14ac:dyDescent="0.25">
      <c r="B623" s="14"/>
      <c r="C623" s="15"/>
      <c r="D623" s="16"/>
      <c r="E623" s="16"/>
      <c r="F623" s="16"/>
      <c r="G623" s="16"/>
    </row>
    <row r="624" spans="2:7" ht="12.5" x14ac:dyDescent="0.25">
      <c r="B624" s="14"/>
      <c r="C624" s="15"/>
      <c r="D624" s="16"/>
      <c r="E624" s="16"/>
      <c r="F624" s="16"/>
      <c r="G624" s="16"/>
    </row>
    <row r="625" spans="2:7" ht="12.5" x14ac:dyDescent="0.25">
      <c r="B625" s="14"/>
      <c r="C625" s="15"/>
      <c r="D625" s="16"/>
      <c r="E625" s="16"/>
      <c r="F625" s="16"/>
      <c r="G625" s="16"/>
    </row>
    <row r="626" spans="2:7" ht="12.5" x14ac:dyDescent="0.25">
      <c r="B626" s="14"/>
      <c r="C626" s="15"/>
      <c r="D626" s="16"/>
      <c r="E626" s="16"/>
      <c r="F626" s="16"/>
      <c r="G626" s="16"/>
    </row>
    <row r="627" spans="2:7" ht="12.5" x14ac:dyDescent="0.25">
      <c r="B627" s="14"/>
      <c r="C627" s="15"/>
      <c r="D627" s="16"/>
      <c r="E627" s="16"/>
      <c r="F627" s="16"/>
      <c r="G627" s="16"/>
    </row>
    <row r="628" spans="2:7" ht="12.5" x14ac:dyDescent="0.25">
      <c r="B628" s="14"/>
      <c r="C628" s="15"/>
      <c r="D628" s="16"/>
      <c r="E628" s="16"/>
      <c r="F628" s="16"/>
      <c r="G628" s="16"/>
    </row>
    <row r="629" spans="2:7" ht="12.5" x14ac:dyDescent="0.25">
      <c r="B629" s="14"/>
      <c r="C629" s="15"/>
      <c r="D629" s="16"/>
      <c r="E629" s="16"/>
      <c r="F629" s="16"/>
      <c r="G629" s="16"/>
    </row>
    <row r="630" spans="2:7" ht="12.5" x14ac:dyDescent="0.25">
      <c r="B630" s="14"/>
      <c r="C630" s="15"/>
      <c r="D630" s="16"/>
      <c r="E630" s="16"/>
      <c r="F630" s="16"/>
      <c r="G630" s="16"/>
    </row>
    <row r="631" spans="2:7" ht="12.5" x14ac:dyDescent="0.25">
      <c r="B631" s="14"/>
      <c r="C631" s="15"/>
      <c r="D631" s="16"/>
      <c r="E631" s="16"/>
      <c r="F631" s="16"/>
      <c r="G631" s="16"/>
    </row>
    <row r="632" spans="2:7" ht="12.5" x14ac:dyDescent="0.25">
      <c r="B632" s="14"/>
      <c r="C632" s="15"/>
      <c r="D632" s="16"/>
      <c r="E632" s="16"/>
      <c r="F632" s="16"/>
      <c r="G632" s="16"/>
    </row>
    <row r="633" spans="2:7" ht="12.5" x14ac:dyDescent="0.25">
      <c r="B633" s="14"/>
      <c r="C633" s="15"/>
      <c r="D633" s="16"/>
      <c r="E633" s="16"/>
      <c r="F633" s="16"/>
      <c r="G633" s="16"/>
    </row>
    <row r="634" spans="2:7" ht="12.5" x14ac:dyDescent="0.25">
      <c r="B634" s="14"/>
      <c r="C634" s="15"/>
      <c r="D634" s="16"/>
      <c r="E634" s="16"/>
      <c r="F634" s="16"/>
      <c r="G634" s="16"/>
    </row>
    <row r="635" spans="2:7" ht="12.5" x14ac:dyDescent="0.25">
      <c r="B635" s="14"/>
      <c r="C635" s="15"/>
      <c r="D635" s="16"/>
      <c r="E635" s="16"/>
      <c r="F635" s="16"/>
      <c r="G635" s="16"/>
    </row>
    <row r="636" spans="2:7" ht="12.5" x14ac:dyDescent="0.25">
      <c r="B636" s="14"/>
      <c r="C636" s="15"/>
      <c r="D636" s="16"/>
      <c r="E636" s="16"/>
      <c r="F636" s="16"/>
      <c r="G636" s="16"/>
    </row>
    <row r="637" spans="2:7" ht="12.5" x14ac:dyDescent="0.25">
      <c r="B637" s="14"/>
      <c r="C637" s="15"/>
      <c r="D637" s="16"/>
      <c r="E637" s="16"/>
      <c r="F637" s="16"/>
      <c r="G637" s="16"/>
    </row>
    <row r="638" spans="2:7" ht="12.5" x14ac:dyDescent="0.25">
      <c r="B638" s="14"/>
      <c r="C638" s="15"/>
      <c r="D638" s="16"/>
      <c r="E638" s="16"/>
      <c r="F638" s="16"/>
      <c r="G638" s="16"/>
    </row>
    <row r="639" spans="2:7" ht="12.5" x14ac:dyDescent="0.25">
      <c r="B639" s="14"/>
      <c r="C639" s="15"/>
      <c r="D639" s="16"/>
      <c r="E639" s="16"/>
      <c r="F639" s="16"/>
      <c r="G639" s="16"/>
    </row>
    <row r="640" spans="2:7" ht="12.5" x14ac:dyDescent="0.25">
      <c r="B640" s="14"/>
      <c r="C640" s="15"/>
      <c r="D640" s="16"/>
      <c r="E640" s="16"/>
      <c r="F640" s="16"/>
      <c r="G640" s="16"/>
    </row>
    <row r="641" spans="2:7" ht="12.5" x14ac:dyDescent="0.25">
      <c r="B641" s="14"/>
      <c r="C641" s="15"/>
      <c r="D641" s="16"/>
      <c r="E641" s="16"/>
      <c r="F641" s="16"/>
      <c r="G641" s="16"/>
    </row>
    <row r="642" spans="2:7" ht="12.5" x14ac:dyDescent="0.25">
      <c r="B642" s="14"/>
      <c r="C642" s="15"/>
      <c r="D642" s="16"/>
      <c r="E642" s="16"/>
      <c r="F642" s="16"/>
      <c r="G642" s="16"/>
    </row>
    <row r="643" spans="2:7" ht="12.5" x14ac:dyDescent="0.25">
      <c r="B643" s="14"/>
      <c r="C643" s="15"/>
      <c r="D643" s="16"/>
      <c r="E643" s="16"/>
      <c r="F643" s="16"/>
      <c r="G643" s="16"/>
    </row>
    <row r="644" spans="2:7" ht="12.5" x14ac:dyDescent="0.25">
      <c r="B644" s="14"/>
      <c r="C644" s="15"/>
      <c r="D644" s="16"/>
      <c r="E644" s="16"/>
      <c r="F644" s="16"/>
      <c r="G644" s="16"/>
    </row>
    <row r="645" spans="2:7" ht="12.5" x14ac:dyDescent="0.25">
      <c r="B645" s="14"/>
      <c r="C645" s="15"/>
      <c r="D645" s="16"/>
      <c r="E645" s="16"/>
      <c r="F645" s="16"/>
      <c r="G645" s="16"/>
    </row>
    <row r="646" spans="2:7" ht="12.5" x14ac:dyDescent="0.25">
      <c r="B646" s="14"/>
      <c r="C646" s="15"/>
      <c r="D646" s="16"/>
      <c r="E646" s="16"/>
      <c r="F646" s="16"/>
      <c r="G646" s="16"/>
    </row>
    <row r="647" spans="2:7" ht="12.5" x14ac:dyDescent="0.25">
      <c r="B647" s="14"/>
      <c r="C647" s="15"/>
      <c r="D647" s="16"/>
      <c r="E647" s="16"/>
      <c r="F647" s="16"/>
      <c r="G647" s="16"/>
    </row>
    <row r="648" spans="2:7" ht="12.5" x14ac:dyDescent="0.25">
      <c r="B648" s="14"/>
      <c r="C648" s="15"/>
      <c r="D648" s="16"/>
      <c r="E648" s="16"/>
      <c r="F648" s="16"/>
      <c r="G648" s="16"/>
    </row>
    <row r="649" spans="2:7" ht="12.5" x14ac:dyDescent="0.25">
      <c r="B649" s="14"/>
      <c r="C649" s="15"/>
      <c r="D649" s="16"/>
      <c r="E649" s="16"/>
      <c r="F649" s="16"/>
      <c r="G649" s="16"/>
    </row>
    <row r="650" spans="2:7" ht="12.5" x14ac:dyDescent="0.25">
      <c r="B650" s="14"/>
      <c r="C650" s="15"/>
      <c r="D650" s="16"/>
      <c r="E650" s="16"/>
      <c r="F650" s="16"/>
      <c r="G650" s="16"/>
    </row>
    <row r="651" spans="2:7" ht="12.5" x14ac:dyDescent="0.25">
      <c r="B651" s="14"/>
      <c r="C651" s="15"/>
      <c r="D651" s="16"/>
      <c r="E651" s="16"/>
      <c r="F651" s="16"/>
      <c r="G651" s="16"/>
    </row>
    <row r="652" spans="2:7" ht="12.5" x14ac:dyDescent="0.25">
      <c r="B652" s="14"/>
      <c r="C652" s="15"/>
      <c r="D652" s="16"/>
      <c r="E652" s="16"/>
      <c r="F652" s="16"/>
      <c r="G652" s="16"/>
    </row>
    <row r="653" spans="2:7" ht="12.5" x14ac:dyDescent="0.25">
      <c r="B653" s="14"/>
      <c r="C653" s="15"/>
      <c r="D653" s="16"/>
      <c r="E653" s="16"/>
      <c r="F653" s="16"/>
      <c r="G653" s="16"/>
    </row>
    <row r="654" spans="2:7" ht="12.5" x14ac:dyDescent="0.25">
      <c r="B654" s="14"/>
      <c r="C654" s="15"/>
      <c r="D654" s="16"/>
      <c r="E654" s="16"/>
      <c r="F654" s="16"/>
      <c r="G654" s="16"/>
    </row>
    <row r="655" spans="2:7" ht="12.5" x14ac:dyDescent="0.25">
      <c r="B655" s="14"/>
      <c r="C655" s="15"/>
      <c r="D655" s="16"/>
      <c r="E655" s="16"/>
      <c r="F655" s="16"/>
      <c r="G655" s="16"/>
    </row>
    <row r="656" spans="2:7" ht="12.5" x14ac:dyDescent="0.25">
      <c r="B656" s="14"/>
      <c r="C656" s="15"/>
      <c r="D656" s="16"/>
      <c r="E656" s="16"/>
      <c r="F656" s="16"/>
      <c r="G656" s="16"/>
    </row>
    <row r="657" spans="2:7" ht="12.5" x14ac:dyDescent="0.25">
      <c r="B657" s="14"/>
      <c r="C657" s="15"/>
      <c r="D657" s="16"/>
      <c r="E657" s="16"/>
      <c r="F657" s="16"/>
      <c r="G657" s="16"/>
    </row>
    <row r="658" spans="2:7" ht="12.5" x14ac:dyDescent="0.25">
      <c r="B658" s="14"/>
      <c r="C658" s="15"/>
      <c r="D658" s="16"/>
      <c r="E658" s="16"/>
      <c r="F658" s="16"/>
      <c r="G658" s="16"/>
    </row>
    <row r="659" spans="2:7" ht="12.5" x14ac:dyDescent="0.25">
      <c r="B659" s="14"/>
      <c r="C659" s="15"/>
      <c r="D659" s="16"/>
      <c r="E659" s="16"/>
      <c r="F659" s="16"/>
      <c r="G659" s="16"/>
    </row>
    <row r="660" spans="2:7" ht="12.5" x14ac:dyDescent="0.25">
      <c r="B660" s="14"/>
      <c r="C660" s="15"/>
      <c r="D660" s="16"/>
      <c r="E660" s="16"/>
      <c r="F660" s="16"/>
      <c r="G660" s="16"/>
    </row>
    <row r="661" spans="2:7" ht="12.5" x14ac:dyDescent="0.25">
      <c r="B661" s="14"/>
      <c r="C661" s="15"/>
      <c r="D661" s="16"/>
      <c r="E661" s="16"/>
      <c r="F661" s="16"/>
      <c r="G661" s="16"/>
    </row>
    <row r="662" spans="2:7" ht="12.5" x14ac:dyDescent="0.25">
      <c r="B662" s="14"/>
      <c r="C662" s="15"/>
      <c r="D662" s="16"/>
      <c r="E662" s="16"/>
      <c r="F662" s="16"/>
      <c r="G662" s="16"/>
    </row>
    <row r="663" spans="2:7" ht="12.5" x14ac:dyDescent="0.25">
      <c r="B663" s="14"/>
      <c r="C663" s="15"/>
      <c r="D663" s="16"/>
      <c r="E663" s="16"/>
      <c r="F663" s="16"/>
      <c r="G663" s="16"/>
    </row>
    <row r="664" spans="2:7" ht="12.5" x14ac:dyDescent="0.25">
      <c r="B664" s="14"/>
      <c r="C664" s="15"/>
      <c r="D664" s="16"/>
      <c r="E664" s="16"/>
      <c r="F664" s="16"/>
      <c r="G664" s="16"/>
    </row>
    <row r="665" spans="2:7" ht="12.5" x14ac:dyDescent="0.25">
      <c r="B665" s="14"/>
      <c r="C665" s="15"/>
      <c r="D665" s="16"/>
      <c r="E665" s="16"/>
      <c r="F665" s="16"/>
      <c r="G665" s="16"/>
    </row>
    <row r="666" spans="2:7" ht="12.5" x14ac:dyDescent="0.25">
      <c r="B666" s="14"/>
      <c r="C666" s="15"/>
      <c r="D666" s="16"/>
      <c r="E666" s="16"/>
      <c r="F666" s="16"/>
      <c r="G666" s="16"/>
    </row>
    <row r="667" spans="2:7" ht="12.5" x14ac:dyDescent="0.25">
      <c r="B667" s="14"/>
      <c r="C667" s="15"/>
      <c r="D667" s="16"/>
      <c r="E667" s="16"/>
      <c r="F667" s="16"/>
      <c r="G667" s="16"/>
    </row>
    <row r="668" spans="2:7" ht="12.5" x14ac:dyDescent="0.25">
      <c r="B668" s="14"/>
      <c r="C668" s="15"/>
      <c r="D668" s="16"/>
      <c r="E668" s="16"/>
      <c r="F668" s="16"/>
      <c r="G668" s="16"/>
    </row>
    <row r="669" spans="2:7" ht="12.5" x14ac:dyDescent="0.25">
      <c r="B669" s="14"/>
      <c r="C669" s="15"/>
      <c r="D669" s="16"/>
      <c r="E669" s="16"/>
      <c r="F669" s="16"/>
      <c r="G669" s="16"/>
    </row>
    <row r="670" spans="2:7" ht="12.5" x14ac:dyDescent="0.25">
      <c r="B670" s="14"/>
      <c r="C670" s="15"/>
      <c r="D670" s="16"/>
      <c r="E670" s="16"/>
      <c r="F670" s="16"/>
      <c r="G670" s="16"/>
    </row>
    <row r="671" spans="2:7" ht="12.5" x14ac:dyDescent="0.25">
      <c r="B671" s="14"/>
      <c r="C671" s="15"/>
      <c r="D671" s="16"/>
      <c r="E671" s="16"/>
      <c r="F671" s="16"/>
      <c r="G671" s="16"/>
    </row>
    <row r="672" spans="2:7" ht="12.5" x14ac:dyDescent="0.25">
      <c r="B672" s="14"/>
      <c r="C672" s="15"/>
      <c r="D672" s="16"/>
      <c r="E672" s="16"/>
      <c r="F672" s="16"/>
      <c r="G672" s="16"/>
    </row>
    <row r="673" spans="2:7" ht="12.5" x14ac:dyDescent="0.25">
      <c r="B673" s="14"/>
      <c r="C673" s="15"/>
      <c r="D673" s="16"/>
      <c r="E673" s="16"/>
      <c r="F673" s="16"/>
      <c r="G673" s="16"/>
    </row>
    <row r="674" spans="2:7" ht="12.5" x14ac:dyDescent="0.25">
      <c r="B674" s="14"/>
      <c r="C674" s="15"/>
      <c r="D674" s="16"/>
      <c r="E674" s="16"/>
      <c r="F674" s="16"/>
      <c r="G674" s="16"/>
    </row>
    <row r="675" spans="2:7" ht="12.5" x14ac:dyDescent="0.25">
      <c r="B675" s="14"/>
      <c r="C675" s="15"/>
      <c r="D675" s="16"/>
      <c r="E675" s="16"/>
      <c r="F675" s="16"/>
      <c r="G675" s="16"/>
    </row>
    <row r="676" spans="2:7" ht="12.5" x14ac:dyDescent="0.25">
      <c r="B676" s="14"/>
      <c r="C676" s="15"/>
      <c r="D676" s="16"/>
      <c r="E676" s="16"/>
      <c r="F676" s="16"/>
      <c r="G676" s="16"/>
    </row>
    <row r="677" spans="2:7" ht="12.5" x14ac:dyDescent="0.25">
      <c r="B677" s="14"/>
      <c r="C677" s="15"/>
      <c r="D677" s="16"/>
      <c r="E677" s="16"/>
      <c r="F677" s="16"/>
      <c r="G677" s="16"/>
    </row>
    <row r="678" spans="2:7" ht="12.5" x14ac:dyDescent="0.25">
      <c r="B678" s="14"/>
      <c r="C678" s="15"/>
      <c r="D678" s="16"/>
      <c r="E678" s="16"/>
      <c r="F678" s="16"/>
      <c r="G678" s="16"/>
    </row>
    <row r="679" spans="2:7" ht="12.5" x14ac:dyDescent="0.25">
      <c r="B679" s="14"/>
      <c r="C679" s="15"/>
      <c r="D679" s="16"/>
      <c r="E679" s="16"/>
      <c r="F679" s="16"/>
      <c r="G679" s="16"/>
    </row>
    <row r="680" spans="2:7" ht="12.5" x14ac:dyDescent="0.25">
      <c r="B680" s="14"/>
      <c r="C680" s="15"/>
      <c r="D680" s="16"/>
      <c r="E680" s="16"/>
      <c r="F680" s="16"/>
      <c r="G680" s="16"/>
    </row>
    <row r="681" spans="2:7" ht="12.5" x14ac:dyDescent="0.25">
      <c r="B681" s="14"/>
      <c r="C681" s="15"/>
      <c r="D681" s="16"/>
      <c r="E681" s="16"/>
      <c r="F681" s="16"/>
      <c r="G681" s="16"/>
    </row>
    <row r="682" spans="2:7" ht="12.5" x14ac:dyDescent="0.25">
      <c r="B682" s="14"/>
      <c r="C682" s="15"/>
      <c r="D682" s="16"/>
      <c r="E682" s="16"/>
      <c r="F682" s="16"/>
      <c r="G682" s="16"/>
    </row>
    <row r="683" spans="2:7" ht="12.5" x14ac:dyDescent="0.25">
      <c r="B683" s="14"/>
      <c r="C683" s="15"/>
      <c r="D683" s="16"/>
      <c r="E683" s="16"/>
      <c r="F683" s="16"/>
      <c r="G683" s="16"/>
    </row>
    <row r="684" spans="2:7" ht="12.5" x14ac:dyDescent="0.25">
      <c r="B684" s="14"/>
      <c r="C684" s="15"/>
      <c r="D684" s="16"/>
      <c r="E684" s="16"/>
      <c r="F684" s="16"/>
      <c r="G684" s="16"/>
    </row>
    <row r="685" spans="2:7" ht="12.5" x14ac:dyDescent="0.25">
      <c r="B685" s="14"/>
      <c r="C685" s="15"/>
      <c r="D685" s="16"/>
      <c r="E685" s="16"/>
      <c r="F685" s="16"/>
      <c r="G685" s="16"/>
    </row>
    <row r="686" spans="2:7" ht="12.5" x14ac:dyDescent="0.25">
      <c r="B686" s="14"/>
      <c r="C686" s="15"/>
      <c r="D686" s="16"/>
      <c r="E686" s="16"/>
      <c r="F686" s="16"/>
      <c r="G686" s="16"/>
    </row>
    <row r="687" spans="2:7" ht="12.5" x14ac:dyDescent="0.25">
      <c r="B687" s="14"/>
      <c r="C687" s="15"/>
      <c r="D687" s="16"/>
      <c r="E687" s="16"/>
      <c r="F687" s="16"/>
      <c r="G687" s="16"/>
    </row>
    <row r="688" spans="2:7" ht="12.5" x14ac:dyDescent="0.25">
      <c r="B688" s="14"/>
      <c r="C688" s="15"/>
      <c r="D688" s="16"/>
      <c r="E688" s="16"/>
      <c r="F688" s="16"/>
      <c r="G688" s="16"/>
    </row>
    <row r="689" spans="2:7" ht="12.5" x14ac:dyDescent="0.25">
      <c r="B689" s="14"/>
      <c r="C689" s="15"/>
      <c r="D689" s="16"/>
      <c r="E689" s="16"/>
      <c r="F689" s="16"/>
      <c r="G689" s="16"/>
    </row>
    <row r="690" spans="2:7" ht="12.5" x14ac:dyDescent="0.25">
      <c r="B690" s="14"/>
      <c r="C690" s="15"/>
      <c r="D690" s="16"/>
      <c r="E690" s="16"/>
      <c r="F690" s="16"/>
      <c r="G690" s="16"/>
    </row>
    <row r="691" spans="2:7" ht="12.5" x14ac:dyDescent="0.25">
      <c r="B691" s="14"/>
      <c r="C691" s="15"/>
      <c r="D691" s="16"/>
      <c r="E691" s="16"/>
      <c r="F691" s="16"/>
      <c r="G691" s="16"/>
    </row>
    <row r="692" spans="2:7" ht="12.5" x14ac:dyDescent="0.25">
      <c r="B692" s="14"/>
      <c r="C692" s="15"/>
      <c r="D692" s="16"/>
      <c r="E692" s="16"/>
      <c r="F692" s="16"/>
      <c r="G692" s="16"/>
    </row>
    <row r="693" spans="2:7" ht="12.5" x14ac:dyDescent="0.25">
      <c r="B693" s="14"/>
      <c r="C693" s="15"/>
      <c r="D693" s="16"/>
      <c r="E693" s="16"/>
      <c r="F693" s="16"/>
      <c r="G693" s="16"/>
    </row>
    <row r="694" spans="2:7" ht="12.5" x14ac:dyDescent="0.25">
      <c r="B694" s="14"/>
      <c r="C694" s="15"/>
      <c r="D694" s="16"/>
      <c r="E694" s="16"/>
      <c r="F694" s="16"/>
      <c r="G694" s="16"/>
    </row>
    <row r="695" spans="2:7" ht="12.5" x14ac:dyDescent="0.25">
      <c r="B695" s="14"/>
      <c r="C695" s="15"/>
      <c r="D695" s="16"/>
      <c r="E695" s="16"/>
      <c r="F695" s="16"/>
      <c r="G695" s="16"/>
    </row>
    <row r="696" spans="2:7" ht="12.5" x14ac:dyDescent="0.25">
      <c r="B696" s="14"/>
      <c r="C696" s="15"/>
      <c r="D696" s="16"/>
      <c r="E696" s="16"/>
      <c r="F696" s="16"/>
      <c r="G696" s="16"/>
    </row>
    <row r="697" spans="2:7" ht="12.5" x14ac:dyDescent="0.25">
      <c r="B697" s="14"/>
      <c r="C697" s="15"/>
      <c r="D697" s="16"/>
      <c r="E697" s="16"/>
      <c r="F697" s="16"/>
      <c r="G697" s="16"/>
    </row>
    <row r="698" spans="2:7" ht="12.5" x14ac:dyDescent="0.25">
      <c r="B698" s="14"/>
      <c r="C698" s="15"/>
      <c r="D698" s="16"/>
      <c r="E698" s="16"/>
      <c r="F698" s="16"/>
      <c r="G698" s="16"/>
    </row>
    <row r="699" spans="2:7" ht="12.5" x14ac:dyDescent="0.25">
      <c r="B699" s="14"/>
      <c r="C699" s="15"/>
      <c r="D699" s="16"/>
      <c r="E699" s="16"/>
      <c r="F699" s="16"/>
      <c r="G699" s="16"/>
    </row>
    <row r="700" spans="2:7" ht="12.5" x14ac:dyDescent="0.25">
      <c r="B700" s="14"/>
      <c r="C700" s="15"/>
      <c r="D700" s="16"/>
      <c r="E700" s="16"/>
      <c r="F700" s="16"/>
      <c r="G700" s="16"/>
    </row>
    <row r="701" spans="2:7" ht="12.5" x14ac:dyDescent="0.25">
      <c r="B701" s="14"/>
      <c r="C701" s="15"/>
      <c r="D701" s="16"/>
      <c r="E701" s="16"/>
      <c r="F701" s="16"/>
      <c r="G701" s="16"/>
    </row>
    <row r="702" spans="2:7" ht="12.5" x14ac:dyDescent="0.25">
      <c r="B702" s="14"/>
      <c r="C702" s="15"/>
      <c r="D702" s="16"/>
      <c r="E702" s="16"/>
      <c r="F702" s="16"/>
      <c r="G702" s="16"/>
    </row>
    <row r="703" spans="2:7" ht="12.5" x14ac:dyDescent="0.25">
      <c r="B703" s="14"/>
      <c r="C703" s="15"/>
      <c r="D703" s="16"/>
      <c r="E703" s="16"/>
      <c r="F703" s="16"/>
      <c r="G703" s="16"/>
    </row>
    <row r="704" spans="2:7" ht="12.5" x14ac:dyDescent="0.25">
      <c r="B704" s="14"/>
      <c r="C704" s="15"/>
      <c r="D704" s="16"/>
      <c r="E704" s="16"/>
      <c r="F704" s="16"/>
      <c r="G704" s="16"/>
    </row>
    <row r="705" spans="2:7" ht="12.5" x14ac:dyDescent="0.25">
      <c r="B705" s="14"/>
      <c r="C705" s="15"/>
      <c r="D705" s="16"/>
      <c r="E705" s="16"/>
      <c r="F705" s="16"/>
      <c r="G705" s="16"/>
    </row>
    <row r="706" spans="2:7" ht="12.5" x14ac:dyDescent="0.25">
      <c r="B706" s="14"/>
      <c r="C706" s="15"/>
      <c r="D706" s="16"/>
      <c r="E706" s="16"/>
      <c r="F706" s="16"/>
      <c r="G706" s="16"/>
    </row>
    <row r="707" spans="2:7" ht="12.5" x14ac:dyDescent="0.25">
      <c r="B707" s="14"/>
      <c r="C707" s="15"/>
      <c r="D707" s="16"/>
      <c r="E707" s="16"/>
      <c r="F707" s="16"/>
      <c r="G707" s="16"/>
    </row>
    <row r="708" spans="2:7" ht="12.5" x14ac:dyDescent="0.25">
      <c r="B708" s="14"/>
      <c r="C708" s="15"/>
      <c r="D708" s="16"/>
      <c r="E708" s="16"/>
      <c r="F708" s="16"/>
      <c r="G708" s="16"/>
    </row>
    <row r="709" spans="2:7" ht="12.5" x14ac:dyDescent="0.25">
      <c r="B709" s="14"/>
      <c r="C709" s="15"/>
      <c r="D709" s="16"/>
      <c r="E709" s="16"/>
      <c r="F709" s="16"/>
      <c r="G709" s="16"/>
    </row>
    <row r="710" spans="2:7" ht="12.5" x14ac:dyDescent="0.25">
      <c r="B710" s="14"/>
      <c r="C710" s="15"/>
      <c r="D710" s="16"/>
      <c r="E710" s="16"/>
      <c r="F710" s="16"/>
      <c r="G710" s="16"/>
    </row>
    <row r="711" spans="2:7" ht="12.5" x14ac:dyDescent="0.25">
      <c r="B711" s="14"/>
      <c r="C711" s="15"/>
      <c r="D711" s="16"/>
      <c r="E711" s="16"/>
      <c r="F711" s="16"/>
      <c r="G711" s="16"/>
    </row>
    <row r="712" spans="2:7" ht="12.5" x14ac:dyDescent="0.25">
      <c r="B712" s="14"/>
      <c r="C712" s="15"/>
      <c r="D712" s="16"/>
      <c r="E712" s="16"/>
      <c r="F712" s="16"/>
      <c r="G712" s="16"/>
    </row>
    <row r="713" spans="2:7" ht="12.5" x14ac:dyDescent="0.25">
      <c r="B713" s="14"/>
      <c r="C713" s="15"/>
      <c r="D713" s="16"/>
      <c r="E713" s="16"/>
      <c r="F713" s="16"/>
      <c r="G713" s="16"/>
    </row>
    <row r="714" spans="2:7" ht="12.5" x14ac:dyDescent="0.25">
      <c r="B714" s="14"/>
      <c r="C714" s="15"/>
      <c r="D714" s="16"/>
      <c r="E714" s="16"/>
      <c r="F714" s="16"/>
      <c r="G714" s="16"/>
    </row>
    <row r="715" spans="2:7" ht="12.5" x14ac:dyDescent="0.25">
      <c r="B715" s="14"/>
      <c r="C715" s="15"/>
      <c r="D715" s="16"/>
      <c r="E715" s="16"/>
      <c r="F715" s="16"/>
      <c r="G715" s="16"/>
    </row>
    <row r="716" spans="2:7" ht="12.5" x14ac:dyDescent="0.25">
      <c r="B716" s="14"/>
      <c r="C716" s="15"/>
      <c r="D716" s="16"/>
      <c r="E716" s="16"/>
      <c r="F716" s="16"/>
      <c r="G716" s="16"/>
    </row>
    <row r="717" spans="2:7" ht="12.5" x14ac:dyDescent="0.25">
      <c r="B717" s="14"/>
      <c r="C717" s="15"/>
      <c r="D717" s="16"/>
      <c r="E717" s="16"/>
      <c r="F717" s="16"/>
      <c r="G717" s="16"/>
    </row>
    <row r="718" spans="2:7" ht="12.5" x14ac:dyDescent="0.25">
      <c r="B718" s="14"/>
      <c r="C718" s="15"/>
      <c r="D718" s="16"/>
      <c r="E718" s="16"/>
      <c r="F718" s="16"/>
      <c r="G718" s="16"/>
    </row>
    <row r="719" spans="2:7" ht="12.5" x14ac:dyDescent="0.25">
      <c r="B719" s="14"/>
      <c r="C719" s="15"/>
      <c r="D719" s="16"/>
      <c r="E719" s="16"/>
      <c r="F719" s="16"/>
      <c r="G719" s="16"/>
    </row>
    <row r="720" spans="2:7" ht="12.5" x14ac:dyDescent="0.25">
      <c r="B720" s="14"/>
      <c r="C720" s="15"/>
      <c r="D720" s="16"/>
      <c r="E720" s="16"/>
      <c r="F720" s="16"/>
      <c r="G720" s="16"/>
    </row>
    <row r="721" spans="2:7" ht="12.5" x14ac:dyDescent="0.25">
      <c r="B721" s="14"/>
      <c r="C721" s="15"/>
      <c r="D721" s="16"/>
      <c r="E721" s="16"/>
      <c r="F721" s="16"/>
      <c r="G721" s="16"/>
    </row>
    <row r="722" spans="2:7" ht="12.5" x14ac:dyDescent="0.25">
      <c r="B722" s="14"/>
      <c r="C722" s="15"/>
      <c r="D722" s="16"/>
      <c r="E722" s="16"/>
      <c r="F722" s="16"/>
      <c r="G722" s="16"/>
    </row>
    <row r="723" spans="2:7" ht="12.5" x14ac:dyDescent="0.25">
      <c r="B723" s="14"/>
      <c r="C723" s="15"/>
      <c r="D723" s="16"/>
      <c r="E723" s="16"/>
      <c r="F723" s="16"/>
      <c r="G723" s="16"/>
    </row>
    <row r="724" spans="2:7" ht="12.5" x14ac:dyDescent="0.25">
      <c r="B724" s="14"/>
      <c r="C724" s="15"/>
      <c r="D724" s="16"/>
      <c r="E724" s="16"/>
      <c r="F724" s="16"/>
      <c r="G724" s="16"/>
    </row>
    <row r="725" spans="2:7" ht="12.5" x14ac:dyDescent="0.25">
      <c r="B725" s="14"/>
      <c r="C725" s="15"/>
      <c r="D725" s="16"/>
      <c r="E725" s="16"/>
      <c r="F725" s="16"/>
      <c r="G725" s="16"/>
    </row>
    <row r="726" spans="2:7" ht="12.5" x14ac:dyDescent="0.25">
      <c r="B726" s="14"/>
      <c r="C726" s="15"/>
      <c r="D726" s="16"/>
      <c r="E726" s="16"/>
      <c r="F726" s="16"/>
      <c r="G726" s="16"/>
    </row>
    <row r="727" spans="2:7" ht="12.5" x14ac:dyDescent="0.25">
      <c r="B727" s="14"/>
      <c r="C727" s="15"/>
      <c r="D727" s="16"/>
      <c r="E727" s="16"/>
      <c r="F727" s="16"/>
      <c r="G727" s="16"/>
    </row>
    <row r="728" spans="2:7" ht="12.5" x14ac:dyDescent="0.25">
      <c r="B728" s="14"/>
      <c r="C728" s="15"/>
      <c r="D728" s="16"/>
      <c r="E728" s="16"/>
      <c r="F728" s="16"/>
      <c r="G728" s="16"/>
    </row>
    <row r="729" spans="2:7" ht="12.5" x14ac:dyDescent="0.25">
      <c r="B729" s="14"/>
      <c r="C729" s="15"/>
      <c r="D729" s="16"/>
      <c r="E729" s="16"/>
      <c r="F729" s="16"/>
      <c r="G729" s="16"/>
    </row>
    <row r="730" spans="2:7" ht="12.5" x14ac:dyDescent="0.25">
      <c r="B730" s="14"/>
      <c r="C730" s="15"/>
      <c r="D730" s="16"/>
      <c r="E730" s="16"/>
      <c r="F730" s="16"/>
      <c r="G730" s="16"/>
    </row>
    <row r="731" spans="2:7" ht="12.5" x14ac:dyDescent="0.25">
      <c r="B731" s="14"/>
      <c r="C731" s="15"/>
      <c r="D731" s="16"/>
      <c r="E731" s="16"/>
      <c r="F731" s="16"/>
      <c r="G731" s="16"/>
    </row>
    <row r="732" spans="2:7" ht="12.5" x14ac:dyDescent="0.25">
      <c r="B732" s="14"/>
      <c r="C732" s="15"/>
      <c r="D732" s="16"/>
      <c r="E732" s="16"/>
      <c r="F732" s="16"/>
      <c r="G732" s="16"/>
    </row>
    <row r="733" spans="2:7" ht="12.5" x14ac:dyDescent="0.25">
      <c r="B733" s="14"/>
      <c r="C733" s="15"/>
      <c r="D733" s="16"/>
      <c r="E733" s="16"/>
      <c r="F733" s="16"/>
      <c r="G733" s="16"/>
    </row>
    <row r="734" spans="2:7" ht="12.5" x14ac:dyDescent="0.25">
      <c r="B734" s="14"/>
      <c r="C734" s="15"/>
      <c r="D734" s="16"/>
      <c r="E734" s="16"/>
      <c r="F734" s="16"/>
      <c r="G734" s="16"/>
    </row>
    <row r="735" spans="2:7" ht="12.5" x14ac:dyDescent="0.25">
      <c r="B735" s="14"/>
      <c r="C735" s="15"/>
      <c r="D735" s="16"/>
      <c r="E735" s="16"/>
      <c r="F735" s="16"/>
      <c r="G735" s="16"/>
    </row>
    <row r="736" spans="2:7" ht="12.5" x14ac:dyDescent="0.25">
      <c r="B736" s="14"/>
      <c r="C736" s="15"/>
      <c r="D736" s="16"/>
      <c r="E736" s="16"/>
      <c r="F736" s="16"/>
      <c r="G736" s="16"/>
    </row>
    <row r="737" spans="2:7" ht="12.5" x14ac:dyDescent="0.25">
      <c r="B737" s="14"/>
      <c r="C737" s="15"/>
      <c r="D737" s="16"/>
      <c r="E737" s="16"/>
      <c r="F737" s="16"/>
      <c r="G737" s="16"/>
    </row>
    <row r="738" spans="2:7" ht="12.5" x14ac:dyDescent="0.25">
      <c r="B738" s="14"/>
      <c r="C738" s="15"/>
      <c r="D738" s="16"/>
      <c r="E738" s="16"/>
      <c r="F738" s="16"/>
      <c r="G738" s="16"/>
    </row>
    <row r="739" spans="2:7" ht="12.5" x14ac:dyDescent="0.25">
      <c r="B739" s="14"/>
      <c r="C739" s="15"/>
      <c r="D739" s="16"/>
      <c r="E739" s="16"/>
      <c r="F739" s="16"/>
      <c r="G739" s="16"/>
    </row>
    <row r="740" spans="2:7" ht="12.5" x14ac:dyDescent="0.25">
      <c r="B740" s="14"/>
      <c r="C740" s="15"/>
      <c r="D740" s="16"/>
      <c r="E740" s="16"/>
      <c r="F740" s="16"/>
      <c r="G740" s="16"/>
    </row>
    <row r="741" spans="2:7" ht="12.5" x14ac:dyDescent="0.25">
      <c r="B741" s="14"/>
      <c r="C741" s="15"/>
      <c r="D741" s="16"/>
      <c r="E741" s="16"/>
      <c r="F741" s="16"/>
      <c r="G741" s="16"/>
    </row>
    <row r="742" spans="2:7" ht="12.5" x14ac:dyDescent="0.25">
      <c r="B742" s="14"/>
      <c r="C742" s="15"/>
      <c r="D742" s="16"/>
      <c r="E742" s="16"/>
      <c r="F742" s="16"/>
      <c r="G742" s="16"/>
    </row>
    <row r="743" spans="2:7" ht="12.5" x14ac:dyDescent="0.25">
      <c r="B743" s="14"/>
      <c r="C743" s="15"/>
      <c r="D743" s="16"/>
      <c r="E743" s="16"/>
      <c r="F743" s="16"/>
      <c r="G743" s="16"/>
    </row>
    <row r="744" spans="2:7" ht="12.5" x14ac:dyDescent="0.25">
      <c r="B744" s="14"/>
      <c r="C744" s="15"/>
      <c r="D744" s="16"/>
      <c r="E744" s="16"/>
      <c r="F744" s="16"/>
      <c r="G744" s="16"/>
    </row>
    <row r="745" spans="2:7" ht="12.5" x14ac:dyDescent="0.25">
      <c r="B745" s="14"/>
      <c r="C745" s="15"/>
      <c r="D745" s="16"/>
      <c r="E745" s="16"/>
      <c r="F745" s="16"/>
      <c r="G745" s="16"/>
    </row>
    <row r="746" spans="2:7" ht="12.5" x14ac:dyDescent="0.25">
      <c r="B746" s="14"/>
      <c r="C746" s="15"/>
      <c r="D746" s="16"/>
      <c r="E746" s="16"/>
      <c r="F746" s="16"/>
      <c r="G746" s="16"/>
    </row>
    <row r="747" spans="2:7" ht="12.5" x14ac:dyDescent="0.25">
      <c r="B747" s="14"/>
      <c r="C747" s="15"/>
      <c r="D747" s="16"/>
      <c r="E747" s="16"/>
      <c r="F747" s="16"/>
      <c r="G747" s="16"/>
    </row>
    <row r="748" spans="2:7" ht="12.5" x14ac:dyDescent="0.25">
      <c r="B748" s="14"/>
      <c r="C748" s="15"/>
      <c r="D748" s="16"/>
      <c r="E748" s="16"/>
      <c r="F748" s="16"/>
      <c r="G748" s="16"/>
    </row>
    <row r="749" spans="2:7" ht="12.5" x14ac:dyDescent="0.25">
      <c r="B749" s="14"/>
      <c r="C749" s="15"/>
      <c r="D749" s="16"/>
      <c r="E749" s="16"/>
      <c r="F749" s="16"/>
      <c r="G749" s="16"/>
    </row>
    <row r="750" spans="2:7" ht="12.5" x14ac:dyDescent="0.25">
      <c r="B750" s="14"/>
      <c r="C750" s="15"/>
      <c r="D750" s="16"/>
      <c r="E750" s="16"/>
      <c r="F750" s="16"/>
      <c r="G750" s="16"/>
    </row>
    <row r="751" spans="2:7" ht="12.5" x14ac:dyDescent="0.25">
      <c r="B751" s="14"/>
      <c r="C751" s="15"/>
      <c r="D751" s="16"/>
      <c r="E751" s="16"/>
      <c r="F751" s="16"/>
      <c r="G751" s="16"/>
    </row>
    <row r="752" spans="2:7" ht="12.5" x14ac:dyDescent="0.25">
      <c r="B752" s="14"/>
      <c r="C752" s="15"/>
      <c r="D752" s="16"/>
      <c r="E752" s="16"/>
      <c r="F752" s="16"/>
      <c r="G752" s="16"/>
    </row>
    <row r="753" spans="2:7" ht="12.5" x14ac:dyDescent="0.25">
      <c r="B753" s="14"/>
      <c r="C753" s="15"/>
      <c r="D753" s="16"/>
      <c r="E753" s="16"/>
      <c r="F753" s="16"/>
      <c r="G753" s="16"/>
    </row>
    <row r="754" spans="2:7" ht="12.5" x14ac:dyDescent="0.25">
      <c r="B754" s="14"/>
      <c r="C754" s="15"/>
      <c r="D754" s="16"/>
      <c r="E754" s="16"/>
      <c r="F754" s="16"/>
      <c r="G754" s="16"/>
    </row>
    <row r="755" spans="2:7" ht="12.5" x14ac:dyDescent="0.25">
      <c r="B755" s="14"/>
      <c r="C755" s="15"/>
      <c r="D755" s="16"/>
      <c r="E755" s="16"/>
      <c r="F755" s="16"/>
      <c r="G755" s="16"/>
    </row>
    <row r="756" spans="2:7" ht="12.5" x14ac:dyDescent="0.25">
      <c r="B756" s="14"/>
      <c r="C756" s="15"/>
      <c r="D756" s="16"/>
      <c r="E756" s="16"/>
      <c r="F756" s="16"/>
      <c r="G756" s="16"/>
    </row>
    <row r="757" spans="2:7" ht="12.5" x14ac:dyDescent="0.25">
      <c r="B757" s="14"/>
      <c r="C757" s="15"/>
      <c r="D757" s="16"/>
      <c r="E757" s="16"/>
      <c r="F757" s="16"/>
      <c r="G757" s="16"/>
    </row>
    <row r="758" spans="2:7" ht="12.5" x14ac:dyDescent="0.25">
      <c r="B758" s="14"/>
      <c r="C758" s="15"/>
      <c r="D758" s="16"/>
      <c r="E758" s="16"/>
      <c r="F758" s="16"/>
      <c r="G758" s="16"/>
    </row>
    <row r="759" spans="2:7" ht="12.5" x14ac:dyDescent="0.25">
      <c r="B759" s="14"/>
      <c r="C759" s="15"/>
      <c r="D759" s="16"/>
      <c r="E759" s="16"/>
      <c r="F759" s="16"/>
      <c r="G759" s="16"/>
    </row>
    <row r="760" spans="2:7" ht="12.5" x14ac:dyDescent="0.25">
      <c r="B760" s="14"/>
      <c r="C760" s="15"/>
      <c r="D760" s="16"/>
      <c r="E760" s="16"/>
      <c r="F760" s="16"/>
      <c r="G760" s="16"/>
    </row>
    <row r="761" spans="2:7" ht="12.5" x14ac:dyDescent="0.25">
      <c r="B761" s="14"/>
      <c r="C761" s="15"/>
      <c r="D761" s="16"/>
      <c r="E761" s="16"/>
      <c r="F761" s="16"/>
      <c r="G761" s="16"/>
    </row>
    <row r="762" spans="2:7" ht="12.5" x14ac:dyDescent="0.25">
      <c r="B762" s="14"/>
      <c r="C762" s="15"/>
      <c r="D762" s="16"/>
      <c r="E762" s="16"/>
      <c r="F762" s="16"/>
      <c r="G762" s="16"/>
    </row>
    <row r="763" spans="2:7" ht="12.5" x14ac:dyDescent="0.25">
      <c r="B763" s="14"/>
      <c r="C763" s="15"/>
      <c r="D763" s="16"/>
      <c r="E763" s="16"/>
      <c r="F763" s="16"/>
      <c r="G763" s="16"/>
    </row>
    <row r="764" spans="2:7" ht="12.5" x14ac:dyDescent="0.25">
      <c r="B764" s="14"/>
      <c r="C764" s="15"/>
      <c r="D764" s="16"/>
      <c r="E764" s="16"/>
      <c r="F764" s="16"/>
      <c r="G764" s="16"/>
    </row>
    <row r="765" spans="2:7" ht="12.5" x14ac:dyDescent="0.25">
      <c r="B765" s="14"/>
      <c r="C765" s="15"/>
      <c r="D765" s="16"/>
      <c r="E765" s="16"/>
      <c r="F765" s="16"/>
      <c r="G765" s="16"/>
    </row>
    <row r="766" spans="2:7" ht="12.5" x14ac:dyDescent="0.25">
      <c r="B766" s="14"/>
      <c r="C766" s="15"/>
      <c r="D766" s="16"/>
      <c r="E766" s="16"/>
      <c r="F766" s="16"/>
      <c r="G766" s="16"/>
    </row>
    <row r="767" spans="2:7" ht="12.5" x14ac:dyDescent="0.25">
      <c r="B767" s="14"/>
      <c r="C767" s="15"/>
      <c r="D767" s="16"/>
      <c r="E767" s="16"/>
      <c r="F767" s="16"/>
      <c r="G767" s="16"/>
    </row>
    <row r="768" spans="2:7" ht="12.5" x14ac:dyDescent="0.25">
      <c r="B768" s="14"/>
      <c r="C768" s="15"/>
      <c r="D768" s="16"/>
      <c r="E768" s="16"/>
      <c r="F768" s="16"/>
      <c r="G768" s="16"/>
    </row>
    <row r="769" spans="2:7" ht="12.5" x14ac:dyDescent="0.25">
      <c r="B769" s="14"/>
      <c r="C769" s="15"/>
      <c r="D769" s="16"/>
      <c r="E769" s="16"/>
      <c r="F769" s="16"/>
      <c r="G769" s="16"/>
    </row>
    <row r="770" spans="2:7" ht="12.5" x14ac:dyDescent="0.25">
      <c r="B770" s="14"/>
      <c r="C770" s="15"/>
      <c r="D770" s="16"/>
      <c r="E770" s="16"/>
      <c r="F770" s="16"/>
      <c r="G770" s="16"/>
    </row>
    <row r="771" spans="2:7" ht="12.5" x14ac:dyDescent="0.25">
      <c r="B771" s="14"/>
      <c r="C771" s="15"/>
      <c r="D771" s="16"/>
      <c r="E771" s="16"/>
      <c r="F771" s="16"/>
      <c r="G771" s="16"/>
    </row>
    <row r="772" spans="2:7" ht="12.5" x14ac:dyDescent="0.25">
      <c r="B772" s="14"/>
      <c r="C772" s="15"/>
      <c r="D772" s="16"/>
      <c r="E772" s="16"/>
      <c r="F772" s="16"/>
      <c r="G772" s="16"/>
    </row>
    <row r="773" spans="2:7" ht="12.5" x14ac:dyDescent="0.25">
      <c r="B773" s="14"/>
      <c r="C773" s="15"/>
      <c r="D773" s="16"/>
      <c r="E773" s="16"/>
      <c r="F773" s="16"/>
      <c r="G773" s="16"/>
    </row>
    <row r="774" spans="2:7" ht="12.5" x14ac:dyDescent="0.25">
      <c r="B774" s="14"/>
      <c r="C774" s="15"/>
      <c r="D774" s="16"/>
      <c r="E774" s="16"/>
      <c r="F774" s="16"/>
      <c r="G774" s="16"/>
    </row>
    <row r="775" spans="2:7" ht="12.5" x14ac:dyDescent="0.25">
      <c r="B775" s="14"/>
      <c r="C775" s="15"/>
      <c r="D775" s="16"/>
      <c r="E775" s="16"/>
      <c r="F775" s="16"/>
      <c r="G775" s="16"/>
    </row>
    <row r="776" spans="2:7" ht="12.5" x14ac:dyDescent="0.25">
      <c r="B776" s="14"/>
      <c r="C776" s="15"/>
      <c r="D776" s="16"/>
      <c r="E776" s="16"/>
      <c r="F776" s="16"/>
      <c r="G776" s="16"/>
    </row>
    <row r="777" spans="2:7" ht="12.5" x14ac:dyDescent="0.25">
      <c r="B777" s="14"/>
      <c r="C777" s="15"/>
      <c r="D777" s="16"/>
      <c r="E777" s="16"/>
      <c r="F777" s="16"/>
      <c r="G777" s="16"/>
    </row>
    <row r="778" spans="2:7" ht="12.5" x14ac:dyDescent="0.25">
      <c r="B778" s="14"/>
      <c r="C778" s="15"/>
      <c r="D778" s="16"/>
      <c r="E778" s="16"/>
      <c r="F778" s="16"/>
      <c r="G778" s="16"/>
    </row>
    <row r="779" spans="2:7" ht="12.5" x14ac:dyDescent="0.25">
      <c r="B779" s="14"/>
      <c r="C779" s="15"/>
      <c r="D779" s="16"/>
      <c r="E779" s="16"/>
      <c r="F779" s="16"/>
      <c r="G779" s="16"/>
    </row>
    <row r="780" spans="2:7" ht="12.5" x14ac:dyDescent="0.25">
      <c r="B780" s="14"/>
      <c r="C780" s="15"/>
      <c r="D780" s="16"/>
      <c r="E780" s="16"/>
      <c r="F780" s="16"/>
      <c r="G780" s="16"/>
    </row>
    <row r="781" spans="2:7" ht="12.5" x14ac:dyDescent="0.25">
      <c r="B781" s="14"/>
      <c r="C781" s="15"/>
      <c r="D781" s="16"/>
      <c r="E781" s="16"/>
      <c r="F781" s="16"/>
      <c r="G781" s="16"/>
    </row>
    <row r="782" spans="2:7" ht="12.5" x14ac:dyDescent="0.25">
      <c r="B782" s="14"/>
      <c r="C782" s="15"/>
      <c r="D782" s="16"/>
      <c r="E782" s="16"/>
      <c r="F782" s="16"/>
      <c r="G782" s="16"/>
    </row>
    <row r="783" spans="2:7" ht="12.5" x14ac:dyDescent="0.25">
      <c r="B783" s="14"/>
      <c r="C783" s="15"/>
      <c r="D783" s="16"/>
      <c r="E783" s="16"/>
      <c r="F783" s="16"/>
      <c r="G783" s="16"/>
    </row>
    <row r="784" spans="2:7" ht="12.5" x14ac:dyDescent="0.25">
      <c r="B784" s="14"/>
      <c r="C784" s="15"/>
      <c r="D784" s="16"/>
      <c r="E784" s="16"/>
      <c r="F784" s="16"/>
      <c r="G784" s="16"/>
    </row>
    <row r="785" spans="2:7" ht="12.5" x14ac:dyDescent="0.25">
      <c r="B785" s="14"/>
      <c r="C785" s="15"/>
      <c r="D785" s="16"/>
      <c r="E785" s="16"/>
      <c r="F785" s="16"/>
      <c r="G785" s="16"/>
    </row>
    <row r="786" spans="2:7" ht="12.5" x14ac:dyDescent="0.25">
      <c r="B786" s="14"/>
      <c r="C786" s="15"/>
      <c r="D786" s="16"/>
      <c r="E786" s="16"/>
      <c r="F786" s="16"/>
      <c r="G786" s="16"/>
    </row>
    <row r="787" spans="2:7" ht="12.5" x14ac:dyDescent="0.25">
      <c r="B787" s="14"/>
      <c r="C787" s="15"/>
      <c r="D787" s="16"/>
      <c r="E787" s="16"/>
      <c r="F787" s="16"/>
      <c r="G787" s="16"/>
    </row>
    <row r="788" spans="2:7" ht="12.5" x14ac:dyDescent="0.25">
      <c r="B788" s="14"/>
      <c r="C788" s="15"/>
      <c r="D788" s="16"/>
      <c r="E788" s="16"/>
      <c r="F788" s="16"/>
      <c r="G788" s="16"/>
    </row>
    <row r="789" spans="2:7" ht="12.5" x14ac:dyDescent="0.25">
      <c r="B789" s="14"/>
      <c r="C789" s="15"/>
      <c r="D789" s="16"/>
      <c r="E789" s="16"/>
      <c r="F789" s="16"/>
      <c r="G789" s="16"/>
    </row>
    <row r="790" spans="2:7" ht="12.5" x14ac:dyDescent="0.25">
      <c r="B790" s="14"/>
      <c r="C790" s="15"/>
      <c r="D790" s="16"/>
      <c r="E790" s="16"/>
      <c r="F790" s="16"/>
      <c r="G790" s="16"/>
    </row>
    <row r="791" spans="2:7" ht="12.5" x14ac:dyDescent="0.25">
      <c r="B791" s="14"/>
      <c r="C791" s="15"/>
      <c r="D791" s="16"/>
      <c r="E791" s="16"/>
      <c r="F791" s="16"/>
      <c r="G791" s="16"/>
    </row>
    <row r="792" spans="2:7" ht="12.5" x14ac:dyDescent="0.25">
      <c r="B792" s="14"/>
      <c r="C792" s="15"/>
      <c r="D792" s="16"/>
      <c r="E792" s="16"/>
      <c r="F792" s="16"/>
      <c r="G792" s="16"/>
    </row>
    <row r="793" spans="2:7" ht="12.5" x14ac:dyDescent="0.25">
      <c r="B793" s="14"/>
      <c r="C793" s="15"/>
      <c r="D793" s="16"/>
      <c r="E793" s="16"/>
      <c r="F793" s="16"/>
      <c r="G793" s="16"/>
    </row>
    <row r="794" spans="2:7" ht="12.5" x14ac:dyDescent="0.25">
      <c r="B794" s="14"/>
      <c r="C794" s="15"/>
      <c r="D794" s="16"/>
      <c r="E794" s="16"/>
      <c r="F794" s="16"/>
      <c r="G794" s="16"/>
    </row>
    <row r="795" spans="2:7" ht="12.5" x14ac:dyDescent="0.25">
      <c r="B795" s="14"/>
      <c r="C795" s="15"/>
      <c r="D795" s="16"/>
      <c r="E795" s="16"/>
      <c r="F795" s="16"/>
      <c r="G795" s="16"/>
    </row>
    <row r="796" spans="2:7" ht="12.5" x14ac:dyDescent="0.25">
      <c r="B796" s="14"/>
      <c r="C796" s="15"/>
      <c r="D796" s="16"/>
      <c r="E796" s="16"/>
      <c r="F796" s="16"/>
      <c r="G796" s="16"/>
    </row>
    <row r="797" spans="2:7" ht="12.5" x14ac:dyDescent="0.25">
      <c r="B797" s="14"/>
      <c r="C797" s="15"/>
      <c r="D797" s="16"/>
      <c r="E797" s="16"/>
      <c r="F797" s="16"/>
      <c r="G797" s="16"/>
    </row>
    <row r="798" spans="2:7" ht="12.5" x14ac:dyDescent="0.25">
      <c r="B798" s="14"/>
      <c r="C798" s="15"/>
      <c r="D798" s="16"/>
      <c r="E798" s="16"/>
      <c r="F798" s="16"/>
      <c r="G798" s="16"/>
    </row>
    <row r="799" spans="2:7" ht="12.5" x14ac:dyDescent="0.25">
      <c r="B799" s="14"/>
      <c r="C799" s="15"/>
      <c r="D799" s="16"/>
      <c r="E799" s="16"/>
      <c r="F799" s="16"/>
      <c r="G799" s="16"/>
    </row>
    <row r="800" spans="2:7" ht="12.5" x14ac:dyDescent="0.25">
      <c r="B800" s="14"/>
      <c r="C800" s="15"/>
      <c r="D800" s="16"/>
      <c r="E800" s="16"/>
      <c r="F800" s="16"/>
      <c r="G800" s="16"/>
    </row>
    <row r="801" spans="2:7" ht="12.5" x14ac:dyDescent="0.25">
      <c r="B801" s="14"/>
      <c r="C801" s="15"/>
      <c r="D801" s="16"/>
      <c r="E801" s="16"/>
      <c r="F801" s="16"/>
      <c r="G801" s="16"/>
    </row>
    <row r="802" spans="2:7" ht="12.5" x14ac:dyDescent="0.25">
      <c r="B802" s="14"/>
      <c r="C802" s="15"/>
      <c r="D802" s="16"/>
      <c r="E802" s="16"/>
      <c r="F802" s="16"/>
      <c r="G802" s="16"/>
    </row>
    <row r="803" spans="2:7" ht="12.5" x14ac:dyDescent="0.25">
      <c r="B803" s="14"/>
      <c r="C803" s="15"/>
      <c r="D803" s="16"/>
      <c r="E803" s="16"/>
      <c r="F803" s="16"/>
      <c r="G803" s="16"/>
    </row>
    <row r="804" spans="2:7" ht="12.5" x14ac:dyDescent="0.25">
      <c r="B804" s="14"/>
      <c r="C804" s="15"/>
      <c r="D804" s="16"/>
      <c r="E804" s="16"/>
      <c r="F804" s="16"/>
      <c r="G804" s="16"/>
    </row>
    <row r="805" spans="2:7" ht="12.5" x14ac:dyDescent="0.25">
      <c r="B805" s="14"/>
      <c r="C805" s="15"/>
      <c r="D805" s="16"/>
      <c r="E805" s="16"/>
      <c r="F805" s="16"/>
      <c r="G805" s="16"/>
    </row>
    <row r="806" spans="2:7" ht="12.5" x14ac:dyDescent="0.25">
      <c r="B806" s="14"/>
      <c r="C806" s="15"/>
      <c r="D806" s="16"/>
      <c r="E806" s="16"/>
      <c r="F806" s="16"/>
      <c r="G806" s="16"/>
    </row>
    <row r="807" spans="2:7" ht="12.5" x14ac:dyDescent="0.25">
      <c r="B807" s="14"/>
      <c r="C807" s="15"/>
      <c r="D807" s="16"/>
      <c r="E807" s="16"/>
      <c r="F807" s="16"/>
      <c r="G807" s="16"/>
    </row>
    <row r="808" spans="2:7" ht="12.5" x14ac:dyDescent="0.25">
      <c r="B808" s="14"/>
      <c r="C808" s="15"/>
      <c r="D808" s="16"/>
      <c r="E808" s="16"/>
      <c r="F808" s="16"/>
      <c r="G808" s="16"/>
    </row>
    <row r="809" spans="2:7" ht="12.5" x14ac:dyDescent="0.25">
      <c r="B809" s="14"/>
      <c r="C809" s="15"/>
      <c r="D809" s="16"/>
      <c r="E809" s="16"/>
      <c r="F809" s="16"/>
      <c r="G809" s="16"/>
    </row>
    <row r="810" spans="2:7" ht="12.5" x14ac:dyDescent="0.25">
      <c r="B810" s="14"/>
      <c r="C810" s="15"/>
      <c r="D810" s="16"/>
      <c r="E810" s="16"/>
      <c r="F810" s="16"/>
      <c r="G810" s="16"/>
    </row>
    <row r="811" spans="2:7" ht="12.5" x14ac:dyDescent="0.25">
      <c r="B811" s="14"/>
      <c r="C811" s="15"/>
      <c r="D811" s="16"/>
      <c r="E811" s="16"/>
      <c r="F811" s="16"/>
      <c r="G811" s="16"/>
    </row>
    <row r="812" spans="2:7" ht="12.5" x14ac:dyDescent="0.25">
      <c r="B812" s="14"/>
      <c r="C812" s="15"/>
      <c r="D812" s="16"/>
      <c r="E812" s="16"/>
      <c r="F812" s="16"/>
      <c r="G812" s="16"/>
    </row>
    <row r="813" spans="2:7" ht="12.5" x14ac:dyDescent="0.25">
      <c r="B813" s="14"/>
      <c r="C813" s="15"/>
      <c r="D813" s="16"/>
      <c r="E813" s="16"/>
      <c r="F813" s="16"/>
      <c r="G813" s="16"/>
    </row>
    <row r="814" spans="2:7" ht="12.5" x14ac:dyDescent="0.25">
      <c r="B814" s="14"/>
      <c r="C814" s="15"/>
      <c r="D814" s="16"/>
      <c r="E814" s="16"/>
      <c r="F814" s="16"/>
      <c r="G814" s="16"/>
    </row>
    <row r="815" spans="2:7" ht="12.5" x14ac:dyDescent="0.25">
      <c r="B815" s="14"/>
      <c r="C815" s="15"/>
      <c r="D815" s="16"/>
      <c r="E815" s="16"/>
      <c r="F815" s="16"/>
      <c r="G815" s="16"/>
    </row>
    <row r="816" spans="2:7" ht="12.5" x14ac:dyDescent="0.25">
      <c r="B816" s="14"/>
      <c r="C816" s="15"/>
      <c r="D816" s="16"/>
      <c r="E816" s="16"/>
      <c r="F816" s="16"/>
      <c r="G816" s="16"/>
    </row>
    <row r="817" spans="2:7" ht="12.5" x14ac:dyDescent="0.25">
      <c r="B817" s="14"/>
      <c r="C817" s="15"/>
      <c r="D817" s="16"/>
      <c r="E817" s="16"/>
      <c r="F817" s="16"/>
      <c r="G817" s="16"/>
    </row>
    <row r="818" spans="2:7" ht="12.5" x14ac:dyDescent="0.25">
      <c r="B818" s="14"/>
      <c r="C818" s="15"/>
      <c r="D818" s="16"/>
      <c r="E818" s="16"/>
      <c r="F818" s="16"/>
      <c r="G818" s="16"/>
    </row>
    <row r="819" spans="2:7" ht="12.5" x14ac:dyDescent="0.25">
      <c r="B819" s="14"/>
      <c r="C819" s="15"/>
      <c r="D819" s="16"/>
      <c r="E819" s="16"/>
      <c r="F819" s="16"/>
      <c r="G819" s="16"/>
    </row>
    <row r="820" spans="2:7" ht="12.5" x14ac:dyDescent="0.25">
      <c r="B820" s="14"/>
      <c r="C820" s="15"/>
      <c r="D820" s="16"/>
      <c r="E820" s="16"/>
      <c r="F820" s="16"/>
      <c r="G820" s="16"/>
    </row>
    <row r="821" spans="2:7" ht="12.5" x14ac:dyDescent="0.25">
      <c r="B821" s="14"/>
      <c r="C821" s="15"/>
      <c r="D821" s="16"/>
      <c r="E821" s="16"/>
      <c r="F821" s="16"/>
      <c r="G821" s="16"/>
    </row>
    <row r="822" spans="2:7" ht="12.5" x14ac:dyDescent="0.25">
      <c r="B822" s="14"/>
      <c r="C822" s="15"/>
      <c r="D822" s="16"/>
      <c r="E822" s="16"/>
      <c r="F822" s="16"/>
      <c r="G822" s="16"/>
    </row>
    <row r="823" spans="2:7" ht="12.5" x14ac:dyDescent="0.25">
      <c r="B823" s="14"/>
      <c r="C823" s="15"/>
      <c r="D823" s="16"/>
      <c r="E823" s="16"/>
      <c r="F823" s="16"/>
      <c r="G823" s="16"/>
    </row>
    <row r="824" spans="2:7" ht="12.5" x14ac:dyDescent="0.25">
      <c r="B824" s="14"/>
      <c r="C824" s="15"/>
      <c r="D824" s="16"/>
      <c r="E824" s="16"/>
      <c r="F824" s="16"/>
      <c r="G824" s="16"/>
    </row>
    <row r="825" spans="2:7" ht="12.5" x14ac:dyDescent="0.25">
      <c r="B825" s="14"/>
      <c r="C825" s="15"/>
      <c r="D825" s="16"/>
      <c r="E825" s="16"/>
      <c r="F825" s="16"/>
      <c r="G825" s="16"/>
    </row>
    <row r="826" spans="2:7" ht="12.5" x14ac:dyDescent="0.25">
      <c r="B826" s="14"/>
      <c r="C826" s="15"/>
      <c r="D826" s="16"/>
      <c r="E826" s="16"/>
      <c r="F826" s="16"/>
      <c r="G826" s="16"/>
    </row>
    <row r="827" spans="2:7" ht="12.5" x14ac:dyDescent="0.25">
      <c r="B827" s="14"/>
      <c r="C827" s="15"/>
      <c r="D827" s="16"/>
      <c r="E827" s="16"/>
      <c r="F827" s="16"/>
      <c r="G827" s="16"/>
    </row>
    <row r="828" spans="2:7" ht="12.5" x14ac:dyDescent="0.25">
      <c r="B828" s="14"/>
      <c r="C828" s="15"/>
      <c r="D828" s="16"/>
      <c r="E828" s="16"/>
      <c r="F828" s="16"/>
      <c r="G828" s="16"/>
    </row>
    <row r="829" spans="2:7" ht="12.5" x14ac:dyDescent="0.25">
      <c r="B829" s="14"/>
      <c r="C829" s="15"/>
      <c r="D829" s="16"/>
      <c r="E829" s="16"/>
      <c r="F829" s="16"/>
      <c r="G829" s="16"/>
    </row>
    <row r="830" spans="2:7" ht="12.5" x14ac:dyDescent="0.25">
      <c r="B830" s="14"/>
      <c r="C830" s="15"/>
      <c r="D830" s="16"/>
      <c r="E830" s="16"/>
      <c r="F830" s="16"/>
      <c r="G830" s="16"/>
    </row>
    <row r="831" spans="2:7" ht="12.5" x14ac:dyDescent="0.25">
      <c r="B831" s="14"/>
      <c r="C831" s="15"/>
      <c r="D831" s="16"/>
      <c r="E831" s="16"/>
      <c r="F831" s="16"/>
      <c r="G831" s="16"/>
    </row>
    <row r="832" spans="2:7" ht="12.5" x14ac:dyDescent="0.25">
      <c r="B832" s="14"/>
      <c r="C832" s="15"/>
      <c r="D832" s="16"/>
      <c r="E832" s="16"/>
      <c r="F832" s="16"/>
      <c r="G832" s="16"/>
    </row>
    <row r="833" spans="2:7" ht="12.5" x14ac:dyDescent="0.25">
      <c r="B833" s="14"/>
      <c r="C833" s="15"/>
      <c r="D833" s="16"/>
      <c r="E833" s="16"/>
      <c r="F833" s="16"/>
      <c r="G833" s="16"/>
    </row>
    <row r="834" spans="2:7" ht="12.5" x14ac:dyDescent="0.25">
      <c r="B834" s="14"/>
      <c r="C834" s="15"/>
      <c r="D834" s="16"/>
      <c r="E834" s="16"/>
      <c r="F834" s="16"/>
      <c r="G834" s="16"/>
    </row>
    <row r="835" spans="2:7" ht="12.5" x14ac:dyDescent="0.25">
      <c r="B835" s="14"/>
      <c r="C835" s="15"/>
      <c r="D835" s="16"/>
      <c r="E835" s="16"/>
      <c r="F835" s="16"/>
      <c r="G835" s="16"/>
    </row>
    <row r="836" spans="2:7" ht="12.5" x14ac:dyDescent="0.25">
      <c r="B836" s="14"/>
      <c r="C836" s="15"/>
      <c r="D836" s="16"/>
      <c r="E836" s="16"/>
      <c r="F836" s="16"/>
      <c r="G836" s="16"/>
    </row>
    <row r="837" spans="2:7" ht="12.5" x14ac:dyDescent="0.25">
      <c r="B837" s="14"/>
      <c r="C837" s="15"/>
      <c r="D837" s="16"/>
      <c r="E837" s="16"/>
      <c r="F837" s="16"/>
      <c r="G837" s="16"/>
    </row>
    <row r="838" spans="2:7" ht="12.5" x14ac:dyDescent="0.25">
      <c r="B838" s="14"/>
      <c r="C838" s="15"/>
      <c r="D838" s="16"/>
      <c r="E838" s="16"/>
      <c r="F838" s="16"/>
      <c r="G838" s="16"/>
    </row>
    <row r="839" spans="2:7" ht="12.5" x14ac:dyDescent="0.25">
      <c r="B839" s="14"/>
      <c r="C839" s="15"/>
      <c r="D839" s="16"/>
      <c r="E839" s="16"/>
      <c r="F839" s="16"/>
      <c r="G839" s="16"/>
    </row>
    <row r="840" spans="2:7" ht="12.5" x14ac:dyDescent="0.25">
      <c r="B840" s="14"/>
      <c r="C840" s="15"/>
      <c r="D840" s="16"/>
      <c r="E840" s="16"/>
      <c r="F840" s="16"/>
      <c r="G840" s="16"/>
    </row>
    <row r="841" spans="2:7" ht="12.5" x14ac:dyDescent="0.25">
      <c r="B841" s="14"/>
      <c r="C841" s="15"/>
      <c r="D841" s="16"/>
      <c r="E841" s="16"/>
      <c r="F841" s="16"/>
      <c r="G841" s="16"/>
    </row>
    <row r="842" spans="2:7" ht="12.5" x14ac:dyDescent="0.25">
      <c r="B842" s="14"/>
      <c r="C842" s="15"/>
      <c r="D842" s="16"/>
      <c r="E842" s="16"/>
      <c r="F842" s="16"/>
      <c r="G842" s="16"/>
    </row>
    <row r="843" spans="2:7" ht="12.5" x14ac:dyDescent="0.25">
      <c r="B843" s="14"/>
      <c r="C843" s="15"/>
      <c r="D843" s="16"/>
      <c r="E843" s="16"/>
      <c r="F843" s="16"/>
      <c r="G843" s="16"/>
    </row>
    <row r="844" spans="2:7" ht="12.5" x14ac:dyDescent="0.25">
      <c r="B844" s="14"/>
      <c r="C844" s="15"/>
      <c r="D844" s="16"/>
      <c r="E844" s="16"/>
      <c r="F844" s="16"/>
      <c r="G844" s="16"/>
    </row>
    <row r="845" spans="2:7" ht="12.5" x14ac:dyDescent="0.25">
      <c r="B845" s="14"/>
      <c r="C845" s="15"/>
      <c r="D845" s="16"/>
      <c r="E845" s="16"/>
      <c r="F845" s="16"/>
      <c r="G845" s="16"/>
    </row>
    <row r="846" spans="2:7" ht="12.5" x14ac:dyDescent="0.25">
      <c r="B846" s="14"/>
      <c r="C846" s="15"/>
      <c r="D846" s="16"/>
      <c r="E846" s="16"/>
      <c r="F846" s="16"/>
      <c r="G846" s="16"/>
    </row>
    <row r="847" spans="2:7" ht="12.5" x14ac:dyDescent="0.25">
      <c r="B847" s="14"/>
      <c r="C847" s="15"/>
      <c r="D847" s="16"/>
      <c r="E847" s="16"/>
      <c r="F847" s="16"/>
      <c r="G847" s="16"/>
    </row>
    <row r="848" spans="2:7" ht="12.5" x14ac:dyDescent="0.25">
      <c r="B848" s="14"/>
      <c r="C848" s="15"/>
      <c r="D848" s="16"/>
      <c r="E848" s="16"/>
      <c r="F848" s="16"/>
      <c r="G848" s="16"/>
    </row>
    <row r="849" spans="2:7" ht="12.5" x14ac:dyDescent="0.25">
      <c r="B849" s="14"/>
      <c r="C849" s="15"/>
      <c r="D849" s="16"/>
      <c r="E849" s="16"/>
      <c r="F849" s="16"/>
      <c r="G849" s="16"/>
    </row>
    <row r="850" spans="2:7" ht="12.5" x14ac:dyDescent="0.25">
      <c r="B850" s="14"/>
      <c r="C850" s="15"/>
      <c r="D850" s="16"/>
      <c r="E850" s="16"/>
      <c r="F850" s="16"/>
      <c r="G850" s="16"/>
    </row>
    <row r="851" spans="2:7" ht="12.5" x14ac:dyDescent="0.25">
      <c r="B851" s="14"/>
      <c r="C851" s="15"/>
      <c r="D851" s="16"/>
      <c r="E851" s="16"/>
      <c r="F851" s="16"/>
      <c r="G851" s="16"/>
    </row>
    <row r="852" spans="2:7" ht="12.5" x14ac:dyDescent="0.25">
      <c r="B852" s="14"/>
      <c r="C852" s="15"/>
      <c r="D852" s="16"/>
      <c r="E852" s="16"/>
      <c r="F852" s="16"/>
      <c r="G852" s="16"/>
    </row>
    <row r="853" spans="2:7" ht="12.5" x14ac:dyDescent="0.25">
      <c r="B853" s="14"/>
      <c r="C853" s="15"/>
      <c r="D853" s="16"/>
      <c r="E853" s="16"/>
      <c r="F853" s="16"/>
      <c r="G853" s="16"/>
    </row>
    <row r="854" spans="2:7" ht="12.5" x14ac:dyDescent="0.25">
      <c r="B854" s="14"/>
      <c r="C854" s="15"/>
      <c r="D854" s="16"/>
      <c r="E854" s="16"/>
      <c r="F854" s="16"/>
      <c r="G854" s="16"/>
    </row>
    <row r="855" spans="2:7" ht="12.5" x14ac:dyDescent="0.25">
      <c r="B855" s="14"/>
      <c r="C855" s="15"/>
      <c r="D855" s="16"/>
      <c r="E855" s="16"/>
      <c r="F855" s="16"/>
      <c r="G855" s="16"/>
    </row>
    <row r="856" spans="2:7" ht="12.5" x14ac:dyDescent="0.25">
      <c r="B856" s="14"/>
      <c r="C856" s="15"/>
      <c r="D856" s="16"/>
      <c r="E856" s="16"/>
      <c r="F856" s="16"/>
      <c r="G856" s="16"/>
    </row>
    <row r="857" spans="2:7" ht="12.5" x14ac:dyDescent="0.25">
      <c r="B857" s="14"/>
      <c r="C857" s="15"/>
      <c r="D857" s="16"/>
      <c r="E857" s="16"/>
      <c r="F857" s="16"/>
      <c r="G857" s="16"/>
    </row>
    <row r="858" spans="2:7" ht="12.5" x14ac:dyDescent="0.25">
      <c r="B858" s="14"/>
      <c r="C858" s="15"/>
      <c r="D858" s="16"/>
      <c r="E858" s="16"/>
      <c r="F858" s="16"/>
      <c r="G858" s="16"/>
    </row>
    <row r="859" spans="2:7" ht="12.5" x14ac:dyDescent="0.25">
      <c r="B859" s="14"/>
      <c r="C859" s="15"/>
      <c r="D859" s="16"/>
      <c r="E859" s="16"/>
      <c r="F859" s="16"/>
      <c r="G859" s="16"/>
    </row>
    <row r="860" spans="2:7" ht="12.5" x14ac:dyDescent="0.25">
      <c r="B860" s="14"/>
      <c r="C860" s="15"/>
      <c r="D860" s="16"/>
      <c r="E860" s="16"/>
      <c r="F860" s="16"/>
      <c r="G860" s="16"/>
    </row>
    <row r="861" spans="2:7" ht="12.5" x14ac:dyDescent="0.25">
      <c r="B861" s="14"/>
      <c r="C861" s="15"/>
      <c r="D861" s="16"/>
      <c r="E861" s="16"/>
      <c r="F861" s="16"/>
      <c r="G861" s="16"/>
    </row>
    <row r="862" spans="2:7" ht="12.5" x14ac:dyDescent="0.25">
      <c r="B862" s="14"/>
      <c r="C862" s="15"/>
      <c r="D862" s="16"/>
      <c r="E862" s="16"/>
      <c r="F862" s="16"/>
      <c r="G862" s="16"/>
    </row>
    <row r="863" spans="2:7" ht="12.5" x14ac:dyDescent="0.25">
      <c r="B863" s="14"/>
      <c r="C863" s="15"/>
      <c r="D863" s="16"/>
      <c r="E863" s="16"/>
      <c r="F863" s="16"/>
      <c r="G863" s="16"/>
    </row>
    <row r="864" spans="2:7" ht="12.5" x14ac:dyDescent="0.25">
      <c r="B864" s="14"/>
      <c r="C864" s="15"/>
      <c r="D864" s="16"/>
      <c r="E864" s="16"/>
      <c r="F864" s="16"/>
      <c r="G864" s="16"/>
    </row>
    <row r="865" spans="2:7" ht="12.5" x14ac:dyDescent="0.25">
      <c r="B865" s="14"/>
      <c r="C865" s="15"/>
      <c r="D865" s="16"/>
      <c r="E865" s="16"/>
      <c r="F865" s="16"/>
      <c r="G865" s="16"/>
    </row>
    <row r="866" spans="2:7" ht="12.5" x14ac:dyDescent="0.25">
      <c r="B866" s="14"/>
      <c r="C866" s="15"/>
      <c r="D866" s="16"/>
      <c r="E866" s="16"/>
      <c r="F866" s="16"/>
      <c r="G866" s="16"/>
    </row>
    <row r="867" spans="2:7" ht="12.5" x14ac:dyDescent="0.25">
      <c r="B867" s="14"/>
      <c r="C867" s="15"/>
      <c r="D867" s="16"/>
      <c r="E867" s="16"/>
      <c r="F867" s="16"/>
      <c r="G867" s="16"/>
    </row>
    <row r="868" spans="2:7" ht="12.5" x14ac:dyDescent="0.25">
      <c r="B868" s="14"/>
      <c r="C868" s="15"/>
      <c r="D868" s="16"/>
      <c r="E868" s="16"/>
      <c r="F868" s="16"/>
      <c r="G868" s="16"/>
    </row>
    <row r="869" spans="2:7" ht="12.5" x14ac:dyDescent="0.25">
      <c r="B869" s="14"/>
      <c r="C869" s="15"/>
      <c r="D869" s="16"/>
      <c r="E869" s="16"/>
      <c r="F869" s="16"/>
      <c r="G869" s="16"/>
    </row>
    <row r="870" spans="2:7" ht="12.5" x14ac:dyDescent="0.25">
      <c r="B870" s="14"/>
      <c r="C870" s="15"/>
      <c r="D870" s="16"/>
      <c r="E870" s="16"/>
      <c r="F870" s="16"/>
      <c r="G870" s="16"/>
    </row>
    <row r="871" spans="2:7" ht="12.5" x14ac:dyDescent="0.25">
      <c r="B871" s="14"/>
      <c r="C871" s="15"/>
      <c r="D871" s="16"/>
      <c r="E871" s="16"/>
      <c r="F871" s="16"/>
      <c r="G871" s="16"/>
    </row>
    <row r="872" spans="2:7" ht="12.5" x14ac:dyDescent="0.25">
      <c r="B872" s="14"/>
      <c r="C872" s="15"/>
      <c r="D872" s="16"/>
      <c r="E872" s="16"/>
      <c r="F872" s="16"/>
      <c r="G872" s="16"/>
    </row>
    <row r="873" spans="2:7" ht="12.5" x14ac:dyDescent="0.25">
      <c r="B873" s="14"/>
      <c r="C873" s="15"/>
      <c r="D873" s="16"/>
      <c r="E873" s="16"/>
      <c r="F873" s="16"/>
      <c r="G873" s="16"/>
    </row>
    <row r="874" spans="2:7" ht="12.5" x14ac:dyDescent="0.25">
      <c r="B874" s="14"/>
      <c r="C874" s="15"/>
      <c r="D874" s="16"/>
      <c r="E874" s="16"/>
      <c r="F874" s="16"/>
      <c r="G874" s="16"/>
    </row>
    <row r="875" spans="2:7" ht="12.5" x14ac:dyDescent="0.25">
      <c r="B875" s="14"/>
      <c r="C875" s="15"/>
      <c r="D875" s="16"/>
      <c r="E875" s="16"/>
      <c r="F875" s="16"/>
      <c r="G875" s="16"/>
    </row>
    <row r="876" spans="2:7" ht="12.5" x14ac:dyDescent="0.25">
      <c r="B876" s="14"/>
      <c r="C876" s="15"/>
      <c r="D876" s="16"/>
      <c r="E876" s="16"/>
      <c r="F876" s="16"/>
      <c r="G876" s="16"/>
    </row>
    <row r="877" spans="2:7" ht="12.5" x14ac:dyDescent="0.25">
      <c r="B877" s="14"/>
      <c r="C877" s="15"/>
      <c r="D877" s="16"/>
      <c r="E877" s="16"/>
      <c r="F877" s="16"/>
      <c r="G877" s="16"/>
    </row>
    <row r="878" spans="2:7" ht="12.5" x14ac:dyDescent="0.25">
      <c r="B878" s="14"/>
      <c r="C878" s="15"/>
      <c r="D878" s="16"/>
      <c r="E878" s="16"/>
      <c r="F878" s="16"/>
      <c r="G878" s="16"/>
    </row>
    <row r="879" spans="2:7" ht="12.5" x14ac:dyDescent="0.25">
      <c r="B879" s="14"/>
      <c r="C879" s="15"/>
      <c r="D879" s="16"/>
      <c r="E879" s="16"/>
      <c r="F879" s="16"/>
      <c r="G879" s="16"/>
    </row>
    <row r="880" spans="2:7" ht="12.5" x14ac:dyDescent="0.25">
      <c r="B880" s="14"/>
      <c r="C880" s="15"/>
      <c r="D880" s="16"/>
      <c r="E880" s="16"/>
      <c r="F880" s="16"/>
      <c r="G880" s="16"/>
    </row>
    <row r="881" spans="2:7" ht="12.5" x14ac:dyDescent="0.25">
      <c r="B881" s="14"/>
      <c r="C881" s="15"/>
      <c r="D881" s="16"/>
      <c r="E881" s="16"/>
      <c r="F881" s="16"/>
      <c r="G881" s="16"/>
    </row>
    <row r="882" spans="2:7" ht="12.5" x14ac:dyDescent="0.25">
      <c r="B882" s="14"/>
      <c r="C882" s="15"/>
      <c r="D882" s="16"/>
      <c r="E882" s="16"/>
      <c r="F882" s="16"/>
      <c r="G882" s="16"/>
    </row>
    <row r="883" spans="2:7" ht="12.5" x14ac:dyDescent="0.25">
      <c r="B883" s="14"/>
      <c r="C883" s="15"/>
      <c r="D883" s="16"/>
      <c r="E883" s="16"/>
      <c r="F883" s="16"/>
      <c r="G883" s="16"/>
    </row>
    <row r="884" spans="2:7" ht="12.5" x14ac:dyDescent="0.25">
      <c r="B884" s="14"/>
      <c r="C884" s="15"/>
      <c r="D884" s="16"/>
      <c r="E884" s="16"/>
      <c r="F884" s="16"/>
      <c r="G884" s="16"/>
    </row>
    <row r="885" spans="2:7" ht="12.5" x14ac:dyDescent="0.25">
      <c r="B885" s="14"/>
      <c r="C885" s="15"/>
      <c r="D885" s="16"/>
      <c r="E885" s="16"/>
      <c r="F885" s="16"/>
      <c r="G885" s="16"/>
    </row>
    <row r="886" spans="2:7" ht="12.5" x14ac:dyDescent="0.25">
      <c r="B886" s="14"/>
      <c r="C886" s="15"/>
      <c r="D886" s="16"/>
      <c r="E886" s="16"/>
      <c r="F886" s="16"/>
      <c r="G886" s="16"/>
    </row>
    <row r="887" spans="2:7" ht="12.5" x14ac:dyDescent="0.25">
      <c r="B887" s="14"/>
      <c r="C887" s="15"/>
      <c r="D887" s="16"/>
      <c r="E887" s="16"/>
      <c r="F887" s="16"/>
      <c r="G887" s="16"/>
    </row>
    <row r="888" spans="2:7" ht="12.5" x14ac:dyDescent="0.25">
      <c r="B888" s="14"/>
      <c r="C888" s="15"/>
      <c r="D888" s="16"/>
      <c r="E888" s="16"/>
      <c r="F888" s="16"/>
      <c r="G888" s="16"/>
    </row>
    <row r="889" spans="2:7" ht="12.5" x14ac:dyDescent="0.25">
      <c r="B889" s="14"/>
      <c r="C889" s="15"/>
      <c r="D889" s="16"/>
      <c r="E889" s="16"/>
      <c r="F889" s="16"/>
      <c r="G889" s="16"/>
    </row>
    <row r="890" spans="2:7" ht="12.5" x14ac:dyDescent="0.25">
      <c r="B890" s="14"/>
      <c r="C890" s="15"/>
      <c r="D890" s="16"/>
      <c r="E890" s="16"/>
      <c r="F890" s="16"/>
      <c r="G890" s="16"/>
    </row>
    <row r="891" spans="2:7" ht="12.5" x14ac:dyDescent="0.25">
      <c r="B891" s="14"/>
      <c r="C891" s="15"/>
      <c r="D891" s="16"/>
      <c r="E891" s="16"/>
      <c r="F891" s="16"/>
      <c r="G891" s="16"/>
    </row>
    <row r="892" spans="2:7" ht="12.5" x14ac:dyDescent="0.25">
      <c r="B892" s="14"/>
      <c r="C892" s="15"/>
      <c r="D892" s="16"/>
      <c r="E892" s="16"/>
      <c r="F892" s="16"/>
      <c r="G892" s="16"/>
    </row>
    <row r="893" spans="2:7" ht="12.5" x14ac:dyDescent="0.25">
      <c r="B893" s="14"/>
      <c r="C893" s="15"/>
      <c r="D893" s="16"/>
      <c r="E893" s="16"/>
      <c r="F893" s="16"/>
      <c r="G893" s="16"/>
    </row>
    <row r="894" spans="2:7" ht="12.5" x14ac:dyDescent="0.25">
      <c r="B894" s="14"/>
      <c r="C894" s="15"/>
      <c r="D894" s="16"/>
      <c r="E894" s="16"/>
      <c r="F894" s="16"/>
      <c r="G894" s="16"/>
    </row>
    <row r="895" spans="2:7" ht="12.5" x14ac:dyDescent="0.25">
      <c r="B895" s="14"/>
      <c r="C895" s="15"/>
      <c r="D895" s="16"/>
      <c r="E895" s="16"/>
      <c r="F895" s="16"/>
      <c r="G895" s="16"/>
    </row>
    <row r="896" spans="2:7" ht="12.5" x14ac:dyDescent="0.25">
      <c r="B896" s="14"/>
      <c r="C896" s="15"/>
      <c r="D896" s="16"/>
      <c r="E896" s="16"/>
      <c r="F896" s="16"/>
      <c r="G896" s="16"/>
    </row>
    <row r="897" spans="2:7" ht="12.5" x14ac:dyDescent="0.25">
      <c r="B897" s="14"/>
      <c r="C897" s="15"/>
      <c r="D897" s="16"/>
      <c r="E897" s="16"/>
      <c r="F897" s="16"/>
      <c r="G897" s="16"/>
    </row>
    <row r="898" spans="2:7" ht="12.5" x14ac:dyDescent="0.25">
      <c r="B898" s="14"/>
      <c r="C898" s="15"/>
      <c r="D898" s="16"/>
      <c r="E898" s="16"/>
      <c r="F898" s="16"/>
      <c r="G898" s="16"/>
    </row>
    <row r="899" spans="2:7" ht="12.5" x14ac:dyDescent="0.25">
      <c r="B899" s="14"/>
      <c r="C899" s="15"/>
      <c r="D899" s="16"/>
      <c r="E899" s="16"/>
      <c r="F899" s="16"/>
      <c r="G899" s="16"/>
    </row>
    <row r="900" spans="2:7" ht="12.5" x14ac:dyDescent="0.25">
      <c r="B900" s="14"/>
      <c r="C900" s="15"/>
      <c r="D900" s="16"/>
      <c r="E900" s="16"/>
      <c r="F900" s="16"/>
      <c r="G900" s="16"/>
    </row>
    <row r="901" spans="2:7" ht="12.5" x14ac:dyDescent="0.25">
      <c r="B901" s="14"/>
      <c r="C901" s="15"/>
      <c r="D901" s="16"/>
      <c r="E901" s="16"/>
      <c r="F901" s="16"/>
      <c r="G901" s="16"/>
    </row>
    <row r="902" spans="2:7" ht="12.5" x14ac:dyDescent="0.25">
      <c r="B902" s="14"/>
      <c r="C902" s="15"/>
      <c r="D902" s="16"/>
      <c r="E902" s="16"/>
      <c r="F902" s="16"/>
      <c r="G902" s="16"/>
    </row>
    <row r="903" spans="2:7" ht="12.5" x14ac:dyDescent="0.25">
      <c r="B903" s="14"/>
      <c r="C903" s="15"/>
      <c r="D903" s="16"/>
      <c r="E903" s="16"/>
      <c r="F903" s="16"/>
      <c r="G903" s="16"/>
    </row>
    <row r="904" spans="2:7" ht="12.5" x14ac:dyDescent="0.25">
      <c r="B904" s="14"/>
      <c r="C904" s="15"/>
      <c r="D904" s="16"/>
      <c r="E904" s="16"/>
      <c r="F904" s="16"/>
      <c r="G904" s="16"/>
    </row>
    <row r="905" spans="2:7" ht="12.5" x14ac:dyDescent="0.25">
      <c r="B905" s="14"/>
      <c r="C905" s="15"/>
      <c r="D905" s="16"/>
      <c r="E905" s="16"/>
      <c r="F905" s="16"/>
      <c r="G905" s="16"/>
    </row>
    <row r="906" spans="2:7" ht="12.5" x14ac:dyDescent="0.25">
      <c r="B906" s="14"/>
      <c r="C906" s="15"/>
      <c r="D906" s="16"/>
      <c r="E906" s="16"/>
      <c r="F906" s="16"/>
      <c r="G906" s="16"/>
    </row>
    <row r="907" spans="2:7" ht="12.5" x14ac:dyDescent="0.25">
      <c r="B907" s="14"/>
      <c r="C907" s="15"/>
      <c r="D907" s="16"/>
      <c r="E907" s="16"/>
      <c r="F907" s="16"/>
      <c r="G907" s="16"/>
    </row>
    <row r="908" spans="2:7" ht="12.5" x14ac:dyDescent="0.25">
      <c r="B908" s="14"/>
      <c r="C908" s="15"/>
      <c r="D908" s="16"/>
      <c r="E908" s="16"/>
      <c r="F908" s="16"/>
      <c r="G908" s="16"/>
    </row>
    <row r="909" spans="2:7" ht="12.5" x14ac:dyDescent="0.25">
      <c r="B909" s="14"/>
      <c r="C909" s="15"/>
      <c r="D909" s="16"/>
      <c r="E909" s="16"/>
      <c r="F909" s="16"/>
      <c r="G909" s="16"/>
    </row>
    <row r="910" spans="2:7" ht="12.5" x14ac:dyDescent="0.25">
      <c r="B910" s="14"/>
      <c r="C910" s="15"/>
      <c r="D910" s="16"/>
      <c r="E910" s="16"/>
      <c r="F910" s="16"/>
      <c r="G910" s="16"/>
    </row>
    <row r="911" spans="2:7" ht="12.5" x14ac:dyDescent="0.25">
      <c r="B911" s="14"/>
      <c r="C911" s="15"/>
      <c r="D911" s="16"/>
      <c r="E911" s="16"/>
      <c r="F911" s="16"/>
      <c r="G911" s="16"/>
    </row>
    <row r="912" spans="2:7" ht="12.5" x14ac:dyDescent="0.25">
      <c r="B912" s="14"/>
      <c r="C912" s="15"/>
      <c r="D912" s="16"/>
      <c r="E912" s="16"/>
      <c r="F912" s="16"/>
      <c r="G912" s="16"/>
    </row>
    <row r="913" spans="2:7" ht="12.5" x14ac:dyDescent="0.25">
      <c r="B913" s="14"/>
      <c r="C913" s="15"/>
      <c r="D913" s="16"/>
      <c r="E913" s="16"/>
      <c r="F913" s="16"/>
      <c r="G913" s="16"/>
    </row>
    <row r="914" spans="2:7" ht="12.5" x14ac:dyDescent="0.25">
      <c r="B914" s="14"/>
      <c r="C914" s="15"/>
      <c r="D914" s="16"/>
      <c r="E914" s="16"/>
      <c r="F914" s="16"/>
      <c r="G914" s="16"/>
    </row>
    <row r="915" spans="2:7" ht="12.5" x14ac:dyDescent="0.25">
      <c r="B915" s="14"/>
      <c r="C915" s="15"/>
      <c r="D915" s="16"/>
      <c r="E915" s="16"/>
      <c r="F915" s="16"/>
      <c r="G915" s="16"/>
    </row>
    <row r="916" spans="2:7" ht="12.5" x14ac:dyDescent="0.25">
      <c r="B916" s="14"/>
      <c r="C916" s="15"/>
      <c r="D916" s="16"/>
      <c r="E916" s="16"/>
      <c r="F916" s="16"/>
      <c r="G916" s="16"/>
    </row>
    <row r="917" spans="2:7" ht="12.5" x14ac:dyDescent="0.25">
      <c r="B917" s="14"/>
      <c r="C917" s="15"/>
      <c r="D917" s="16"/>
      <c r="E917" s="16"/>
      <c r="F917" s="16"/>
      <c r="G917" s="16"/>
    </row>
    <row r="918" spans="2:7" ht="12.5" x14ac:dyDescent="0.25">
      <c r="B918" s="14"/>
      <c r="C918" s="15"/>
      <c r="D918" s="16"/>
      <c r="E918" s="16"/>
      <c r="F918" s="16"/>
      <c r="G918" s="16"/>
    </row>
    <row r="919" spans="2:7" ht="12.5" x14ac:dyDescent="0.25">
      <c r="B919" s="14"/>
      <c r="C919" s="15"/>
      <c r="D919" s="16"/>
      <c r="E919" s="16"/>
      <c r="F919" s="16"/>
      <c r="G919" s="16"/>
    </row>
    <row r="920" spans="2:7" ht="12.5" x14ac:dyDescent="0.25">
      <c r="B920" s="14"/>
      <c r="C920" s="15"/>
      <c r="D920" s="16"/>
      <c r="E920" s="16"/>
      <c r="F920" s="16"/>
      <c r="G920" s="16"/>
    </row>
    <row r="921" spans="2:7" ht="12.5" x14ac:dyDescent="0.25">
      <c r="B921" s="14"/>
      <c r="C921" s="15"/>
      <c r="D921" s="16"/>
      <c r="E921" s="16"/>
      <c r="F921" s="16"/>
      <c r="G921" s="16"/>
    </row>
    <row r="922" spans="2:7" ht="12.5" x14ac:dyDescent="0.25">
      <c r="B922" s="14"/>
      <c r="C922" s="15"/>
      <c r="D922" s="16"/>
      <c r="E922" s="16"/>
      <c r="F922" s="16"/>
      <c r="G922" s="16"/>
    </row>
    <row r="923" spans="2:7" ht="12.5" x14ac:dyDescent="0.25">
      <c r="B923" s="14"/>
      <c r="C923" s="15"/>
      <c r="D923" s="16"/>
      <c r="E923" s="16"/>
      <c r="F923" s="16"/>
      <c r="G923" s="16"/>
    </row>
    <row r="924" spans="2:7" ht="12.5" x14ac:dyDescent="0.25">
      <c r="B924" s="14"/>
      <c r="C924" s="15"/>
      <c r="D924" s="16"/>
      <c r="E924" s="16"/>
      <c r="F924" s="16"/>
      <c r="G924" s="16"/>
    </row>
    <row r="925" spans="2:7" ht="12.5" x14ac:dyDescent="0.25">
      <c r="B925" s="14"/>
      <c r="C925" s="15"/>
      <c r="D925" s="16"/>
      <c r="E925" s="16"/>
      <c r="F925" s="16"/>
      <c r="G925" s="16"/>
    </row>
    <row r="926" spans="2:7" ht="12.5" x14ac:dyDescent="0.25">
      <c r="B926" s="14"/>
      <c r="C926" s="15"/>
      <c r="D926" s="16"/>
      <c r="E926" s="16"/>
      <c r="F926" s="16"/>
      <c r="G926" s="16"/>
    </row>
    <row r="927" spans="2:7" ht="12.5" x14ac:dyDescent="0.25">
      <c r="B927" s="14"/>
      <c r="C927" s="15"/>
      <c r="D927" s="16"/>
      <c r="E927" s="16"/>
      <c r="F927" s="16"/>
      <c r="G927" s="16"/>
    </row>
    <row r="928" spans="2:7" ht="12.5" x14ac:dyDescent="0.25">
      <c r="B928" s="14"/>
      <c r="C928" s="15"/>
      <c r="D928" s="16"/>
      <c r="E928" s="16"/>
      <c r="F928" s="16"/>
      <c r="G928" s="16"/>
    </row>
    <row r="929" spans="2:7" ht="12.5" x14ac:dyDescent="0.25">
      <c r="B929" s="14"/>
      <c r="C929" s="15"/>
      <c r="D929" s="16"/>
      <c r="E929" s="16"/>
      <c r="F929" s="16"/>
      <c r="G929" s="16"/>
    </row>
    <row r="930" spans="2:7" ht="12.5" x14ac:dyDescent="0.25">
      <c r="B930" s="14"/>
      <c r="C930" s="15"/>
      <c r="D930" s="16"/>
      <c r="E930" s="16"/>
      <c r="F930" s="16"/>
      <c r="G930" s="16"/>
    </row>
    <row r="931" spans="2:7" ht="12.5" x14ac:dyDescent="0.25">
      <c r="B931" s="14"/>
      <c r="C931" s="15"/>
      <c r="D931" s="16"/>
      <c r="E931" s="16"/>
      <c r="F931" s="16"/>
      <c r="G931" s="16"/>
    </row>
    <row r="932" spans="2:7" ht="12.5" x14ac:dyDescent="0.25">
      <c r="B932" s="14"/>
      <c r="C932" s="15"/>
      <c r="D932" s="16"/>
      <c r="E932" s="16"/>
      <c r="F932" s="16"/>
      <c r="G932" s="16"/>
    </row>
    <row r="933" spans="2:7" ht="12.5" x14ac:dyDescent="0.25">
      <c r="B933" s="14"/>
      <c r="C933" s="15"/>
      <c r="D933" s="16"/>
      <c r="E933" s="16"/>
      <c r="F933" s="16"/>
      <c r="G933" s="16"/>
    </row>
    <row r="934" spans="2:7" ht="12.5" x14ac:dyDescent="0.25">
      <c r="B934" s="14"/>
      <c r="C934" s="15"/>
      <c r="D934" s="16"/>
      <c r="E934" s="16"/>
      <c r="F934" s="16"/>
      <c r="G934" s="16"/>
    </row>
    <row r="935" spans="2:7" ht="12.5" x14ac:dyDescent="0.25">
      <c r="B935" s="14"/>
      <c r="C935" s="15"/>
      <c r="D935" s="16"/>
      <c r="E935" s="16"/>
      <c r="F935" s="16"/>
      <c r="G935" s="16"/>
    </row>
    <row r="936" spans="2:7" ht="12.5" x14ac:dyDescent="0.25">
      <c r="B936" s="14"/>
      <c r="C936" s="15"/>
      <c r="D936" s="16"/>
      <c r="E936" s="16"/>
      <c r="F936" s="16"/>
      <c r="G936" s="16"/>
    </row>
    <row r="937" spans="2:7" ht="12.5" x14ac:dyDescent="0.25">
      <c r="B937" s="14"/>
      <c r="C937" s="15"/>
      <c r="D937" s="16"/>
      <c r="E937" s="16"/>
      <c r="F937" s="16"/>
      <c r="G937" s="16"/>
    </row>
    <row r="938" spans="2:7" ht="12.5" x14ac:dyDescent="0.25">
      <c r="B938" s="14"/>
      <c r="C938" s="15"/>
      <c r="D938" s="16"/>
      <c r="E938" s="16"/>
      <c r="F938" s="16"/>
      <c r="G938" s="16"/>
    </row>
    <row r="939" spans="2:7" ht="12.5" x14ac:dyDescent="0.25">
      <c r="B939" s="14"/>
      <c r="C939" s="15"/>
      <c r="D939" s="16"/>
      <c r="E939" s="16"/>
      <c r="F939" s="16"/>
      <c r="G939" s="16"/>
    </row>
    <row r="940" spans="2:7" ht="12.5" x14ac:dyDescent="0.25">
      <c r="B940" s="14"/>
      <c r="C940" s="15"/>
      <c r="D940" s="16"/>
      <c r="E940" s="16"/>
      <c r="F940" s="16"/>
      <c r="G940" s="16"/>
    </row>
    <row r="941" spans="2:7" ht="12.5" x14ac:dyDescent="0.25">
      <c r="B941" s="14"/>
      <c r="C941" s="15"/>
      <c r="D941" s="16"/>
      <c r="E941" s="16"/>
      <c r="F941" s="16"/>
      <c r="G941" s="16"/>
    </row>
    <row r="942" spans="2:7" ht="12.5" x14ac:dyDescent="0.25">
      <c r="B942" s="14"/>
      <c r="C942" s="15"/>
      <c r="D942" s="16"/>
      <c r="E942" s="16"/>
      <c r="F942" s="16"/>
      <c r="G942" s="16"/>
    </row>
    <row r="943" spans="2:7" ht="12.5" x14ac:dyDescent="0.25">
      <c r="B943" s="14"/>
      <c r="C943" s="15"/>
      <c r="D943" s="16"/>
      <c r="E943" s="16"/>
      <c r="F943" s="16"/>
      <c r="G943" s="16"/>
    </row>
    <row r="944" spans="2:7" ht="12.5" x14ac:dyDescent="0.25">
      <c r="B944" s="14"/>
      <c r="C944" s="15"/>
      <c r="D944" s="16"/>
      <c r="E944" s="16"/>
      <c r="F944" s="16"/>
      <c r="G944" s="16"/>
    </row>
    <row r="945" spans="2:7" ht="12.5" x14ac:dyDescent="0.25">
      <c r="B945" s="14"/>
      <c r="C945" s="15"/>
      <c r="D945" s="16"/>
      <c r="E945" s="16"/>
      <c r="F945" s="16"/>
      <c r="G945" s="16"/>
    </row>
    <row r="946" spans="2:7" ht="12.5" x14ac:dyDescent="0.25">
      <c r="B946" s="14"/>
      <c r="C946" s="15"/>
      <c r="D946" s="16"/>
      <c r="E946" s="16"/>
      <c r="F946" s="16"/>
      <c r="G946" s="16"/>
    </row>
    <row r="947" spans="2:7" ht="12.5" x14ac:dyDescent="0.25">
      <c r="B947" s="14"/>
      <c r="C947" s="15"/>
      <c r="D947" s="16"/>
      <c r="E947" s="16"/>
      <c r="F947" s="16"/>
      <c r="G947" s="16"/>
    </row>
    <row r="948" spans="2:7" ht="12.5" x14ac:dyDescent="0.25">
      <c r="B948" s="14"/>
      <c r="C948" s="15"/>
      <c r="D948" s="16"/>
      <c r="E948" s="16"/>
      <c r="F948" s="16"/>
      <c r="G948" s="16"/>
    </row>
    <row r="949" spans="2:7" ht="12.5" x14ac:dyDescent="0.25">
      <c r="B949" s="14"/>
      <c r="C949" s="15"/>
      <c r="D949" s="16"/>
      <c r="E949" s="16"/>
      <c r="F949" s="16"/>
      <c r="G949" s="16"/>
    </row>
    <row r="950" spans="2:7" ht="12.5" x14ac:dyDescent="0.25">
      <c r="B950" s="14"/>
      <c r="C950" s="15"/>
      <c r="D950" s="16"/>
      <c r="E950" s="16"/>
      <c r="F950" s="16"/>
      <c r="G950" s="16"/>
    </row>
    <row r="951" spans="2:7" ht="12.5" x14ac:dyDescent="0.25">
      <c r="B951" s="14"/>
      <c r="C951" s="15"/>
      <c r="D951" s="16"/>
      <c r="E951" s="16"/>
      <c r="F951" s="16"/>
      <c r="G951" s="16"/>
    </row>
    <row r="952" spans="2:7" ht="12.5" x14ac:dyDescent="0.25">
      <c r="B952" s="14"/>
      <c r="C952" s="15"/>
      <c r="D952" s="16"/>
      <c r="E952" s="16"/>
      <c r="F952" s="16"/>
      <c r="G952" s="16"/>
    </row>
    <row r="953" spans="2:7" ht="12.5" x14ac:dyDescent="0.25">
      <c r="B953" s="14"/>
      <c r="C953" s="15"/>
      <c r="D953" s="16"/>
      <c r="E953" s="16"/>
      <c r="F953" s="16"/>
      <c r="G953" s="16"/>
    </row>
    <row r="954" spans="2:7" ht="12.5" x14ac:dyDescent="0.25">
      <c r="B954" s="14"/>
      <c r="C954" s="15"/>
      <c r="D954" s="16"/>
      <c r="E954" s="16"/>
      <c r="F954" s="16"/>
      <c r="G954" s="16"/>
    </row>
    <row r="955" spans="2:7" ht="12.5" x14ac:dyDescent="0.25">
      <c r="B955" s="14"/>
      <c r="C955" s="15"/>
      <c r="D955" s="16"/>
      <c r="E955" s="16"/>
      <c r="F955" s="16"/>
      <c r="G955" s="16"/>
    </row>
    <row r="956" spans="2:7" ht="12.5" x14ac:dyDescent="0.25">
      <c r="B956" s="14"/>
      <c r="C956" s="15"/>
      <c r="D956" s="16"/>
      <c r="E956" s="16"/>
      <c r="F956" s="16"/>
      <c r="G956" s="16"/>
    </row>
    <row r="957" spans="2:7" ht="12.5" x14ac:dyDescent="0.25">
      <c r="B957" s="14"/>
      <c r="C957" s="15"/>
      <c r="D957" s="16"/>
      <c r="E957" s="16"/>
      <c r="F957" s="16"/>
      <c r="G957" s="16"/>
    </row>
    <row r="958" spans="2:7" ht="12.5" x14ac:dyDescent="0.25">
      <c r="B958" s="14"/>
      <c r="C958" s="15"/>
      <c r="D958" s="16"/>
      <c r="E958" s="16"/>
      <c r="F958" s="16"/>
      <c r="G958" s="16"/>
    </row>
    <row r="959" spans="2:7" ht="12.5" x14ac:dyDescent="0.25">
      <c r="B959" s="14"/>
      <c r="C959" s="15"/>
      <c r="D959" s="16"/>
      <c r="E959" s="16"/>
      <c r="F959" s="16"/>
      <c r="G959" s="16"/>
    </row>
    <row r="960" spans="2:7" ht="12.5" x14ac:dyDescent="0.25">
      <c r="B960" s="14"/>
      <c r="C960" s="15"/>
      <c r="D960" s="16"/>
      <c r="E960" s="16"/>
      <c r="F960" s="16"/>
      <c r="G960" s="16"/>
    </row>
    <row r="961" spans="2:7" ht="12.5" x14ac:dyDescent="0.25">
      <c r="B961" s="14"/>
      <c r="C961" s="15"/>
      <c r="D961" s="16"/>
      <c r="E961" s="16"/>
      <c r="F961" s="16"/>
      <c r="G961" s="16"/>
    </row>
    <row r="962" spans="2:7" ht="12.5" x14ac:dyDescent="0.25">
      <c r="B962" s="14"/>
      <c r="C962" s="15"/>
      <c r="D962" s="16"/>
      <c r="E962" s="16"/>
      <c r="F962" s="16"/>
      <c r="G962" s="16"/>
    </row>
    <row r="963" spans="2:7" ht="12.5" x14ac:dyDescent="0.25">
      <c r="B963" s="14"/>
      <c r="C963" s="15"/>
      <c r="D963" s="16"/>
      <c r="E963" s="16"/>
      <c r="F963" s="16"/>
      <c r="G963" s="16"/>
    </row>
    <row r="964" spans="2:7" ht="12.5" x14ac:dyDescent="0.25">
      <c r="B964" s="14"/>
      <c r="C964" s="15"/>
      <c r="D964" s="16"/>
      <c r="E964" s="16"/>
      <c r="F964" s="16"/>
      <c r="G964" s="16"/>
    </row>
    <row r="965" spans="2:7" ht="12.5" x14ac:dyDescent="0.25">
      <c r="B965" s="14"/>
      <c r="C965" s="15"/>
      <c r="D965" s="16"/>
      <c r="E965" s="16"/>
      <c r="F965" s="16"/>
      <c r="G965" s="16"/>
    </row>
    <row r="966" spans="2:7" ht="12.5" x14ac:dyDescent="0.25">
      <c r="B966" s="14"/>
      <c r="C966" s="15"/>
      <c r="D966" s="16"/>
      <c r="E966" s="16"/>
      <c r="F966" s="16"/>
      <c r="G966" s="16"/>
    </row>
    <row r="967" spans="2:7" ht="12.5" x14ac:dyDescent="0.25">
      <c r="B967" s="14"/>
      <c r="C967" s="15"/>
      <c r="D967" s="16"/>
      <c r="E967" s="16"/>
      <c r="F967" s="16"/>
      <c r="G967" s="16"/>
    </row>
    <row r="968" spans="2:7" ht="12.5" x14ac:dyDescent="0.25">
      <c r="B968" s="14"/>
      <c r="C968" s="15"/>
      <c r="D968" s="16"/>
      <c r="E968" s="16"/>
      <c r="F968" s="16"/>
      <c r="G968" s="16"/>
    </row>
    <row r="969" spans="2:7" ht="12.5" x14ac:dyDescent="0.25">
      <c r="B969" s="14"/>
      <c r="C969" s="15"/>
      <c r="D969" s="16"/>
      <c r="E969" s="16"/>
      <c r="F969" s="16"/>
      <c r="G969" s="16"/>
    </row>
    <row r="970" spans="2:7" ht="12.5" x14ac:dyDescent="0.25">
      <c r="B970" s="14"/>
      <c r="C970" s="15"/>
      <c r="D970" s="16"/>
      <c r="E970" s="16"/>
      <c r="F970" s="16"/>
      <c r="G970" s="16"/>
    </row>
    <row r="971" spans="2:7" ht="12.5" x14ac:dyDescent="0.25">
      <c r="B971" s="14"/>
      <c r="C971" s="15"/>
      <c r="D971" s="16"/>
      <c r="E971" s="16"/>
      <c r="F971" s="16"/>
      <c r="G971" s="16"/>
    </row>
    <row r="972" spans="2:7" ht="12.5" x14ac:dyDescent="0.25">
      <c r="B972" s="14"/>
      <c r="C972" s="15"/>
      <c r="D972" s="16"/>
      <c r="E972" s="16"/>
      <c r="F972" s="16"/>
      <c r="G972" s="16"/>
    </row>
    <row r="973" spans="2:7" ht="12.5" x14ac:dyDescent="0.25">
      <c r="B973" s="14"/>
      <c r="C973" s="15"/>
      <c r="D973" s="16"/>
      <c r="E973" s="16"/>
      <c r="F973" s="16"/>
      <c r="G973" s="16"/>
    </row>
    <row r="974" spans="2:7" ht="12.5" x14ac:dyDescent="0.25">
      <c r="B974" s="14"/>
      <c r="C974" s="15"/>
      <c r="D974" s="16"/>
      <c r="E974" s="16"/>
      <c r="F974" s="16"/>
      <c r="G974" s="16"/>
    </row>
    <row r="975" spans="2:7" ht="12.5" x14ac:dyDescent="0.25">
      <c r="B975" s="14"/>
      <c r="C975" s="15"/>
      <c r="D975" s="16"/>
      <c r="E975" s="16"/>
      <c r="F975" s="16"/>
      <c r="G975" s="16"/>
    </row>
    <row r="976" spans="2:7" ht="12.5" x14ac:dyDescent="0.25">
      <c r="B976" s="14"/>
      <c r="C976" s="15"/>
      <c r="D976" s="16"/>
      <c r="E976" s="16"/>
      <c r="F976" s="16"/>
      <c r="G976" s="16"/>
    </row>
    <row r="977" spans="2:7" ht="12.5" x14ac:dyDescent="0.25">
      <c r="B977" s="14"/>
      <c r="C977" s="15"/>
      <c r="D977" s="16"/>
      <c r="E977" s="16"/>
      <c r="F977" s="16"/>
      <c r="G977" s="16"/>
    </row>
    <row r="978" spans="2:7" ht="12.5" x14ac:dyDescent="0.25">
      <c r="B978" s="14"/>
      <c r="C978" s="15"/>
      <c r="D978" s="16"/>
      <c r="E978" s="16"/>
      <c r="F978" s="16"/>
      <c r="G978" s="16"/>
    </row>
    <row r="979" spans="2:7" ht="12.5" x14ac:dyDescent="0.25">
      <c r="B979" s="14"/>
      <c r="C979" s="15"/>
      <c r="D979" s="16"/>
      <c r="E979" s="16"/>
      <c r="F979" s="16"/>
      <c r="G979" s="16"/>
    </row>
    <row r="980" spans="2:7" ht="12.5" x14ac:dyDescent="0.25">
      <c r="B980" s="14"/>
      <c r="C980" s="15"/>
      <c r="D980" s="16"/>
      <c r="E980" s="16"/>
      <c r="F980" s="16"/>
      <c r="G980" s="16"/>
    </row>
    <row r="981" spans="2:7" ht="12.5" x14ac:dyDescent="0.25">
      <c r="B981" s="14"/>
      <c r="C981" s="15"/>
      <c r="D981" s="16"/>
      <c r="E981" s="16"/>
      <c r="F981" s="16"/>
      <c r="G981" s="16"/>
    </row>
    <row r="982" spans="2:7" ht="12.5" x14ac:dyDescent="0.25">
      <c r="B982" s="14"/>
      <c r="C982" s="15"/>
      <c r="D982" s="16"/>
      <c r="E982" s="16"/>
      <c r="F982" s="16"/>
      <c r="G982" s="16"/>
    </row>
    <row r="983" spans="2:7" ht="12.5" x14ac:dyDescent="0.25">
      <c r="B983" s="14"/>
      <c r="C983" s="15"/>
      <c r="D983" s="16"/>
      <c r="E983" s="16"/>
      <c r="F983" s="16"/>
      <c r="G983" s="16"/>
    </row>
    <row r="984" spans="2:7" ht="12.5" x14ac:dyDescent="0.25">
      <c r="B984" s="14"/>
      <c r="C984" s="15"/>
      <c r="D984" s="16"/>
      <c r="E984" s="16"/>
      <c r="F984" s="16"/>
      <c r="G984" s="16"/>
    </row>
    <row r="985" spans="2:7" ht="12.5" x14ac:dyDescent="0.25">
      <c r="B985" s="14"/>
      <c r="C985" s="15"/>
      <c r="D985" s="16"/>
      <c r="E985" s="16"/>
      <c r="F985" s="16"/>
      <c r="G985" s="16"/>
    </row>
    <row r="986" spans="2:7" ht="12.5" x14ac:dyDescent="0.25">
      <c r="B986" s="14"/>
      <c r="C986" s="15"/>
      <c r="D986" s="16"/>
      <c r="E986" s="16"/>
      <c r="F986" s="16"/>
      <c r="G986" s="16"/>
    </row>
    <row r="987" spans="2:7" ht="12.5" x14ac:dyDescent="0.25">
      <c r="B987" s="14"/>
      <c r="C987" s="15"/>
      <c r="D987" s="16"/>
      <c r="E987" s="16"/>
      <c r="F987" s="16"/>
      <c r="G987" s="16"/>
    </row>
    <row r="988" spans="2:7" ht="12.5" x14ac:dyDescent="0.25">
      <c r="B988" s="14"/>
      <c r="C988" s="15"/>
      <c r="D988" s="16"/>
      <c r="E988" s="16"/>
      <c r="F988" s="16"/>
      <c r="G988" s="16"/>
    </row>
    <row r="989" spans="2:7" ht="12.5" x14ac:dyDescent="0.25">
      <c r="B989" s="14"/>
      <c r="C989" s="15"/>
      <c r="D989" s="16"/>
      <c r="E989" s="16"/>
      <c r="F989" s="16"/>
      <c r="G989" s="16"/>
    </row>
    <row r="990" spans="2:7" ht="12.5" x14ac:dyDescent="0.25">
      <c r="B990" s="14"/>
      <c r="C990" s="15"/>
      <c r="D990" s="16"/>
      <c r="E990" s="16"/>
      <c r="F990" s="16"/>
      <c r="G990" s="16"/>
    </row>
    <row r="991" spans="2:7" ht="12.5" x14ac:dyDescent="0.25">
      <c r="B991" s="14"/>
      <c r="C991" s="15"/>
      <c r="D991" s="16"/>
      <c r="E991" s="16"/>
      <c r="F991" s="16"/>
      <c r="G991" s="16"/>
    </row>
    <row r="992" spans="2:7" ht="12.5" x14ac:dyDescent="0.25">
      <c r="B992" s="14"/>
      <c r="C992" s="15"/>
      <c r="D992" s="16"/>
      <c r="E992" s="16"/>
      <c r="F992" s="16"/>
      <c r="G992" s="16"/>
    </row>
    <row r="993" spans="2:7" ht="12.5" x14ac:dyDescent="0.25">
      <c r="B993" s="14"/>
      <c r="C993" s="15"/>
      <c r="D993" s="16"/>
      <c r="E993" s="16"/>
      <c r="F993" s="16"/>
      <c r="G993" s="16"/>
    </row>
    <row r="994" spans="2:7" ht="12.5" x14ac:dyDescent="0.25">
      <c r="B994" s="14"/>
      <c r="C994" s="15"/>
      <c r="D994" s="16"/>
      <c r="E994" s="16"/>
      <c r="F994" s="16"/>
      <c r="G994" s="16"/>
    </row>
    <row r="995" spans="2:7" ht="12.5" x14ac:dyDescent="0.25">
      <c r="B995" s="14"/>
      <c r="C995" s="15"/>
      <c r="D995" s="16"/>
      <c r="E995" s="16"/>
      <c r="F995" s="16"/>
      <c r="G995" s="16"/>
    </row>
    <row r="996" spans="2:7" ht="12.5" x14ac:dyDescent="0.25">
      <c r="B996" s="14"/>
      <c r="C996" s="15"/>
      <c r="D996" s="16"/>
      <c r="E996" s="16"/>
      <c r="F996" s="16"/>
      <c r="G996" s="16"/>
    </row>
    <row r="997" spans="2:7" ht="12.5" x14ac:dyDescent="0.25">
      <c r="B997" s="14"/>
      <c r="C997" s="15"/>
      <c r="D997" s="16"/>
      <c r="E997" s="16"/>
      <c r="F997" s="16"/>
      <c r="G997" s="16"/>
    </row>
    <row r="998" spans="2:7" ht="12.5" x14ac:dyDescent="0.25">
      <c r="B998" s="14"/>
      <c r="C998" s="15"/>
      <c r="D998" s="16"/>
      <c r="E998" s="16"/>
      <c r="F998" s="16"/>
      <c r="G998" s="16"/>
    </row>
    <row r="999" spans="2:7" ht="12.5" x14ac:dyDescent="0.25">
      <c r="B999" s="14"/>
      <c r="C999" s="15"/>
      <c r="D999" s="16"/>
      <c r="E999" s="16"/>
      <c r="F999" s="16"/>
      <c r="G999" s="16"/>
    </row>
    <row r="1000" spans="2:7" ht="12.5" x14ac:dyDescent="0.25">
      <c r="B1000" s="14"/>
      <c r="C1000" s="15"/>
      <c r="D1000" s="16"/>
      <c r="E1000" s="16"/>
      <c r="F1000" s="16"/>
      <c r="G1000" s="16"/>
    </row>
    <row r="1001" spans="2:7" ht="12.5" x14ac:dyDescent="0.25">
      <c r="B1001" s="14"/>
      <c r="C1001" s="15"/>
      <c r="D1001" s="16"/>
      <c r="E1001" s="16"/>
      <c r="F1001" s="16"/>
      <c r="G1001" s="16"/>
    </row>
    <row r="1002" spans="2:7" ht="12.5" x14ac:dyDescent="0.25">
      <c r="B1002" s="14"/>
      <c r="C1002" s="15"/>
      <c r="D1002" s="16"/>
      <c r="E1002" s="16"/>
      <c r="F1002" s="16"/>
      <c r="G1002" s="16"/>
    </row>
    <row r="1003" spans="2:7" ht="12.5" x14ac:dyDescent="0.25">
      <c r="B1003" s="14"/>
      <c r="C1003" s="15"/>
      <c r="D1003" s="16"/>
      <c r="E1003" s="16"/>
      <c r="F1003" s="16"/>
      <c r="G1003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X1003"/>
  <sheetViews>
    <sheetView workbookViewId="0">
      <selection activeCell="E27" sqref="E26:F27"/>
    </sheetView>
  </sheetViews>
  <sheetFormatPr defaultColWidth="12.6328125" defaultRowHeight="15.75" customHeight="1" x14ac:dyDescent="0.25"/>
  <cols>
    <col min="1" max="1" width="37.36328125" customWidth="1"/>
    <col min="3" max="8" width="16.7265625" customWidth="1"/>
  </cols>
  <sheetData>
    <row r="1" spans="1:24" ht="15.75" customHeight="1" x14ac:dyDescent="0.35">
      <c r="A1" s="1" t="str">
        <f>Specs!D1</f>
        <v>ModularSwitch</v>
      </c>
      <c r="B1" s="2" t="s">
        <v>0</v>
      </c>
      <c r="C1" s="3" t="e">
        <f t="array" aca="1" ref="C1" ca="1">INDEX(D1:H1, MATCH(1, D16:H16, 0))</f>
        <v>#N/A</v>
      </c>
      <c r="D1" s="23" t="s">
        <v>111</v>
      </c>
      <c r="E1" s="23" t="s">
        <v>112</v>
      </c>
      <c r="F1" s="23" t="s">
        <v>113</v>
      </c>
      <c r="G1" s="23" t="s">
        <v>114</v>
      </c>
      <c r="H1" s="6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5.75" customHeight="1" x14ac:dyDescent="0.35">
      <c r="A2" s="8" t="str">
        <f>Specs!D2</f>
        <v>Switching Bandwidth - Full Duplex (Gbps)</v>
      </c>
      <c r="B2" s="9">
        <f ca="1">IFERROR(__xludf.DUMMYFUNCTION("IMPORTRANGE(""https://docs.google.com/spreadsheets/d/18TjePryHG687L54fIGU6Od12DGyT3mPoblPemZTZRY4"",""SwitchCampus!B3:B10"")"),200)</f>
        <v>200</v>
      </c>
      <c r="C2" s="10" t="e">
        <f ca="1">HLOOKUP($C$1,$D$1:$H$10,2,0)</f>
        <v>#N/A</v>
      </c>
      <c r="D2" s="24">
        <f>480*2</f>
        <v>960</v>
      </c>
      <c r="E2" s="24">
        <f>480*5</f>
        <v>2400</v>
      </c>
      <c r="F2" s="24">
        <f>480*8</f>
        <v>3840</v>
      </c>
      <c r="G2" s="24">
        <f>3200*4</f>
        <v>12800</v>
      </c>
      <c r="H2" s="13"/>
    </row>
    <row r="3" spans="1:24" ht="15.75" customHeight="1" x14ac:dyDescent="0.35">
      <c r="A3" s="8" t="str">
        <f>Specs!D3</f>
        <v>Forwarding Capacity (Mpps)</v>
      </c>
      <c r="B3" s="9">
        <f ca="1">IFERROR(__xludf.DUMMYFUNCTION("""COMPUTED_VALUE"""),100)</f>
        <v>100</v>
      </c>
      <c r="C3" s="10" t="e">
        <f ca="1">HLOOKUP($C$1,$D$1:$H$10,3,0)</f>
        <v>#N/A</v>
      </c>
      <c r="D3" s="24"/>
      <c r="E3" s="24"/>
      <c r="F3" s="24"/>
      <c r="G3" s="24"/>
      <c r="H3" s="13"/>
    </row>
    <row r="4" spans="1:24" ht="15.75" customHeight="1" x14ac:dyDescent="0.35">
      <c r="A4" s="8" t="str">
        <f>Specs!D4</f>
        <v>Số lượng cổng 1GE đồng</v>
      </c>
      <c r="B4" s="9">
        <f ca="1">IFERROR(__xludf.DUMMYFUNCTION("""COMPUTED_VALUE"""),16)</f>
        <v>16</v>
      </c>
      <c r="C4" s="10" t="e">
        <f ca="1">HLOOKUP($C$1,$D$1:$H$10,4,0)</f>
        <v>#N/A</v>
      </c>
      <c r="D4" s="24">
        <v>96</v>
      </c>
      <c r="E4" s="24">
        <v>240</v>
      </c>
      <c r="F4" s="24">
        <v>384</v>
      </c>
      <c r="G4" s="24">
        <v>192</v>
      </c>
      <c r="H4" s="13"/>
    </row>
    <row r="5" spans="1:24" ht="15.75" customHeight="1" x14ac:dyDescent="0.35">
      <c r="A5" s="8" t="str">
        <f>Specs!D5</f>
        <v>Số lượng cổng 1GE SFP</v>
      </c>
      <c r="B5" s="9">
        <f ca="1">IFERROR(__xludf.DUMMYFUNCTION("""COMPUTED_VALUE"""),2)</f>
        <v>2</v>
      </c>
      <c r="C5" s="10" t="e">
        <f ca="1">HLOOKUP($C$1,$D$1:$H$10,5,0)</f>
        <v>#N/A</v>
      </c>
      <c r="D5" s="24">
        <v>96</v>
      </c>
      <c r="E5" s="24">
        <v>240</v>
      </c>
      <c r="F5" s="24">
        <v>384</v>
      </c>
      <c r="G5" s="24">
        <v>192</v>
      </c>
      <c r="H5" s="13"/>
    </row>
    <row r="6" spans="1:24" ht="15.75" customHeight="1" x14ac:dyDescent="0.35">
      <c r="A6" s="8" t="str">
        <f>Specs!D6</f>
        <v>Số lượng cổng 10GE đồng</v>
      </c>
      <c r="B6" s="9">
        <f ca="1">IFERROR(__xludf.DUMMYFUNCTION("""COMPUTED_VALUE"""),10)</f>
        <v>10</v>
      </c>
      <c r="C6" s="10" t="e">
        <f ca="1">HLOOKUP($C$1,$D$1:$H$10,6,0)</f>
        <v>#N/A</v>
      </c>
      <c r="D6" s="24">
        <v>96</v>
      </c>
      <c r="E6" s="24">
        <v>240</v>
      </c>
      <c r="F6" s="24">
        <v>384</v>
      </c>
      <c r="G6" s="24">
        <v>192</v>
      </c>
      <c r="H6" s="13"/>
    </row>
    <row r="7" spans="1:24" ht="15.75" customHeight="1" x14ac:dyDescent="0.35">
      <c r="A7" s="8" t="str">
        <f>Specs!D7</f>
        <v>Số lượng cổng 10GE quang</v>
      </c>
      <c r="B7" s="9"/>
      <c r="C7" s="10" t="e">
        <f ca="1">HLOOKUP($C$1,$D$1:$H$10,7,0)</f>
        <v>#N/A</v>
      </c>
      <c r="D7" s="24">
        <v>96</v>
      </c>
      <c r="E7" s="24">
        <v>240</v>
      </c>
      <c r="F7" s="24">
        <v>384</v>
      </c>
      <c r="G7" s="24">
        <v>224</v>
      </c>
      <c r="H7" s="13"/>
    </row>
    <row r="8" spans="1:24" ht="15.75" customHeight="1" x14ac:dyDescent="0.35">
      <c r="A8" s="8" t="str">
        <f>Specs!D8</f>
        <v>Số lượng cổng 100GE</v>
      </c>
      <c r="B8" s="9"/>
      <c r="C8" s="10" t="e">
        <f ca="1">HLOOKUP($C$1,$D$1:$H$10,8,0)</f>
        <v>#N/A</v>
      </c>
      <c r="D8" s="24">
        <v>8</v>
      </c>
      <c r="E8" s="24">
        <v>20</v>
      </c>
      <c r="F8" s="24">
        <v>32</v>
      </c>
      <c r="G8" s="24">
        <v>128</v>
      </c>
      <c r="H8" s="13"/>
    </row>
    <row r="9" spans="1:24" ht="15.75" customHeight="1" x14ac:dyDescent="0.35">
      <c r="A9" s="8" t="str">
        <f>Specs!D9</f>
        <v>Stacking (Y/N)</v>
      </c>
      <c r="B9" s="9" t="str">
        <f ca="1">IFERROR(__xludf.DUMMYFUNCTION("""COMPUTED_VALUE"""),"Y")</f>
        <v>Y</v>
      </c>
      <c r="C9" s="10" t="e">
        <f ca="1">HLOOKUP($C$1,$D$1:$H$10,9,0)</f>
        <v>#N/A</v>
      </c>
      <c r="D9" s="24" t="s">
        <v>105</v>
      </c>
      <c r="E9" s="24" t="s">
        <v>105</v>
      </c>
      <c r="F9" s="24" t="s">
        <v>105</v>
      </c>
      <c r="G9" s="24" t="s">
        <v>105</v>
      </c>
      <c r="H9" s="13"/>
    </row>
    <row r="10" spans="1:24" ht="15.75" customHeight="1" x14ac:dyDescent="0.35">
      <c r="A10" s="8" t="str">
        <f>Specs!D10</f>
        <v>PoE (Y/N)</v>
      </c>
      <c r="B10" s="9"/>
      <c r="C10" s="10" t="e">
        <f ca="1">HLOOKUP($C$1,$D$1:$H$10,10,0)</f>
        <v>#N/A</v>
      </c>
      <c r="D10" s="24" t="s">
        <v>105</v>
      </c>
      <c r="E10" s="24" t="s">
        <v>105</v>
      </c>
      <c r="F10" s="24" t="s">
        <v>105</v>
      </c>
      <c r="G10" s="24" t="s">
        <v>115</v>
      </c>
      <c r="H10" s="13"/>
    </row>
    <row r="11" spans="1:24" x14ac:dyDescent="0.3">
      <c r="A11" s="7" t="s">
        <v>106</v>
      </c>
      <c r="B11" s="14"/>
      <c r="C11" s="15" t="e">
        <f ca="1">HLOOKUP($C$1,$D$1:$H$11,11,0)</f>
        <v>#N/A</v>
      </c>
      <c r="D11" s="16" t="s">
        <v>25</v>
      </c>
      <c r="E11" s="16" t="s">
        <v>25</v>
      </c>
      <c r="F11" s="16" t="s">
        <v>25</v>
      </c>
      <c r="G11" s="16" t="s">
        <v>25</v>
      </c>
      <c r="H11" s="16"/>
    </row>
    <row r="12" spans="1:24" ht="15.75" customHeight="1" x14ac:dyDescent="0.25">
      <c r="A12" s="17"/>
      <c r="B12" s="14"/>
      <c r="C12" s="15"/>
      <c r="D12" s="16"/>
      <c r="E12" s="16"/>
      <c r="F12" s="16"/>
      <c r="G12" s="16"/>
      <c r="H12" s="16"/>
    </row>
    <row r="13" spans="1:24" ht="15.75" customHeight="1" x14ac:dyDescent="0.25">
      <c r="A13" s="17" t="s">
        <v>26</v>
      </c>
      <c r="B13" s="14"/>
      <c r="C13" s="15" t="e">
        <f t="shared" ref="C13:H13" ca="1" si="0">SUM(1*(C2&gt;=$B$2)+1*(C3&gt;=$B$3)+1*(C4&gt;=$B$4)+1*(C5&gt;=$B$5)+1*(C6&gt;=$B$6)+1*(C7&gt;=$B$7)+1*(C8&gt;=$B$8)+1*OR(C9="Y",$B$9="N",$B$9="")+1*OR(C10="Y",$B$10="N",$B$10=""))</f>
        <v>#N/A</v>
      </c>
      <c r="D13" s="16">
        <f t="shared" ca="1" si="0"/>
        <v>8</v>
      </c>
      <c r="E13" s="16">
        <f t="shared" ca="1" si="0"/>
        <v>8</v>
      </c>
      <c r="F13" s="16">
        <f t="shared" ca="1" si="0"/>
        <v>8</v>
      </c>
      <c r="G13" s="16">
        <f t="shared" ca="1" si="0"/>
        <v>8</v>
      </c>
      <c r="H13" s="16">
        <f t="shared" ca="1" si="0"/>
        <v>3</v>
      </c>
    </row>
    <row r="14" spans="1:24" ht="15.75" customHeight="1" x14ac:dyDescent="0.25">
      <c r="A14" s="17" t="s">
        <v>27</v>
      </c>
      <c r="B14" s="14"/>
      <c r="C14" s="18">
        <f ca="1">IFERROR(VLOOKUP(C1,AllListPrice!$A$2:$D$1000,4,0),0)</f>
        <v>0</v>
      </c>
      <c r="D14" s="19">
        <f ca="1">IFERROR(VLOOKUP(D1,AllListPrice!$A$2:$D$1000,4,0),0)</f>
        <v>0</v>
      </c>
      <c r="E14" s="19">
        <f ca="1">IFERROR(VLOOKUP(E1,AllListPrice!$A$2:$D$1000,4,0),0)</f>
        <v>0</v>
      </c>
      <c r="F14" s="19">
        <f ca="1">IFERROR(VLOOKUP(F1,AllListPrice!$A$2:$D$1000,4,0),0)</f>
        <v>0</v>
      </c>
      <c r="G14" s="19">
        <f ca="1">IFERROR(VLOOKUP(G1,AllListPrice!$A$2:$D$1000,4,0),0)</f>
        <v>0</v>
      </c>
      <c r="H14" s="19">
        <f ca="1">IFERROR(VLOOKUP(H1,Cisco!$A$2:$D$1000,4,0),0)</f>
        <v>0</v>
      </c>
    </row>
    <row r="15" spans="1:24" ht="15.75" customHeight="1" x14ac:dyDescent="0.25">
      <c r="A15" s="17" t="s">
        <v>28</v>
      </c>
      <c r="B15" s="14"/>
      <c r="C15" s="15" t="e">
        <f t="shared" ref="C15:H15" ca="1" si="1">1*(C13=MAX($D$13:$H$13))</f>
        <v>#N/A</v>
      </c>
      <c r="D15" s="16">
        <f t="shared" ca="1" si="1"/>
        <v>1</v>
      </c>
      <c r="E15" s="16">
        <f t="shared" ca="1" si="1"/>
        <v>1</v>
      </c>
      <c r="F15" s="16">
        <f t="shared" ca="1" si="1"/>
        <v>1</v>
      </c>
      <c r="G15" s="16">
        <f t="shared" ca="1" si="1"/>
        <v>1</v>
      </c>
      <c r="H15" s="16">
        <f t="shared" ca="1" si="1"/>
        <v>0</v>
      </c>
    </row>
    <row r="16" spans="1:24" ht="15.75" customHeight="1" x14ac:dyDescent="0.25">
      <c r="A16" s="17" t="s">
        <v>29</v>
      </c>
      <c r="B16" s="14"/>
      <c r="C16" s="15" t="e">
        <f t="shared" ref="C16:H16" ca="1" si="2">C15*(C14=_xludf.minifs($D$14:$H$14,$D$15:$H$15,1))</f>
        <v>#N/A</v>
      </c>
      <c r="D16" s="16" t="e">
        <f t="shared" ca="1" si="2"/>
        <v>#NAME?</v>
      </c>
      <c r="E16" s="16" t="e">
        <f t="shared" ca="1" si="2"/>
        <v>#NAME?</v>
      </c>
      <c r="F16" s="16" t="e">
        <f t="shared" ca="1" si="2"/>
        <v>#NAME?</v>
      </c>
      <c r="G16" s="16" t="e">
        <f t="shared" ca="1" si="2"/>
        <v>#NAME?</v>
      </c>
      <c r="H16" s="16" t="e">
        <f t="shared" ca="1" si="2"/>
        <v>#NAME?</v>
      </c>
    </row>
    <row r="17" spans="1:24" ht="15.75" customHeight="1" x14ac:dyDescent="0.25">
      <c r="A17" s="17" t="s">
        <v>30</v>
      </c>
      <c r="B17" s="14"/>
      <c r="C17" s="15" t="e">
        <f t="shared" ref="C17:H17" ca="1" si="3">(1-($C$1=C1))*(C15=1)</f>
        <v>#N/A</v>
      </c>
      <c r="D17" s="16" t="e">
        <f t="shared" ca="1" si="3"/>
        <v>#N/A</v>
      </c>
      <c r="E17" s="16" t="e">
        <f t="shared" ca="1" si="3"/>
        <v>#N/A</v>
      </c>
      <c r="F17" s="16" t="e">
        <f t="shared" ca="1" si="3"/>
        <v>#N/A</v>
      </c>
      <c r="G17" s="16" t="e">
        <f t="shared" ca="1" si="3"/>
        <v>#N/A</v>
      </c>
      <c r="H17" s="16" t="e">
        <f t="shared" ca="1" si="3"/>
        <v>#N/A</v>
      </c>
    </row>
    <row r="18" spans="1:24" ht="15.75" customHeight="1" x14ac:dyDescent="0.25">
      <c r="B18" s="14"/>
      <c r="C18" s="15"/>
      <c r="D18" s="16"/>
      <c r="E18" s="16"/>
      <c r="F18" s="16"/>
      <c r="G18" s="16"/>
      <c r="H18" s="16"/>
    </row>
    <row r="19" spans="1:24" x14ac:dyDescent="0.3">
      <c r="A19" s="7" t="s">
        <v>31</v>
      </c>
      <c r="B19" s="20"/>
      <c r="C19" s="21" t="str">
        <f ca="1">IFERROR(__xludf.DUMMYFUNCTION("iferror(filter(D1:H1,$D$17:$H$17=1),"""")"),"C9407R")</f>
        <v>C9407R</v>
      </c>
      <c r="D19" s="22" t="str">
        <f ca="1">IFERROR(__xludf.DUMMYFUNCTION("""COMPUTED_VALUE"""),"C9410R")</f>
        <v>C9410R</v>
      </c>
      <c r="E19" s="22" t="str">
        <f ca="1">IFERROR(__xludf.DUMMYFUNCTION("""COMPUTED_VALUE"""),"9606R")</f>
        <v>9606R</v>
      </c>
      <c r="F19" s="22"/>
      <c r="G19" s="22"/>
      <c r="H19" s="22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ht="12.5" x14ac:dyDescent="0.25">
      <c r="A20" s="17" t="str">
        <f t="shared" ref="A20:B20" si="4">A2</f>
        <v>Switching Bandwidth - Full Duplex (Gbps)</v>
      </c>
      <c r="B20" s="14">
        <f t="shared" ca="1" si="4"/>
        <v>200</v>
      </c>
      <c r="C20" s="15">
        <f ca="1">IFERROR(__xludf.DUMMYFUNCTION("iferror(filter(D2:H2,$D$17:$H$17=1),"""")"),2400)</f>
        <v>2400</v>
      </c>
      <c r="D20" s="16">
        <f ca="1">IFERROR(__xludf.DUMMYFUNCTION("""COMPUTED_VALUE"""),3840)</f>
        <v>3840</v>
      </c>
      <c r="E20" s="16">
        <f ca="1">IFERROR(__xludf.DUMMYFUNCTION("""COMPUTED_VALUE"""),12800)</f>
        <v>12800</v>
      </c>
      <c r="F20" s="16"/>
      <c r="G20" s="16"/>
      <c r="H20" s="16"/>
    </row>
    <row r="21" spans="1:24" ht="12.5" x14ac:dyDescent="0.25">
      <c r="A21" s="17" t="str">
        <f t="shared" ref="A21:B21" si="5">A3</f>
        <v>Forwarding Capacity (Mpps)</v>
      </c>
      <c r="B21" s="14">
        <f t="shared" ca="1" si="5"/>
        <v>100</v>
      </c>
      <c r="C21" s="15" t="str">
        <f ca="1">IFERROR(__xludf.DUMMYFUNCTION("iferror(filter(D3:H3,$D$17:$H$17=1),"""")"),"")</f>
        <v/>
      </c>
      <c r="D21" s="16"/>
      <c r="E21" s="16"/>
      <c r="F21" s="16"/>
      <c r="G21" s="16"/>
      <c r="H21" s="16"/>
    </row>
    <row r="22" spans="1:24" ht="12.5" x14ac:dyDescent="0.25">
      <c r="A22" s="17" t="str">
        <f t="shared" ref="A22:B22" si="6">A4</f>
        <v>Số lượng cổng 1GE đồng</v>
      </c>
      <c r="B22" s="14">
        <f t="shared" ca="1" si="6"/>
        <v>16</v>
      </c>
      <c r="C22" s="15">
        <f ca="1">IFERROR(__xludf.DUMMYFUNCTION("iferror(filter(D4:H4,$D$17:$H$17=1),"""")"),240)</f>
        <v>240</v>
      </c>
      <c r="D22" s="16">
        <f ca="1">IFERROR(__xludf.DUMMYFUNCTION("""COMPUTED_VALUE"""),384)</f>
        <v>384</v>
      </c>
      <c r="E22" s="16">
        <f ca="1">IFERROR(__xludf.DUMMYFUNCTION("""COMPUTED_VALUE"""),192)</f>
        <v>192</v>
      </c>
      <c r="F22" s="16"/>
      <c r="G22" s="16"/>
      <c r="H22" s="16"/>
    </row>
    <row r="23" spans="1:24" ht="12.5" x14ac:dyDescent="0.25">
      <c r="A23" s="17" t="str">
        <f t="shared" ref="A23:B23" si="7">A5</f>
        <v>Số lượng cổng 1GE SFP</v>
      </c>
      <c r="B23" s="14">
        <f t="shared" ca="1" si="7"/>
        <v>2</v>
      </c>
      <c r="C23" s="15">
        <f ca="1">IFERROR(__xludf.DUMMYFUNCTION("iferror(filter(D5:H5,$D$17:$H$17=1),"""")"),240)</f>
        <v>240</v>
      </c>
      <c r="D23" s="16">
        <f ca="1">IFERROR(__xludf.DUMMYFUNCTION("""COMPUTED_VALUE"""),384)</f>
        <v>384</v>
      </c>
      <c r="E23" s="16">
        <f ca="1">IFERROR(__xludf.DUMMYFUNCTION("""COMPUTED_VALUE"""),192)</f>
        <v>192</v>
      </c>
      <c r="F23" s="16"/>
      <c r="G23" s="16"/>
      <c r="H23" s="16"/>
    </row>
    <row r="24" spans="1:24" ht="12.5" x14ac:dyDescent="0.25">
      <c r="A24" s="17" t="str">
        <f t="shared" ref="A24:B24" si="8">A6</f>
        <v>Số lượng cổng 10GE đồng</v>
      </c>
      <c r="B24" s="14">
        <f t="shared" ca="1" si="8"/>
        <v>10</v>
      </c>
      <c r="C24" s="15">
        <f ca="1">IFERROR(__xludf.DUMMYFUNCTION("iferror(filter(D6:H6,$D$17:$H$17=1),"""")"),240)</f>
        <v>240</v>
      </c>
      <c r="D24" s="16">
        <f ca="1">IFERROR(__xludf.DUMMYFUNCTION("""COMPUTED_VALUE"""),384)</f>
        <v>384</v>
      </c>
      <c r="E24" s="16">
        <f ca="1">IFERROR(__xludf.DUMMYFUNCTION("""COMPUTED_VALUE"""),192)</f>
        <v>192</v>
      </c>
      <c r="F24" s="16"/>
      <c r="G24" s="16"/>
      <c r="H24" s="16"/>
    </row>
    <row r="25" spans="1:24" ht="12.5" x14ac:dyDescent="0.25">
      <c r="A25" s="17" t="str">
        <f t="shared" ref="A25:B25" si="9">A7</f>
        <v>Số lượng cổng 10GE quang</v>
      </c>
      <c r="B25" s="14">
        <f t="shared" si="9"/>
        <v>0</v>
      </c>
      <c r="C25" s="15">
        <f ca="1">IFERROR(__xludf.DUMMYFUNCTION("iferror(filter(D7:H7,$D$17:$H$17=1),"""")"),240)</f>
        <v>240</v>
      </c>
      <c r="D25" s="16">
        <f ca="1">IFERROR(__xludf.DUMMYFUNCTION("""COMPUTED_VALUE"""),384)</f>
        <v>384</v>
      </c>
      <c r="E25" s="16">
        <f ca="1">IFERROR(__xludf.DUMMYFUNCTION("""COMPUTED_VALUE"""),224)</f>
        <v>224</v>
      </c>
      <c r="F25" s="16"/>
      <c r="G25" s="16"/>
      <c r="H25" s="16"/>
    </row>
    <row r="26" spans="1:24" ht="12.5" x14ac:dyDescent="0.25">
      <c r="A26" s="17" t="str">
        <f t="shared" ref="A26:B26" si="10">A8</f>
        <v>Số lượng cổng 100GE</v>
      </c>
      <c r="B26" s="14">
        <f t="shared" si="10"/>
        <v>0</v>
      </c>
      <c r="C26" s="15">
        <f ca="1">IFERROR(__xludf.DUMMYFUNCTION("iferror(filter(D8:H8,$D$17:$H$17=1),"""")"),20)</f>
        <v>20</v>
      </c>
      <c r="D26" s="16">
        <f ca="1">IFERROR(__xludf.DUMMYFUNCTION("""COMPUTED_VALUE"""),32)</f>
        <v>32</v>
      </c>
      <c r="E26" s="16">
        <f ca="1">IFERROR(__xludf.DUMMYFUNCTION("""COMPUTED_VALUE"""),128)</f>
        <v>128</v>
      </c>
      <c r="F26" s="16"/>
      <c r="G26" s="16"/>
      <c r="H26" s="16"/>
    </row>
    <row r="27" spans="1:24" ht="12.5" x14ac:dyDescent="0.25">
      <c r="A27" s="17" t="str">
        <f t="shared" ref="A27:B27" si="11">A9</f>
        <v>Stacking (Y/N)</v>
      </c>
      <c r="B27" s="14" t="str">
        <f t="shared" ca="1" si="11"/>
        <v>Y</v>
      </c>
      <c r="C27" s="15" t="str">
        <f ca="1">IFERROR(__xludf.DUMMYFUNCTION("iferror(filter(D9:H9,$D$17:$H$17=1),"""")"),"Y")</f>
        <v>Y</v>
      </c>
      <c r="D27" s="16" t="str">
        <f ca="1">IFERROR(__xludf.DUMMYFUNCTION("""COMPUTED_VALUE"""),"Y")</f>
        <v>Y</v>
      </c>
      <c r="E27" s="16" t="str">
        <f ca="1">IFERROR(__xludf.DUMMYFUNCTION("""COMPUTED_VALUE"""),"Y")</f>
        <v>Y</v>
      </c>
      <c r="F27" s="16"/>
      <c r="G27" s="16"/>
      <c r="H27" s="16"/>
    </row>
    <row r="28" spans="1:24" ht="12.5" x14ac:dyDescent="0.25">
      <c r="A28" s="17" t="str">
        <f>A10</f>
        <v>PoE (Y/N)</v>
      </c>
      <c r="B28" s="14"/>
      <c r="C28" s="15" t="str">
        <f ca="1">IFERROR(__xludf.DUMMYFUNCTION("iferror(filter(D10:G10,$D$17:$G$17=1),"""")"),"Y")</f>
        <v>Y</v>
      </c>
      <c r="D28" s="16" t="str">
        <f ca="1">IFERROR(__xludf.DUMMYFUNCTION("""COMPUTED_VALUE"""),"Y")</f>
        <v>Y</v>
      </c>
      <c r="E28" s="16" t="str">
        <f ca="1">IFERROR(__xludf.DUMMYFUNCTION("""COMPUTED_VALUE"""),"N")</f>
        <v>N</v>
      </c>
      <c r="F28" s="16"/>
      <c r="G28" s="16"/>
      <c r="H28" s="16"/>
    </row>
    <row r="29" spans="1:24" ht="12.5" x14ac:dyDescent="0.25">
      <c r="B29" s="14"/>
      <c r="C29" s="15"/>
      <c r="D29" s="16"/>
      <c r="E29" s="16"/>
      <c r="F29" s="16"/>
      <c r="G29" s="16"/>
      <c r="H29" s="16"/>
    </row>
    <row r="30" spans="1:24" ht="12.5" x14ac:dyDescent="0.25">
      <c r="B30" s="14"/>
      <c r="C30" s="15"/>
      <c r="D30" s="16"/>
      <c r="E30" s="16"/>
      <c r="F30" s="16"/>
      <c r="G30" s="16"/>
      <c r="H30" s="16"/>
    </row>
    <row r="31" spans="1:24" ht="12.5" x14ac:dyDescent="0.25">
      <c r="B31" s="14"/>
      <c r="C31" s="15"/>
      <c r="D31" s="16"/>
      <c r="E31" s="16"/>
      <c r="F31" s="16"/>
      <c r="G31" s="16"/>
      <c r="H31" s="16"/>
    </row>
    <row r="32" spans="1:24" ht="12.5" x14ac:dyDescent="0.25">
      <c r="B32" s="14"/>
      <c r="C32" s="15"/>
      <c r="D32" s="16"/>
      <c r="E32" s="16"/>
      <c r="F32" s="16"/>
      <c r="G32" s="16"/>
      <c r="H32" s="16"/>
    </row>
    <row r="33" spans="2:8" ht="12.5" x14ac:dyDescent="0.25">
      <c r="B33" s="14"/>
      <c r="C33" s="15"/>
      <c r="D33" s="16"/>
      <c r="E33" s="16"/>
      <c r="F33" s="16"/>
      <c r="G33" s="16"/>
      <c r="H33" s="16"/>
    </row>
    <row r="34" spans="2:8" ht="12.5" x14ac:dyDescent="0.25">
      <c r="B34" s="14"/>
      <c r="C34" s="15"/>
      <c r="D34" s="16"/>
      <c r="E34" s="16"/>
      <c r="F34" s="16"/>
      <c r="G34" s="16"/>
      <c r="H34" s="16"/>
    </row>
    <row r="35" spans="2:8" ht="12.5" x14ac:dyDescent="0.25">
      <c r="B35" s="14"/>
      <c r="C35" s="15"/>
      <c r="D35" s="16"/>
      <c r="E35" s="16"/>
      <c r="F35" s="16"/>
      <c r="G35" s="16"/>
      <c r="H35" s="16"/>
    </row>
    <row r="36" spans="2:8" ht="12.5" x14ac:dyDescent="0.25">
      <c r="B36" s="14"/>
      <c r="C36" s="15"/>
      <c r="D36" s="16"/>
      <c r="E36" s="16"/>
      <c r="F36" s="16"/>
      <c r="G36" s="16"/>
      <c r="H36" s="16"/>
    </row>
    <row r="37" spans="2:8" ht="12.5" x14ac:dyDescent="0.25">
      <c r="B37" s="14"/>
      <c r="C37" s="15"/>
      <c r="D37" s="16"/>
      <c r="E37" s="16"/>
      <c r="F37" s="16"/>
      <c r="G37" s="16"/>
      <c r="H37" s="16"/>
    </row>
    <row r="38" spans="2:8" ht="12.5" x14ac:dyDescent="0.25">
      <c r="B38" s="14"/>
      <c r="C38" s="15"/>
      <c r="D38" s="16"/>
      <c r="E38" s="16"/>
      <c r="F38" s="16"/>
      <c r="G38" s="16"/>
      <c r="H38" s="16"/>
    </row>
    <row r="39" spans="2:8" ht="12.5" x14ac:dyDescent="0.25">
      <c r="B39" s="14"/>
      <c r="C39" s="15"/>
      <c r="D39" s="16"/>
      <c r="E39" s="16"/>
      <c r="F39" s="16"/>
      <c r="G39" s="16"/>
      <c r="H39" s="16"/>
    </row>
    <row r="40" spans="2:8" ht="12.5" x14ac:dyDescent="0.25">
      <c r="B40" s="14"/>
      <c r="C40" s="15"/>
      <c r="D40" s="16"/>
      <c r="E40" s="16"/>
      <c r="F40" s="16"/>
      <c r="G40" s="16"/>
      <c r="H40" s="16"/>
    </row>
    <row r="41" spans="2:8" ht="12.5" x14ac:dyDescent="0.25">
      <c r="B41" s="14"/>
      <c r="C41" s="15"/>
      <c r="D41" s="16"/>
      <c r="E41" s="16"/>
      <c r="F41" s="16"/>
      <c r="G41" s="16"/>
      <c r="H41" s="16"/>
    </row>
    <row r="42" spans="2:8" ht="12.5" x14ac:dyDescent="0.25">
      <c r="B42" s="14"/>
      <c r="C42" s="15"/>
      <c r="D42" s="16"/>
      <c r="E42" s="16"/>
      <c r="F42" s="16"/>
      <c r="G42" s="16"/>
      <c r="H42" s="16"/>
    </row>
    <row r="43" spans="2:8" ht="12.5" x14ac:dyDescent="0.25">
      <c r="B43" s="14"/>
      <c r="C43" s="15"/>
      <c r="D43" s="16"/>
      <c r="E43" s="16"/>
      <c r="F43" s="16"/>
      <c r="G43" s="16"/>
      <c r="H43" s="16"/>
    </row>
    <row r="44" spans="2:8" ht="12.5" x14ac:dyDescent="0.25">
      <c r="B44" s="14"/>
      <c r="C44" s="15"/>
      <c r="D44" s="16"/>
      <c r="E44" s="16"/>
      <c r="F44" s="16"/>
      <c r="G44" s="16"/>
      <c r="H44" s="16"/>
    </row>
    <row r="45" spans="2:8" ht="12.5" x14ac:dyDescent="0.25">
      <c r="B45" s="14"/>
      <c r="C45" s="15"/>
      <c r="D45" s="16"/>
      <c r="E45" s="16"/>
      <c r="F45" s="16"/>
      <c r="G45" s="16"/>
      <c r="H45" s="16"/>
    </row>
    <row r="46" spans="2:8" ht="12.5" x14ac:dyDescent="0.25">
      <c r="B46" s="14"/>
      <c r="C46" s="15"/>
      <c r="D46" s="16"/>
      <c r="E46" s="16"/>
      <c r="F46" s="16"/>
      <c r="G46" s="16"/>
      <c r="H46" s="16"/>
    </row>
    <row r="47" spans="2:8" ht="12.5" x14ac:dyDescent="0.25">
      <c r="B47" s="14"/>
      <c r="C47" s="15"/>
      <c r="D47" s="16"/>
      <c r="E47" s="16"/>
      <c r="F47" s="16"/>
      <c r="G47" s="16"/>
      <c r="H47" s="16"/>
    </row>
    <row r="48" spans="2:8" ht="12.5" x14ac:dyDescent="0.25">
      <c r="B48" s="14"/>
      <c r="C48" s="15"/>
      <c r="D48" s="16"/>
      <c r="E48" s="16"/>
      <c r="F48" s="16"/>
      <c r="G48" s="16"/>
      <c r="H48" s="16"/>
    </row>
    <row r="49" spans="2:8" ht="12.5" x14ac:dyDescent="0.25">
      <c r="B49" s="14"/>
      <c r="C49" s="15"/>
      <c r="D49" s="16"/>
      <c r="E49" s="16"/>
      <c r="F49" s="16"/>
      <c r="G49" s="16"/>
      <c r="H49" s="16"/>
    </row>
    <row r="50" spans="2:8" ht="12.5" x14ac:dyDescent="0.25">
      <c r="B50" s="14"/>
      <c r="C50" s="15"/>
      <c r="D50" s="16"/>
      <c r="E50" s="16"/>
      <c r="F50" s="16"/>
      <c r="G50" s="16"/>
      <c r="H50" s="16"/>
    </row>
    <row r="51" spans="2:8" ht="12.5" x14ac:dyDescent="0.25">
      <c r="B51" s="14"/>
      <c r="C51" s="15"/>
      <c r="D51" s="16"/>
      <c r="E51" s="16"/>
      <c r="F51" s="16"/>
      <c r="G51" s="16"/>
      <c r="H51" s="16"/>
    </row>
    <row r="52" spans="2:8" ht="12.5" x14ac:dyDescent="0.25">
      <c r="B52" s="14"/>
      <c r="C52" s="15"/>
      <c r="D52" s="16"/>
      <c r="E52" s="16"/>
      <c r="F52" s="16"/>
      <c r="G52" s="16"/>
      <c r="H52" s="16"/>
    </row>
    <row r="53" spans="2:8" ht="12.5" x14ac:dyDescent="0.25">
      <c r="B53" s="14"/>
      <c r="C53" s="15"/>
      <c r="D53" s="16"/>
      <c r="E53" s="16"/>
      <c r="F53" s="16"/>
      <c r="G53" s="16"/>
      <c r="H53" s="16"/>
    </row>
    <row r="54" spans="2:8" ht="12.5" x14ac:dyDescent="0.25">
      <c r="B54" s="14"/>
      <c r="C54" s="15"/>
      <c r="D54" s="16"/>
      <c r="E54" s="16"/>
      <c r="F54" s="16"/>
      <c r="G54" s="16"/>
      <c r="H54" s="16"/>
    </row>
    <row r="55" spans="2:8" ht="12.5" x14ac:dyDescent="0.25">
      <c r="B55" s="14"/>
      <c r="C55" s="15"/>
      <c r="D55" s="16"/>
      <c r="E55" s="16"/>
      <c r="F55" s="16"/>
      <c r="G55" s="16"/>
      <c r="H55" s="16"/>
    </row>
    <row r="56" spans="2:8" ht="12.5" x14ac:dyDescent="0.25">
      <c r="B56" s="14"/>
      <c r="C56" s="15"/>
      <c r="D56" s="16"/>
      <c r="E56" s="16"/>
      <c r="F56" s="16"/>
      <c r="G56" s="16"/>
      <c r="H56" s="16"/>
    </row>
    <row r="57" spans="2:8" ht="12.5" x14ac:dyDescent="0.25">
      <c r="B57" s="14"/>
      <c r="C57" s="15"/>
      <c r="D57" s="16"/>
      <c r="E57" s="16"/>
      <c r="F57" s="16"/>
      <c r="G57" s="16"/>
      <c r="H57" s="16"/>
    </row>
    <row r="58" spans="2:8" ht="12.5" x14ac:dyDescent="0.25">
      <c r="B58" s="14"/>
      <c r="C58" s="15"/>
      <c r="D58" s="16"/>
      <c r="E58" s="16"/>
      <c r="F58" s="16"/>
      <c r="G58" s="16"/>
      <c r="H58" s="16"/>
    </row>
    <row r="59" spans="2:8" ht="12.5" x14ac:dyDescent="0.25">
      <c r="B59" s="14"/>
      <c r="C59" s="15"/>
      <c r="D59" s="16"/>
      <c r="E59" s="16"/>
      <c r="F59" s="16"/>
      <c r="G59" s="16"/>
      <c r="H59" s="16"/>
    </row>
    <row r="60" spans="2:8" ht="12.5" x14ac:dyDescent="0.25">
      <c r="B60" s="14"/>
      <c r="C60" s="15"/>
      <c r="D60" s="16"/>
      <c r="E60" s="16"/>
      <c r="F60" s="16"/>
      <c r="G60" s="16"/>
      <c r="H60" s="16"/>
    </row>
    <row r="61" spans="2:8" ht="12.5" x14ac:dyDescent="0.25">
      <c r="B61" s="14"/>
      <c r="C61" s="15"/>
      <c r="D61" s="16"/>
      <c r="E61" s="16"/>
      <c r="F61" s="16"/>
      <c r="G61" s="16"/>
      <c r="H61" s="16"/>
    </row>
    <row r="62" spans="2:8" ht="12.5" x14ac:dyDescent="0.25">
      <c r="B62" s="14"/>
      <c r="C62" s="15"/>
      <c r="D62" s="16"/>
      <c r="E62" s="16"/>
      <c r="F62" s="16"/>
      <c r="G62" s="16"/>
      <c r="H62" s="16"/>
    </row>
    <row r="63" spans="2:8" ht="12.5" x14ac:dyDescent="0.25">
      <c r="B63" s="14"/>
      <c r="C63" s="15"/>
      <c r="D63" s="16"/>
      <c r="E63" s="16"/>
      <c r="F63" s="16"/>
      <c r="G63" s="16"/>
      <c r="H63" s="16"/>
    </row>
    <row r="64" spans="2:8" ht="12.5" x14ac:dyDescent="0.25">
      <c r="B64" s="14"/>
      <c r="C64" s="15"/>
      <c r="D64" s="16"/>
      <c r="E64" s="16"/>
      <c r="F64" s="16"/>
      <c r="G64" s="16"/>
      <c r="H64" s="16"/>
    </row>
    <row r="65" spans="2:8" ht="12.5" x14ac:dyDescent="0.25">
      <c r="B65" s="14"/>
      <c r="C65" s="15"/>
      <c r="D65" s="16"/>
      <c r="E65" s="16"/>
      <c r="F65" s="16"/>
      <c r="G65" s="16"/>
      <c r="H65" s="16"/>
    </row>
    <row r="66" spans="2:8" ht="12.5" x14ac:dyDescent="0.25">
      <c r="B66" s="14"/>
      <c r="C66" s="15"/>
      <c r="D66" s="16"/>
      <c r="E66" s="16"/>
      <c r="F66" s="16"/>
      <c r="G66" s="16"/>
      <c r="H66" s="16"/>
    </row>
    <row r="67" spans="2:8" ht="12.5" x14ac:dyDescent="0.25">
      <c r="B67" s="14"/>
      <c r="C67" s="15"/>
      <c r="D67" s="16"/>
      <c r="E67" s="16"/>
      <c r="F67" s="16"/>
      <c r="G67" s="16"/>
      <c r="H67" s="16"/>
    </row>
    <row r="68" spans="2:8" ht="12.5" x14ac:dyDescent="0.25">
      <c r="B68" s="14"/>
      <c r="C68" s="15"/>
      <c r="D68" s="16"/>
      <c r="E68" s="16"/>
      <c r="F68" s="16"/>
      <c r="G68" s="16"/>
      <c r="H68" s="16"/>
    </row>
    <row r="69" spans="2:8" ht="12.5" x14ac:dyDescent="0.25">
      <c r="B69" s="14"/>
      <c r="C69" s="15"/>
      <c r="D69" s="16"/>
      <c r="E69" s="16"/>
      <c r="F69" s="16"/>
      <c r="G69" s="16"/>
      <c r="H69" s="16"/>
    </row>
    <row r="70" spans="2:8" ht="12.5" x14ac:dyDescent="0.25">
      <c r="B70" s="14"/>
      <c r="C70" s="15"/>
      <c r="D70" s="16"/>
      <c r="E70" s="16"/>
      <c r="F70" s="16"/>
      <c r="G70" s="16"/>
      <c r="H70" s="16"/>
    </row>
    <row r="71" spans="2:8" ht="12.5" x14ac:dyDescent="0.25">
      <c r="B71" s="14"/>
      <c r="C71" s="15"/>
      <c r="D71" s="16"/>
      <c r="E71" s="16"/>
      <c r="F71" s="16"/>
      <c r="G71" s="16"/>
      <c r="H71" s="16"/>
    </row>
    <row r="72" spans="2:8" ht="12.5" x14ac:dyDescent="0.25">
      <c r="B72" s="14"/>
      <c r="C72" s="15"/>
      <c r="D72" s="16"/>
      <c r="E72" s="16"/>
      <c r="F72" s="16"/>
      <c r="G72" s="16"/>
      <c r="H72" s="16"/>
    </row>
    <row r="73" spans="2:8" ht="12.5" x14ac:dyDescent="0.25">
      <c r="B73" s="14"/>
      <c r="C73" s="15"/>
      <c r="D73" s="16"/>
      <c r="E73" s="16"/>
      <c r="F73" s="16"/>
      <c r="G73" s="16"/>
      <c r="H73" s="16"/>
    </row>
    <row r="74" spans="2:8" ht="12.5" x14ac:dyDescent="0.25">
      <c r="B74" s="14"/>
      <c r="C74" s="15"/>
      <c r="D74" s="16"/>
      <c r="E74" s="16"/>
      <c r="F74" s="16"/>
      <c r="G74" s="16"/>
      <c r="H74" s="16"/>
    </row>
    <row r="75" spans="2:8" ht="12.5" x14ac:dyDescent="0.25">
      <c r="B75" s="14"/>
      <c r="C75" s="15"/>
      <c r="D75" s="16"/>
      <c r="E75" s="16"/>
      <c r="F75" s="16"/>
      <c r="G75" s="16"/>
      <c r="H75" s="16"/>
    </row>
    <row r="76" spans="2:8" ht="12.5" x14ac:dyDescent="0.25">
      <c r="B76" s="14"/>
      <c r="C76" s="15"/>
      <c r="D76" s="16"/>
      <c r="E76" s="16"/>
      <c r="F76" s="16"/>
      <c r="G76" s="16"/>
      <c r="H76" s="16"/>
    </row>
    <row r="77" spans="2:8" ht="12.5" x14ac:dyDescent="0.25">
      <c r="B77" s="14"/>
      <c r="C77" s="15"/>
      <c r="D77" s="16"/>
      <c r="E77" s="16"/>
      <c r="F77" s="16"/>
      <c r="G77" s="16"/>
      <c r="H77" s="16"/>
    </row>
    <row r="78" spans="2:8" ht="12.5" x14ac:dyDescent="0.25">
      <c r="B78" s="14"/>
      <c r="C78" s="15"/>
      <c r="D78" s="16"/>
      <c r="E78" s="16"/>
      <c r="F78" s="16"/>
      <c r="G78" s="16"/>
      <c r="H78" s="16"/>
    </row>
    <row r="79" spans="2:8" ht="12.5" x14ac:dyDescent="0.25">
      <c r="B79" s="14"/>
      <c r="C79" s="15"/>
      <c r="D79" s="16"/>
      <c r="E79" s="16"/>
      <c r="F79" s="16"/>
      <c r="G79" s="16"/>
      <c r="H79" s="16"/>
    </row>
    <row r="80" spans="2:8" ht="12.5" x14ac:dyDescent="0.25">
      <c r="B80" s="14"/>
      <c r="C80" s="15"/>
      <c r="D80" s="16"/>
      <c r="E80" s="16"/>
      <c r="F80" s="16"/>
      <c r="G80" s="16"/>
      <c r="H80" s="16"/>
    </row>
    <row r="81" spans="2:8" ht="12.5" x14ac:dyDescent="0.25">
      <c r="B81" s="14"/>
      <c r="C81" s="15"/>
      <c r="D81" s="16"/>
      <c r="E81" s="16"/>
      <c r="F81" s="16"/>
      <c r="G81" s="16"/>
      <c r="H81" s="16"/>
    </row>
    <row r="82" spans="2:8" ht="12.5" x14ac:dyDescent="0.25">
      <c r="B82" s="14"/>
      <c r="C82" s="15"/>
      <c r="D82" s="16"/>
      <c r="E82" s="16"/>
      <c r="F82" s="16"/>
      <c r="G82" s="16"/>
      <c r="H82" s="16"/>
    </row>
    <row r="83" spans="2:8" ht="12.5" x14ac:dyDescent="0.25">
      <c r="B83" s="14"/>
      <c r="C83" s="15"/>
      <c r="D83" s="16"/>
      <c r="E83" s="16"/>
      <c r="F83" s="16"/>
      <c r="G83" s="16"/>
      <c r="H83" s="16"/>
    </row>
    <row r="84" spans="2:8" ht="12.5" x14ac:dyDescent="0.25">
      <c r="B84" s="14"/>
      <c r="C84" s="15"/>
      <c r="D84" s="16"/>
      <c r="E84" s="16"/>
      <c r="F84" s="16"/>
      <c r="G84" s="16"/>
      <c r="H84" s="16"/>
    </row>
    <row r="85" spans="2:8" ht="12.5" x14ac:dyDescent="0.25">
      <c r="B85" s="14"/>
      <c r="C85" s="15"/>
      <c r="D85" s="16"/>
      <c r="E85" s="16"/>
      <c r="F85" s="16"/>
      <c r="G85" s="16"/>
      <c r="H85" s="16"/>
    </row>
    <row r="86" spans="2:8" ht="12.5" x14ac:dyDescent="0.25">
      <c r="B86" s="14"/>
      <c r="C86" s="15"/>
      <c r="D86" s="16"/>
      <c r="E86" s="16"/>
      <c r="F86" s="16"/>
      <c r="G86" s="16"/>
      <c r="H86" s="16"/>
    </row>
    <row r="87" spans="2:8" ht="12.5" x14ac:dyDescent="0.25">
      <c r="B87" s="14"/>
      <c r="C87" s="15"/>
      <c r="D87" s="16"/>
      <c r="E87" s="16"/>
      <c r="F87" s="16"/>
      <c r="G87" s="16"/>
      <c r="H87" s="16"/>
    </row>
    <row r="88" spans="2:8" ht="12.5" x14ac:dyDescent="0.25">
      <c r="B88" s="14"/>
      <c r="C88" s="15"/>
      <c r="D88" s="16"/>
      <c r="E88" s="16"/>
      <c r="F88" s="16"/>
      <c r="G88" s="16"/>
      <c r="H88" s="16"/>
    </row>
    <row r="89" spans="2:8" ht="12.5" x14ac:dyDescent="0.25">
      <c r="B89" s="14"/>
      <c r="C89" s="15"/>
      <c r="D89" s="16"/>
      <c r="E89" s="16"/>
      <c r="F89" s="16"/>
      <c r="G89" s="16"/>
      <c r="H89" s="16"/>
    </row>
    <row r="90" spans="2:8" ht="12.5" x14ac:dyDescent="0.25">
      <c r="B90" s="14"/>
      <c r="C90" s="15"/>
      <c r="D90" s="16"/>
      <c r="E90" s="16"/>
      <c r="F90" s="16"/>
      <c r="G90" s="16"/>
      <c r="H90" s="16"/>
    </row>
    <row r="91" spans="2:8" ht="12.5" x14ac:dyDescent="0.25">
      <c r="B91" s="14"/>
      <c r="C91" s="15"/>
      <c r="D91" s="16"/>
      <c r="E91" s="16"/>
      <c r="F91" s="16"/>
      <c r="G91" s="16"/>
      <c r="H91" s="16"/>
    </row>
    <row r="92" spans="2:8" ht="12.5" x14ac:dyDescent="0.25">
      <c r="B92" s="14"/>
      <c r="C92" s="15"/>
      <c r="D92" s="16"/>
      <c r="E92" s="16"/>
      <c r="F92" s="16"/>
      <c r="G92" s="16"/>
      <c r="H92" s="16"/>
    </row>
    <row r="93" spans="2:8" ht="12.5" x14ac:dyDescent="0.25">
      <c r="B93" s="14"/>
      <c r="C93" s="15"/>
      <c r="D93" s="16"/>
      <c r="E93" s="16"/>
      <c r="F93" s="16"/>
      <c r="G93" s="16"/>
      <c r="H93" s="16"/>
    </row>
    <row r="94" spans="2:8" ht="12.5" x14ac:dyDescent="0.25">
      <c r="B94" s="14"/>
      <c r="C94" s="15"/>
      <c r="D94" s="16"/>
      <c r="E94" s="16"/>
      <c r="F94" s="16"/>
      <c r="G94" s="16"/>
      <c r="H94" s="16"/>
    </row>
    <row r="95" spans="2:8" ht="12.5" x14ac:dyDescent="0.25">
      <c r="B95" s="14"/>
      <c r="C95" s="15"/>
      <c r="D95" s="16"/>
      <c r="E95" s="16"/>
      <c r="F95" s="16"/>
      <c r="G95" s="16"/>
      <c r="H95" s="16"/>
    </row>
    <row r="96" spans="2:8" ht="12.5" x14ac:dyDescent="0.25">
      <c r="B96" s="14"/>
      <c r="C96" s="15"/>
      <c r="D96" s="16"/>
      <c r="E96" s="16"/>
      <c r="F96" s="16"/>
      <c r="G96" s="16"/>
      <c r="H96" s="16"/>
    </row>
    <row r="97" spans="2:8" ht="12.5" x14ac:dyDescent="0.25">
      <c r="B97" s="14"/>
      <c r="C97" s="15"/>
      <c r="D97" s="16"/>
      <c r="E97" s="16"/>
      <c r="F97" s="16"/>
      <c r="G97" s="16"/>
      <c r="H97" s="16"/>
    </row>
    <row r="98" spans="2:8" ht="12.5" x14ac:dyDescent="0.25">
      <c r="B98" s="14"/>
      <c r="C98" s="15"/>
      <c r="D98" s="16"/>
      <c r="E98" s="16"/>
      <c r="F98" s="16"/>
      <c r="G98" s="16"/>
      <c r="H98" s="16"/>
    </row>
    <row r="99" spans="2:8" ht="12.5" x14ac:dyDescent="0.25">
      <c r="B99" s="14"/>
      <c r="C99" s="15"/>
      <c r="D99" s="16"/>
      <c r="E99" s="16"/>
      <c r="F99" s="16"/>
      <c r="G99" s="16"/>
      <c r="H99" s="16"/>
    </row>
    <row r="100" spans="2:8" ht="12.5" x14ac:dyDescent="0.25">
      <c r="B100" s="14"/>
      <c r="C100" s="15"/>
      <c r="D100" s="16"/>
      <c r="E100" s="16"/>
      <c r="F100" s="16"/>
      <c r="G100" s="16"/>
      <c r="H100" s="16"/>
    </row>
    <row r="101" spans="2:8" ht="12.5" x14ac:dyDescent="0.25">
      <c r="B101" s="14"/>
      <c r="C101" s="15"/>
      <c r="D101" s="16"/>
      <c r="E101" s="16"/>
      <c r="F101" s="16"/>
      <c r="G101" s="16"/>
      <c r="H101" s="16"/>
    </row>
    <row r="102" spans="2:8" ht="12.5" x14ac:dyDescent="0.25">
      <c r="B102" s="14"/>
      <c r="C102" s="15"/>
      <c r="D102" s="16"/>
      <c r="E102" s="16"/>
      <c r="F102" s="16"/>
      <c r="G102" s="16"/>
      <c r="H102" s="16"/>
    </row>
    <row r="103" spans="2:8" ht="12.5" x14ac:dyDescent="0.25">
      <c r="B103" s="14"/>
      <c r="C103" s="15"/>
      <c r="D103" s="16"/>
      <c r="E103" s="16"/>
      <c r="F103" s="16"/>
      <c r="G103" s="16"/>
      <c r="H103" s="16"/>
    </row>
    <row r="104" spans="2:8" ht="12.5" x14ac:dyDescent="0.25">
      <c r="B104" s="14"/>
      <c r="C104" s="15"/>
      <c r="D104" s="16"/>
      <c r="E104" s="16"/>
      <c r="F104" s="16"/>
      <c r="G104" s="16"/>
      <c r="H104" s="16"/>
    </row>
    <row r="105" spans="2:8" ht="12.5" x14ac:dyDescent="0.25">
      <c r="B105" s="14"/>
      <c r="C105" s="15"/>
      <c r="D105" s="16"/>
      <c r="E105" s="16"/>
      <c r="F105" s="16"/>
      <c r="G105" s="16"/>
      <c r="H105" s="16"/>
    </row>
    <row r="106" spans="2:8" ht="12.5" x14ac:dyDescent="0.25">
      <c r="B106" s="14"/>
      <c r="C106" s="15"/>
      <c r="D106" s="16"/>
      <c r="E106" s="16"/>
      <c r="F106" s="16"/>
      <c r="G106" s="16"/>
      <c r="H106" s="16"/>
    </row>
    <row r="107" spans="2:8" ht="12.5" x14ac:dyDescent="0.25">
      <c r="B107" s="14"/>
      <c r="C107" s="15"/>
      <c r="D107" s="16"/>
      <c r="E107" s="16"/>
      <c r="F107" s="16"/>
      <c r="G107" s="16"/>
      <c r="H107" s="16"/>
    </row>
    <row r="108" spans="2:8" ht="12.5" x14ac:dyDescent="0.25">
      <c r="B108" s="14"/>
      <c r="C108" s="15"/>
      <c r="D108" s="16"/>
      <c r="E108" s="16"/>
      <c r="F108" s="16"/>
      <c r="G108" s="16"/>
      <c r="H108" s="16"/>
    </row>
    <row r="109" spans="2:8" ht="12.5" x14ac:dyDescent="0.25">
      <c r="B109" s="14"/>
      <c r="C109" s="15"/>
      <c r="D109" s="16"/>
      <c r="E109" s="16"/>
      <c r="F109" s="16"/>
      <c r="G109" s="16"/>
      <c r="H109" s="16"/>
    </row>
    <row r="110" spans="2:8" ht="12.5" x14ac:dyDescent="0.25">
      <c r="B110" s="14"/>
      <c r="C110" s="15"/>
      <c r="D110" s="16"/>
      <c r="E110" s="16"/>
      <c r="F110" s="16"/>
      <c r="G110" s="16"/>
      <c r="H110" s="16"/>
    </row>
    <row r="111" spans="2:8" ht="12.5" x14ac:dyDescent="0.25">
      <c r="B111" s="14"/>
      <c r="C111" s="15"/>
      <c r="D111" s="16"/>
      <c r="E111" s="16"/>
      <c r="F111" s="16"/>
      <c r="G111" s="16"/>
      <c r="H111" s="16"/>
    </row>
    <row r="112" spans="2:8" ht="12.5" x14ac:dyDescent="0.25">
      <c r="B112" s="14"/>
      <c r="C112" s="15"/>
      <c r="D112" s="16"/>
      <c r="E112" s="16"/>
      <c r="F112" s="16"/>
      <c r="G112" s="16"/>
      <c r="H112" s="16"/>
    </row>
    <row r="113" spans="2:8" ht="12.5" x14ac:dyDescent="0.25">
      <c r="B113" s="14"/>
      <c r="C113" s="15"/>
      <c r="D113" s="16"/>
      <c r="E113" s="16"/>
      <c r="F113" s="16"/>
      <c r="G113" s="16"/>
      <c r="H113" s="16"/>
    </row>
    <row r="114" spans="2:8" ht="12.5" x14ac:dyDescent="0.25">
      <c r="B114" s="14"/>
      <c r="C114" s="15"/>
      <c r="D114" s="16"/>
      <c r="E114" s="16"/>
      <c r="F114" s="16"/>
      <c r="G114" s="16"/>
      <c r="H114" s="16"/>
    </row>
    <row r="115" spans="2:8" ht="12.5" x14ac:dyDescent="0.25">
      <c r="B115" s="14"/>
      <c r="C115" s="15"/>
      <c r="D115" s="16"/>
      <c r="E115" s="16"/>
      <c r="F115" s="16"/>
      <c r="G115" s="16"/>
      <c r="H115" s="16"/>
    </row>
    <row r="116" spans="2:8" ht="12.5" x14ac:dyDescent="0.25">
      <c r="B116" s="14"/>
      <c r="C116" s="15"/>
      <c r="D116" s="16"/>
      <c r="E116" s="16"/>
      <c r="F116" s="16"/>
      <c r="G116" s="16"/>
      <c r="H116" s="16"/>
    </row>
    <row r="117" spans="2:8" ht="12.5" x14ac:dyDescent="0.25">
      <c r="B117" s="14"/>
      <c r="C117" s="15"/>
      <c r="D117" s="16"/>
      <c r="E117" s="16"/>
      <c r="F117" s="16"/>
      <c r="G117" s="16"/>
      <c r="H117" s="16"/>
    </row>
    <row r="118" spans="2:8" ht="12.5" x14ac:dyDescent="0.25">
      <c r="B118" s="14"/>
      <c r="C118" s="15"/>
      <c r="D118" s="16"/>
      <c r="E118" s="16"/>
      <c r="F118" s="16"/>
      <c r="G118" s="16"/>
      <c r="H118" s="16"/>
    </row>
    <row r="119" spans="2:8" ht="12.5" x14ac:dyDescent="0.25">
      <c r="B119" s="14"/>
      <c r="C119" s="15"/>
      <c r="D119" s="16"/>
      <c r="E119" s="16"/>
      <c r="F119" s="16"/>
      <c r="G119" s="16"/>
      <c r="H119" s="16"/>
    </row>
    <row r="120" spans="2:8" ht="12.5" x14ac:dyDescent="0.25">
      <c r="B120" s="14"/>
      <c r="C120" s="15"/>
      <c r="D120" s="16"/>
      <c r="E120" s="16"/>
      <c r="F120" s="16"/>
      <c r="G120" s="16"/>
      <c r="H120" s="16"/>
    </row>
    <row r="121" spans="2:8" ht="12.5" x14ac:dyDescent="0.25">
      <c r="B121" s="14"/>
      <c r="C121" s="15"/>
      <c r="D121" s="16"/>
      <c r="E121" s="16"/>
      <c r="F121" s="16"/>
      <c r="G121" s="16"/>
      <c r="H121" s="16"/>
    </row>
    <row r="122" spans="2:8" ht="12.5" x14ac:dyDescent="0.25">
      <c r="B122" s="14"/>
      <c r="C122" s="15"/>
      <c r="D122" s="16"/>
      <c r="E122" s="16"/>
      <c r="F122" s="16"/>
      <c r="G122" s="16"/>
      <c r="H122" s="16"/>
    </row>
    <row r="123" spans="2:8" ht="12.5" x14ac:dyDescent="0.25">
      <c r="B123" s="14"/>
      <c r="C123" s="15"/>
      <c r="D123" s="16"/>
      <c r="E123" s="16"/>
      <c r="F123" s="16"/>
      <c r="G123" s="16"/>
      <c r="H123" s="16"/>
    </row>
    <row r="124" spans="2:8" ht="12.5" x14ac:dyDescent="0.25">
      <c r="B124" s="14"/>
      <c r="C124" s="15"/>
      <c r="D124" s="16"/>
      <c r="E124" s="16"/>
      <c r="F124" s="16"/>
      <c r="G124" s="16"/>
      <c r="H124" s="16"/>
    </row>
    <row r="125" spans="2:8" ht="12.5" x14ac:dyDescent="0.25">
      <c r="B125" s="14"/>
      <c r="C125" s="15"/>
      <c r="D125" s="16"/>
      <c r="E125" s="16"/>
      <c r="F125" s="16"/>
      <c r="G125" s="16"/>
      <c r="H125" s="16"/>
    </row>
    <row r="126" spans="2:8" ht="12.5" x14ac:dyDescent="0.25">
      <c r="B126" s="14"/>
      <c r="C126" s="15"/>
      <c r="D126" s="16"/>
      <c r="E126" s="16"/>
      <c r="F126" s="16"/>
      <c r="G126" s="16"/>
      <c r="H126" s="16"/>
    </row>
    <row r="127" spans="2:8" ht="12.5" x14ac:dyDescent="0.25">
      <c r="B127" s="14"/>
      <c r="C127" s="15"/>
      <c r="D127" s="16"/>
      <c r="E127" s="16"/>
      <c r="F127" s="16"/>
      <c r="G127" s="16"/>
      <c r="H127" s="16"/>
    </row>
    <row r="128" spans="2:8" ht="12.5" x14ac:dyDescent="0.25">
      <c r="B128" s="14"/>
      <c r="C128" s="15"/>
      <c r="D128" s="16"/>
      <c r="E128" s="16"/>
      <c r="F128" s="16"/>
      <c r="G128" s="16"/>
      <c r="H128" s="16"/>
    </row>
    <row r="129" spans="2:8" ht="12.5" x14ac:dyDescent="0.25">
      <c r="B129" s="14"/>
      <c r="C129" s="15"/>
      <c r="D129" s="16"/>
      <c r="E129" s="16"/>
      <c r="F129" s="16"/>
      <c r="G129" s="16"/>
      <c r="H129" s="16"/>
    </row>
    <row r="130" spans="2:8" ht="12.5" x14ac:dyDescent="0.25">
      <c r="B130" s="14"/>
      <c r="C130" s="15"/>
      <c r="D130" s="16"/>
      <c r="E130" s="16"/>
      <c r="F130" s="16"/>
      <c r="G130" s="16"/>
      <c r="H130" s="16"/>
    </row>
    <row r="131" spans="2:8" ht="12.5" x14ac:dyDescent="0.25">
      <c r="B131" s="14"/>
      <c r="C131" s="15"/>
      <c r="D131" s="16"/>
      <c r="E131" s="16"/>
      <c r="F131" s="16"/>
      <c r="G131" s="16"/>
      <c r="H131" s="16"/>
    </row>
    <row r="132" spans="2:8" ht="12.5" x14ac:dyDescent="0.25">
      <c r="B132" s="14"/>
      <c r="C132" s="15"/>
      <c r="D132" s="16"/>
      <c r="E132" s="16"/>
      <c r="F132" s="16"/>
      <c r="G132" s="16"/>
      <c r="H132" s="16"/>
    </row>
    <row r="133" spans="2:8" ht="12.5" x14ac:dyDescent="0.25">
      <c r="B133" s="14"/>
      <c r="C133" s="15"/>
      <c r="D133" s="16"/>
      <c r="E133" s="16"/>
      <c r="F133" s="16"/>
      <c r="G133" s="16"/>
      <c r="H133" s="16"/>
    </row>
    <row r="134" spans="2:8" ht="12.5" x14ac:dyDescent="0.25">
      <c r="B134" s="14"/>
      <c r="C134" s="15"/>
      <c r="D134" s="16"/>
      <c r="E134" s="16"/>
      <c r="F134" s="16"/>
      <c r="G134" s="16"/>
      <c r="H134" s="16"/>
    </row>
    <row r="135" spans="2:8" ht="12.5" x14ac:dyDescent="0.25">
      <c r="B135" s="14"/>
      <c r="C135" s="15"/>
      <c r="D135" s="16"/>
      <c r="E135" s="16"/>
      <c r="F135" s="16"/>
      <c r="G135" s="16"/>
      <c r="H135" s="16"/>
    </row>
    <row r="136" spans="2:8" ht="12.5" x14ac:dyDescent="0.25">
      <c r="B136" s="14"/>
      <c r="C136" s="15"/>
      <c r="D136" s="16"/>
      <c r="E136" s="16"/>
      <c r="F136" s="16"/>
      <c r="G136" s="16"/>
      <c r="H136" s="16"/>
    </row>
    <row r="137" spans="2:8" ht="12.5" x14ac:dyDescent="0.25">
      <c r="B137" s="14"/>
      <c r="C137" s="15"/>
      <c r="D137" s="16"/>
      <c r="E137" s="16"/>
      <c r="F137" s="16"/>
      <c r="G137" s="16"/>
      <c r="H137" s="16"/>
    </row>
    <row r="138" spans="2:8" ht="12.5" x14ac:dyDescent="0.25">
      <c r="B138" s="14"/>
      <c r="C138" s="15"/>
      <c r="D138" s="16"/>
      <c r="E138" s="16"/>
      <c r="F138" s="16"/>
      <c r="G138" s="16"/>
      <c r="H138" s="16"/>
    </row>
    <row r="139" spans="2:8" ht="12.5" x14ac:dyDescent="0.25">
      <c r="B139" s="14"/>
      <c r="C139" s="15"/>
      <c r="D139" s="16"/>
      <c r="E139" s="16"/>
      <c r="F139" s="16"/>
      <c r="G139" s="16"/>
      <c r="H139" s="16"/>
    </row>
    <row r="140" spans="2:8" ht="12.5" x14ac:dyDescent="0.25">
      <c r="B140" s="14"/>
      <c r="C140" s="15"/>
      <c r="D140" s="16"/>
      <c r="E140" s="16"/>
      <c r="F140" s="16"/>
      <c r="G140" s="16"/>
      <c r="H140" s="16"/>
    </row>
    <row r="141" spans="2:8" ht="12.5" x14ac:dyDescent="0.25">
      <c r="B141" s="14"/>
      <c r="C141" s="15"/>
      <c r="D141" s="16"/>
      <c r="E141" s="16"/>
      <c r="F141" s="16"/>
      <c r="G141" s="16"/>
      <c r="H141" s="16"/>
    </row>
    <row r="142" spans="2:8" ht="12.5" x14ac:dyDescent="0.25">
      <c r="B142" s="14"/>
      <c r="C142" s="15"/>
      <c r="D142" s="16"/>
      <c r="E142" s="16"/>
      <c r="F142" s="16"/>
      <c r="G142" s="16"/>
      <c r="H142" s="16"/>
    </row>
    <row r="143" spans="2:8" ht="12.5" x14ac:dyDescent="0.25">
      <c r="B143" s="14"/>
      <c r="C143" s="15"/>
      <c r="D143" s="16"/>
      <c r="E143" s="16"/>
      <c r="F143" s="16"/>
      <c r="G143" s="16"/>
      <c r="H143" s="16"/>
    </row>
    <row r="144" spans="2:8" ht="12.5" x14ac:dyDescent="0.25">
      <c r="B144" s="14"/>
      <c r="C144" s="15"/>
      <c r="D144" s="16"/>
      <c r="E144" s="16"/>
      <c r="F144" s="16"/>
      <c r="G144" s="16"/>
      <c r="H144" s="16"/>
    </row>
    <row r="145" spans="2:8" ht="12.5" x14ac:dyDescent="0.25">
      <c r="B145" s="14"/>
      <c r="C145" s="15"/>
      <c r="D145" s="16"/>
      <c r="E145" s="16"/>
      <c r="F145" s="16"/>
      <c r="G145" s="16"/>
      <c r="H145" s="16"/>
    </row>
    <row r="146" spans="2:8" ht="12.5" x14ac:dyDescent="0.25">
      <c r="B146" s="14"/>
      <c r="C146" s="15"/>
      <c r="D146" s="16"/>
      <c r="E146" s="16"/>
      <c r="F146" s="16"/>
      <c r="G146" s="16"/>
      <c r="H146" s="16"/>
    </row>
    <row r="147" spans="2:8" ht="12.5" x14ac:dyDescent="0.25">
      <c r="B147" s="14"/>
      <c r="C147" s="15"/>
      <c r="D147" s="16"/>
      <c r="E147" s="16"/>
      <c r="F147" s="16"/>
      <c r="G147" s="16"/>
      <c r="H147" s="16"/>
    </row>
    <row r="148" spans="2:8" ht="12.5" x14ac:dyDescent="0.25">
      <c r="B148" s="14"/>
      <c r="C148" s="15"/>
      <c r="D148" s="16"/>
      <c r="E148" s="16"/>
      <c r="F148" s="16"/>
      <c r="G148" s="16"/>
      <c r="H148" s="16"/>
    </row>
    <row r="149" spans="2:8" ht="12.5" x14ac:dyDescent="0.25">
      <c r="B149" s="14"/>
      <c r="C149" s="15"/>
      <c r="D149" s="16"/>
      <c r="E149" s="16"/>
      <c r="F149" s="16"/>
      <c r="G149" s="16"/>
      <c r="H149" s="16"/>
    </row>
    <row r="150" spans="2:8" ht="12.5" x14ac:dyDescent="0.25">
      <c r="B150" s="14"/>
      <c r="C150" s="15"/>
      <c r="D150" s="16"/>
      <c r="E150" s="16"/>
      <c r="F150" s="16"/>
      <c r="G150" s="16"/>
      <c r="H150" s="16"/>
    </row>
    <row r="151" spans="2:8" ht="12.5" x14ac:dyDescent="0.25">
      <c r="B151" s="14"/>
      <c r="C151" s="15"/>
      <c r="D151" s="16"/>
      <c r="E151" s="16"/>
      <c r="F151" s="16"/>
      <c r="G151" s="16"/>
      <c r="H151" s="16"/>
    </row>
    <row r="152" spans="2:8" ht="12.5" x14ac:dyDescent="0.25">
      <c r="B152" s="14"/>
      <c r="C152" s="15"/>
      <c r="D152" s="16"/>
      <c r="E152" s="16"/>
      <c r="F152" s="16"/>
      <c r="G152" s="16"/>
      <c r="H152" s="16"/>
    </row>
    <row r="153" spans="2:8" ht="12.5" x14ac:dyDescent="0.25">
      <c r="B153" s="14"/>
      <c r="C153" s="15"/>
      <c r="D153" s="16"/>
      <c r="E153" s="16"/>
      <c r="F153" s="16"/>
      <c r="G153" s="16"/>
      <c r="H153" s="16"/>
    </row>
    <row r="154" spans="2:8" ht="12.5" x14ac:dyDescent="0.25">
      <c r="B154" s="14"/>
      <c r="C154" s="15"/>
      <c r="D154" s="16"/>
      <c r="E154" s="16"/>
      <c r="F154" s="16"/>
      <c r="G154" s="16"/>
      <c r="H154" s="16"/>
    </row>
    <row r="155" spans="2:8" ht="12.5" x14ac:dyDescent="0.25">
      <c r="B155" s="14"/>
      <c r="C155" s="15"/>
      <c r="D155" s="16"/>
      <c r="E155" s="16"/>
      <c r="F155" s="16"/>
      <c r="G155" s="16"/>
      <c r="H155" s="16"/>
    </row>
    <row r="156" spans="2:8" ht="12.5" x14ac:dyDescent="0.25">
      <c r="B156" s="14"/>
      <c r="C156" s="15"/>
      <c r="D156" s="16"/>
      <c r="E156" s="16"/>
      <c r="F156" s="16"/>
      <c r="G156" s="16"/>
      <c r="H156" s="16"/>
    </row>
    <row r="157" spans="2:8" ht="12.5" x14ac:dyDescent="0.25">
      <c r="B157" s="14"/>
      <c r="C157" s="15"/>
      <c r="D157" s="16"/>
      <c r="E157" s="16"/>
      <c r="F157" s="16"/>
      <c r="G157" s="16"/>
      <c r="H157" s="16"/>
    </row>
    <row r="158" spans="2:8" ht="12.5" x14ac:dyDescent="0.25">
      <c r="B158" s="14"/>
      <c r="C158" s="15"/>
      <c r="D158" s="16"/>
      <c r="E158" s="16"/>
      <c r="F158" s="16"/>
      <c r="G158" s="16"/>
      <c r="H158" s="16"/>
    </row>
    <row r="159" spans="2:8" ht="12.5" x14ac:dyDescent="0.25">
      <c r="B159" s="14"/>
      <c r="C159" s="15"/>
      <c r="D159" s="16"/>
      <c r="E159" s="16"/>
      <c r="F159" s="16"/>
      <c r="G159" s="16"/>
      <c r="H159" s="16"/>
    </row>
    <row r="160" spans="2:8" ht="12.5" x14ac:dyDescent="0.25">
      <c r="B160" s="14"/>
      <c r="C160" s="15"/>
      <c r="D160" s="16"/>
      <c r="E160" s="16"/>
      <c r="F160" s="16"/>
      <c r="G160" s="16"/>
      <c r="H160" s="16"/>
    </row>
    <row r="161" spans="2:8" ht="12.5" x14ac:dyDescent="0.25">
      <c r="B161" s="14"/>
      <c r="C161" s="15"/>
      <c r="D161" s="16"/>
      <c r="E161" s="16"/>
      <c r="F161" s="16"/>
      <c r="G161" s="16"/>
      <c r="H161" s="16"/>
    </row>
    <row r="162" spans="2:8" ht="12.5" x14ac:dyDescent="0.25">
      <c r="B162" s="14"/>
      <c r="C162" s="15"/>
      <c r="D162" s="16"/>
      <c r="E162" s="16"/>
      <c r="F162" s="16"/>
      <c r="G162" s="16"/>
      <c r="H162" s="16"/>
    </row>
    <row r="163" spans="2:8" ht="12.5" x14ac:dyDescent="0.25">
      <c r="B163" s="14"/>
      <c r="C163" s="15"/>
      <c r="D163" s="16"/>
      <c r="E163" s="16"/>
      <c r="F163" s="16"/>
      <c r="G163" s="16"/>
      <c r="H163" s="16"/>
    </row>
    <row r="164" spans="2:8" ht="12.5" x14ac:dyDescent="0.25">
      <c r="B164" s="14"/>
      <c r="C164" s="15"/>
      <c r="D164" s="16"/>
      <c r="E164" s="16"/>
      <c r="F164" s="16"/>
      <c r="G164" s="16"/>
      <c r="H164" s="16"/>
    </row>
    <row r="165" spans="2:8" ht="12.5" x14ac:dyDescent="0.25">
      <c r="B165" s="14"/>
      <c r="C165" s="15"/>
      <c r="D165" s="16"/>
      <c r="E165" s="16"/>
      <c r="F165" s="16"/>
      <c r="G165" s="16"/>
      <c r="H165" s="16"/>
    </row>
    <row r="166" spans="2:8" ht="12.5" x14ac:dyDescent="0.25">
      <c r="B166" s="14"/>
      <c r="C166" s="15"/>
      <c r="D166" s="16"/>
      <c r="E166" s="16"/>
      <c r="F166" s="16"/>
      <c r="G166" s="16"/>
      <c r="H166" s="16"/>
    </row>
    <row r="167" spans="2:8" ht="12.5" x14ac:dyDescent="0.25">
      <c r="B167" s="14"/>
      <c r="C167" s="15"/>
      <c r="D167" s="16"/>
      <c r="E167" s="16"/>
      <c r="F167" s="16"/>
      <c r="G167" s="16"/>
      <c r="H167" s="16"/>
    </row>
    <row r="168" spans="2:8" ht="12.5" x14ac:dyDescent="0.25">
      <c r="B168" s="14"/>
      <c r="C168" s="15"/>
      <c r="D168" s="16"/>
      <c r="E168" s="16"/>
      <c r="F168" s="16"/>
      <c r="G168" s="16"/>
      <c r="H168" s="16"/>
    </row>
    <row r="169" spans="2:8" ht="12.5" x14ac:dyDescent="0.25">
      <c r="B169" s="14"/>
      <c r="C169" s="15"/>
      <c r="D169" s="16"/>
      <c r="E169" s="16"/>
      <c r="F169" s="16"/>
      <c r="G169" s="16"/>
      <c r="H169" s="16"/>
    </row>
    <row r="170" spans="2:8" ht="12.5" x14ac:dyDescent="0.25">
      <c r="B170" s="14"/>
      <c r="C170" s="15"/>
      <c r="D170" s="16"/>
      <c r="E170" s="16"/>
      <c r="F170" s="16"/>
      <c r="G170" s="16"/>
      <c r="H170" s="16"/>
    </row>
    <row r="171" spans="2:8" ht="12.5" x14ac:dyDescent="0.25">
      <c r="B171" s="14"/>
      <c r="C171" s="15"/>
      <c r="D171" s="16"/>
      <c r="E171" s="16"/>
      <c r="F171" s="16"/>
      <c r="G171" s="16"/>
      <c r="H171" s="16"/>
    </row>
    <row r="172" spans="2:8" ht="12.5" x14ac:dyDescent="0.25">
      <c r="B172" s="14"/>
      <c r="C172" s="15"/>
      <c r="D172" s="16"/>
      <c r="E172" s="16"/>
      <c r="F172" s="16"/>
      <c r="G172" s="16"/>
      <c r="H172" s="16"/>
    </row>
    <row r="173" spans="2:8" ht="12.5" x14ac:dyDescent="0.25">
      <c r="B173" s="14"/>
      <c r="C173" s="15"/>
      <c r="D173" s="16"/>
      <c r="E173" s="16"/>
      <c r="F173" s="16"/>
      <c r="G173" s="16"/>
      <c r="H173" s="16"/>
    </row>
    <row r="174" spans="2:8" ht="12.5" x14ac:dyDescent="0.25">
      <c r="B174" s="14"/>
      <c r="C174" s="15"/>
      <c r="D174" s="16"/>
      <c r="E174" s="16"/>
      <c r="F174" s="16"/>
      <c r="G174" s="16"/>
      <c r="H174" s="16"/>
    </row>
    <row r="175" spans="2:8" ht="12.5" x14ac:dyDescent="0.25">
      <c r="B175" s="14"/>
      <c r="C175" s="15"/>
      <c r="D175" s="16"/>
      <c r="E175" s="16"/>
      <c r="F175" s="16"/>
      <c r="G175" s="16"/>
      <c r="H175" s="16"/>
    </row>
    <row r="176" spans="2:8" ht="12.5" x14ac:dyDescent="0.25">
      <c r="B176" s="14"/>
      <c r="C176" s="15"/>
      <c r="D176" s="16"/>
      <c r="E176" s="16"/>
      <c r="F176" s="16"/>
      <c r="G176" s="16"/>
      <c r="H176" s="16"/>
    </row>
    <row r="177" spans="2:8" ht="12.5" x14ac:dyDescent="0.25">
      <c r="B177" s="14"/>
      <c r="C177" s="15"/>
      <c r="D177" s="16"/>
      <c r="E177" s="16"/>
      <c r="F177" s="16"/>
      <c r="G177" s="16"/>
      <c r="H177" s="16"/>
    </row>
    <row r="178" spans="2:8" ht="12.5" x14ac:dyDescent="0.25">
      <c r="B178" s="14"/>
      <c r="C178" s="15"/>
      <c r="D178" s="16"/>
      <c r="E178" s="16"/>
      <c r="F178" s="16"/>
      <c r="G178" s="16"/>
      <c r="H178" s="16"/>
    </row>
    <row r="179" spans="2:8" ht="12.5" x14ac:dyDescent="0.25">
      <c r="B179" s="14"/>
      <c r="C179" s="15"/>
      <c r="D179" s="16"/>
      <c r="E179" s="16"/>
      <c r="F179" s="16"/>
      <c r="G179" s="16"/>
      <c r="H179" s="16"/>
    </row>
    <row r="180" spans="2:8" ht="12.5" x14ac:dyDescent="0.25">
      <c r="B180" s="14"/>
      <c r="C180" s="15"/>
      <c r="D180" s="16"/>
      <c r="E180" s="16"/>
      <c r="F180" s="16"/>
      <c r="G180" s="16"/>
      <c r="H180" s="16"/>
    </row>
    <row r="181" spans="2:8" ht="12.5" x14ac:dyDescent="0.25">
      <c r="B181" s="14"/>
      <c r="C181" s="15"/>
      <c r="D181" s="16"/>
      <c r="E181" s="16"/>
      <c r="F181" s="16"/>
      <c r="G181" s="16"/>
      <c r="H181" s="16"/>
    </row>
    <row r="182" spans="2:8" ht="12.5" x14ac:dyDescent="0.25">
      <c r="B182" s="14"/>
      <c r="C182" s="15"/>
      <c r="D182" s="16"/>
      <c r="E182" s="16"/>
      <c r="F182" s="16"/>
      <c r="G182" s="16"/>
      <c r="H182" s="16"/>
    </row>
    <row r="183" spans="2:8" ht="12.5" x14ac:dyDescent="0.25">
      <c r="B183" s="14"/>
      <c r="C183" s="15"/>
      <c r="D183" s="16"/>
      <c r="E183" s="16"/>
      <c r="F183" s="16"/>
      <c r="G183" s="16"/>
      <c r="H183" s="16"/>
    </row>
    <row r="184" spans="2:8" ht="12.5" x14ac:dyDescent="0.25">
      <c r="B184" s="14"/>
      <c r="C184" s="15"/>
      <c r="D184" s="16"/>
      <c r="E184" s="16"/>
      <c r="F184" s="16"/>
      <c r="G184" s="16"/>
      <c r="H184" s="16"/>
    </row>
    <row r="185" spans="2:8" ht="12.5" x14ac:dyDescent="0.25">
      <c r="B185" s="14"/>
      <c r="C185" s="15"/>
      <c r="D185" s="16"/>
      <c r="E185" s="16"/>
      <c r="F185" s="16"/>
      <c r="G185" s="16"/>
      <c r="H185" s="16"/>
    </row>
    <row r="186" spans="2:8" ht="12.5" x14ac:dyDescent="0.25">
      <c r="B186" s="14"/>
      <c r="C186" s="15"/>
      <c r="D186" s="16"/>
      <c r="E186" s="16"/>
      <c r="F186" s="16"/>
      <c r="G186" s="16"/>
      <c r="H186" s="16"/>
    </row>
    <row r="187" spans="2:8" ht="12.5" x14ac:dyDescent="0.25">
      <c r="B187" s="14"/>
      <c r="C187" s="15"/>
      <c r="D187" s="16"/>
      <c r="E187" s="16"/>
      <c r="F187" s="16"/>
      <c r="G187" s="16"/>
      <c r="H187" s="16"/>
    </row>
    <row r="188" spans="2:8" ht="12.5" x14ac:dyDescent="0.25">
      <c r="B188" s="14"/>
      <c r="C188" s="15"/>
      <c r="D188" s="16"/>
      <c r="E188" s="16"/>
      <c r="F188" s="16"/>
      <c r="G188" s="16"/>
      <c r="H188" s="16"/>
    </row>
    <row r="189" spans="2:8" ht="12.5" x14ac:dyDescent="0.25">
      <c r="B189" s="14"/>
      <c r="C189" s="15"/>
      <c r="D189" s="16"/>
      <c r="E189" s="16"/>
      <c r="F189" s="16"/>
      <c r="G189" s="16"/>
      <c r="H189" s="16"/>
    </row>
    <row r="190" spans="2:8" ht="12.5" x14ac:dyDescent="0.25">
      <c r="B190" s="14"/>
      <c r="C190" s="15"/>
      <c r="D190" s="16"/>
      <c r="E190" s="16"/>
      <c r="F190" s="16"/>
      <c r="G190" s="16"/>
      <c r="H190" s="16"/>
    </row>
    <row r="191" spans="2:8" ht="12.5" x14ac:dyDescent="0.25">
      <c r="B191" s="14"/>
      <c r="C191" s="15"/>
      <c r="D191" s="16"/>
      <c r="E191" s="16"/>
      <c r="F191" s="16"/>
      <c r="G191" s="16"/>
      <c r="H191" s="16"/>
    </row>
    <row r="192" spans="2:8" ht="12.5" x14ac:dyDescent="0.25">
      <c r="B192" s="14"/>
      <c r="C192" s="15"/>
      <c r="D192" s="16"/>
      <c r="E192" s="16"/>
      <c r="F192" s="16"/>
      <c r="G192" s="16"/>
      <c r="H192" s="16"/>
    </row>
    <row r="193" spans="2:8" ht="12.5" x14ac:dyDescent="0.25">
      <c r="B193" s="14"/>
      <c r="C193" s="15"/>
      <c r="D193" s="16"/>
      <c r="E193" s="16"/>
      <c r="F193" s="16"/>
      <c r="G193" s="16"/>
      <c r="H193" s="16"/>
    </row>
    <row r="194" spans="2:8" ht="12.5" x14ac:dyDescent="0.25">
      <c r="B194" s="14"/>
      <c r="C194" s="15"/>
      <c r="D194" s="16"/>
      <c r="E194" s="16"/>
      <c r="F194" s="16"/>
      <c r="G194" s="16"/>
      <c r="H194" s="16"/>
    </row>
    <row r="195" spans="2:8" ht="12.5" x14ac:dyDescent="0.25">
      <c r="B195" s="14"/>
      <c r="C195" s="15"/>
      <c r="D195" s="16"/>
      <c r="E195" s="16"/>
      <c r="F195" s="16"/>
      <c r="G195" s="16"/>
      <c r="H195" s="16"/>
    </row>
    <row r="196" spans="2:8" ht="12.5" x14ac:dyDescent="0.25">
      <c r="B196" s="14"/>
      <c r="C196" s="15"/>
      <c r="D196" s="16"/>
      <c r="E196" s="16"/>
      <c r="F196" s="16"/>
      <c r="G196" s="16"/>
      <c r="H196" s="16"/>
    </row>
    <row r="197" spans="2:8" ht="12.5" x14ac:dyDescent="0.25">
      <c r="B197" s="14"/>
      <c r="C197" s="15"/>
      <c r="D197" s="16"/>
      <c r="E197" s="16"/>
      <c r="F197" s="16"/>
      <c r="G197" s="16"/>
      <c r="H197" s="16"/>
    </row>
    <row r="198" spans="2:8" ht="12.5" x14ac:dyDescent="0.25">
      <c r="B198" s="14"/>
      <c r="C198" s="15"/>
      <c r="D198" s="16"/>
      <c r="E198" s="16"/>
      <c r="F198" s="16"/>
      <c r="G198" s="16"/>
      <c r="H198" s="16"/>
    </row>
    <row r="199" spans="2:8" ht="12.5" x14ac:dyDescent="0.25">
      <c r="B199" s="14"/>
      <c r="C199" s="15"/>
      <c r="D199" s="16"/>
      <c r="E199" s="16"/>
      <c r="F199" s="16"/>
      <c r="G199" s="16"/>
      <c r="H199" s="16"/>
    </row>
    <row r="200" spans="2:8" ht="12.5" x14ac:dyDescent="0.25">
      <c r="B200" s="14"/>
      <c r="C200" s="15"/>
      <c r="D200" s="16"/>
      <c r="E200" s="16"/>
      <c r="F200" s="16"/>
      <c r="G200" s="16"/>
      <c r="H200" s="16"/>
    </row>
    <row r="201" spans="2:8" ht="12.5" x14ac:dyDescent="0.25">
      <c r="B201" s="14"/>
      <c r="C201" s="15"/>
      <c r="D201" s="16"/>
      <c r="E201" s="16"/>
      <c r="F201" s="16"/>
      <c r="G201" s="16"/>
      <c r="H201" s="16"/>
    </row>
    <row r="202" spans="2:8" ht="12.5" x14ac:dyDescent="0.25">
      <c r="B202" s="14"/>
      <c r="C202" s="15"/>
      <c r="D202" s="16"/>
      <c r="E202" s="16"/>
      <c r="F202" s="16"/>
      <c r="G202" s="16"/>
      <c r="H202" s="16"/>
    </row>
    <row r="203" spans="2:8" ht="12.5" x14ac:dyDescent="0.25">
      <c r="B203" s="14"/>
      <c r="C203" s="15"/>
      <c r="D203" s="16"/>
      <c r="E203" s="16"/>
      <c r="F203" s="16"/>
      <c r="G203" s="16"/>
      <c r="H203" s="16"/>
    </row>
    <row r="204" spans="2:8" ht="12.5" x14ac:dyDescent="0.25">
      <c r="B204" s="14"/>
      <c r="C204" s="15"/>
      <c r="D204" s="16"/>
      <c r="E204" s="16"/>
      <c r="F204" s="16"/>
      <c r="G204" s="16"/>
      <c r="H204" s="16"/>
    </row>
    <row r="205" spans="2:8" ht="12.5" x14ac:dyDescent="0.25">
      <c r="B205" s="14"/>
      <c r="C205" s="15"/>
      <c r="D205" s="16"/>
      <c r="E205" s="16"/>
      <c r="F205" s="16"/>
      <c r="G205" s="16"/>
      <c r="H205" s="16"/>
    </row>
    <row r="206" spans="2:8" ht="12.5" x14ac:dyDescent="0.25">
      <c r="B206" s="14"/>
      <c r="C206" s="15"/>
      <c r="D206" s="16"/>
      <c r="E206" s="16"/>
      <c r="F206" s="16"/>
      <c r="G206" s="16"/>
      <c r="H206" s="16"/>
    </row>
    <row r="207" spans="2:8" ht="12.5" x14ac:dyDescent="0.25">
      <c r="B207" s="14"/>
      <c r="C207" s="15"/>
      <c r="D207" s="16"/>
      <c r="E207" s="16"/>
      <c r="F207" s="16"/>
      <c r="G207" s="16"/>
      <c r="H207" s="16"/>
    </row>
    <row r="208" spans="2:8" ht="12.5" x14ac:dyDescent="0.25">
      <c r="B208" s="14"/>
      <c r="C208" s="15"/>
      <c r="D208" s="16"/>
      <c r="E208" s="16"/>
      <c r="F208" s="16"/>
      <c r="G208" s="16"/>
      <c r="H208" s="16"/>
    </row>
    <row r="209" spans="2:8" ht="12.5" x14ac:dyDescent="0.25">
      <c r="B209" s="14"/>
      <c r="C209" s="15"/>
      <c r="D209" s="16"/>
      <c r="E209" s="16"/>
      <c r="F209" s="16"/>
      <c r="G209" s="16"/>
      <c r="H209" s="16"/>
    </row>
    <row r="210" spans="2:8" ht="12.5" x14ac:dyDescent="0.25">
      <c r="B210" s="14"/>
      <c r="C210" s="15"/>
      <c r="D210" s="16"/>
      <c r="E210" s="16"/>
      <c r="F210" s="16"/>
      <c r="G210" s="16"/>
      <c r="H210" s="16"/>
    </row>
    <row r="211" spans="2:8" ht="12.5" x14ac:dyDescent="0.25">
      <c r="B211" s="14"/>
      <c r="C211" s="15"/>
      <c r="D211" s="16"/>
      <c r="E211" s="16"/>
      <c r="F211" s="16"/>
      <c r="G211" s="16"/>
      <c r="H211" s="16"/>
    </row>
    <row r="212" spans="2:8" ht="12.5" x14ac:dyDescent="0.25">
      <c r="B212" s="14"/>
      <c r="C212" s="15"/>
      <c r="D212" s="16"/>
      <c r="E212" s="16"/>
      <c r="F212" s="16"/>
      <c r="G212" s="16"/>
      <c r="H212" s="16"/>
    </row>
    <row r="213" spans="2:8" ht="12.5" x14ac:dyDescent="0.25">
      <c r="B213" s="14"/>
      <c r="C213" s="15"/>
      <c r="D213" s="16"/>
      <c r="E213" s="16"/>
      <c r="F213" s="16"/>
      <c r="G213" s="16"/>
      <c r="H213" s="16"/>
    </row>
    <row r="214" spans="2:8" ht="12.5" x14ac:dyDescent="0.25">
      <c r="B214" s="14"/>
      <c r="C214" s="15"/>
      <c r="D214" s="16"/>
      <c r="E214" s="16"/>
      <c r="F214" s="16"/>
      <c r="G214" s="16"/>
      <c r="H214" s="16"/>
    </row>
    <row r="215" spans="2:8" ht="12.5" x14ac:dyDescent="0.25">
      <c r="B215" s="14"/>
      <c r="C215" s="15"/>
      <c r="D215" s="16"/>
      <c r="E215" s="16"/>
      <c r="F215" s="16"/>
      <c r="G215" s="16"/>
      <c r="H215" s="16"/>
    </row>
    <row r="216" spans="2:8" ht="12.5" x14ac:dyDescent="0.25">
      <c r="B216" s="14"/>
      <c r="C216" s="15"/>
      <c r="D216" s="16"/>
      <c r="E216" s="16"/>
      <c r="F216" s="16"/>
      <c r="G216" s="16"/>
      <c r="H216" s="16"/>
    </row>
    <row r="217" spans="2:8" ht="12.5" x14ac:dyDescent="0.25">
      <c r="B217" s="14"/>
      <c r="C217" s="15"/>
      <c r="D217" s="16"/>
      <c r="E217" s="16"/>
      <c r="F217" s="16"/>
      <c r="G217" s="16"/>
      <c r="H217" s="16"/>
    </row>
    <row r="218" spans="2:8" ht="12.5" x14ac:dyDescent="0.25">
      <c r="B218" s="14"/>
      <c r="C218" s="15"/>
      <c r="D218" s="16"/>
      <c r="E218" s="16"/>
      <c r="F218" s="16"/>
      <c r="G218" s="16"/>
      <c r="H218" s="16"/>
    </row>
    <row r="219" spans="2:8" ht="12.5" x14ac:dyDescent="0.25">
      <c r="B219" s="14"/>
      <c r="C219" s="15"/>
      <c r="D219" s="16"/>
      <c r="E219" s="16"/>
      <c r="F219" s="16"/>
      <c r="G219" s="16"/>
      <c r="H219" s="16"/>
    </row>
    <row r="220" spans="2:8" ht="12.5" x14ac:dyDescent="0.25">
      <c r="B220" s="14"/>
      <c r="C220" s="15"/>
      <c r="D220" s="16"/>
      <c r="E220" s="16"/>
      <c r="F220" s="16"/>
      <c r="G220" s="16"/>
      <c r="H220" s="16"/>
    </row>
    <row r="221" spans="2:8" ht="12.5" x14ac:dyDescent="0.25">
      <c r="B221" s="14"/>
      <c r="C221" s="15"/>
      <c r="D221" s="16"/>
      <c r="E221" s="16"/>
      <c r="F221" s="16"/>
      <c r="G221" s="16"/>
      <c r="H221" s="16"/>
    </row>
    <row r="222" spans="2:8" ht="12.5" x14ac:dyDescent="0.25">
      <c r="B222" s="14"/>
      <c r="C222" s="15"/>
      <c r="D222" s="16"/>
      <c r="E222" s="16"/>
      <c r="F222" s="16"/>
      <c r="G222" s="16"/>
      <c r="H222" s="16"/>
    </row>
    <row r="223" spans="2:8" ht="12.5" x14ac:dyDescent="0.25">
      <c r="B223" s="14"/>
      <c r="C223" s="15"/>
      <c r="D223" s="16"/>
      <c r="E223" s="16"/>
      <c r="F223" s="16"/>
      <c r="G223" s="16"/>
      <c r="H223" s="16"/>
    </row>
    <row r="224" spans="2:8" ht="12.5" x14ac:dyDescent="0.25">
      <c r="B224" s="14"/>
      <c r="C224" s="15"/>
      <c r="D224" s="16"/>
      <c r="E224" s="16"/>
      <c r="F224" s="16"/>
      <c r="G224" s="16"/>
      <c r="H224" s="16"/>
    </row>
    <row r="225" spans="2:8" ht="12.5" x14ac:dyDescent="0.25">
      <c r="B225" s="14"/>
      <c r="C225" s="15"/>
      <c r="D225" s="16"/>
      <c r="E225" s="16"/>
      <c r="F225" s="16"/>
      <c r="G225" s="16"/>
      <c r="H225" s="16"/>
    </row>
    <row r="226" spans="2:8" ht="12.5" x14ac:dyDescent="0.25">
      <c r="B226" s="14"/>
      <c r="C226" s="15"/>
      <c r="D226" s="16"/>
      <c r="E226" s="16"/>
      <c r="F226" s="16"/>
      <c r="G226" s="16"/>
      <c r="H226" s="16"/>
    </row>
    <row r="227" spans="2:8" ht="12.5" x14ac:dyDescent="0.25">
      <c r="B227" s="14"/>
      <c r="C227" s="15"/>
      <c r="D227" s="16"/>
      <c r="E227" s="16"/>
      <c r="F227" s="16"/>
      <c r="G227" s="16"/>
      <c r="H227" s="16"/>
    </row>
    <row r="228" spans="2:8" ht="12.5" x14ac:dyDescent="0.25">
      <c r="B228" s="14"/>
      <c r="C228" s="15"/>
      <c r="D228" s="16"/>
      <c r="E228" s="16"/>
      <c r="F228" s="16"/>
      <c r="G228" s="16"/>
      <c r="H228" s="16"/>
    </row>
    <row r="229" spans="2:8" ht="12.5" x14ac:dyDescent="0.25">
      <c r="B229" s="14"/>
      <c r="C229" s="15"/>
      <c r="D229" s="16"/>
      <c r="E229" s="16"/>
      <c r="F229" s="16"/>
      <c r="G229" s="16"/>
      <c r="H229" s="16"/>
    </row>
    <row r="230" spans="2:8" ht="12.5" x14ac:dyDescent="0.25">
      <c r="B230" s="14"/>
      <c r="C230" s="15"/>
      <c r="D230" s="16"/>
      <c r="E230" s="16"/>
      <c r="F230" s="16"/>
      <c r="G230" s="16"/>
      <c r="H230" s="16"/>
    </row>
    <row r="231" spans="2:8" ht="12.5" x14ac:dyDescent="0.25">
      <c r="B231" s="14"/>
      <c r="C231" s="15"/>
      <c r="D231" s="16"/>
      <c r="E231" s="16"/>
      <c r="F231" s="16"/>
      <c r="G231" s="16"/>
      <c r="H231" s="16"/>
    </row>
    <row r="232" spans="2:8" ht="12.5" x14ac:dyDescent="0.25">
      <c r="B232" s="14"/>
      <c r="C232" s="15"/>
      <c r="D232" s="16"/>
      <c r="E232" s="16"/>
      <c r="F232" s="16"/>
      <c r="G232" s="16"/>
      <c r="H232" s="16"/>
    </row>
    <row r="233" spans="2:8" ht="12.5" x14ac:dyDescent="0.25">
      <c r="B233" s="14"/>
      <c r="C233" s="15"/>
      <c r="D233" s="16"/>
      <c r="E233" s="16"/>
      <c r="F233" s="16"/>
      <c r="G233" s="16"/>
      <c r="H233" s="16"/>
    </row>
    <row r="234" spans="2:8" ht="12.5" x14ac:dyDescent="0.25">
      <c r="B234" s="14"/>
      <c r="C234" s="15"/>
      <c r="D234" s="16"/>
      <c r="E234" s="16"/>
      <c r="F234" s="16"/>
      <c r="G234" s="16"/>
      <c r="H234" s="16"/>
    </row>
    <row r="235" spans="2:8" ht="12.5" x14ac:dyDescent="0.25">
      <c r="B235" s="14"/>
      <c r="C235" s="15"/>
      <c r="D235" s="16"/>
      <c r="E235" s="16"/>
      <c r="F235" s="16"/>
      <c r="G235" s="16"/>
      <c r="H235" s="16"/>
    </row>
    <row r="236" spans="2:8" ht="12.5" x14ac:dyDescent="0.25">
      <c r="B236" s="14"/>
      <c r="C236" s="15"/>
      <c r="D236" s="16"/>
      <c r="E236" s="16"/>
      <c r="F236" s="16"/>
      <c r="G236" s="16"/>
      <c r="H236" s="16"/>
    </row>
    <row r="237" spans="2:8" ht="12.5" x14ac:dyDescent="0.25">
      <c r="B237" s="14"/>
      <c r="C237" s="15"/>
      <c r="D237" s="16"/>
      <c r="E237" s="16"/>
      <c r="F237" s="16"/>
      <c r="G237" s="16"/>
      <c r="H237" s="16"/>
    </row>
    <row r="238" spans="2:8" ht="12.5" x14ac:dyDescent="0.25">
      <c r="B238" s="14"/>
      <c r="C238" s="15"/>
      <c r="D238" s="16"/>
      <c r="E238" s="16"/>
      <c r="F238" s="16"/>
      <c r="G238" s="16"/>
      <c r="H238" s="16"/>
    </row>
    <row r="239" spans="2:8" ht="12.5" x14ac:dyDescent="0.25">
      <c r="B239" s="14"/>
      <c r="C239" s="15"/>
      <c r="D239" s="16"/>
      <c r="E239" s="16"/>
      <c r="F239" s="16"/>
      <c r="G239" s="16"/>
      <c r="H239" s="16"/>
    </row>
    <row r="240" spans="2:8" ht="12.5" x14ac:dyDescent="0.25">
      <c r="B240" s="14"/>
      <c r="C240" s="15"/>
      <c r="D240" s="16"/>
      <c r="E240" s="16"/>
      <c r="F240" s="16"/>
      <c r="G240" s="16"/>
      <c r="H240" s="16"/>
    </row>
    <row r="241" spans="2:8" ht="12.5" x14ac:dyDescent="0.25">
      <c r="B241" s="14"/>
      <c r="C241" s="15"/>
      <c r="D241" s="16"/>
      <c r="E241" s="16"/>
      <c r="F241" s="16"/>
      <c r="G241" s="16"/>
      <c r="H241" s="16"/>
    </row>
    <row r="242" spans="2:8" ht="12.5" x14ac:dyDescent="0.25">
      <c r="B242" s="14"/>
      <c r="C242" s="15"/>
      <c r="D242" s="16"/>
      <c r="E242" s="16"/>
      <c r="F242" s="16"/>
      <c r="G242" s="16"/>
      <c r="H242" s="16"/>
    </row>
    <row r="243" spans="2:8" ht="12.5" x14ac:dyDescent="0.25">
      <c r="B243" s="14"/>
      <c r="C243" s="15"/>
      <c r="D243" s="16"/>
      <c r="E243" s="16"/>
      <c r="F243" s="16"/>
      <c r="G243" s="16"/>
      <c r="H243" s="16"/>
    </row>
    <row r="244" spans="2:8" ht="12.5" x14ac:dyDescent="0.25">
      <c r="B244" s="14"/>
      <c r="C244" s="15"/>
      <c r="D244" s="16"/>
      <c r="E244" s="16"/>
      <c r="F244" s="16"/>
      <c r="G244" s="16"/>
      <c r="H244" s="16"/>
    </row>
    <row r="245" spans="2:8" ht="12.5" x14ac:dyDescent="0.25">
      <c r="B245" s="14"/>
      <c r="C245" s="15"/>
      <c r="D245" s="16"/>
      <c r="E245" s="16"/>
      <c r="F245" s="16"/>
      <c r="G245" s="16"/>
      <c r="H245" s="16"/>
    </row>
    <row r="246" spans="2:8" ht="12.5" x14ac:dyDescent="0.25">
      <c r="B246" s="14"/>
      <c r="C246" s="15"/>
      <c r="D246" s="16"/>
      <c r="E246" s="16"/>
      <c r="F246" s="16"/>
      <c r="G246" s="16"/>
      <c r="H246" s="16"/>
    </row>
    <row r="247" spans="2:8" ht="12.5" x14ac:dyDescent="0.25">
      <c r="B247" s="14"/>
      <c r="C247" s="15"/>
      <c r="D247" s="16"/>
      <c r="E247" s="16"/>
      <c r="F247" s="16"/>
      <c r="G247" s="16"/>
      <c r="H247" s="16"/>
    </row>
    <row r="248" spans="2:8" ht="12.5" x14ac:dyDescent="0.25">
      <c r="B248" s="14"/>
      <c r="C248" s="15"/>
      <c r="D248" s="16"/>
      <c r="E248" s="16"/>
      <c r="F248" s="16"/>
      <c r="G248" s="16"/>
      <c r="H248" s="16"/>
    </row>
    <row r="249" spans="2:8" ht="12.5" x14ac:dyDescent="0.25">
      <c r="B249" s="14"/>
      <c r="C249" s="15"/>
      <c r="D249" s="16"/>
      <c r="E249" s="16"/>
      <c r="F249" s="16"/>
      <c r="G249" s="16"/>
      <c r="H249" s="16"/>
    </row>
    <row r="250" spans="2:8" ht="12.5" x14ac:dyDescent="0.25">
      <c r="B250" s="14"/>
      <c r="C250" s="15"/>
      <c r="D250" s="16"/>
      <c r="E250" s="16"/>
      <c r="F250" s="16"/>
      <c r="G250" s="16"/>
      <c r="H250" s="16"/>
    </row>
    <row r="251" spans="2:8" ht="12.5" x14ac:dyDescent="0.25">
      <c r="B251" s="14"/>
      <c r="C251" s="15"/>
      <c r="D251" s="16"/>
      <c r="E251" s="16"/>
      <c r="F251" s="16"/>
      <c r="G251" s="16"/>
      <c r="H251" s="16"/>
    </row>
    <row r="252" spans="2:8" ht="12.5" x14ac:dyDescent="0.25">
      <c r="B252" s="14"/>
      <c r="C252" s="15"/>
      <c r="D252" s="16"/>
      <c r="E252" s="16"/>
      <c r="F252" s="16"/>
      <c r="G252" s="16"/>
      <c r="H252" s="16"/>
    </row>
    <row r="253" spans="2:8" ht="12.5" x14ac:dyDescent="0.25">
      <c r="B253" s="14"/>
      <c r="C253" s="15"/>
      <c r="D253" s="16"/>
      <c r="E253" s="16"/>
      <c r="F253" s="16"/>
      <c r="G253" s="16"/>
      <c r="H253" s="16"/>
    </row>
    <row r="254" spans="2:8" ht="12.5" x14ac:dyDescent="0.25">
      <c r="B254" s="14"/>
      <c r="C254" s="15"/>
      <c r="D254" s="16"/>
      <c r="E254" s="16"/>
      <c r="F254" s="16"/>
      <c r="G254" s="16"/>
      <c r="H254" s="16"/>
    </row>
    <row r="255" spans="2:8" ht="12.5" x14ac:dyDescent="0.25">
      <c r="B255" s="14"/>
      <c r="C255" s="15"/>
      <c r="D255" s="16"/>
      <c r="E255" s="16"/>
      <c r="F255" s="16"/>
      <c r="G255" s="16"/>
      <c r="H255" s="16"/>
    </row>
    <row r="256" spans="2:8" ht="12.5" x14ac:dyDescent="0.25">
      <c r="B256" s="14"/>
      <c r="C256" s="15"/>
      <c r="D256" s="16"/>
      <c r="E256" s="16"/>
      <c r="F256" s="16"/>
      <c r="G256" s="16"/>
      <c r="H256" s="16"/>
    </row>
    <row r="257" spans="2:8" ht="12.5" x14ac:dyDescent="0.25">
      <c r="B257" s="14"/>
      <c r="C257" s="15"/>
      <c r="D257" s="16"/>
      <c r="E257" s="16"/>
      <c r="F257" s="16"/>
      <c r="G257" s="16"/>
      <c r="H257" s="16"/>
    </row>
    <row r="258" spans="2:8" ht="12.5" x14ac:dyDescent="0.25">
      <c r="B258" s="14"/>
      <c r="C258" s="15"/>
      <c r="D258" s="16"/>
      <c r="E258" s="16"/>
      <c r="F258" s="16"/>
      <c r="G258" s="16"/>
      <c r="H258" s="16"/>
    </row>
    <row r="259" spans="2:8" ht="12.5" x14ac:dyDescent="0.25">
      <c r="B259" s="14"/>
      <c r="C259" s="15"/>
      <c r="D259" s="16"/>
      <c r="E259" s="16"/>
      <c r="F259" s="16"/>
      <c r="G259" s="16"/>
      <c r="H259" s="16"/>
    </row>
    <row r="260" spans="2:8" ht="12.5" x14ac:dyDescent="0.25">
      <c r="B260" s="14"/>
      <c r="C260" s="15"/>
      <c r="D260" s="16"/>
      <c r="E260" s="16"/>
      <c r="F260" s="16"/>
      <c r="G260" s="16"/>
      <c r="H260" s="16"/>
    </row>
    <row r="261" spans="2:8" ht="12.5" x14ac:dyDescent="0.25">
      <c r="B261" s="14"/>
      <c r="C261" s="15"/>
      <c r="D261" s="16"/>
      <c r="E261" s="16"/>
      <c r="F261" s="16"/>
      <c r="G261" s="16"/>
      <c r="H261" s="16"/>
    </row>
    <row r="262" spans="2:8" ht="12.5" x14ac:dyDescent="0.25">
      <c r="B262" s="14"/>
      <c r="C262" s="15"/>
      <c r="D262" s="16"/>
      <c r="E262" s="16"/>
      <c r="F262" s="16"/>
      <c r="G262" s="16"/>
      <c r="H262" s="16"/>
    </row>
    <row r="263" spans="2:8" ht="12.5" x14ac:dyDescent="0.25">
      <c r="B263" s="14"/>
      <c r="C263" s="15"/>
      <c r="D263" s="16"/>
      <c r="E263" s="16"/>
      <c r="F263" s="16"/>
      <c r="G263" s="16"/>
      <c r="H263" s="16"/>
    </row>
    <row r="264" spans="2:8" ht="12.5" x14ac:dyDescent="0.25">
      <c r="B264" s="14"/>
      <c r="C264" s="15"/>
      <c r="D264" s="16"/>
      <c r="E264" s="16"/>
      <c r="F264" s="16"/>
      <c r="G264" s="16"/>
      <c r="H264" s="16"/>
    </row>
    <row r="265" spans="2:8" ht="12.5" x14ac:dyDescent="0.25">
      <c r="B265" s="14"/>
      <c r="C265" s="15"/>
      <c r="D265" s="16"/>
      <c r="E265" s="16"/>
      <c r="F265" s="16"/>
      <c r="G265" s="16"/>
      <c r="H265" s="16"/>
    </row>
    <row r="266" spans="2:8" ht="12.5" x14ac:dyDescent="0.25">
      <c r="B266" s="14"/>
      <c r="C266" s="15"/>
      <c r="D266" s="16"/>
      <c r="E266" s="16"/>
      <c r="F266" s="16"/>
      <c r="G266" s="16"/>
      <c r="H266" s="16"/>
    </row>
    <row r="267" spans="2:8" ht="12.5" x14ac:dyDescent="0.25">
      <c r="B267" s="14"/>
      <c r="C267" s="15"/>
      <c r="D267" s="16"/>
      <c r="E267" s="16"/>
      <c r="F267" s="16"/>
      <c r="G267" s="16"/>
      <c r="H267" s="16"/>
    </row>
    <row r="268" spans="2:8" ht="12.5" x14ac:dyDescent="0.25">
      <c r="B268" s="14"/>
      <c r="C268" s="15"/>
      <c r="D268" s="16"/>
      <c r="E268" s="16"/>
      <c r="F268" s="16"/>
      <c r="G268" s="16"/>
      <c r="H268" s="16"/>
    </row>
    <row r="269" spans="2:8" ht="12.5" x14ac:dyDescent="0.25">
      <c r="B269" s="14"/>
      <c r="C269" s="15"/>
      <c r="D269" s="16"/>
      <c r="E269" s="16"/>
      <c r="F269" s="16"/>
      <c r="G269" s="16"/>
      <c r="H269" s="16"/>
    </row>
    <row r="270" spans="2:8" ht="12.5" x14ac:dyDescent="0.25">
      <c r="B270" s="14"/>
      <c r="C270" s="15"/>
      <c r="D270" s="16"/>
      <c r="E270" s="16"/>
      <c r="F270" s="16"/>
      <c r="G270" s="16"/>
      <c r="H270" s="16"/>
    </row>
    <row r="271" spans="2:8" ht="12.5" x14ac:dyDescent="0.25">
      <c r="B271" s="14"/>
      <c r="C271" s="15"/>
      <c r="D271" s="16"/>
      <c r="E271" s="16"/>
      <c r="F271" s="16"/>
      <c r="G271" s="16"/>
      <c r="H271" s="16"/>
    </row>
    <row r="272" spans="2:8" ht="12.5" x14ac:dyDescent="0.25">
      <c r="B272" s="14"/>
      <c r="C272" s="15"/>
      <c r="D272" s="16"/>
      <c r="E272" s="16"/>
      <c r="F272" s="16"/>
      <c r="G272" s="16"/>
      <c r="H272" s="16"/>
    </row>
    <row r="273" spans="2:8" ht="12.5" x14ac:dyDescent="0.25">
      <c r="B273" s="14"/>
      <c r="C273" s="15"/>
      <c r="D273" s="16"/>
      <c r="E273" s="16"/>
      <c r="F273" s="16"/>
      <c r="G273" s="16"/>
      <c r="H273" s="16"/>
    </row>
    <row r="274" spans="2:8" ht="12.5" x14ac:dyDescent="0.25">
      <c r="B274" s="14"/>
      <c r="C274" s="15"/>
      <c r="D274" s="16"/>
      <c r="E274" s="16"/>
      <c r="F274" s="16"/>
      <c r="G274" s="16"/>
      <c r="H274" s="16"/>
    </row>
    <row r="275" spans="2:8" ht="12.5" x14ac:dyDescent="0.25">
      <c r="B275" s="14"/>
      <c r="C275" s="15"/>
      <c r="D275" s="16"/>
      <c r="E275" s="16"/>
      <c r="F275" s="16"/>
      <c r="G275" s="16"/>
      <c r="H275" s="16"/>
    </row>
    <row r="276" spans="2:8" ht="12.5" x14ac:dyDescent="0.25">
      <c r="B276" s="14"/>
      <c r="C276" s="15"/>
      <c r="D276" s="16"/>
      <c r="E276" s="16"/>
      <c r="F276" s="16"/>
      <c r="G276" s="16"/>
      <c r="H276" s="16"/>
    </row>
    <row r="277" spans="2:8" ht="12.5" x14ac:dyDescent="0.25">
      <c r="B277" s="14"/>
      <c r="C277" s="15"/>
      <c r="D277" s="16"/>
      <c r="E277" s="16"/>
      <c r="F277" s="16"/>
      <c r="G277" s="16"/>
      <c r="H277" s="16"/>
    </row>
    <row r="278" spans="2:8" ht="12.5" x14ac:dyDescent="0.25">
      <c r="B278" s="14"/>
      <c r="C278" s="15"/>
      <c r="D278" s="16"/>
      <c r="E278" s="16"/>
      <c r="F278" s="16"/>
      <c r="G278" s="16"/>
      <c r="H278" s="16"/>
    </row>
    <row r="279" spans="2:8" ht="12.5" x14ac:dyDescent="0.25">
      <c r="B279" s="14"/>
      <c r="C279" s="15"/>
      <c r="D279" s="16"/>
      <c r="E279" s="16"/>
      <c r="F279" s="16"/>
      <c r="G279" s="16"/>
      <c r="H279" s="16"/>
    </row>
    <row r="280" spans="2:8" ht="12.5" x14ac:dyDescent="0.25">
      <c r="B280" s="14"/>
      <c r="C280" s="15"/>
      <c r="D280" s="16"/>
      <c r="E280" s="16"/>
      <c r="F280" s="16"/>
      <c r="G280" s="16"/>
      <c r="H280" s="16"/>
    </row>
    <row r="281" spans="2:8" ht="12.5" x14ac:dyDescent="0.25">
      <c r="B281" s="14"/>
      <c r="C281" s="15"/>
      <c r="D281" s="16"/>
      <c r="E281" s="16"/>
      <c r="F281" s="16"/>
      <c r="G281" s="16"/>
      <c r="H281" s="16"/>
    </row>
    <row r="282" spans="2:8" ht="12.5" x14ac:dyDescent="0.25">
      <c r="B282" s="14"/>
      <c r="C282" s="15"/>
      <c r="D282" s="16"/>
      <c r="E282" s="16"/>
      <c r="F282" s="16"/>
      <c r="G282" s="16"/>
      <c r="H282" s="16"/>
    </row>
    <row r="283" spans="2:8" ht="12.5" x14ac:dyDescent="0.25">
      <c r="B283" s="14"/>
      <c r="C283" s="15"/>
      <c r="D283" s="16"/>
      <c r="E283" s="16"/>
      <c r="F283" s="16"/>
      <c r="G283" s="16"/>
      <c r="H283" s="16"/>
    </row>
    <row r="284" spans="2:8" ht="12.5" x14ac:dyDescent="0.25">
      <c r="B284" s="14"/>
      <c r="C284" s="15"/>
      <c r="D284" s="16"/>
      <c r="E284" s="16"/>
      <c r="F284" s="16"/>
      <c r="G284" s="16"/>
      <c r="H284" s="16"/>
    </row>
    <row r="285" spans="2:8" ht="12.5" x14ac:dyDescent="0.25">
      <c r="B285" s="14"/>
      <c r="C285" s="15"/>
      <c r="D285" s="16"/>
      <c r="E285" s="16"/>
      <c r="F285" s="16"/>
      <c r="G285" s="16"/>
      <c r="H285" s="16"/>
    </row>
    <row r="286" spans="2:8" ht="12.5" x14ac:dyDescent="0.25">
      <c r="B286" s="14"/>
      <c r="C286" s="15"/>
      <c r="D286" s="16"/>
      <c r="E286" s="16"/>
      <c r="F286" s="16"/>
      <c r="G286" s="16"/>
      <c r="H286" s="16"/>
    </row>
    <row r="287" spans="2:8" ht="12.5" x14ac:dyDescent="0.25">
      <c r="B287" s="14"/>
      <c r="C287" s="15"/>
      <c r="D287" s="16"/>
      <c r="E287" s="16"/>
      <c r="F287" s="16"/>
      <c r="G287" s="16"/>
      <c r="H287" s="16"/>
    </row>
    <row r="288" spans="2:8" ht="12.5" x14ac:dyDescent="0.25">
      <c r="B288" s="14"/>
      <c r="C288" s="15"/>
      <c r="D288" s="16"/>
      <c r="E288" s="16"/>
      <c r="F288" s="16"/>
      <c r="G288" s="16"/>
      <c r="H288" s="16"/>
    </row>
    <row r="289" spans="2:8" ht="12.5" x14ac:dyDescent="0.25">
      <c r="B289" s="14"/>
      <c r="C289" s="15"/>
      <c r="D289" s="16"/>
      <c r="E289" s="16"/>
      <c r="F289" s="16"/>
      <c r="G289" s="16"/>
      <c r="H289" s="16"/>
    </row>
    <row r="290" spans="2:8" ht="12.5" x14ac:dyDescent="0.25">
      <c r="B290" s="14"/>
      <c r="C290" s="15"/>
      <c r="D290" s="16"/>
      <c r="E290" s="16"/>
      <c r="F290" s="16"/>
      <c r="G290" s="16"/>
      <c r="H290" s="16"/>
    </row>
    <row r="291" spans="2:8" ht="12.5" x14ac:dyDescent="0.25">
      <c r="B291" s="14"/>
      <c r="C291" s="15"/>
      <c r="D291" s="16"/>
      <c r="E291" s="16"/>
      <c r="F291" s="16"/>
      <c r="G291" s="16"/>
      <c r="H291" s="16"/>
    </row>
    <row r="292" spans="2:8" ht="12.5" x14ac:dyDescent="0.25">
      <c r="B292" s="14"/>
      <c r="C292" s="15"/>
      <c r="D292" s="16"/>
      <c r="E292" s="16"/>
      <c r="F292" s="16"/>
      <c r="G292" s="16"/>
      <c r="H292" s="16"/>
    </row>
    <row r="293" spans="2:8" ht="12.5" x14ac:dyDescent="0.25">
      <c r="B293" s="14"/>
      <c r="C293" s="15"/>
      <c r="D293" s="16"/>
      <c r="E293" s="16"/>
      <c r="F293" s="16"/>
      <c r="G293" s="16"/>
      <c r="H293" s="16"/>
    </row>
    <row r="294" spans="2:8" ht="12.5" x14ac:dyDescent="0.25">
      <c r="B294" s="14"/>
      <c r="C294" s="15"/>
      <c r="D294" s="16"/>
      <c r="E294" s="16"/>
      <c r="F294" s="16"/>
      <c r="G294" s="16"/>
      <c r="H294" s="16"/>
    </row>
    <row r="295" spans="2:8" ht="12.5" x14ac:dyDescent="0.25">
      <c r="B295" s="14"/>
      <c r="C295" s="15"/>
      <c r="D295" s="16"/>
      <c r="E295" s="16"/>
      <c r="F295" s="16"/>
      <c r="G295" s="16"/>
      <c r="H295" s="16"/>
    </row>
    <row r="296" spans="2:8" ht="12.5" x14ac:dyDescent="0.25">
      <c r="B296" s="14"/>
      <c r="C296" s="15"/>
      <c r="D296" s="16"/>
      <c r="E296" s="16"/>
      <c r="F296" s="16"/>
      <c r="G296" s="16"/>
      <c r="H296" s="16"/>
    </row>
    <row r="297" spans="2:8" ht="12.5" x14ac:dyDescent="0.25">
      <c r="B297" s="14"/>
      <c r="C297" s="15"/>
      <c r="D297" s="16"/>
      <c r="E297" s="16"/>
      <c r="F297" s="16"/>
      <c r="G297" s="16"/>
      <c r="H297" s="16"/>
    </row>
    <row r="298" spans="2:8" ht="12.5" x14ac:dyDescent="0.25">
      <c r="B298" s="14"/>
      <c r="C298" s="15"/>
      <c r="D298" s="16"/>
      <c r="E298" s="16"/>
      <c r="F298" s="16"/>
      <c r="G298" s="16"/>
      <c r="H298" s="16"/>
    </row>
    <row r="299" spans="2:8" ht="12.5" x14ac:dyDescent="0.25">
      <c r="B299" s="14"/>
      <c r="C299" s="15"/>
      <c r="D299" s="16"/>
      <c r="E299" s="16"/>
      <c r="F299" s="16"/>
      <c r="G299" s="16"/>
      <c r="H299" s="16"/>
    </row>
    <row r="300" spans="2:8" ht="12.5" x14ac:dyDescent="0.25">
      <c r="B300" s="14"/>
      <c r="C300" s="15"/>
      <c r="D300" s="16"/>
      <c r="E300" s="16"/>
      <c r="F300" s="16"/>
      <c r="G300" s="16"/>
      <c r="H300" s="16"/>
    </row>
    <row r="301" spans="2:8" ht="12.5" x14ac:dyDescent="0.25">
      <c r="B301" s="14"/>
      <c r="C301" s="15"/>
      <c r="D301" s="16"/>
      <c r="E301" s="16"/>
      <c r="F301" s="16"/>
      <c r="G301" s="16"/>
      <c r="H301" s="16"/>
    </row>
    <row r="302" spans="2:8" ht="12.5" x14ac:dyDescent="0.25">
      <c r="B302" s="14"/>
      <c r="C302" s="15"/>
      <c r="D302" s="16"/>
      <c r="E302" s="16"/>
      <c r="F302" s="16"/>
      <c r="G302" s="16"/>
      <c r="H302" s="16"/>
    </row>
    <row r="303" spans="2:8" ht="12.5" x14ac:dyDescent="0.25">
      <c r="B303" s="14"/>
      <c r="C303" s="15"/>
      <c r="D303" s="16"/>
      <c r="E303" s="16"/>
      <c r="F303" s="16"/>
      <c r="G303" s="16"/>
      <c r="H303" s="16"/>
    </row>
    <row r="304" spans="2:8" ht="12.5" x14ac:dyDescent="0.25">
      <c r="B304" s="14"/>
      <c r="C304" s="15"/>
      <c r="D304" s="16"/>
      <c r="E304" s="16"/>
      <c r="F304" s="16"/>
      <c r="G304" s="16"/>
      <c r="H304" s="16"/>
    </row>
    <row r="305" spans="2:8" ht="12.5" x14ac:dyDescent="0.25">
      <c r="B305" s="14"/>
      <c r="C305" s="15"/>
      <c r="D305" s="16"/>
      <c r="E305" s="16"/>
      <c r="F305" s="16"/>
      <c r="G305" s="16"/>
      <c r="H305" s="16"/>
    </row>
    <row r="306" spans="2:8" ht="12.5" x14ac:dyDescent="0.25">
      <c r="B306" s="14"/>
      <c r="C306" s="15"/>
      <c r="D306" s="16"/>
      <c r="E306" s="16"/>
      <c r="F306" s="16"/>
      <c r="G306" s="16"/>
      <c r="H306" s="16"/>
    </row>
    <row r="307" spans="2:8" ht="12.5" x14ac:dyDescent="0.25">
      <c r="B307" s="14"/>
      <c r="C307" s="15"/>
      <c r="D307" s="16"/>
      <c r="E307" s="16"/>
      <c r="F307" s="16"/>
      <c r="G307" s="16"/>
      <c r="H307" s="16"/>
    </row>
    <row r="308" spans="2:8" ht="12.5" x14ac:dyDescent="0.25">
      <c r="B308" s="14"/>
      <c r="C308" s="15"/>
      <c r="D308" s="16"/>
      <c r="E308" s="16"/>
      <c r="F308" s="16"/>
      <c r="G308" s="16"/>
      <c r="H308" s="16"/>
    </row>
    <row r="309" spans="2:8" ht="12.5" x14ac:dyDescent="0.25">
      <c r="B309" s="14"/>
      <c r="C309" s="15"/>
      <c r="D309" s="16"/>
      <c r="E309" s="16"/>
      <c r="F309" s="16"/>
      <c r="G309" s="16"/>
      <c r="H309" s="16"/>
    </row>
    <row r="310" spans="2:8" ht="12.5" x14ac:dyDescent="0.25">
      <c r="B310" s="14"/>
      <c r="C310" s="15"/>
      <c r="D310" s="16"/>
      <c r="E310" s="16"/>
      <c r="F310" s="16"/>
      <c r="G310" s="16"/>
      <c r="H310" s="16"/>
    </row>
    <row r="311" spans="2:8" ht="12.5" x14ac:dyDescent="0.25">
      <c r="B311" s="14"/>
      <c r="C311" s="15"/>
      <c r="D311" s="16"/>
      <c r="E311" s="16"/>
      <c r="F311" s="16"/>
      <c r="G311" s="16"/>
      <c r="H311" s="16"/>
    </row>
    <row r="312" spans="2:8" ht="12.5" x14ac:dyDescent="0.25">
      <c r="B312" s="14"/>
      <c r="C312" s="15"/>
      <c r="D312" s="16"/>
      <c r="E312" s="16"/>
      <c r="F312" s="16"/>
      <c r="G312" s="16"/>
      <c r="H312" s="16"/>
    </row>
    <row r="313" spans="2:8" ht="12.5" x14ac:dyDescent="0.25">
      <c r="B313" s="14"/>
      <c r="C313" s="15"/>
      <c r="D313" s="16"/>
      <c r="E313" s="16"/>
      <c r="F313" s="16"/>
      <c r="G313" s="16"/>
      <c r="H313" s="16"/>
    </row>
    <row r="314" spans="2:8" ht="12.5" x14ac:dyDescent="0.25">
      <c r="B314" s="14"/>
      <c r="C314" s="15"/>
      <c r="D314" s="16"/>
      <c r="E314" s="16"/>
      <c r="F314" s="16"/>
      <c r="G314" s="16"/>
      <c r="H314" s="16"/>
    </row>
    <row r="315" spans="2:8" ht="12.5" x14ac:dyDescent="0.25">
      <c r="B315" s="14"/>
      <c r="C315" s="15"/>
      <c r="D315" s="16"/>
      <c r="E315" s="16"/>
      <c r="F315" s="16"/>
      <c r="G315" s="16"/>
      <c r="H315" s="16"/>
    </row>
    <row r="316" spans="2:8" ht="12.5" x14ac:dyDescent="0.25">
      <c r="B316" s="14"/>
      <c r="C316" s="15"/>
      <c r="D316" s="16"/>
      <c r="E316" s="16"/>
      <c r="F316" s="16"/>
      <c r="G316" s="16"/>
      <c r="H316" s="16"/>
    </row>
    <row r="317" spans="2:8" ht="12.5" x14ac:dyDescent="0.25">
      <c r="B317" s="14"/>
      <c r="C317" s="15"/>
      <c r="D317" s="16"/>
      <c r="E317" s="16"/>
      <c r="F317" s="16"/>
      <c r="G317" s="16"/>
      <c r="H317" s="16"/>
    </row>
    <row r="318" spans="2:8" ht="12.5" x14ac:dyDescent="0.25">
      <c r="B318" s="14"/>
      <c r="C318" s="15"/>
      <c r="D318" s="16"/>
      <c r="E318" s="16"/>
      <c r="F318" s="16"/>
      <c r="G318" s="16"/>
      <c r="H318" s="16"/>
    </row>
    <row r="319" spans="2:8" ht="12.5" x14ac:dyDescent="0.25">
      <c r="B319" s="14"/>
      <c r="C319" s="15"/>
      <c r="D319" s="16"/>
      <c r="E319" s="16"/>
      <c r="F319" s="16"/>
      <c r="G319" s="16"/>
      <c r="H319" s="16"/>
    </row>
    <row r="320" spans="2:8" ht="12.5" x14ac:dyDescent="0.25">
      <c r="B320" s="14"/>
      <c r="C320" s="15"/>
      <c r="D320" s="16"/>
      <c r="E320" s="16"/>
      <c r="F320" s="16"/>
      <c r="G320" s="16"/>
      <c r="H320" s="16"/>
    </row>
    <row r="321" spans="2:8" ht="12.5" x14ac:dyDescent="0.25">
      <c r="B321" s="14"/>
      <c r="C321" s="15"/>
      <c r="D321" s="16"/>
      <c r="E321" s="16"/>
      <c r="F321" s="16"/>
      <c r="G321" s="16"/>
      <c r="H321" s="16"/>
    </row>
    <row r="322" spans="2:8" ht="12.5" x14ac:dyDescent="0.25">
      <c r="B322" s="14"/>
      <c r="C322" s="15"/>
      <c r="D322" s="16"/>
      <c r="E322" s="16"/>
      <c r="F322" s="16"/>
      <c r="G322" s="16"/>
      <c r="H322" s="16"/>
    </row>
    <row r="323" spans="2:8" ht="12.5" x14ac:dyDescent="0.25">
      <c r="B323" s="14"/>
      <c r="C323" s="15"/>
      <c r="D323" s="16"/>
      <c r="E323" s="16"/>
      <c r="F323" s="16"/>
      <c r="G323" s="16"/>
      <c r="H323" s="16"/>
    </row>
    <row r="324" spans="2:8" ht="12.5" x14ac:dyDescent="0.25">
      <c r="B324" s="14"/>
      <c r="C324" s="15"/>
      <c r="D324" s="16"/>
      <c r="E324" s="16"/>
      <c r="F324" s="16"/>
      <c r="G324" s="16"/>
      <c r="H324" s="16"/>
    </row>
    <row r="325" spans="2:8" ht="12.5" x14ac:dyDescent="0.25">
      <c r="B325" s="14"/>
      <c r="C325" s="15"/>
      <c r="D325" s="16"/>
      <c r="E325" s="16"/>
      <c r="F325" s="16"/>
      <c r="G325" s="16"/>
      <c r="H325" s="16"/>
    </row>
    <row r="326" spans="2:8" ht="12.5" x14ac:dyDescent="0.25">
      <c r="B326" s="14"/>
      <c r="C326" s="15"/>
      <c r="D326" s="16"/>
      <c r="E326" s="16"/>
      <c r="F326" s="16"/>
      <c r="G326" s="16"/>
      <c r="H326" s="16"/>
    </row>
    <row r="327" spans="2:8" ht="12.5" x14ac:dyDescent="0.25">
      <c r="B327" s="14"/>
      <c r="C327" s="15"/>
      <c r="D327" s="16"/>
      <c r="E327" s="16"/>
      <c r="F327" s="16"/>
      <c r="G327" s="16"/>
      <c r="H327" s="16"/>
    </row>
    <row r="328" spans="2:8" ht="12.5" x14ac:dyDescent="0.25">
      <c r="B328" s="14"/>
      <c r="C328" s="15"/>
      <c r="D328" s="16"/>
      <c r="E328" s="16"/>
      <c r="F328" s="16"/>
      <c r="G328" s="16"/>
      <c r="H328" s="16"/>
    </row>
    <row r="329" spans="2:8" ht="12.5" x14ac:dyDescent="0.25">
      <c r="B329" s="14"/>
      <c r="C329" s="15"/>
      <c r="D329" s="16"/>
      <c r="E329" s="16"/>
      <c r="F329" s="16"/>
      <c r="G329" s="16"/>
      <c r="H329" s="16"/>
    </row>
    <row r="330" spans="2:8" ht="12.5" x14ac:dyDescent="0.25">
      <c r="B330" s="14"/>
      <c r="C330" s="15"/>
      <c r="D330" s="16"/>
      <c r="E330" s="16"/>
      <c r="F330" s="16"/>
      <c r="G330" s="16"/>
      <c r="H330" s="16"/>
    </row>
    <row r="331" spans="2:8" ht="12.5" x14ac:dyDescent="0.25">
      <c r="B331" s="14"/>
      <c r="C331" s="15"/>
      <c r="D331" s="16"/>
      <c r="E331" s="16"/>
      <c r="F331" s="16"/>
      <c r="G331" s="16"/>
      <c r="H331" s="16"/>
    </row>
    <row r="332" spans="2:8" ht="12.5" x14ac:dyDescent="0.25">
      <c r="B332" s="14"/>
      <c r="C332" s="15"/>
      <c r="D332" s="16"/>
      <c r="E332" s="16"/>
      <c r="F332" s="16"/>
      <c r="G332" s="16"/>
      <c r="H332" s="16"/>
    </row>
    <row r="333" spans="2:8" ht="12.5" x14ac:dyDescent="0.25">
      <c r="B333" s="14"/>
      <c r="C333" s="15"/>
      <c r="D333" s="16"/>
      <c r="E333" s="16"/>
      <c r="F333" s="16"/>
      <c r="G333" s="16"/>
      <c r="H333" s="16"/>
    </row>
    <row r="334" spans="2:8" ht="12.5" x14ac:dyDescent="0.25">
      <c r="B334" s="14"/>
      <c r="C334" s="15"/>
      <c r="D334" s="16"/>
      <c r="E334" s="16"/>
      <c r="F334" s="16"/>
      <c r="G334" s="16"/>
      <c r="H334" s="16"/>
    </row>
    <row r="335" spans="2:8" ht="12.5" x14ac:dyDescent="0.25">
      <c r="B335" s="14"/>
      <c r="C335" s="15"/>
      <c r="D335" s="16"/>
      <c r="E335" s="16"/>
      <c r="F335" s="16"/>
      <c r="G335" s="16"/>
      <c r="H335" s="16"/>
    </row>
    <row r="336" spans="2:8" ht="12.5" x14ac:dyDescent="0.25">
      <c r="B336" s="14"/>
      <c r="C336" s="15"/>
      <c r="D336" s="16"/>
      <c r="E336" s="16"/>
      <c r="F336" s="16"/>
      <c r="G336" s="16"/>
      <c r="H336" s="16"/>
    </row>
    <row r="337" spans="2:8" ht="12.5" x14ac:dyDescent="0.25">
      <c r="B337" s="14"/>
      <c r="C337" s="15"/>
      <c r="D337" s="16"/>
      <c r="E337" s="16"/>
      <c r="F337" s="16"/>
      <c r="G337" s="16"/>
      <c r="H337" s="16"/>
    </row>
    <row r="338" spans="2:8" ht="12.5" x14ac:dyDescent="0.25">
      <c r="B338" s="14"/>
      <c r="C338" s="15"/>
      <c r="D338" s="16"/>
      <c r="E338" s="16"/>
      <c r="F338" s="16"/>
      <c r="G338" s="16"/>
      <c r="H338" s="16"/>
    </row>
    <row r="339" spans="2:8" ht="12.5" x14ac:dyDescent="0.25">
      <c r="B339" s="14"/>
      <c r="C339" s="15"/>
      <c r="D339" s="16"/>
      <c r="E339" s="16"/>
      <c r="F339" s="16"/>
      <c r="G339" s="16"/>
      <c r="H339" s="16"/>
    </row>
    <row r="340" spans="2:8" ht="12.5" x14ac:dyDescent="0.25">
      <c r="B340" s="14"/>
      <c r="C340" s="15"/>
      <c r="D340" s="16"/>
      <c r="E340" s="16"/>
      <c r="F340" s="16"/>
      <c r="G340" s="16"/>
      <c r="H340" s="16"/>
    </row>
    <row r="341" spans="2:8" ht="12.5" x14ac:dyDescent="0.25">
      <c r="B341" s="14"/>
      <c r="C341" s="15"/>
      <c r="D341" s="16"/>
      <c r="E341" s="16"/>
      <c r="F341" s="16"/>
      <c r="G341" s="16"/>
      <c r="H341" s="16"/>
    </row>
    <row r="342" spans="2:8" ht="12.5" x14ac:dyDescent="0.25">
      <c r="B342" s="14"/>
      <c r="C342" s="15"/>
      <c r="D342" s="16"/>
      <c r="E342" s="16"/>
      <c r="F342" s="16"/>
      <c r="G342" s="16"/>
      <c r="H342" s="16"/>
    </row>
    <row r="343" spans="2:8" ht="12.5" x14ac:dyDescent="0.25">
      <c r="B343" s="14"/>
      <c r="C343" s="15"/>
      <c r="D343" s="16"/>
      <c r="E343" s="16"/>
      <c r="F343" s="16"/>
      <c r="G343" s="16"/>
      <c r="H343" s="16"/>
    </row>
    <row r="344" spans="2:8" ht="12.5" x14ac:dyDescent="0.25">
      <c r="B344" s="14"/>
      <c r="C344" s="15"/>
      <c r="D344" s="16"/>
      <c r="E344" s="16"/>
      <c r="F344" s="16"/>
      <c r="G344" s="16"/>
      <c r="H344" s="16"/>
    </row>
    <row r="345" spans="2:8" ht="12.5" x14ac:dyDescent="0.25">
      <c r="B345" s="14"/>
      <c r="C345" s="15"/>
      <c r="D345" s="16"/>
      <c r="E345" s="16"/>
      <c r="F345" s="16"/>
      <c r="G345" s="16"/>
      <c r="H345" s="16"/>
    </row>
    <row r="346" spans="2:8" ht="12.5" x14ac:dyDescent="0.25">
      <c r="B346" s="14"/>
      <c r="C346" s="15"/>
      <c r="D346" s="16"/>
      <c r="E346" s="16"/>
      <c r="F346" s="16"/>
      <c r="G346" s="16"/>
      <c r="H346" s="16"/>
    </row>
    <row r="347" spans="2:8" ht="12.5" x14ac:dyDescent="0.25">
      <c r="B347" s="14"/>
      <c r="C347" s="15"/>
      <c r="D347" s="16"/>
      <c r="E347" s="16"/>
      <c r="F347" s="16"/>
      <c r="G347" s="16"/>
      <c r="H347" s="16"/>
    </row>
    <row r="348" spans="2:8" ht="12.5" x14ac:dyDescent="0.25">
      <c r="B348" s="14"/>
      <c r="C348" s="15"/>
      <c r="D348" s="16"/>
      <c r="E348" s="16"/>
      <c r="F348" s="16"/>
      <c r="G348" s="16"/>
      <c r="H348" s="16"/>
    </row>
    <row r="349" spans="2:8" ht="12.5" x14ac:dyDescent="0.25">
      <c r="B349" s="14"/>
      <c r="C349" s="15"/>
      <c r="D349" s="16"/>
      <c r="E349" s="16"/>
      <c r="F349" s="16"/>
      <c r="G349" s="16"/>
      <c r="H349" s="16"/>
    </row>
    <row r="350" spans="2:8" ht="12.5" x14ac:dyDescent="0.25">
      <c r="B350" s="14"/>
      <c r="C350" s="15"/>
      <c r="D350" s="16"/>
      <c r="E350" s="16"/>
      <c r="F350" s="16"/>
      <c r="G350" s="16"/>
      <c r="H350" s="16"/>
    </row>
    <row r="351" spans="2:8" ht="12.5" x14ac:dyDescent="0.25">
      <c r="B351" s="14"/>
      <c r="C351" s="15"/>
      <c r="D351" s="16"/>
      <c r="E351" s="16"/>
      <c r="F351" s="16"/>
      <c r="G351" s="16"/>
      <c r="H351" s="16"/>
    </row>
    <row r="352" spans="2:8" ht="12.5" x14ac:dyDescent="0.25">
      <c r="B352" s="14"/>
      <c r="C352" s="15"/>
      <c r="D352" s="16"/>
      <c r="E352" s="16"/>
      <c r="F352" s="16"/>
      <c r="G352" s="16"/>
      <c r="H352" s="16"/>
    </row>
    <row r="353" spans="2:8" ht="12.5" x14ac:dyDescent="0.25">
      <c r="B353" s="14"/>
      <c r="C353" s="15"/>
      <c r="D353" s="16"/>
      <c r="E353" s="16"/>
      <c r="F353" s="16"/>
      <c r="G353" s="16"/>
      <c r="H353" s="16"/>
    </row>
    <row r="354" spans="2:8" ht="12.5" x14ac:dyDescent="0.25">
      <c r="B354" s="14"/>
      <c r="C354" s="15"/>
      <c r="D354" s="16"/>
      <c r="E354" s="16"/>
      <c r="F354" s="16"/>
      <c r="G354" s="16"/>
      <c r="H354" s="16"/>
    </row>
    <row r="355" spans="2:8" ht="12.5" x14ac:dyDescent="0.25">
      <c r="B355" s="14"/>
      <c r="C355" s="15"/>
      <c r="D355" s="16"/>
      <c r="E355" s="16"/>
      <c r="F355" s="16"/>
      <c r="G355" s="16"/>
      <c r="H355" s="16"/>
    </row>
    <row r="356" spans="2:8" ht="12.5" x14ac:dyDescent="0.25">
      <c r="B356" s="14"/>
      <c r="C356" s="15"/>
      <c r="D356" s="16"/>
      <c r="E356" s="16"/>
      <c r="F356" s="16"/>
      <c r="G356" s="16"/>
      <c r="H356" s="16"/>
    </row>
    <row r="357" spans="2:8" ht="12.5" x14ac:dyDescent="0.25">
      <c r="B357" s="14"/>
      <c r="C357" s="15"/>
      <c r="D357" s="16"/>
      <c r="E357" s="16"/>
      <c r="F357" s="16"/>
      <c r="G357" s="16"/>
      <c r="H357" s="16"/>
    </row>
    <row r="358" spans="2:8" ht="12.5" x14ac:dyDescent="0.25">
      <c r="B358" s="14"/>
      <c r="C358" s="15"/>
      <c r="D358" s="16"/>
      <c r="E358" s="16"/>
      <c r="F358" s="16"/>
      <c r="G358" s="16"/>
      <c r="H358" s="16"/>
    </row>
    <row r="359" spans="2:8" ht="12.5" x14ac:dyDescent="0.25">
      <c r="B359" s="14"/>
      <c r="C359" s="15"/>
      <c r="D359" s="16"/>
      <c r="E359" s="16"/>
      <c r="F359" s="16"/>
      <c r="G359" s="16"/>
      <c r="H359" s="16"/>
    </row>
    <row r="360" spans="2:8" ht="12.5" x14ac:dyDescent="0.25">
      <c r="B360" s="14"/>
      <c r="C360" s="15"/>
      <c r="D360" s="16"/>
      <c r="E360" s="16"/>
      <c r="F360" s="16"/>
      <c r="G360" s="16"/>
      <c r="H360" s="16"/>
    </row>
    <row r="361" spans="2:8" ht="12.5" x14ac:dyDescent="0.25">
      <c r="B361" s="14"/>
      <c r="C361" s="15"/>
      <c r="D361" s="16"/>
      <c r="E361" s="16"/>
      <c r="F361" s="16"/>
      <c r="G361" s="16"/>
      <c r="H361" s="16"/>
    </row>
    <row r="362" spans="2:8" ht="12.5" x14ac:dyDescent="0.25">
      <c r="B362" s="14"/>
      <c r="C362" s="15"/>
      <c r="D362" s="16"/>
      <c r="E362" s="16"/>
      <c r="F362" s="16"/>
      <c r="G362" s="16"/>
      <c r="H362" s="16"/>
    </row>
    <row r="363" spans="2:8" ht="12.5" x14ac:dyDescent="0.25">
      <c r="B363" s="14"/>
      <c r="C363" s="15"/>
      <c r="D363" s="16"/>
      <c r="E363" s="16"/>
      <c r="F363" s="16"/>
      <c r="G363" s="16"/>
      <c r="H363" s="16"/>
    </row>
    <row r="364" spans="2:8" ht="12.5" x14ac:dyDescent="0.25">
      <c r="B364" s="14"/>
      <c r="C364" s="15"/>
      <c r="D364" s="16"/>
      <c r="E364" s="16"/>
      <c r="F364" s="16"/>
      <c r="G364" s="16"/>
      <c r="H364" s="16"/>
    </row>
    <row r="365" spans="2:8" ht="12.5" x14ac:dyDescent="0.25">
      <c r="B365" s="14"/>
      <c r="C365" s="15"/>
      <c r="D365" s="16"/>
      <c r="E365" s="16"/>
      <c r="F365" s="16"/>
      <c r="G365" s="16"/>
      <c r="H365" s="16"/>
    </row>
    <row r="366" spans="2:8" ht="12.5" x14ac:dyDescent="0.25">
      <c r="B366" s="14"/>
      <c r="C366" s="15"/>
      <c r="D366" s="16"/>
      <c r="E366" s="16"/>
      <c r="F366" s="16"/>
      <c r="G366" s="16"/>
      <c r="H366" s="16"/>
    </row>
    <row r="367" spans="2:8" ht="12.5" x14ac:dyDescent="0.25">
      <c r="B367" s="14"/>
      <c r="C367" s="15"/>
      <c r="D367" s="16"/>
      <c r="E367" s="16"/>
      <c r="F367" s="16"/>
      <c r="G367" s="16"/>
      <c r="H367" s="16"/>
    </row>
    <row r="368" spans="2:8" ht="12.5" x14ac:dyDescent="0.25">
      <c r="B368" s="14"/>
      <c r="C368" s="15"/>
      <c r="D368" s="16"/>
      <c r="E368" s="16"/>
      <c r="F368" s="16"/>
      <c r="G368" s="16"/>
      <c r="H368" s="16"/>
    </row>
    <row r="369" spans="2:8" ht="12.5" x14ac:dyDescent="0.25">
      <c r="B369" s="14"/>
      <c r="C369" s="15"/>
      <c r="D369" s="16"/>
      <c r="E369" s="16"/>
      <c r="F369" s="16"/>
      <c r="G369" s="16"/>
      <c r="H369" s="16"/>
    </row>
    <row r="370" spans="2:8" ht="12.5" x14ac:dyDescent="0.25">
      <c r="B370" s="14"/>
      <c r="C370" s="15"/>
      <c r="D370" s="16"/>
      <c r="E370" s="16"/>
      <c r="F370" s="16"/>
      <c r="G370" s="16"/>
      <c r="H370" s="16"/>
    </row>
    <row r="371" spans="2:8" ht="12.5" x14ac:dyDescent="0.25">
      <c r="B371" s="14"/>
      <c r="C371" s="15"/>
      <c r="D371" s="16"/>
      <c r="E371" s="16"/>
      <c r="F371" s="16"/>
      <c r="G371" s="16"/>
      <c r="H371" s="16"/>
    </row>
    <row r="372" spans="2:8" ht="12.5" x14ac:dyDescent="0.25">
      <c r="B372" s="14"/>
      <c r="C372" s="15"/>
      <c r="D372" s="16"/>
      <c r="E372" s="16"/>
      <c r="F372" s="16"/>
      <c r="G372" s="16"/>
      <c r="H372" s="16"/>
    </row>
    <row r="373" spans="2:8" ht="12.5" x14ac:dyDescent="0.25">
      <c r="B373" s="14"/>
      <c r="C373" s="15"/>
      <c r="D373" s="16"/>
      <c r="E373" s="16"/>
      <c r="F373" s="16"/>
      <c r="G373" s="16"/>
      <c r="H373" s="16"/>
    </row>
    <row r="374" spans="2:8" ht="12.5" x14ac:dyDescent="0.25">
      <c r="B374" s="14"/>
      <c r="C374" s="15"/>
      <c r="D374" s="16"/>
      <c r="E374" s="16"/>
      <c r="F374" s="16"/>
      <c r="G374" s="16"/>
      <c r="H374" s="16"/>
    </row>
    <row r="375" spans="2:8" ht="12.5" x14ac:dyDescent="0.25">
      <c r="B375" s="14"/>
      <c r="C375" s="15"/>
      <c r="D375" s="16"/>
      <c r="E375" s="16"/>
      <c r="F375" s="16"/>
      <c r="G375" s="16"/>
      <c r="H375" s="16"/>
    </row>
    <row r="376" spans="2:8" ht="12.5" x14ac:dyDescent="0.25">
      <c r="B376" s="14"/>
      <c r="C376" s="15"/>
      <c r="D376" s="16"/>
      <c r="E376" s="16"/>
      <c r="F376" s="16"/>
      <c r="G376" s="16"/>
      <c r="H376" s="16"/>
    </row>
    <row r="377" spans="2:8" ht="12.5" x14ac:dyDescent="0.25">
      <c r="B377" s="14"/>
      <c r="C377" s="15"/>
      <c r="D377" s="16"/>
      <c r="E377" s="16"/>
      <c r="F377" s="16"/>
      <c r="G377" s="16"/>
      <c r="H377" s="16"/>
    </row>
    <row r="378" spans="2:8" ht="12.5" x14ac:dyDescent="0.25">
      <c r="B378" s="14"/>
      <c r="C378" s="15"/>
      <c r="D378" s="16"/>
      <c r="E378" s="16"/>
      <c r="F378" s="16"/>
      <c r="G378" s="16"/>
      <c r="H378" s="16"/>
    </row>
    <row r="379" spans="2:8" ht="12.5" x14ac:dyDescent="0.25">
      <c r="B379" s="14"/>
      <c r="C379" s="15"/>
      <c r="D379" s="16"/>
      <c r="E379" s="16"/>
      <c r="F379" s="16"/>
      <c r="G379" s="16"/>
      <c r="H379" s="16"/>
    </row>
    <row r="380" spans="2:8" ht="12.5" x14ac:dyDescent="0.25">
      <c r="B380" s="14"/>
      <c r="C380" s="15"/>
      <c r="D380" s="16"/>
      <c r="E380" s="16"/>
      <c r="F380" s="16"/>
      <c r="G380" s="16"/>
      <c r="H380" s="16"/>
    </row>
    <row r="381" spans="2:8" ht="12.5" x14ac:dyDescent="0.25">
      <c r="B381" s="14"/>
      <c r="C381" s="15"/>
      <c r="D381" s="16"/>
      <c r="E381" s="16"/>
      <c r="F381" s="16"/>
      <c r="G381" s="16"/>
      <c r="H381" s="16"/>
    </row>
    <row r="382" spans="2:8" ht="12.5" x14ac:dyDescent="0.25">
      <c r="B382" s="14"/>
      <c r="C382" s="15"/>
      <c r="D382" s="16"/>
      <c r="E382" s="16"/>
      <c r="F382" s="16"/>
      <c r="G382" s="16"/>
      <c r="H382" s="16"/>
    </row>
    <row r="383" spans="2:8" ht="12.5" x14ac:dyDescent="0.25">
      <c r="B383" s="14"/>
      <c r="C383" s="15"/>
      <c r="D383" s="16"/>
      <c r="E383" s="16"/>
      <c r="F383" s="16"/>
      <c r="G383" s="16"/>
      <c r="H383" s="16"/>
    </row>
    <row r="384" spans="2:8" ht="12.5" x14ac:dyDescent="0.25">
      <c r="B384" s="14"/>
      <c r="C384" s="15"/>
      <c r="D384" s="16"/>
      <c r="E384" s="16"/>
      <c r="F384" s="16"/>
      <c r="G384" s="16"/>
      <c r="H384" s="16"/>
    </row>
    <row r="385" spans="2:8" ht="12.5" x14ac:dyDescent="0.25">
      <c r="B385" s="14"/>
      <c r="C385" s="15"/>
      <c r="D385" s="16"/>
      <c r="E385" s="16"/>
      <c r="F385" s="16"/>
      <c r="G385" s="16"/>
      <c r="H385" s="16"/>
    </row>
    <row r="386" spans="2:8" ht="12.5" x14ac:dyDescent="0.25">
      <c r="B386" s="14"/>
      <c r="C386" s="15"/>
      <c r="D386" s="16"/>
      <c r="E386" s="16"/>
      <c r="F386" s="16"/>
      <c r="G386" s="16"/>
      <c r="H386" s="16"/>
    </row>
    <row r="387" spans="2:8" ht="12.5" x14ac:dyDescent="0.25">
      <c r="B387" s="14"/>
      <c r="C387" s="15"/>
      <c r="D387" s="16"/>
      <c r="E387" s="16"/>
      <c r="F387" s="16"/>
      <c r="G387" s="16"/>
      <c r="H387" s="16"/>
    </row>
    <row r="388" spans="2:8" ht="12.5" x14ac:dyDescent="0.25">
      <c r="B388" s="14"/>
      <c r="C388" s="15"/>
      <c r="D388" s="16"/>
      <c r="E388" s="16"/>
      <c r="F388" s="16"/>
      <c r="G388" s="16"/>
      <c r="H388" s="16"/>
    </row>
    <row r="389" spans="2:8" ht="12.5" x14ac:dyDescent="0.25">
      <c r="B389" s="14"/>
      <c r="C389" s="15"/>
      <c r="D389" s="16"/>
      <c r="E389" s="16"/>
      <c r="F389" s="16"/>
      <c r="G389" s="16"/>
      <c r="H389" s="16"/>
    </row>
    <row r="390" spans="2:8" ht="12.5" x14ac:dyDescent="0.25">
      <c r="B390" s="14"/>
      <c r="C390" s="15"/>
      <c r="D390" s="16"/>
      <c r="E390" s="16"/>
      <c r="F390" s="16"/>
      <c r="G390" s="16"/>
      <c r="H390" s="16"/>
    </row>
    <row r="391" spans="2:8" ht="12.5" x14ac:dyDescent="0.25">
      <c r="B391" s="14"/>
      <c r="C391" s="15"/>
      <c r="D391" s="16"/>
      <c r="E391" s="16"/>
      <c r="F391" s="16"/>
      <c r="G391" s="16"/>
      <c r="H391" s="16"/>
    </row>
    <row r="392" spans="2:8" ht="12.5" x14ac:dyDescent="0.25">
      <c r="B392" s="14"/>
      <c r="C392" s="15"/>
      <c r="D392" s="16"/>
      <c r="E392" s="16"/>
      <c r="F392" s="16"/>
      <c r="G392" s="16"/>
      <c r="H392" s="16"/>
    </row>
    <row r="393" spans="2:8" ht="12.5" x14ac:dyDescent="0.25">
      <c r="B393" s="14"/>
      <c r="C393" s="15"/>
      <c r="D393" s="16"/>
      <c r="E393" s="16"/>
      <c r="F393" s="16"/>
      <c r="G393" s="16"/>
      <c r="H393" s="16"/>
    </row>
    <row r="394" spans="2:8" ht="12.5" x14ac:dyDescent="0.25">
      <c r="B394" s="14"/>
      <c r="C394" s="15"/>
      <c r="D394" s="16"/>
      <c r="E394" s="16"/>
      <c r="F394" s="16"/>
      <c r="G394" s="16"/>
      <c r="H394" s="16"/>
    </row>
    <row r="395" spans="2:8" ht="12.5" x14ac:dyDescent="0.25">
      <c r="B395" s="14"/>
      <c r="C395" s="15"/>
      <c r="D395" s="16"/>
      <c r="E395" s="16"/>
      <c r="F395" s="16"/>
      <c r="G395" s="16"/>
      <c r="H395" s="16"/>
    </row>
    <row r="396" spans="2:8" ht="12.5" x14ac:dyDescent="0.25">
      <c r="B396" s="14"/>
      <c r="C396" s="15"/>
      <c r="D396" s="16"/>
      <c r="E396" s="16"/>
      <c r="F396" s="16"/>
      <c r="G396" s="16"/>
      <c r="H396" s="16"/>
    </row>
    <row r="397" spans="2:8" ht="12.5" x14ac:dyDescent="0.25">
      <c r="B397" s="14"/>
      <c r="C397" s="15"/>
      <c r="D397" s="16"/>
      <c r="E397" s="16"/>
      <c r="F397" s="16"/>
      <c r="G397" s="16"/>
      <c r="H397" s="16"/>
    </row>
    <row r="398" spans="2:8" ht="12.5" x14ac:dyDescent="0.25">
      <c r="B398" s="14"/>
      <c r="C398" s="15"/>
      <c r="D398" s="16"/>
      <c r="E398" s="16"/>
      <c r="F398" s="16"/>
      <c r="G398" s="16"/>
      <c r="H398" s="16"/>
    </row>
    <row r="399" spans="2:8" ht="12.5" x14ac:dyDescent="0.25">
      <c r="B399" s="14"/>
      <c r="C399" s="15"/>
      <c r="D399" s="16"/>
      <c r="E399" s="16"/>
      <c r="F399" s="16"/>
      <c r="G399" s="16"/>
      <c r="H399" s="16"/>
    </row>
    <row r="400" spans="2:8" ht="12.5" x14ac:dyDescent="0.25">
      <c r="B400" s="14"/>
      <c r="C400" s="15"/>
      <c r="D400" s="16"/>
      <c r="E400" s="16"/>
      <c r="F400" s="16"/>
      <c r="G400" s="16"/>
      <c r="H400" s="16"/>
    </row>
    <row r="401" spans="2:8" ht="12.5" x14ac:dyDescent="0.25">
      <c r="B401" s="14"/>
      <c r="C401" s="15"/>
      <c r="D401" s="16"/>
      <c r="E401" s="16"/>
      <c r="F401" s="16"/>
      <c r="G401" s="16"/>
      <c r="H401" s="16"/>
    </row>
    <row r="402" spans="2:8" ht="12.5" x14ac:dyDescent="0.25">
      <c r="B402" s="14"/>
      <c r="C402" s="15"/>
      <c r="D402" s="16"/>
      <c r="E402" s="16"/>
      <c r="F402" s="16"/>
      <c r="G402" s="16"/>
      <c r="H402" s="16"/>
    </row>
    <row r="403" spans="2:8" ht="12.5" x14ac:dyDescent="0.25">
      <c r="B403" s="14"/>
      <c r="C403" s="15"/>
      <c r="D403" s="16"/>
      <c r="E403" s="16"/>
      <c r="F403" s="16"/>
      <c r="G403" s="16"/>
      <c r="H403" s="16"/>
    </row>
    <row r="404" spans="2:8" ht="12.5" x14ac:dyDescent="0.25">
      <c r="B404" s="14"/>
      <c r="C404" s="15"/>
      <c r="D404" s="16"/>
      <c r="E404" s="16"/>
      <c r="F404" s="16"/>
      <c r="G404" s="16"/>
      <c r="H404" s="16"/>
    </row>
    <row r="405" spans="2:8" ht="12.5" x14ac:dyDescent="0.25">
      <c r="B405" s="14"/>
      <c r="C405" s="15"/>
      <c r="D405" s="16"/>
      <c r="E405" s="16"/>
      <c r="F405" s="16"/>
      <c r="G405" s="16"/>
      <c r="H405" s="16"/>
    </row>
    <row r="406" spans="2:8" ht="12.5" x14ac:dyDescent="0.25">
      <c r="B406" s="14"/>
      <c r="C406" s="15"/>
      <c r="D406" s="16"/>
      <c r="E406" s="16"/>
      <c r="F406" s="16"/>
      <c r="G406" s="16"/>
      <c r="H406" s="16"/>
    </row>
    <row r="407" spans="2:8" ht="12.5" x14ac:dyDescent="0.25">
      <c r="B407" s="14"/>
      <c r="C407" s="15"/>
      <c r="D407" s="16"/>
      <c r="E407" s="16"/>
      <c r="F407" s="16"/>
      <c r="G407" s="16"/>
      <c r="H407" s="16"/>
    </row>
    <row r="408" spans="2:8" ht="12.5" x14ac:dyDescent="0.25">
      <c r="B408" s="14"/>
      <c r="C408" s="15"/>
      <c r="D408" s="16"/>
      <c r="E408" s="16"/>
      <c r="F408" s="16"/>
      <c r="G408" s="16"/>
      <c r="H408" s="16"/>
    </row>
    <row r="409" spans="2:8" ht="12.5" x14ac:dyDescent="0.25">
      <c r="B409" s="14"/>
      <c r="C409" s="15"/>
      <c r="D409" s="16"/>
      <c r="E409" s="16"/>
      <c r="F409" s="16"/>
      <c r="G409" s="16"/>
      <c r="H409" s="16"/>
    </row>
    <row r="410" spans="2:8" ht="12.5" x14ac:dyDescent="0.25">
      <c r="B410" s="14"/>
      <c r="C410" s="15"/>
      <c r="D410" s="16"/>
      <c r="E410" s="16"/>
      <c r="F410" s="16"/>
      <c r="G410" s="16"/>
      <c r="H410" s="16"/>
    </row>
    <row r="411" spans="2:8" ht="12.5" x14ac:dyDescent="0.25">
      <c r="B411" s="14"/>
      <c r="C411" s="15"/>
      <c r="D411" s="16"/>
      <c r="E411" s="16"/>
      <c r="F411" s="16"/>
      <c r="G411" s="16"/>
      <c r="H411" s="16"/>
    </row>
    <row r="412" spans="2:8" ht="12.5" x14ac:dyDescent="0.25">
      <c r="B412" s="14"/>
      <c r="C412" s="15"/>
      <c r="D412" s="16"/>
      <c r="E412" s="16"/>
      <c r="F412" s="16"/>
      <c r="G412" s="16"/>
      <c r="H412" s="16"/>
    </row>
    <row r="413" spans="2:8" ht="12.5" x14ac:dyDescent="0.25">
      <c r="B413" s="14"/>
      <c r="C413" s="15"/>
      <c r="D413" s="16"/>
      <c r="E413" s="16"/>
      <c r="F413" s="16"/>
      <c r="G413" s="16"/>
      <c r="H413" s="16"/>
    </row>
    <row r="414" spans="2:8" ht="12.5" x14ac:dyDescent="0.25">
      <c r="B414" s="14"/>
      <c r="C414" s="15"/>
      <c r="D414" s="16"/>
      <c r="E414" s="16"/>
      <c r="F414" s="16"/>
      <c r="G414" s="16"/>
      <c r="H414" s="16"/>
    </row>
    <row r="415" spans="2:8" ht="12.5" x14ac:dyDescent="0.25">
      <c r="B415" s="14"/>
      <c r="C415" s="15"/>
      <c r="D415" s="16"/>
      <c r="E415" s="16"/>
      <c r="F415" s="16"/>
      <c r="G415" s="16"/>
      <c r="H415" s="16"/>
    </row>
    <row r="416" spans="2:8" ht="12.5" x14ac:dyDescent="0.25">
      <c r="B416" s="14"/>
      <c r="C416" s="15"/>
      <c r="D416" s="16"/>
      <c r="E416" s="16"/>
      <c r="F416" s="16"/>
      <c r="G416" s="16"/>
      <c r="H416" s="16"/>
    </row>
    <row r="417" spans="2:8" ht="12.5" x14ac:dyDescent="0.25">
      <c r="B417" s="14"/>
      <c r="C417" s="15"/>
      <c r="D417" s="16"/>
      <c r="E417" s="16"/>
      <c r="F417" s="16"/>
      <c r="G417" s="16"/>
      <c r="H417" s="16"/>
    </row>
    <row r="418" spans="2:8" ht="12.5" x14ac:dyDescent="0.25">
      <c r="B418" s="14"/>
      <c r="C418" s="15"/>
      <c r="D418" s="16"/>
      <c r="E418" s="16"/>
      <c r="F418" s="16"/>
      <c r="G418" s="16"/>
      <c r="H418" s="16"/>
    </row>
    <row r="419" spans="2:8" ht="12.5" x14ac:dyDescent="0.25">
      <c r="B419" s="14"/>
      <c r="C419" s="15"/>
      <c r="D419" s="16"/>
      <c r="E419" s="16"/>
      <c r="F419" s="16"/>
      <c r="G419" s="16"/>
      <c r="H419" s="16"/>
    </row>
    <row r="420" spans="2:8" ht="12.5" x14ac:dyDescent="0.25">
      <c r="B420" s="14"/>
      <c r="C420" s="15"/>
      <c r="D420" s="16"/>
      <c r="E420" s="16"/>
      <c r="F420" s="16"/>
      <c r="G420" s="16"/>
      <c r="H420" s="16"/>
    </row>
    <row r="421" spans="2:8" ht="12.5" x14ac:dyDescent="0.25">
      <c r="B421" s="14"/>
      <c r="C421" s="15"/>
      <c r="D421" s="16"/>
      <c r="E421" s="16"/>
      <c r="F421" s="16"/>
      <c r="G421" s="16"/>
      <c r="H421" s="16"/>
    </row>
    <row r="422" spans="2:8" ht="12.5" x14ac:dyDescent="0.25">
      <c r="B422" s="14"/>
      <c r="C422" s="15"/>
      <c r="D422" s="16"/>
      <c r="E422" s="16"/>
      <c r="F422" s="16"/>
      <c r="G422" s="16"/>
      <c r="H422" s="16"/>
    </row>
    <row r="423" spans="2:8" ht="12.5" x14ac:dyDescent="0.25">
      <c r="B423" s="14"/>
      <c r="C423" s="15"/>
      <c r="D423" s="16"/>
      <c r="E423" s="16"/>
      <c r="F423" s="16"/>
      <c r="G423" s="16"/>
      <c r="H423" s="16"/>
    </row>
    <row r="424" spans="2:8" ht="12.5" x14ac:dyDescent="0.25">
      <c r="B424" s="14"/>
      <c r="C424" s="15"/>
      <c r="D424" s="16"/>
      <c r="E424" s="16"/>
      <c r="F424" s="16"/>
      <c r="G424" s="16"/>
      <c r="H424" s="16"/>
    </row>
    <row r="425" spans="2:8" ht="12.5" x14ac:dyDescent="0.25">
      <c r="B425" s="14"/>
      <c r="C425" s="15"/>
      <c r="D425" s="16"/>
      <c r="E425" s="16"/>
      <c r="F425" s="16"/>
      <c r="G425" s="16"/>
      <c r="H425" s="16"/>
    </row>
    <row r="426" spans="2:8" ht="12.5" x14ac:dyDescent="0.25">
      <c r="B426" s="14"/>
      <c r="C426" s="15"/>
      <c r="D426" s="16"/>
      <c r="E426" s="16"/>
      <c r="F426" s="16"/>
      <c r="G426" s="16"/>
      <c r="H426" s="16"/>
    </row>
    <row r="427" spans="2:8" ht="12.5" x14ac:dyDescent="0.25">
      <c r="B427" s="14"/>
      <c r="C427" s="15"/>
      <c r="D427" s="16"/>
      <c r="E427" s="16"/>
      <c r="F427" s="16"/>
      <c r="G427" s="16"/>
      <c r="H427" s="16"/>
    </row>
    <row r="428" spans="2:8" ht="12.5" x14ac:dyDescent="0.25">
      <c r="B428" s="14"/>
      <c r="C428" s="15"/>
      <c r="D428" s="16"/>
      <c r="E428" s="16"/>
      <c r="F428" s="16"/>
      <c r="G428" s="16"/>
      <c r="H428" s="16"/>
    </row>
    <row r="429" spans="2:8" ht="12.5" x14ac:dyDescent="0.25">
      <c r="B429" s="14"/>
      <c r="C429" s="15"/>
      <c r="D429" s="16"/>
      <c r="E429" s="16"/>
      <c r="F429" s="16"/>
      <c r="G429" s="16"/>
      <c r="H429" s="16"/>
    </row>
    <row r="430" spans="2:8" ht="12.5" x14ac:dyDescent="0.25">
      <c r="B430" s="14"/>
      <c r="C430" s="15"/>
      <c r="D430" s="16"/>
      <c r="E430" s="16"/>
      <c r="F430" s="16"/>
      <c r="G430" s="16"/>
      <c r="H430" s="16"/>
    </row>
    <row r="431" spans="2:8" ht="12.5" x14ac:dyDescent="0.25">
      <c r="B431" s="14"/>
      <c r="C431" s="15"/>
      <c r="D431" s="16"/>
      <c r="E431" s="16"/>
      <c r="F431" s="16"/>
      <c r="G431" s="16"/>
      <c r="H431" s="16"/>
    </row>
    <row r="432" spans="2:8" ht="12.5" x14ac:dyDescent="0.25">
      <c r="B432" s="14"/>
      <c r="C432" s="15"/>
      <c r="D432" s="16"/>
      <c r="E432" s="16"/>
      <c r="F432" s="16"/>
      <c r="G432" s="16"/>
      <c r="H432" s="16"/>
    </row>
    <row r="433" spans="2:8" ht="12.5" x14ac:dyDescent="0.25">
      <c r="B433" s="14"/>
      <c r="C433" s="15"/>
      <c r="D433" s="16"/>
      <c r="E433" s="16"/>
      <c r="F433" s="16"/>
      <c r="G433" s="16"/>
      <c r="H433" s="16"/>
    </row>
    <row r="434" spans="2:8" ht="12.5" x14ac:dyDescent="0.25">
      <c r="B434" s="14"/>
      <c r="C434" s="15"/>
      <c r="D434" s="16"/>
      <c r="E434" s="16"/>
      <c r="F434" s="16"/>
      <c r="G434" s="16"/>
      <c r="H434" s="16"/>
    </row>
    <row r="435" spans="2:8" ht="12.5" x14ac:dyDescent="0.25">
      <c r="B435" s="14"/>
      <c r="C435" s="15"/>
      <c r="D435" s="16"/>
      <c r="E435" s="16"/>
      <c r="F435" s="16"/>
      <c r="G435" s="16"/>
      <c r="H435" s="16"/>
    </row>
    <row r="436" spans="2:8" ht="12.5" x14ac:dyDescent="0.25">
      <c r="B436" s="14"/>
      <c r="C436" s="15"/>
      <c r="D436" s="16"/>
      <c r="E436" s="16"/>
      <c r="F436" s="16"/>
      <c r="G436" s="16"/>
      <c r="H436" s="16"/>
    </row>
    <row r="437" spans="2:8" ht="12.5" x14ac:dyDescent="0.25">
      <c r="B437" s="14"/>
      <c r="C437" s="15"/>
      <c r="D437" s="16"/>
      <c r="E437" s="16"/>
      <c r="F437" s="16"/>
      <c r="G437" s="16"/>
      <c r="H437" s="16"/>
    </row>
    <row r="438" spans="2:8" ht="12.5" x14ac:dyDescent="0.25">
      <c r="B438" s="14"/>
      <c r="C438" s="15"/>
      <c r="D438" s="16"/>
      <c r="E438" s="16"/>
      <c r="F438" s="16"/>
      <c r="G438" s="16"/>
      <c r="H438" s="16"/>
    </row>
    <row r="439" spans="2:8" ht="12.5" x14ac:dyDescent="0.25">
      <c r="B439" s="14"/>
      <c r="C439" s="15"/>
      <c r="D439" s="16"/>
      <c r="E439" s="16"/>
      <c r="F439" s="16"/>
      <c r="G439" s="16"/>
      <c r="H439" s="16"/>
    </row>
    <row r="440" spans="2:8" ht="12.5" x14ac:dyDescent="0.25">
      <c r="B440" s="14"/>
      <c r="C440" s="15"/>
      <c r="D440" s="16"/>
      <c r="E440" s="16"/>
      <c r="F440" s="16"/>
      <c r="G440" s="16"/>
      <c r="H440" s="16"/>
    </row>
    <row r="441" spans="2:8" ht="12.5" x14ac:dyDescent="0.25">
      <c r="B441" s="14"/>
      <c r="C441" s="15"/>
      <c r="D441" s="16"/>
      <c r="E441" s="16"/>
      <c r="F441" s="16"/>
      <c r="G441" s="16"/>
      <c r="H441" s="16"/>
    </row>
    <row r="442" spans="2:8" ht="12.5" x14ac:dyDescent="0.25">
      <c r="B442" s="14"/>
      <c r="C442" s="15"/>
      <c r="D442" s="16"/>
      <c r="E442" s="16"/>
      <c r="F442" s="16"/>
      <c r="G442" s="16"/>
      <c r="H442" s="16"/>
    </row>
    <row r="443" spans="2:8" ht="12.5" x14ac:dyDescent="0.25">
      <c r="B443" s="14"/>
      <c r="C443" s="15"/>
      <c r="D443" s="16"/>
      <c r="E443" s="16"/>
      <c r="F443" s="16"/>
      <c r="G443" s="16"/>
      <c r="H443" s="16"/>
    </row>
    <row r="444" spans="2:8" ht="12.5" x14ac:dyDescent="0.25">
      <c r="B444" s="14"/>
      <c r="C444" s="15"/>
      <c r="D444" s="16"/>
      <c r="E444" s="16"/>
      <c r="F444" s="16"/>
      <c r="G444" s="16"/>
      <c r="H444" s="16"/>
    </row>
    <row r="445" spans="2:8" ht="12.5" x14ac:dyDescent="0.25">
      <c r="B445" s="14"/>
      <c r="C445" s="15"/>
      <c r="D445" s="16"/>
      <c r="E445" s="16"/>
      <c r="F445" s="16"/>
      <c r="G445" s="16"/>
      <c r="H445" s="16"/>
    </row>
    <row r="446" spans="2:8" ht="12.5" x14ac:dyDescent="0.25">
      <c r="B446" s="14"/>
      <c r="C446" s="15"/>
      <c r="D446" s="16"/>
      <c r="E446" s="16"/>
      <c r="F446" s="16"/>
      <c r="G446" s="16"/>
      <c r="H446" s="16"/>
    </row>
    <row r="447" spans="2:8" ht="12.5" x14ac:dyDescent="0.25">
      <c r="B447" s="14"/>
      <c r="C447" s="15"/>
      <c r="D447" s="16"/>
      <c r="E447" s="16"/>
      <c r="F447" s="16"/>
      <c r="G447" s="16"/>
      <c r="H447" s="16"/>
    </row>
    <row r="448" spans="2:8" ht="12.5" x14ac:dyDescent="0.25">
      <c r="B448" s="14"/>
      <c r="C448" s="15"/>
      <c r="D448" s="16"/>
      <c r="E448" s="16"/>
      <c r="F448" s="16"/>
      <c r="G448" s="16"/>
      <c r="H448" s="16"/>
    </row>
    <row r="449" spans="2:8" ht="12.5" x14ac:dyDescent="0.25">
      <c r="B449" s="14"/>
      <c r="C449" s="15"/>
      <c r="D449" s="16"/>
      <c r="E449" s="16"/>
      <c r="F449" s="16"/>
      <c r="G449" s="16"/>
      <c r="H449" s="16"/>
    </row>
    <row r="450" spans="2:8" ht="12.5" x14ac:dyDescent="0.25">
      <c r="B450" s="14"/>
      <c r="C450" s="15"/>
      <c r="D450" s="16"/>
      <c r="E450" s="16"/>
      <c r="F450" s="16"/>
      <c r="G450" s="16"/>
      <c r="H450" s="16"/>
    </row>
    <row r="451" spans="2:8" ht="12.5" x14ac:dyDescent="0.25">
      <c r="B451" s="14"/>
      <c r="C451" s="15"/>
      <c r="D451" s="16"/>
      <c r="E451" s="16"/>
      <c r="F451" s="16"/>
      <c r="G451" s="16"/>
      <c r="H451" s="16"/>
    </row>
    <row r="452" spans="2:8" ht="12.5" x14ac:dyDescent="0.25">
      <c r="B452" s="14"/>
      <c r="C452" s="15"/>
      <c r="D452" s="16"/>
      <c r="E452" s="16"/>
      <c r="F452" s="16"/>
      <c r="G452" s="16"/>
      <c r="H452" s="16"/>
    </row>
    <row r="453" spans="2:8" ht="12.5" x14ac:dyDescent="0.25">
      <c r="B453" s="14"/>
      <c r="C453" s="15"/>
      <c r="D453" s="16"/>
      <c r="E453" s="16"/>
      <c r="F453" s="16"/>
      <c r="G453" s="16"/>
      <c r="H453" s="16"/>
    </row>
    <row r="454" spans="2:8" ht="12.5" x14ac:dyDescent="0.25">
      <c r="B454" s="14"/>
      <c r="C454" s="15"/>
      <c r="D454" s="16"/>
      <c r="E454" s="16"/>
      <c r="F454" s="16"/>
      <c r="G454" s="16"/>
      <c r="H454" s="16"/>
    </row>
    <row r="455" spans="2:8" ht="12.5" x14ac:dyDescent="0.25">
      <c r="B455" s="14"/>
      <c r="C455" s="15"/>
      <c r="D455" s="16"/>
      <c r="E455" s="16"/>
      <c r="F455" s="16"/>
      <c r="G455" s="16"/>
      <c r="H455" s="16"/>
    </row>
    <row r="456" spans="2:8" ht="12.5" x14ac:dyDescent="0.25">
      <c r="B456" s="14"/>
      <c r="C456" s="15"/>
      <c r="D456" s="16"/>
      <c r="E456" s="16"/>
      <c r="F456" s="16"/>
      <c r="G456" s="16"/>
      <c r="H456" s="16"/>
    </row>
    <row r="457" spans="2:8" ht="12.5" x14ac:dyDescent="0.25">
      <c r="B457" s="14"/>
      <c r="C457" s="15"/>
      <c r="D457" s="16"/>
      <c r="E457" s="16"/>
      <c r="F457" s="16"/>
      <c r="G457" s="16"/>
      <c r="H457" s="16"/>
    </row>
    <row r="458" spans="2:8" ht="12.5" x14ac:dyDescent="0.25">
      <c r="B458" s="14"/>
      <c r="C458" s="15"/>
      <c r="D458" s="16"/>
      <c r="E458" s="16"/>
      <c r="F458" s="16"/>
      <c r="G458" s="16"/>
      <c r="H458" s="16"/>
    </row>
    <row r="459" spans="2:8" ht="12.5" x14ac:dyDescent="0.25">
      <c r="B459" s="14"/>
      <c r="C459" s="15"/>
      <c r="D459" s="16"/>
      <c r="E459" s="16"/>
      <c r="F459" s="16"/>
      <c r="G459" s="16"/>
      <c r="H459" s="16"/>
    </row>
    <row r="460" spans="2:8" ht="12.5" x14ac:dyDescent="0.25">
      <c r="B460" s="14"/>
      <c r="C460" s="15"/>
      <c r="D460" s="16"/>
      <c r="E460" s="16"/>
      <c r="F460" s="16"/>
      <c r="G460" s="16"/>
      <c r="H460" s="16"/>
    </row>
    <row r="461" spans="2:8" ht="12.5" x14ac:dyDescent="0.25">
      <c r="B461" s="14"/>
      <c r="C461" s="15"/>
      <c r="D461" s="16"/>
      <c r="E461" s="16"/>
      <c r="F461" s="16"/>
      <c r="G461" s="16"/>
      <c r="H461" s="16"/>
    </row>
    <row r="462" spans="2:8" ht="12.5" x14ac:dyDescent="0.25">
      <c r="B462" s="14"/>
      <c r="C462" s="15"/>
      <c r="D462" s="16"/>
      <c r="E462" s="16"/>
      <c r="F462" s="16"/>
      <c r="G462" s="16"/>
      <c r="H462" s="16"/>
    </row>
    <row r="463" spans="2:8" ht="12.5" x14ac:dyDescent="0.25">
      <c r="B463" s="14"/>
      <c r="C463" s="15"/>
      <c r="D463" s="16"/>
      <c r="E463" s="16"/>
      <c r="F463" s="16"/>
      <c r="G463" s="16"/>
      <c r="H463" s="16"/>
    </row>
    <row r="464" spans="2:8" ht="12.5" x14ac:dyDescent="0.25">
      <c r="B464" s="14"/>
      <c r="C464" s="15"/>
      <c r="D464" s="16"/>
      <c r="E464" s="16"/>
      <c r="F464" s="16"/>
      <c r="G464" s="16"/>
      <c r="H464" s="16"/>
    </row>
    <row r="465" spans="2:8" ht="12.5" x14ac:dyDescent="0.25">
      <c r="B465" s="14"/>
      <c r="C465" s="15"/>
      <c r="D465" s="16"/>
      <c r="E465" s="16"/>
      <c r="F465" s="16"/>
      <c r="G465" s="16"/>
      <c r="H465" s="16"/>
    </row>
    <row r="466" spans="2:8" ht="12.5" x14ac:dyDescent="0.25">
      <c r="B466" s="14"/>
      <c r="C466" s="15"/>
      <c r="D466" s="16"/>
      <c r="E466" s="16"/>
      <c r="F466" s="16"/>
      <c r="G466" s="16"/>
      <c r="H466" s="16"/>
    </row>
    <row r="467" spans="2:8" ht="12.5" x14ac:dyDescent="0.25">
      <c r="B467" s="14"/>
      <c r="C467" s="15"/>
      <c r="D467" s="16"/>
      <c r="E467" s="16"/>
      <c r="F467" s="16"/>
      <c r="G467" s="16"/>
      <c r="H467" s="16"/>
    </row>
    <row r="468" spans="2:8" ht="12.5" x14ac:dyDescent="0.25">
      <c r="B468" s="14"/>
      <c r="C468" s="15"/>
      <c r="D468" s="16"/>
      <c r="E468" s="16"/>
      <c r="F468" s="16"/>
      <c r="G468" s="16"/>
      <c r="H468" s="16"/>
    </row>
    <row r="469" spans="2:8" ht="12.5" x14ac:dyDescent="0.25">
      <c r="B469" s="14"/>
      <c r="C469" s="15"/>
      <c r="D469" s="16"/>
      <c r="E469" s="16"/>
      <c r="F469" s="16"/>
      <c r="G469" s="16"/>
      <c r="H469" s="16"/>
    </row>
    <row r="470" spans="2:8" ht="12.5" x14ac:dyDescent="0.25">
      <c r="B470" s="14"/>
      <c r="C470" s="15"/>
      <c r="D470" s="16"/>
      <c r="E470" s="16"/>
      <c r="F470" s="16"/>
      <c r="G470" s="16"/>
      <c r="H470" s="16"/>
    </row>
    <row r="471" spans="2:8" ht="12.5" x14ac:dyDescent="0.25">
      <c r="B471" s="14"/>
      <c r="C471" s="15"/>
      <c r="D471" s="16"/>
      <c r="E471" s="16"/>
      <c r="F471" s="16"/>
      <c r="G471" s="16"/>
      <c r="H471" s="16"/>
    </row>
    <row r="472" spans="2:8" ht="12.5" x14ac:dyDescent="0.25">
      <c r="B472" s="14"/>
      <c r="C472" s="15"/>
      <c r="D472" s="16"/>
      <c r="E472" s="16"/>
      <c r="F472" s="16"/>
      <c r="G472" s="16"/>
      <c r="H472" s="16"/>
    </row>
    <row r="473" spans="2:8" ht="12.5" x14ac:dyDescent="0.25">
      <c r="B473" s="14"/>
      <c r="C473" s="15"/>
      <c r="D473" s="16"/>
      <c r="E473" s="16"/>
      <c r="F473" s="16"/>
      <c r="G473" s="16"/>
      <c r="H473" s="16"/>
    </row>
    <row r="474" spans="2:8" ht="12.5" x14ac:dyDescent="0.25">
      <c r="B474" s="14"/>
      <c r="C474" s="15"/>
      <c r="D474" s="16"/>
      <c r="E474" s="16"/>
      <c r="F474" s="16"/>
      <c r="G474" s="16"/>
      <c r="H474" s="16"/>
    </row>
    <row r="475" spans="2:8" ht="12.5" x14ac:dyDescent="0.25">
      <c r="B475" s="14"/>
      <c r="C475" s="15"/>
      <c r="D475" s="16"/>
      <c r="E475" s="16"/>
      <c r="F475" s="16"/>
      <c r="G475" s="16"/>
      <c r="H475" s="16"/>
    </row>
    <row r="476" spans="2:8" ht="12.5" x14ac:dyDescent="0.25">
      <c r="B476" s="14"/>
      <c r="C476" s="15"/>
      <c r="D476" s="16"/>
      <c r="E476" s="16"/>
      <c r="F476" s="16"/>
      <c r="G476" s="16"/>
      <c r="H476" s="16"/>
    </row>
    <row r="477" spans="2:8" ht="12.5" x14ac:dyDescent="0.25">
      <c r="B477" s="14"/>
      <c r="C477" s="15"/>
      <c r="D477" s="16"/>
      <c r="E477" s="16"/>
      <c r="F477" s="16"/>
      <c r="G477" s="16"/>
      <c r="H477" s="16"/>
    </row>
    <row r="478" spans="2:8" ht="12.5" x14ac:dyDescent="0.25">
      <c r="B478" s="14"/>
      <c r="C478" s="15"/>
      <c r="D478" s="16"/>
      <c r="E478" s="16"/>
      <c r="F478" s="16"/>
      <c r="G478" s="16"/>
      <c r="H478" s="16"/>
    </row>
    <row r="479" spans="2:8" ht="12.5" x14ac:dyDescent="0.25">
      <c r="B479" s="14"/>
      <c r="C479" s="15"/>
      <c r="D479" s="16"/>
      <c r="E479" s="16"/>
      <c r="F479" s="16"/>
      <c r="G479" s="16"/>
      <c r="H479" s="16"/>
    </row>
    <row r="480" spans="2:8" ht="12.5" x14ac:dyDescent="0.25">
      <c r="B480" s="14"/>
      <c r="C480" s="15"/>
      <c r="D480" s="16"/>
      <c r="E480" s="16"/>
      <c r="F480" s="16"/>
      <c r="G480" s="16"/>
      <c r="H480" s="16"/>
    </row>
    <row r="481" spans="2:8" ht="12.5" x14ac:dyDescent="0.25">
      <c r="B481" s="14"/>
      <c r="C481" s="15"/>
      <c r="D481" s="16"/>
      <c r="E481" s="16"/>
      <c r="F481" s="16"/>
      <c r="G481" s="16"/>
      <c r="H481" s="16"/>
    </row>
    <row r="482" spans="2:8" ht="12.5" x14ac:dyDescent="0.25">
      <c r="B482" s="14"/>
      <c r="C482" s="15"/>
      <c r="D482" s="16"/>
      <c r="E482" s="16"/>
      <c r="F482" s="16"/>
      <c r="G482" s="16"/>
      <c r="H482" s="16"/>
    </row>
    <row r="483" spans="2:8" ht="12.5" x14ac:dyDescent="0.25">
      <c r="B483" s="14"/>
      <c r="C483" s="15"/>
      <c r="D483" s="16"/>
      <c r="E483" s="16"/>
      <c r="F483" s="16"/>
      <c r="G483" s="16"/>
      <c r="H483" s="16"/>
    </row>
    <row r="484" spans="2:8" ht="12.5" x14ac:dyDescent="0.25">
      <c r="B484" s="14"/>
      <c r="C484" s="15"/>
      <c r="D484" s="16"/>
      <c r="E484" s="16"/>
      <c r="F484" s="16"/>
      <c r="G484" s="16"/>
      <c r="H484" s="16"/>
    </row>
    <row r="485" spans="2:8" ht="12.5" x14ac:dyDescent="0.25">
      <c r="B485" s="14"/>
      <c r="C485" s="15"/>
      <c r="D485" s="16"/>
      <c r="E485" s="16"/>
      <c r="F485" s="16"/>
      <c r="G485" s="16"/>
      <c r="H485" s="16"/>
    </row>
    <row r="486" spans="2:8" ht="12.5" x14ac:dyDescent="0.25">
      <c r="B486" s="14"/>
      <c r="C486" s="15"/>
      <c r="D486" s="16"/>
      <c r="E486" s="16"/>
      <c r="F486" s="16"/>
      <c r="G486" s="16"/>
      <c r="H486" s="16"/>
    </row>
    <row r="487" spans="2:8" ht="12.5" x14ac:dyDescent="0.25">
      <c r="B487" s="14"/>
      <c r="C487" s="15"/>
      <c r="D487" s="16"/>
      <c r="E487" s="16"/>
      <c r="F487" s="16"/>
      <c r="G487" s="16"/>
      <c r="H487" s="16"/>
    </row>
    <row r="488" spans="2:8" ht="12.5" x14ac:dyDescent="0.25">
      <c r="B488" s="14"/>
      <c r="C488" s="15"/>
      <c r="D488" s="16"/>
      <c r="E488" s="16"/>
      <c r="F488" s="16"/>
      <c r="G488" s="16"/>
      <c r="H488" s="16"/>
    </row>
    <row r="489" spans="2:8" ht="12.5" x14ac:dyDescent="0.25">
      <c r="B489" s="14"/>
      <c r="C489" s="15"/>
      <c r="D489" s="16"/>
      <c r="E489" s="16"/>
      <c r="F489" s="16"/>
      <c r="G489" s="16"/>
      <c r="H489" s="16"/>
    </row>
    <row r="490" spans="2:8" ht="12.5" x14ac:dyDescent="0.25">
      <c r="B490" s="14"/>
      <c r="C490" s="15"/>
      <c r="D490" s="16"/>
      <c r="E490" s="16"/>
      <c r="F490" s="16"/>
      <c r="G490" s="16"/>
      <c r="H490" s="16"/>
    </row>
    <row r="491" spans="2:8" ht="12.5" x14ac:dyDescent="0.25">
      <c r="B491" s="14"/>
      <c r="C491" s="15"/>
      <c r="D491" s="16"/>
      <c r="E491" s="16"/>
      <c r="F491" s="16"/>
      <c r="G491" s="16"/>
      <c r="H491" s="16"/>
    </row>
    <row r="492" spans="2:8" ht="12.5" x14ac:dyDescent="0.25">
      <c r="B492" s="14"/>
      <c r="C492" s="15"/>
      <c r="D492" s="16"/>
      <c r="E492" s="16"/>
      <c r="F492" s="16"/>
      <c r="G492" s="16"/>
      <c r="H492" s="16"/>
    </row>
    <row r="493" spans="2:8" ht="12.5" x14ac:dyDescent="0.25">
      <c r="B493" s="14"/>
      <c r="C493" s="15"/>
      <c r="D493" s="16"/>
      <c r="E493" s="16"/>
      <c r="F493" s="16"/>
      <c r="G493" s="16"/>
      <c r="H493" s="16"/>
    </row>
    <row r="494" spans="2:8" ht="12.5" x14ac:dyDescent="0.25">
      <c r="B494" s="14"/>
      <c r="C494" s="15"/>
      <c r="D494" s="16"/>
      <c r="E494" s="16"/>
      <c r="F494" s="16"/>
      <c r="G494" s="16"/>
      <c r="H494" s="16"/>
    </row>
    <row r="495" spans="2:8" ht="12.5" x14ac:dyDescent="0.25">
      <c r="B495" s="14"/>
      <c r="C495" s="15"/>
      <c r="D495" s="16"/>
      <c r="E495" s="16"/>
      <c r="F495" s="16"/>
      <c r="G495" s="16"/>
      <c r="H495" s="16"/>
    </row>
    <row r="496" spans="2:8" ht="12.5" x14ac:dyDescent="0.25">
      <c r="B496" s="14"/>
      <c r="C496" s="15"/>
      <c r="D496" s="16"/>
      <c r="E496" s="16"/>
      <c r="F496" s="16"/>
      <c r="G496" s="16"/>
      <c r="H496" s="16"/>
    </row>
    <row r="497" spans="2:8" ht="12.5" x14ac:dyDescent="0.25">
      <c r="B497" s="14"/>
      <c r="C497" s="15"/>
      <c r="D497" s="16"/>
      <c r="E497" s="16"/>
      <c r="F497" s="16"/>
      <c r="G497" s="16"/>
      <c r="H497" s="16"/>
    </row>
    <row r="498" spans="2:8" ht="12.5" x14ac:dyDescent="0.25">
      <c r="B498" s="14"/>
      <c r="C498" s="15"/>
      <c r="D498" s="16"/>
      <c r="E498" s="16"/>
      <c r="F498" s="16"/>
      <c r="G498" s="16"/>
      <c r="H498" s="16"/>
    </row>
    <row r="499" spans="2:8" ht="12.5" x14ac:dyDescent="0.25">
      <c r="B499" s="14"/>
      <c r="C499" s="15"/>
      <c r="D499" s="16"/>
      <c r="E499" s="16"/>
      <c r="F499" s="16"/>
      <c r="G499" s="16"/>
      <c r="H499" s="16"/>
    </row>
    <row r="500" spans="2:8" ht="12.5" x14ac:dyDescent="0.25">
      <c r="B500" s="14"/>
      <c r="C500" s="15"/>
      <c r="D500" s="16"/>
      <c r="E500" s="16"/>
      <c r="F500" s="16"/>
      <c r="G500" s="16"/>
      <c r="H500" s="16"/>
    </row>
    <row r="501" spans="2:8" ht="12.5" x14ac:dyDescent="0.25">
      <c r="B501" s="14"/>
      <c r="C501" s="15"/>
      <c r="D501" s="16"/>
      <c r="E501" s="16"/>
      <c r="F501" s="16"/>
      <c r="G501" s="16"/>
      <c r="H501" s="16"/>
    </row>
    <row r="502" spans="2:8" ht="12.5" x14ac:dyDescent="0.25">
      <c r="B502" s="14"/>
      <c r="C502" s="15"/>
      <c r="D502" s="16"/>
      <c r="E502" s="16"/>
      <c r="F502" s="16"/>
      <c r="G502" s="16"/>
      <c r="H502" s="16"/>
    </row>
    <row r="503" spans="2:8" ht="12.5" x14ac:dyDescent="0.25">
      <c r="B503" s="14"/>
      <c r="C503" s="15"/>
      <c r="D503" s="16"/>
      <c r="E503" s="16"/>
      <c r="F503" s="16"/>
      <c r="G503" s="16"/>
      <c r="H503" s="16"/>
    </row>
    <row r="504" spans="2:8" ht="12.5" x14ac:dyDescent="0.25">
      <c r="B504" s="14"/>
      <c r="C504" s="15"/>
      <c r="D504" s="16"/>
      <c r="E504" s="16"/>
      <c r="F504" s="16"/>
      <c r="G504" s="16"/>
      <c r="H504" s="16"/>
    </row>
    <row r="505" spans="2:8" ht="12.5" x14ac:dyDescent="0.25">
      <c r="B505" s="14"/>
      <c r="C505" s="15"/>
      <c r="D505" s="16"/>
      <c r="E505" s="16"/>
      <c r="F505" s="16"/>
      <c r="G505" s="16"/>
      <c r="H505" s="16"/>
    </row>
    <row r="506" spans="2:8" ht="12.5" x14ac:dyDescent="0.25">
      <c r="B506" s="14"/>
      <c r="C506" s="15"/>
      <c r="D506" s="16"/>
      <c r="E506" s="16"/>
      <c r="F506" s="16"/>
      <c r="G506" s="16"/>
      <c r="H506" s="16"/>
    </row>
    <row r="507" spans="2:8" ht="12.5" x14ac:dyDescent="0.25">
      <c r="B507" s="14"/>
      <c r="C507" s="15"/>
      <c r="D507" s="16"/>
      <c r="E507" s="16"/>
      <c r="F507" s="16"/>
      <c r="G507" s="16"/>
      <c r="H507" s="16"/>
    </row>
    <row r="508" spans="2:8" ht="12.5" x14ac:dyDescent="0.25">
      <c r="B508" s="14"/>
      <c r="C508" s="15"/>
      <c r="D508" s="16"/>
      <c r="E508" s="16"/>
      <c r="F508" s="16"/>
      <c r="G508" s="16"/>
      <c r="H508" s="16"/>
    </row>
    <row r="509" spans="2:8" ht="12.5" x14ac:dyDescent="0.25">
      <c r="B509" s="14"/>
      <c r="C509" s="15"/>
      <c r="D509" s="16"/>
      <c r="E509" s="16"/>
      <c r="F509" s="16"/>
      <c r="G509" s="16"/>
      <c r="H509" s="16"/>
    </row>
    <row r="510" spans="2:8" ht="12.5" x14ac:dyDescent="0.25">
      <c r="B510" s="14"/>
      <c r="C510" s="15"/>
      <c r="D510" s="16"/>
      <c r="E510" s="16"/>
      <c r="F510" s="16"/>
      <c r="G510" s="16"/>
      <c r="H510" s="16"/>
    </row>
    <row r="511" spans="2:8" ht="12.5" x14ac:dyDescent="0.25">
      <c r="B511" s="14"/>
      <c r="C511" s="15"/>
      <c r="D511" s="16"/>
      <c r="E511" s="16"/>
      <c r="F511" s="16"/>
      <c r="G511" s="16"/>
      <c r="H511" s="16"/>
    </row>
    <row r="512" spans="2:8" ht="12.5" x14ac:dyDescent="0.25">
      <c r="B512" s="14"/>
      <c r="C512" s="15"/>
      <c r="D512" s="16"/>
      <c r="E512" s="16"/>
      <c r="F512" s="16"/>
      <c r="G512" s="16"/>
      <c r="H512" s="16"/>
    </row>
    <row r="513" spans="2:8" ht="12.5" x14ac:dyDescent="0.25">
      <c r="B513" s="14"/>
      <c r="C513" s="15"/>
      <c r="D513" s="16"/>
      <c r="E513" s="16"/>
      <c r="F513" s="16"/>
      <c r="G513" s="16"/>
      <c r="H513" s="16"/>
    </row>
    <row r="514" spans="2:8" ht="12.5" x14ac:dyDescent="0.25">
      <c r="B514" s="14"/>
      <c r="C514" s="15"/>
      <c r="D514" s="16"/>
      <c r="E514" s="16"/>
      <c r="F514" s="16"/>
      <c r="G514" s="16"/>
      <c r="H514" s="16"/>
    </row>
    <row r="515" spans="2:8" ht="12.5" x14ac:dyDescent="0.25">
      <c r="B515" s="14"/>
      <c r="C515" s="15"/>
      <c r="D515" s="16"/>
      <c r="E515" s="16"/>
      <c r="F515" s="16"/>
      <c r="G515" s="16"/>
      <c r="H515" s="16"/>
    </row>
    <row r="516" spans="2:8" ht="12.5" x14ac:dyDescent="0.25">
      <c r="B516" s="14"/>
      <c r="C516" s="15"/>
      <c r="D516" s="16"/>
      <c r="E516" s="16"/>
      <c r="F516" s="16"/>
      <c r="G516" s="16"/>
      <c r="H516" s="16"/>
    </row>
    <row r="517" spans="2:8" ht="12.5" x14ac:dyDescent="0.25">
      <c r="B517" s="14"/>
      <c r="C517" s="15"/>
      <c r="D517" s="16"/>
      <c r="E517" s="16"/>
      <c r="F517" s="16"/>
      <c r="G517" s="16"/>
      <c r="H517" s="16"/>
    </row>
    <row r="518" spans="2:8" ht="12.5" x14ac:dyDescent="0.25">
      <c r="B518" s="14"/>
      <c r="C518" s="15"/>
      <c r="D518" s="16"/>
      <c r="E518" s="16"/>
      <c r="F518" s="16"/>
      <c r="G518" s="16"/>
      <c r="H518" s="16"/>
    </row>
    <row r="519" spans="2:8" ht="12.5" x14ac:dyDescent="0.25">
      <c r="B519" s="14"/>
      <c r="C519" s="15"/>
      <c r="D519" s="16"/>
      <c r="E519" s="16"/>
      <c r="F519" s="16"/>
      <c r="G519" s="16"/>
      <c r="H519" s="16"/>
    </row>
    <row r="520" spans="2:8" ht="12.5" x14ac:dyDescent="0.25">
      <c r="B520" s="14"/>
      <c r="C520" s="15"/>
      <c r="D520" s="16"/>
      <c r="E520" s="16"/>
      <c r="F520" s="16"/>
      <c r="G520" s="16"/>
      <c r="H520" s="16"/>
    </row>
    <row r="521" spans="2:8" ht="12.5" x14ac:dyDescent="0.25">
      <c r="B521" s="14"/>
      <c r="C521" s="15"/>
      <c r="D521" s="16"/>
      <c r="E521" s="16"/>
      <c r="F521" s="16"/>
      <c r="G521" s="16"/>
      <c r="H521" s="16"/>
    </row>
    <row r="522" spans="2:8" ht="12.5" x14ac:dyDescent="0.25">
      <c r="B522" s="14"/>
      <c r="C522" s="15"/>
      <c r="D522" s="16"/>
      <c r="E522" s="16"/>
      <c r="F522" s="16"/>
      <c r="G522" s="16"/>
      <c r="H522" s="16"/>
    </row>
    <row r="523" spans="2:8" ht="12.5" x14ac:dyDescent="0.25">
      <c r="B523" s="14"/>
      <c r="C523" s="15"/>
      <c r="D523" s="16"/>
      <c r="E523" s="16"/>
      <c r="F523" s="16"/>
      <c r="G523" s="16"/>
      <c r="H523" s="16"/>
    </row>
    <row r="524" spans="2:8" ht="12.5" x14ac:dyDescent="0.25">
      <c r="B524" s="14"/>
      <c r="C524" s="15"/>
      <c r="D524" s="16"/>
      <c r="E524" s="16"/>
      <c r="F524" s="16"/>
      <c r="G524" s="16"/>
      <c r="H524" s="16"/>
    </row>
    <row r="525" spans="2:8" ht="12.5" x14ac:dyDescent="0.25">
      <c r="B525" s="14"/>
      <c r="C525" s="15"/>
      <c r="D525" s="16"/>
      <c r="E525" s="16"/>
      <c r="F525" s="16"/>
      <c r="G525" s="16"/>
      <c r="H525" s="16"/>
    </row>
    <row r="526" spans="2:8" ht="12.5" x14ac:dyDescent="0.25">
      <c r="B526" s="14"/>
      <c r="C526" s="15"/>
      <c r="D526" s="16"/>
      <c r="E526" s="16"/>
      <c r="F526" s="16"/>
      <c r="G526" s="16"/>
      <c r="H526" s="16"/>
    </row>
    <row r="527" spans="2:8" ht="12.5" x14ac:dyDescent="0.25">
      <c r="B527" s="14"/>
      <c r="C527" s="15"/>
      <c r="D527" s="16"/>
      <c r="E527" s="16"/>
      <c r="F527" s="16"/>
      <c r="G527" s="16"/>
      <c r="H527" s="16"/>
    </row>
    <row r="528" spans="2:8" ht="12.5" x14ac:dyDescent="0.25">
      <c r="B528" s="14"/>
      <c r="C528" s="15"/>
      <c r="D528" s="16"/>
      <c r="E528" s="16"/>
      <c r="F528" s="16"/>
      <c r="G528" s="16"/>
      <c r="H528" s="16"/>
    </row>
    <row r="529" spans="2:8" ht="12.5" x14ac:dyDescent="0.25">
      <c r="B529" s="14"/>
      <c r="C529" s="15"/>
      <c r="D529" s="16"/>
      <c r="E529" s="16"/>
      <c r="F529" s="16"/>
      <c r="G529" s="16"/>
      <c r="H529" s="16"/>
    </row>
    <row r="530" spans="2:8" ht="12.5" x14ac:dyDescent="0.25">
      <c r="B530" s="14"/>
      <c r="C530" s="15"/>
      <c r="D530" s="16"/>
      <c r="E530" s="16"/>
      <c r="F530" s="16"/>
      <c r="G530" s="16"/>
      <c r="H530" s="16"/>
    </row>
    <row r="531" spans="2:8" ht="12.5" x14ac:dyDescent="0.25">
      <c r="B531" s="14"/>
      <c r="C531" s="15"/>
      <c r="D531" s="16"/>
      <c r="E531" s="16"/>
      <c r="F531" s="16"/>
      <c r="G531" s="16"/>
      <c r="H531" s="16"/>
    </row>
    <row r="532" spans="2:8" ht="12.5" x14ac:dyDescent="0.25">
      <c r="B532" s="14"/>
      <c r="C532" s="15"/>
      <c r="D532" s="16"/>
      <c r="E532" s="16"/>
      <c r="F532" s="16"/>
      <c r="G532" s="16"/>
      <c r="H532" s="16"/>
    </row>
    <row r="533" spans="2:8" ht="12.5" x14ac:dyDescent="0.25">
      <c r="B533" s="14"/>
      <c r="C533" s="15"/>
      <c r="D533" s="16"/>
      <c r="E533" s="16"/>
      <c r="F533" s="16"/>
      <c r="G533" s="16"/>
      <c r="H533" s="16"/>
    </row>
    <row r="534" spans="2:8" ht="12.5" x14ac:dyDescent="0.25">
      <c r="B534" s="14"/>
      <c r="C534" s="15"/>
      <c r="D534" s="16"/>
      <c r="E534" s="16"/>
      <c r="F534" s="16"/>
      <c r="G534" s="16"/>
      <c r="H534" s="16"/>
    </row>
    <row r="535" spans="2:8" ht="12.5" x14ac:dyDescent="0.25">
      <c r="B535" s="14"/>
      <c r="C535" s="15"/>
      <c r="D535" s="16"/>
      <c r="E535" s="16"/>
      <c r="F535" s="16"/>
      <c r="G535" s="16"/>
      <c r="H535" s="16"/>
    </row>
    <row r="536" spans="2:8" ht="12.5" x14ac:dyDescent="0.25">
      <c r="B536" s="14"/>
      <c r="C536" s="15"/>
      <c r="D536" s="16"/>
      <c r="E536" s="16"/>
      <c r="F536" s="16"/>
      <c r="G536" s="16"/>
      <c r="H536" s="16"/>
    </row>
    <row r="537" spans="2:8" ht="12.5" x14ac:dyDescent="0.25">
      <c r="B537" s="14"/>
      <c r="C537" s="15"/>
      <c r="D537" s="16"/>
      <c r="E537" s="16"/>
      <c r="F537" s="16"/>
      <c r="G537" s="16"/>
      <c r="H537" s="16"/>
    </row>
    <row r="538" spans="2:8" ht="12.5" x14ac:dyDescent="0.25">
      <c r="B538" s="14"/>
      <c r="C538" s="15"/>
      <c r="D538" s="16"/>
      <c r="E538" s="16"/>
      <c r="F538" s="16"/>
      <c r="G538" s="16"/>
      <c r="H538" s="16"/>
    </row>
    <row r="539" spans="2:8" ht="12.5" x14ac:dyDescent="0.25">
      <c r="B539" s="14"/>
      <c r="C539" s="15"/>
      <c r="D539" s="16"/>
      <c r="E539" s="16"/>
      <c r="F539" s="16"/>
      <c r="G539" s="16"/>
      <c r="H539" s="16"/>
    </row>
    <row r="540" spans="2:8" ht="12.5" x14ac:dyDescent="0.25">
      <c r="B540" s="14"/>
      <c r="C540" s="15"/>
      <c r="D540" s="16"/>
      <c r="E540" s="16"/>
      <c r="F540" s="16"/>
      <c r="G540" s="16"/>
      <c r="H540" s="16"/>
    </row>
    <row r="541" spans="2:8" ht="12.5" x14ac:dyDescent="0.25">
      <c r="B541" s="14"/>
      <c r="C541" s="15"/>
      <c r="D541" s="16"/>
      <c r="E541" s="16"/>
      <c r="F541" s="16"/>
      <c r="G541" s="16"/>
      <c r="H541" s="16"/>
    </row>
    <row r="542" spans="2:8" ht="12.5" x14ac:dyDescent="0.25">
      <c r="B542" s="14"/>
      <c r="C542" s="15"/>
      <c r="D542" s="16"/>
      <c r="E542" s="16"/>
      <c r="F542" s="16"/>
      <c r="G542" s="16"/>
      <c r="H542" s="16"/>
    </row>
    <row r="543" spans="2:8" ht="12.5" x14ac:dyDescent="0.25">
      <c r="B543" s="14"/>
      <c r="C543" s="15"/>
      <c r="D543" s="16"/>
      <c r="E543" s="16"/>
      <c r="F543" s="16"/>
      <c r="G543" s="16"/>
      <c r="H543" s="16"/>
    </row>
    <row r="544" spans="2:8" ht="12.5" x14ac:dyDescent="0.25">
      <c r="B544" s="14"/>
      <c r="C544" s="15"/>
      <c r="D544" s="16"/>
      <c r="E544" s="16"/>
      <c r="F544" s="16"/>
      <c r="G544" s="16"/>
      <c r="H544" s="16"/>
    </row>
    <row r="545" spans="2:8" ht="12.5" x14ac:dyDescent="0.25">
      <c r="B545" s="14"/>
      <c r="C545" s="15"/>
      <c r="D545" s="16"/>
      <c r="E545" s="16"/>
      <c r="F545" s="16"/>
      <c r="G545" s="16"/>
      <c r="H545" s="16"/>
    </row>
    <row r="546" spans="2:8" ht="12.5" x14ac:dyDescent="0.25">
      <c r="B546" s="14"/>
      <c r="C546" s="15"/>
      <c r="D546" s="16"/>
      <c r="E546" s="16"/>
      <c r="F546" s="16"/>
      <c r="G546" s="16"/>
      <c r="H546" s="16"/>
    </row>
    <row r="547" spans="2:8" ht="12.5" x14ac:dyDescent="0.25">
      <c r="B547" s="14"/>
      <c r="C547" s="15"/>
      <c r="D547" s="16"/>
      <c r="E547" s="16"/>
      <c r="F547" s="16"/>
      <c r="G547" s="16"/>
      <c r="H547" s="16"/>
    </row>
    <row r="548" spans="2:8" ht="12.5" x14ac:dyDescent="0.25">
      <c r="B548" s="14"/>
      <c r="C548" s="15"/>
      <c r="D548" s="16"/>
      <c r="E548" s="16"/>
      <c r="F548" s="16"/>
      <c r="G548" s="16"/>
      <c r="H548" s="16"/>
    </row>
    <row r="549" spans="2:8" ht="12.5" x14ac:dyDescent="0.25">
      <c r="B549" s="14"/>
      <c r="C549" s="15"/>
      <c r="D549" s="16"/>
      <c r="E549" s="16"/>
      <c r="F549" s="16"/>
      <c r="G549" s="16"/>
      <c r="H549" s="16"/>
    </row>
    <row r="550" spans="2:8" ht="12.5" x14ac:dyDescent="0.25">
      <c r="B550" s="14"/>
      <c r="C550" s="15"/>
      <c r="D550" s="16"/>
      <c r="E550" s="16"/>
      <c r="F550" s="16"/>
      <c r="G550" s="16"/>
      <c r="H550" s="16"/>
    </row>
    <row r="551" spans="2:8" ht="12.5" x14ac:dyDescent="0.25">
      <c r="B551" s="14"/>
      <c r="C551" s="15"/>
      <c r="D551" s="16"/>
      <c r="E551" s="16"/>
      <c r="F551" s="16"/>
      <c r="G551" s="16"/>
      <c r="H551" s="16"/>
    </row>
    <row r="552" spans="2:8" ht="12.5" x14ac:dyDescent="0.25">
      <c r="B552" s="14"/>
      <c r="C552" s="15"/>
      <c r="D552" s="16"/>
      <c r="E552" s="16"/>
      <c r="F552" s="16"/>
      <c r="G552" s="16"/>
      <c r="H552" s="16"/>
    </row>
    <row r="553" spans="2:8" ht="12.5" x14ac:dyDescent="0.25">
      <c r="B553" s="14"/>
      <c r="C553" s="15"/>
      <c r="D553" s="16"/>
      <c r="E553" s="16"/>
      <c r="F553" s="16"/>
      <c r="G553" s="16"/>
      <c r="H553" s="16"/>
    </row>
    <row r="554" spans="2:8" ht="12.5" x14ac:dyDescent="0.25">
      <c r="B554" s="14"/>
      <c r="C554" s="15"/>
      <c r="D554" s="16"/>
      <c r="E554" s="16"/>
      <c r="F554" s="16"/>
      <c r="G554" s="16"/>
      <c r="H554" s="16"/>
    </row>
    <row r="555" spans="2:8" ht="12.5" x14ac:dyDescent="0.25">
      <c r="B555" s="14"/>
      <c r="C555" s="15"/>
      <c r="D555" s="16"/>
      <c r="E555" s="16"/>
      <c r="F555" s="16"/>
      <c r="G555" s="16"/>
      <c r="H555" s="16"/>
    </row>
    <row r="556" spans="2:8" ht="12.5" x14ac:dyDescent="0.25">
      <c r="B556" s="14"/>
      <c r="C556" s="15"/>
      <c r="D556" s="16"/>
      <c r="E556" s="16"/>
      <c r="F556" s="16"/>
      <c r="G556" s="16"/>
      <c r="H556" s="16"/>
    </row>
    <row r="557" spans="2:8" ht="12.5" x14ac:dyDescent="0.25">
      <c r="B557" s="14"/>
      <c r="C557" s="15"/>
      <c r="D557" s="16"/>
      <c r="E557" s="16"/>
      <c r="F557" s="16"/>
      <c r="G557" s="16"/>
      <c r="H557" s="16"/>
    </row>
    <row r="558" spans="2:8" ht="12.5" x14ac:dyDescent="0.25">
      <c r="B558" s="14"/>
      <c r="C558" s="15"/>
      <c r="D558" s="16"/>
      <c r="E558" s="16"/>
      <c r="F558" s="16"/>
      <c r="G558" s="16"/>
      <c r="H558" s="16"/>
    </row>
    <row r="559" spans="2:8" ht="12.5" x14ac:dyDescent="0.25">
      <c r="B559" s="14"/>
      <c r="C559" s="15"/>
      <c r="D559" s="16"/>
      <c r="E559" s="16"/>
      <c r="F559" s="16"/>
      <c r="G559" s="16"/>
      <c r="H559" s="16"/>
    </row>
    <row r="560" spans="2:8" ht="12.5" x14ac:dyDescent="0.25">
      <c r="B560" s="14"/>
      <c r="C560" s="15"/>
      <c r="D560" s="16"/>
      <c r="E560" s="16"/>
      <c r="F560" s="16"/>
      <c r="G560" s="16"/>
      <c r="H560" s="16"/>
    </row>
    <row r="561" spans="2:8" ht="12.5" x14ac:dyDescent="0.25">
      <c r="B561" s="14"/>
      <c r="C561" s="15"/>
      <c r="D561" s="16"/>
      <c r="E561" s="16"/>
      <c r="F561" s="16"/>
      <c r="G561" s="16"/>
      <c r="H561" s="16"/>
    </row>
    <row r="562" spans="2:8" ht="12.5" x14ac:dyDescent="0.25">
      <c r="B562" s="14"/>
      <c r="C562" s="15"/>
      <c r="D562" s="16"/>
      <c r="E562" s="16"/>
      <c r="F562" s="16"/>
      <c r="G562" s="16"/>
      <c r="H562" s="16"/>
    </row>
    <row r="563" spans="2:8" ht="12.5" x14ac:dyDescent="0.25">
      <c r="B563" s="14"/>
      <c r="C563" s="15"/>
      <c r="D563" s="16"/>
      <c r="E563" s="16"/>
      <c r="F563" s="16"/>
      <c r="G563" s="16"/>
      <c r="H563" s="16"/>
    </row>
    <row r="564" spans="2:8" ht="12.5" x14ac:dyDescent="0.25">
      <c r="B564" s="14"/>
      <c r="C564" s="15"/>
      <c r="D564" s="16"/>
      <c r="E564" s="16"/>
      <c r="F564" s="16"/>
      <c r="G564" s="16"/>
      <c r="H564" s="16"/>
    </row>
    <row r="565" spans="2:8" ht="12.5" x14ac:dyDescent="0.25">
      <c r="B565" s="14"/>
      <c r="C565" s="15"/>
      <c r="D565" s="16"/>
      <c r="E565" s="16"/>
      <c r="F565" s="16"/>
      <c r="G565" s="16"/>
      <c r="H565" s="16"/>
    </row>
    <row r="566" spans="2:8" ht="12.5" x14ac:dyDescent="0.25">
      <c r="B566" s="14"/>
      <c r="C566" s="15"/>
      <c r="D566" s="16"/>
      <c r="E566" s="16"/>
      <c r="F566" s="16"/>
      <c r="G566" s="16"/>
      <c r="H566" s="16"/>
    </row>
    <row r="567" spans="2:8" ht="12.5" x14ac:dyDescent="0.25">
      <c r="B567" s="14"/>
      <c r="C567" s="15"/>
      <c r="D567" s="16"/>
      <c r="E567" s="16"/>
      <c r="F567" s="16"/>
      <c r="G567" s="16"/>
      <c r="H567" s="16"/>
    </row>
    <row r="568" spans="2:8" ht="12.5" x14ac:dyDescent="0.25">
      <c r="B568" s="14"/>
      <c r="C568" s="15"/>
      <c r="D568" s="16"/>
      <c r="E568" s="16"/>
      <c r="F568" s="16"/>
      <c r="G568" s="16"/>
      <c r="H568" s="16"/>
    </row>
    <row r="569" spans="2:8" ht="12.5" x14ac:dyDescent="0.25">
      <c r="B569" s="14"/>
      <c r="C569" s="15"/>
      <c r="D569" s="16"/>
      <c r="E569" s="16"/>
      <c r="F569" s="16"/>
      <c r="G569" s="16"/>
      <c r="H569" s="16"/>
    </row>
    <row r="570" spans="2:8" ht="12.5" x14ac:dyDescent="0.25">
      <c r="B570" s="14"/>
      <c r="C570" s="15"/>
      <c r="D570" s="16"/>
      <c r="E570" s="16"/>
      <c r="F570" s="16"/>
      <c r="G570" s="16"/>
      <c r="H570" s="16"/>
    </row>
    <row r="571" spans="2:8" ht="12.5" x14ac:dyDescent="0.25">
      <c r="B571" s="14"/>
      <c r="C571" s="15"/>
      <c r="D571" s="16"/>
      <c r="E571" s="16"/>
      <c r="F571" s="16"/>
      <c r="G571" s="16"/>
      <c r="H571" s="16"/>
    </row>
    <row r="572" spans="2:8" ht="12.5" x14ac:dyDescent="0.25">
      <c r="B572" s="14"/>
      <c r="C572" s="15"/>
      <c r="D572" s="16"/>
      <c r="E572" s="16"/>
      <c r="F572" s="16"/>
      <c r="G572" s="16"/>
      <c r="H572" s="16"/>
    </row>
    <row r="573" spans="2:8" ht="12.5" x14ac:dyDescent="0.25">
      <c r="B573" s="14"/>
      <c r="C573" s="15"/>
      <c r="D573" s="16"/>
      <c r="E573" s="16"/>
      <c r="F573" s="16"/>
      <c r="G573" s="16"/>
      <c r="H573" s="16"/>
    </row>
    <row r="574" spans="2:8" ht="12.5" x14ac:dyDescent="0.25">
      <c r="B574" s="14"/>
      <c r="C574" s="15"/>
      <c r="D574" s="16"/>
      <c r="E574" s="16"/>
      <c r="F574" s="16"/>
      <c r="G574" s="16"/>
      <c r="H574" s="16"/>
    </row>
    <row r="575" spans="2:8" ht="12.5" x14ac:dyDescent="0.25">
      <c r="B575" s="14"/>
      <c r="C575" s="15"/>
      <c r="D575" s="16"/>
      <c r="E575" s="16"/>
      <c r="F575" s="16"/>
      <c r="G575" s="16"/>
      <c r="H575" s="16"/>
    </row>
    <row r="576" spans="2:8" ht="12.5" x14ac:dyDescent="0.25">
      <c r="B576" s="14"/>
      <c r="C576" s="15"/>
      <c r="D576" s="16"/>
      <c r="E576" s="16"/>
      <c r="F576" s="16"/>
      <c r="G576" s="16"/>
      <c r="H576" s="16"/>
    </row>
    <row r="577" spans="2:8" ht="12.5" x14ac:dyDescent="0.25">
      <c r="B577" s="14"/>
      <c r="C577" s="15"/>
      <c r="D577" s="16"/>
      <c r="E577" s="16"/>
      <c r="F577" s="16"/>
      <c r="G577" s="16"/>
      <c r="H577" s="16"/>
    </row>
    <row r="578" spans="2:8" ht="12.5" x14ac:dyDescent="0.25">
      <c r="B578" s="14"/>
      <c r="C578" s="15"/>
      <c r="D578" s="16"/>
      <c r="E578" s="16"/>
      <c r="F578" s="16"/>
      <c r="G578" s="16"/>
      <c r="H578" s="16"/>
    </row>
    <row r="579" spans="2:8" ht="12.5" x14ac:dyDescent="0.25">
      <c r="B579" s="14"/>
      <c r="C579" s="15"/>
      <c r="D579" s="16"/>
      <c r="E579" s="16"/>
      <c r="F579" s="16"/>
      <c r="G579" s="16"/>
      <c r="H579" s="16"/>
    </row>
    <row r="580" spans="2:8" ht="12.5" x14ac:dyDescent="0.25">
      <c r="B580" s="14"/>
      <c r="C580" s="15"/>
      <c r="D580" s="16"/>
      <c r="E580" s="16"/>
      <c r="F580" s="16"/>
      <c r="G580" s="16"/>
      <c r="H580" s="16"/>
    </row>
    <row r="581" spans="2:8" ht="12.5" x14ac:dyDescent="0.25">
      <c r="B581" s="14"/>
      <c r="C581" s="15"/>
      <c r="D581" s="16"/>
      <c r="E581" s="16"/>
      <c r="F581" s="16"/>
      <c r="G581" s="16"/>
      <c r="H581" s="16"/>
    </row>
    <row r="582" spans="2:8" ht="12.5" x14ac:dyDescent="0.25">
      <c r="B582" s="14"/>
      <c r="C582" s="15"/>
      <c r="D582" s="16"/>
      <c r="E582" s="16"/>
      <c r="F582" s="16"/>
      <c r="G582" s="16"/>
      <c r="H582" s="16"/>
    </row>
    <row r="583" spans="2:8" ht="12.5" x14ac:dyDescent="0.25">
      <c r="B583" s="14"/>
      <c r="C583" s="15"/>
      <c r="D583" s="16"/>
      <c r="E583" s="16"/>
      <c r="F583" s="16"/>
      <c r="G583" s="16"/>
      <c r="H583" s="16"/>
    </row>
    <row r="584" spans="2:8" ht="12.5" x14ac:dyDescent="0.25">
      <c r="B584" s="14"/>
      <c r="C584" s="15"/>
      <c r="D584" s="16"/>
      <c r="E584" s="16"/>
      <c r="F584" s="16"/>
      <c r="G584" s="16"/>
      <c r="H584" s="16"/>
    </row>
    <row r="585" spans="2:8" ht="12.5" x14ac:dyDescent="0.25">
      <c r="B585" s="14"/>
      <c r="C585" s="15"/>
      <c r="D585" s="16"/>
      <c r="E585" s="16"/>
      <c r="F585" s="16"/>
      <c r="G585" s="16"/>
      <c r="H585" s="16"/>
    </row>
    <row r="586" spans="2:8" ht="12.5" x14ac:dyDescent="0.25">
      <c r="B586" s="14"/>
      <c r="C586" s="15"/>
      <c r="D586" s="16"/>
      <c r="E586" s="16"/>
      <c r="F586" s="16"/>
      <c r="G586" s="16"/>
      <c r="H586" s="16"/>
    </row>
    <row r="587" spans="2:8" ht="12.5" x14ac:dyDescent="0.25">
      <c r="B587" s="14"/>
      <c r="C587" s="15"/>
      <c r="D587" s="16"/>
      <c r="E587" s="16"/>
      <c r="F587" s="16"/>
      <c r="G587" s="16"/>
      <c r="H587" s="16"/>
    </row>
    <row r="588" spans="2:8" ht="12.5" x14ac:dyDescent="0.25">
      <c r="B588" s="14"/>
      <c r="C588" s="15"/>
      <c r="D588" s="16"/>
      <c r="E588" s="16"/>
      <c r="F588" s="16"/>
      <c r="G588" s="16"/>
      <c r="H588" s="16"/>
    </row>
    <row r="589" spans="2:8" ht="12.5" x14ac:dyDescent="0.25">
      <c r="B589" s="14"/>
      <c r="C589" s="15"/>
      <c r="D589" s="16"/>
      <c r="E589" s="16"/>
      <c r="F589" s="16"/>
      <c r="G589" s="16"/>
      <c r="H589" s="16"/>
    </row>
    <row r="590" spans="2:8" ht="12.5" x14ac:dyDescent="0.25">
      <c r="B590" s="14"/>
      <c r="C590" s="15"/>
      <c r="D590" s="16"/>
      <c r="E590" s="16"/>
      <c r="F590" s="16"/>
      <c r="G590" s="16"/>
      <c r="H590" s="16"/>
    </row>
    <row r="591" spans="2:8" ht="12.5" x14ac:dyDescent="0.25">
      <c r="B591" s="14"/>
      <c r="C591" s="15"/>
      <c r="D591" s="16"/>
      <c r="E591" s="16"/>
      <c r="F591" s="16"/>
      <c r="G591" s="16"/>
      <c r="H591" s="16"/>
    </row>
    <row r="592" spans="2:8" ht="12.5" x14ac:dyDescent="0.25">
      <c r="B592" s="14"/>
      <c r="C592" s="15"/>
      <c r="D592" s="16"/>
      <c r="E592" s="16"/>
      <c r="F592" s="16"/>
      <c r="G592" s="16"/>
      <c r="H592" s="16"/>
    </row>
    <row r="593" spans="2:8" ht="12.5" x14ac:dyDescent="0.25">
      <c r="B593" s="14"/>
      <c r="C593" s="15"/>
      <c r="D593" s="16"/>
      <c r="E593" s="16"/>
      <c r="F593" s="16"/>
      <c r="G593" s="16"/>
      <c r="H593" s="16"/>
    </row>
    <row r="594" spans="2:8" ht="12.5" x14ac:dyDescent="0.25">
      <c r="B594" s="14"/>
      <c r="C594" s="15"/>
      <c r="D594" s="16"/>
      <c r="E594" s="16"/>
      <c r="F594" s="16"/>
      <c r="G594" s="16"/>
      <c r="H594" s="16"/>
    </row>
    <row r="595" spans="2:8" ht="12.5" x14ac:dyDescent="0.25">
      <c r="B595" s="14"/>
      <c r="C595" s="15"/>
      <c r="D595" s="16"/>
      <c r="E595" s="16"/>
      <c r="F595" s="16"/>
      <c r="G595" s="16"/>
      <c r="H595" s="16"/>
    </row>
    <row r="596" spans="2:8" ht="12.5" x14ac:dyDescent="0.25">
      <c r="B596" s="14"/>
      <c r="C596" s="15"/>
      <c r="D596" s="16"/>
      <c r="E596" s="16"/>
      <c r="F596" s="16"/>
      <c r="G596" s="16"/>
      <c r="H596" s="16"/>
    </row>
    <row r="597" spans="2:8" ht="12.5" x14ac:dyDescent="0.25">
      <c r="B597" s="14"/>
      <c r="C597" s="15"/>
      <c r="D597" s="16"/>
      <c r="E597" s="16"/>
      <c r="F597" s="16"/>
      <c r="G597" s="16"/>
      <c r="H597" s="16"/>
    </row>
    <row r="598" spans="2:8" ht="12.5" x14ac:dyDescent="0.25">
      <c r="B598" s="14"/>
      <c r="C598" s="15"/>
      <c r="D598" s="16"/>
      <c r="E598" s="16"/>
      <c r="F598" s="16"/>
      <c r="G598" s="16"/>
      <c r="H598" s="16"/>
    </row>
    <row r="599" spans="2:8" ht="12.5" x14ac:dyDescent="0.25">
      <c r="B599" s="14"/>
      <c r="C599" s="15"/>
      <c r="D599" s="16"/>
      <c r="E599" s="16"/>
      <c r="F599" s="16"/>
      <c r="G599" s="16"/>
      <c r="H599" s="16"/>
    </row>
    <row r="600" spans="2:8" ht="12.5" x14ac:dyDescent="0.25">
      <c r="B600" s="14"/>
      <c r="C600" s="15"/>
      <c r="D600" s="16"/>
      <c r="E600" s="16"/>
      <c r="F600" s="16"/>
      <c r="G600" s="16"/>
      <c r="H600" s="16"/>
    </row>
    <row r="601" spans="2:8" ht="12.5" x14ac:dyDescent="0.25">
      <c r="B601" s="14"/>
      <c r="C601" s="15"/>
      <c r="D601" s="16"/>
      <c r="E601" s="16"/>
      <c r="F601" s="16"/>
      <c r="G601" s="16"/>
      <c r="H601" s="16"/>
    </row>
    <row r="602" spans="2:8" ht="12.5" x14ac:dyDescent="0.25">
      <c r="B602" s="14"/>
      <c r="C602" s="15"/>
      <c r="D602" s="16"/>
      <c r="E602" s="16"/>
      <c r="F602" s="16"/>
      <c r="G602" s="16"/>
      <c r="H602" s="16"/>
    </row>
    <row r="603" spans="2:8" ht="12.5" x14ac:dyDescent="0.25">
      <c r="B603" s="14"/>
      <c r="C603" s="15"/>
      <c r="D603" s="16"/>
      <c r="E603" s="16"/>
      <c r="F603" s="16"/>
      <c r="G603" s="16"/>
      <c r="H603" s="16"/>
    </row>
    <row r="604" spans="2:8" ht="12.5" x14ac:dyDescent="0.25">
      <c r="B604" s="14"/>
      <c r="C604" s="15"/>
      <c r="D604" s="16"/>
      <c r="E604" s="16"/>
      <c r="F604" s="16"/>
      <c r="G604" s="16"/>
      <c r="H604" s="16"/>
    </row>
    <row r="605" spans="2:8" ht="12.5" x14ac:dyDescent="0.25">
      <c r="B605" s="14"/>
      <c r="C605" s="15"/>
      <c r="D605" s="16"/>
      <c r="E605" s="16"/>
      <c r="F605" s="16"/>
      <c r="G605" s="16"/>
      <c r="H605" s="16"/>
    </row>
    <row r="606" spans="2:8" ht="12.5" x14ac:dyDescent="0.25">
      <c r="B606" s="14"/>
      <c r="C606" s="15"/>
      <c r="D606" s="16"/>
      <c r="E606" s="16"/>
      <c r="F606" s="16"/>
      <c r="G606" s="16"/>
      <c r="H606" s="16"/>
    </row>
    <row r="607" spans="2:8" ht="12.5" x14ac:dyDescent="0.25">
      <c r="B607" s="14"/>
      <c r="C607" s="15"/>
      <c r="D607" s="16"/>
      <c r="E607" s="16"/>
      <c r="F607" s="16"/>
      <c r="G607" s="16"/>
      <c r="H607" s="16"/>
    </row>
    <row r="608" spans="2:8" ht="12.5" x14ac:dyDescent="0.25">
      <c r="B608" s="14"/>
      <c r="C608" s="15"/>
      <c r="D608" s="16"/>
      <c r="E608" s="16"/>
      <c r="F608" s="16"/>
      <c r="G608" s="16"/>
      <c r="H608" s="16"/>
    </row>
    <row r="609" spans="2:8" ht="12.5" x14ac:dyDescent="0.25">
      <c r="B609" s="14"/>
      <c r="C609" s="15"/>
      <c r="D609" s="16"/>
      <c r="E609" s="16"/>
      <c r="F609" s="16"/>
      <c r="G609" s="16"/>
      <c r="H609" s="16"/>
    </row>
    <row r="610" spans="2:8" ht="12.5" x14ac:dyDescent="0.25">
      <c r="B610" s="14"/>
      <c r="C610" s="15"/>
      <c r="D610" s="16"/>
      <c r="E610" s="16"/>
      <c r="F610" s="16"/>
      <c r="G610" s="16"/>
      <c r="H610" s="16"/>
    </row>
    <row r="611" spans="2:8" ht="12.5" x14ac:dyDescent="0.25">
      <c r="B611" s="14"/>
      <c r="C611" s="15"/>
      <c r="D611" s="16"/>
      <c r="E611" s="16"/>
      <c r="F611" s="16"/>
      <c r="G611" s="16"/>
      <c r="H611" s="16"/>
    </row>
    <row r="612" spans="2:8" ht="12.5" x14ac:dyDescent="0.25">
      <c r="B612" s="14"/>
      <c r="C612" s="15"/>
      <c r="D612" s="16"/>
      <c r="E612" s="16"/>
      <c r="F612" s="16"/>
      <c r="G612" s="16"/>
      <c r="H612" s="16"/>
    </row>
    <row r="613" spans="2:8" ht="12.5" x14ac:dyDescent="0.25">
      <c r="B613" s="14"/>
      <c r="C613" s="15"/>
      <c r="D613" s="16"/>
      <c r="E613" s="16"/>
      <c r="F613" s="16"/>
      <c r="G613" s="16"/>
      <c r="H613" s="16"/>
    </row>
    <row r="614" spans="2:8" ht="12.5" x14ac:dyDescent="0.25">
      <c r="B614" s="14"/>
      <c r="C614" s="15"/>
      <c r="D614" s="16"/>
      <c r="E614" s="16"/>
      <c r="F614" s="16"/>
      <c r="G614" s="16"/>
      <c r="H614" s="16"/>
    </row>
    <row r="615" spans="2:8" ht="12.5" x14ac:dyDescent="0.25">
      <c r="B615" s="14"/>
      <c r="C615" s="15"/>
      <c r="D615" s="16"/>
      <c r="E615" s="16"/>
      <c r="F615" s="16"/>
      <c r="G615" s="16"/>
      <c r="H615" s="16"/>
    </row>
    <row r="616" spans="2:8" ht="12.5" x14ac:dyDescent="0.25">
      <c r="B616" s="14"/>
      <c r="C616" s="15"/>
      <c r="D616" s="16"/>
      <c r="E616" s="16"/>
      <c r="F616" s="16"/>
      <c r="G616" s="16"/>
      <c r="H616" s="16"/>
    </row>
    <row r="617" spans="2:8" ht="12.5" x14ac:dyDescent="0.25">
      <c r="B617" s="14"/>
      <c r="C617" s="15"/>
      <c r="D617" s="16"/>
      <c r="E617" s="16"/>
      <c r="F617" s="16"/>
      <c r="G617" s="16"/>
      <c r="H617" s="16"/>
    </row>
    <row r="618" spans="2:8" ht="12.5" x14ac:dyDescent="0.25">
      <c r="B618" s="14"/>
      <c r="C618" s="15"/>
      <c r="D618" s="16"/>
      <c r="E618" s="16"/>
      <c r="F618" s="16"/>
      <c r="G618" s="16"/>
      <c r="H618" s="16"/>
    </row>
    <row r="619" spans="2:8" ht="12.5" x14ac:dyDescent="0.25">
      <c r="B619" s="14"/>
      <c r="C619" s="15"/>
      <c r="D619" s="16"/>
      <c r="E619" s="16"/>
      <c r="F619" s="16"/>
      <c r="G619" s="16"/>
      <c r="H619" s="16"/>
    </row>
    <row r="620" spans="2:8" ht="12.5" x14ac:dyDescent="0.25">
      <c r="B620" s="14"/>
      <c r="C620" s="15"/>
      <c r="D620" s="16"/>
      <c r="E620" s="16"/>
      <c r="F620" s="16"/>
      <c r="G620" s="16"/>
      <c r="H620" s="16"/>
    </row>
    <row r="621" spans="2:8" ht="12.5" x14ac:dyDescent="0.25">
      <c r="B621" s="14"/>
      <c r="C621" s="15"/>
      <c r="D621" s="16"/>
      <c r="E621" s="16"/>
      <c r="F621" s="16"/>
      <c r="G621" s="16"/>
      <c r="H621" s="16"/>
    </row>
    <row r="622" spans="2:8" ht="12.5" x14ac:dyDescent="0.25">
      <c r="B622" s="14"/>
      <c r="C622" s="15"/>
      <c r="D622" s="16"/>
      <c r="E622" s="16"/>
      <c r="F622" s="16"/>
      <c r="G622" s="16"/>
      <c r="H622" s="16"/>
    </row>
    <row r="623" spans="2:8" ht="12.5" x14ac:dyDescent="0.25">
      <c r="B623" s="14"/>
      <c r="C623" s="15"/>
      <c r="D623" s="16"/>
      <c r="E623" s="16"/>
      <c r="F623" s="16"/>
      <c r="G623" s="16"/>
      <c r="H623" s="16"/>
    </row>
    <row r="624" spans="2:8" ht="12.5" x14ac:dyDescent="0.25">
      <c r="B624" s="14"/>
      <c r="C624" s="15"/>
      <c r="D624" s="16"/>
      <c r="E624" s="16"/>
      <c r="F624" s="16"/>
      <c r="G624" s="16"/>
      <c r="H624" s="16"/>
    </row>
    <row r="625" spans="2:8" ht="12.5" x14ac:dyDescent="0.25">
      <c r="B625" s="14"/>
      <c r="C625" s="15"/>
      <c r="D625" s="16"/>
      <c r="E625" s="16"/>
      <c r="F625" s="16"/>
      <c r="G625" s="16"/>
      <c r="H625" s="16"/>
    </row>
    <row r="626" spans="2:8" ht="12.5" x14ac:dyDescent="0.25">
      <c r="B626" s="14"/>
      <c r="C626" s="15"/>
      <c r="D626" s="16"/>
      <c r="E626" s="16"/>
      <c r="F626" s="16"/>
      <c r="G626" s="16"/>
      <c r="H626" s="16"/>
    </row>
    <row r="627" spans="2:8" ht="12.5" x14ac:dyDescent="0.25">
      <c r="B627" s="14"/>
      <c r="C627" s="15"/>
      <c r="D627" s="16"/>
      <c r="E627" s="16"/>
      <c r="F627" s="16"/>
      <c r="G627" s="16"/>
      <c r="H627" s="16"/>
    </row>
    <row r="628" spans="2:8" ht="12.5" x14ac:dyDescent="0.25">
      <c r="B628" s="14"/>
      <c r="C628" s="15"/>
      <c r="D628" s="16"/>
      <c r="E628" s="16"/>
      <c r="F628" s="16"/>
      <c r="G628" s="16"/>
      <c r="H628" s="16"/>
    </row>
    <row r="629" spans="2:8" ht="12.5" x14ac:dyDescent="0.25">
      <c r="B629" s="14"/>
      <c r="C629" s="15"/>
      <c r="D629" s="16"/>
      <c r="E629" s="16"/>
      <c r="F629" s="16"/>
      <c r="G629" s="16"/>
      <c r="H629" s="16"/>
    </row>
    <row r="630" spans="2:8" ht="12.5" x14ac:dyDescent="0.25">
      <c r="B630" s="14"/>
      <c r="C630" s="15"/>
      <c r="D630" s="16"/>
      <c r="E630" s="16"/>
      <c r="F630" s="16"/>
      <c r="G630" s="16"/>
      <c r="H630" s="16"/>
    </row>
    <row r="631" spans="2:8" ht="12.5" x14ac:dyDescent="0.25">
      <c r="B631" s="14"/>
      <c r="C631" s="15"/>
      <c r="D631" s="16"/>
      <c r="E631" s="16"/>
      <c r="F631" s="16"/>
      <c r="G631" s="16"/>
      <c r="H631" s="16"/>
    </row>
    <row r="632" spans="2:8" ht="12.5" x14ac:dyDescent="0.25">
      <c r="B632" s="14"/>
      <c r="C632" s="15"/>
      <c r="D632" s="16"/>
      <c r="E632" s="16"/>
      <c r="F632" s="16"/>
      <c r="G632" s="16"/>
      <c r="H632" s="16"/>
    </row>
    <row r="633" spans="2:8" ht="12.5" x14ac:dyDescent="0.25">
      <c r="B633" s="14"/>
      <c r="C633" s="15"/>
      <c r="D633" s="16"/>
      <c r="E633" s="16"/>
      <c r="F633" s="16"/>
      <c r="G633" s="16"/>
      <c r="H633" s="16"/>
    </row>
    <row r="634" spans="2:8" ht="12.5" x14ac:dyDescent="0.25">
      <c r="B634" s="14"/>
      <c r="C634" s="15"/>
      <c r="D634" s="16"/>
      <c r="E634" s="16"/>
      <c r="F634" s="16"/>
      <c r="G634" s="16"/>
      <c r="H634" s="16"/>
    </row>
    <row r="635" spans="2:8" ht="12.5" x14ac:dyDescent="0.25">
      <c r="B635" s="14"/>
      <c r="C635" s="15"/>
      <c r="D635" s="16"/>
      <c r="E635" s="16"/>
      <c r="F635" s="16"/>
      <c r="G635" s="16"/>
      <c r="H635" s="16"/>
    </row>
    <row r="636" spans="2:8" ht="12.5" x14ac:dyDescent="0.25">
      <c r="B636" s="14"/>
      <c r="C636" s="15"/>
      <c r="D636" s="16"/>
      <c r="E636" s="16"/>
      <c r="F636" s="16"/>
      <c r="G636" s="16"/>
      <c r="H636" s="16"/>
    </row>
    <row r="637" spans="2:8" ht="12.5" x14ac:dyDescent="0.25">
      <c r="B637" s="14"/>
      <c r="C637" s="15"/>
      <c r="D637" s="16"/>
      <c r="E637" s="16"/>
      <c r="F637" s="16"/>
      <c r="G637" s="16"/>
      <c r="H637" s="16"/>
    </row>
    <row r="638" spans="2:8" ht="12.5" x14ac:dyDescent="0.25">
      <c r="B638" s="14"/>
      <c r="C638" s="15"/>
      <c r="D638" s="16"/>
      <c r="E638" s="16"/>
      <c r="F638" s="16"/>
      <c r="G638" s="16"/>
      <c r="H638" s="16"/>
    </row>
    <row r="639" spans="2:8" ht="12.5" x14ac:dyDescent="0.25">
      <c r="B639" s="14"/>
      <c r="C639" s="15"/>
      <c r="D639" s="16"/>
      <c r="E639" s="16"/>
      <c r="F639" s="16"/>
      <c r="G639" s="16"/>
      <c r="H639" s="16"/>
    </row>
    <row r="640" spans="2:8" ht="12.5" x14ac:dyDescent="0.25">
      <c r="B640" s="14"/>
      <c r="C640" s="15"/>
      <c r="D640" s="16"/>
      <c r="E640" s="16"/>
      <c r="F640" s="16"/>
      <c r="G640" s="16"/>
      <c r="H640" s="16"/>
    </row>
    <row r="641" spans="2:8" ht="12.5" x14ac:dyDescent="0.25">
      <c r="B641" s="14"/>
      <c r="C641" s="15"/>
      <c r="D641" s="16"/>
      <c r="E641" s="16"/>
      <c r="F641" s="16"/>
      <c r="G641" s="16"/>
      <c r="H641" s="16"/>
    </row>
    <row r="642" spans="2:8" ht="12.5" x14ac:dyDescent="0.25">
      <c r="B642" s="14"/>
      <c r="C642" s="15"/>
      <c r="D642" s="16"/>
      <c r="E642" s="16"/>
      <c r="F642" s="16"/>
      <c r="G642" s="16"/>
      <c r="H642" s="16"/>
    </row>
    <row r="643" spans="2:8" ht="12.5" x14ac:dyDescent="0.25">
      <c r="B643" s="14"/>
      <c r="C643" s="15"/>
      <c r="D643" s="16"/>
      <c r="E643" s="16"/>
      <c r="F643" s="16"/>
      <c r="G643" s="16"/>
      <c r="H643" s="16"/>
    </row>
    <row r="644" spans="2:8" ht="12.5" x14ac:dyDescent="0.25">
      <c r="B644" s="14"/>
      <c r="C644" s="15"/>
      <c r="D644" s="16"/>
      <c r="E644" s="16"/>
      <c r="F644" s="16"/>
      <c r="G644" s="16"/>
      <c r="H644" s="16"/>
    </row>
    <row r="645" spans="2:8" ht="12.5" x14ac:dyDescent="0.25">
      <c r="B645" s="14"/>
      <c r="C645" s="15"/>
      <c r="D645" s="16"/>
      <c r="E645" s="16"/>
      <c r="F645" s="16"/>
      <c r="G645" s="16"/>
      <c r="H645" s="16"/>
    </row>
    <row r="646" spans="2:8" ht="12.5" x14ac:dyDescent="0.25">
      <c r="B646" s="14"/>
      <c r="C646" s="15"/>
      <c r="D646" s="16"/>
      <c r="E646" s="16"/>
      <c r="F646" s="16"/>
      <c r="G646" s="16"/>
      <c r="H646" s="16"/>
    </row>
    <row r="647" spans="2:8" ht="12.5" x14ac:dyDescent="0.25">
      <c r="B647" s="14"/>
      <c r="C647" s="15"/>
      <c r="D647" s="16"/>
      <c r="E647" s="16"/>
      <c r="F647" s="16"/>
      <c r="G647" s="16"/>
      <c r="H647" s="16"/>
    </row>
    <row r="648" spans="2:8" ht="12.5" x14ac:dyDescent="0.25">
      <c r="B648" s="14"/>
      <c r="C648" s="15"/>
      <c r="D648" s="16"/>
      <c r="E648" s="16"/>
      <c r="F648" s="16"/>
      <c r="G648" s="16"/>
      <c r="H648" s="16"/>
    </row>
    <row r="649" spans="2:8" ht="12.5" x14ac:dyDescent="0.25">
      <c r="B649" s="14"/>
      <c r="C649" s="15"/>
      <c r="D649" s="16"/>
      <c r="E649" s="16"/>
      <c r="F649" s="16"/>
      <c r="G649" s="16"/>
      <c r="H649" s="16"/>
    </row>
    <row r="650" spans="2:8" ht="12.5" x14ac:dyDescent="0.25">
      <c r="B650" s="14"/>
      <c r="C650" s="15"/>
      <c r="D650" s="16"/>
      <c r="E650" s="16"/>
      <c r="F650" s="16"/>
      <c r="G650" s="16"/>
      <c r="H650" s="16"/>
    </row>
    <row r="651" spans="2:8" ht="12.5" x14ac:dyDescent="0.25">
      <c r="B651" s="14"/>
      <c r="C651" s="15"/>
      <c r="D651" s="16"/>
      <c r="E651" s="16"/>
      <c r="F651" s="16"/>
      <c r="G651" s="16"/>
      <c r="H651" s="16"/>
    </row>
    <row r="652" spans="2:8" ht="12.5" x14ac:dyDescent="0.25">
      <c r="B652" s="14"/>
      <c r="C652" s="15"/>
      <c r="D652" s="16"/>
      <c r="E652" s="16"/>
      <c r="F652" s="16"/>
      <c r="G652" s="16"/>
      <c r="H652" s="16"/>
    </row>
    <row r="653" spans="2:8" ht="12.5" x14ac:dyDescent="0.25">
      <c r="B653" s="14"/>
      <c r="C653" s="15"/>
      <c r="D653" s="16"/>
      <c r="E653" s="16"/>
      <c r="F653" s="16"/>
      <c r="G653" s="16"/>
      <c r="H653" s="16"/>
    </row>
    <row r="654" spans="2:8" ht="12.5" x14ac:dyDescent="0.25">
      <c r="B654" s="14"/>
      <c r="C654" s="15"/>
      <c r="D654" s="16"/>
      <c r="E654" s="16"/>
      <c r="F654" s="16"/>
      <c r="G654" s="16"/>
      <c r="H654" s="16"/>
    </row>
    <row r="655" spans="2:8" ht="12.5" x14ac:dyDescent="0.25">
      <c r="B655" s="14"/>
      <c r="C655" s="15"/>
      <c r="D655" s="16"/>
      <c r="E655" s="16"/>
      <c r="F655" s="16"/>
      <c r="G655" s="16"/>
      <c r="H655" s="16"/>
    </row>
    <row r="656" spans="2:8" ht="12.5" x14ac:dyDescent="0.25">
      <c r="B656" s="14"/>
      <c r="C656" s="15"/>
      <c r="D656" s="16"/>
      <c r="E656" s="16"/>
      <c r="F656" s="16"/>
      <c r="G656" s="16"/>
      <c r="H656" s="16"/>
    </row>
    <row r="657" spans="2:8" ht="12.5" x14ac:dyDescent="0.25">
      <c r="B657" s="14"/>
      <c r="C657" s="15"/>
      <c r="D657" s="16"/>
      <c r="E657" s="16"/>
      <c r="F657" s="16"/>
      <c r="G657" s="16"/>
      <c r="H657" s="16"/>
    </row>
    <row r="658" spans="2:8" ht="12.5" x14ac:dyDescent="0.25">
      <c r="B658" s="14"/>
      <c r="C658" s="15"/>
      <c r="D658" s="16"/>
      <c r="E658" s="16"/>
      <c r="F658" s="16"/>
      <c r="G658" s="16"/>
      <c r="H658" s="16"/>
    </row>
    <row r="659" spans="2:8" ht="12.5" x14ac:dyDescent="0.25">
      <c r="B659" s="14"/>
      <c r="C659" s="15"/>
      <c r="D659" s="16"/>
      <c r="E659" s="16"/>
      <c r="F659" s="16"/>
      <c r="G659" s="16"/>
      <c r="H659" s="16"/>
    </row>
    <row r="660" spans="2:8" ht="12.5" x14ac:dyDescent="0.25">
      <c r="B660" s="14"/>
      <c r="C660" s="15"/>
      <c r="D660" s="16"/>
      <c r="E660" s="16"/>
      <c r="F660" s="16"/>
      <c r="G660" s="16"/>
      <c r="H660" s="16"/>
    </row>
    <row r="661" spans="2:8" ht="12.5" x14ac:dyDescent="0.25">
      <c r="B661" s="14"/>
      <c r="C661" s="15"/>
      <c r="D661" s="16"/>
      <c r="E661" s="16"/>
      <c r="F661" s="16"/>
      <c r="G661" s="16"/>
      <c r="H661" s="16"/>
    </row>
    <row r="662" spans="2:8" ht="12.5" x14ac:dyDescent="0.25">
      <c r="B662" s="14"/>
      <c r="C662" s="15"/>
      <c r="D662" s="16"/>
      <c r="E662" s="16"/>
      <c r="F662" s="16"/>
      <c r="G662" s="16"/>
      <c r="H662" s="16"/>
    </row>
    <row r="663" spans="2:8" ht="12.5" x14ac:dyDescent="0.25">
      <c r="B663" s="14"/>
      <c r="C663" s="15"/>
      <c r="D663" s="16"/>
      <c r="E663" s="16"/>
      <c r="F663" s="16"/>
      <c r="G663" s="16"/>
      <c r="H663" s="16"/>
    </row>
    <row r="664" spans="2:8" ht="12.5" x14ac:dyDescent="0.25">
      <c r="B664" s="14"/>
      <c r="C664" s="15"/>
      <c r="D664" s="16"/>
      <c r="E664" s="16"/>
      <c r="F664" s="16"/>
      <c r="G664" s="16"/>
      <c r="H664" s="16"/>
    </row>
    <row r="665" spans="2:8" ht="12.5" x14ac:dyDescent="0.25">
      <c r="B665" s="14"/>
      <c r="C665" s="15"/>
      <c r="D665" s="16"/>
      <c r="E665" s="16"/>
      <c r="F665" s="16"/>
      <c r="G665" s="16"/>
      <c r="H665" s="16"/>
    </row>
    <row r="666" spans="2:8" ht="12.5" x14ac:dyDescent="0.25">
      <c r="B666" s="14"/>
      <c r="C666" s="15"/>
      <c r="D666" s="16"/>
      <c r="E666" s="16"/>
      <c r="F666" s="16"/>
      <c r="G666" s="16"/>
      <c r="H666" s="16"/>
    </row>
    <row r="667" spans="2:8" ht="12.5" x14ac:dyDescent="0.25">
      <c r="B667" s="14"/>
      <c r="C667" s="15"/>
      <c r="D667" s="16"/>
      <c r="E667" s="16"/>
      <c r="F667" s="16"/>
      <c r="G667" s="16"/>
      <c r="H667" s="16"/>
    </row>
    <row r="668" spans="2:8" ht="12.5" x14ac:dyDescent="0.25">
      <c r="B668" s="14"/>
      <c r="C668" s="15"/>
      <c r="D668" s="16"/>
      <c r="E668" s="16"/>
      <c r="F668" s="16"/>
      <c r="G668" s="16"/>
      <c r="H668" s="16"/>
    </row>
    <row r="669" spans="2:8" ht="12.5" x14ac:dyDescent="0.25">
      <c r="B669" s="14"/>
      <c r="C669" s="15"/>
      <c r="D669" s="16"/>
      <c r="E669" s="16"/>
      <c r="F669" s="16"/>
      <c r="G669" s="16"/>
      <c r="H669" s="16"/>
    </row>
    <row r="670" spans="2:8" ht="12.5" x14ac:dyDescent="0.25">
      <c r="B670" s="14"/>
      <c r="C670" s="15"/>
      <c r="D670" s="16"/>
      <c r="E670" s="16"/>
      <c r="F670" s="16"/>
      <c r="G670" s="16"/>
      <c r="H670" s="16"/>
    </row>
    <row r="671" spans="2:8" ht="12.5" x14ac:dyDescent="0.25">
      <c r="B671" s="14"/>
      <c r="C671" s="15"/>
      <c r="D671" s="16"/>
      <c r="E671" s="16"/>
      <c r="F671" s="16"/>
      <c r="G671" s="16"/>
      <c r="H671" s="16"/>
    </row>
    <row r="672" spans="2:8" ht="12.5" x14ac:dyDescent="0.25">
      <c r="B672" s="14"/>
      <c r="C672" s="15"/>
      <c r="D672" s="16"/>
      <c r="E672" s="16"/>
      <c r="F672" s="16"/>
      <c r="G672" s="16"/>
      <c r="H672" s="16"/>
    </row>
    <row r="673" spans="2:8" ht="12.5" x14ac:dyDescent="0.25">
      <c r="B673" s="14"/>
      <c r="C673" s="15"/>
      <c r="D673" s="16"/>
      <c r="E673" s="16"/>
      <c r="F673" s="16"/>
      <c r="G673" s="16"/>
      <c r="H673" s="16"/>
    </row>
    <row r="674" spans="2:8" ht="12.5" x14ac:dyDescent="0.25">
      <c r="B674" s="14"/>
      <c r="C674" s="15"/>
      <c r="D674" s="16"/>
      <c r="E674" s="16"/>
      <c r="F674" s="16"/>
      <c r="G674" s="16"/>
      <c r="H674" s="16"/>
    </row>
    <row r="675" spans="2:8" ht="12.5" x14ac:dyDescent="0.25">
      <c r="B675" s="14"/>
      <c r="C675" s="15"/>
      <c r="D675" s="16"/>
      <c r="E675" s="16"/>
      <c r="F675" s="16"/>
      <c r="G675" s="16"/>
      <c r="H675" s="16"/>
    </row>
    <row r="676" spans="2:8" ht="12.5" x14ac:dyDescent="0.25">
      <c r="B676" s="14"/>
      <c r="C676" s="15"/>
      <c r="D676" s="16"/>
      <c r="E676" s="16"/>
      <c r="F676" s="16"/>
      <c r="G676" s="16"/>
      <c r="H676" s="16"/>
    </row>
    <row r="677" spans="2:8" ht="12.5" x14ac:dyDescent="0.25">
      <c r="B677" s="14"/>
      <c r="C677" s="15"/>
      <c r="D677" s="16"/>
      <c r="E677" s="16"/>
      <c r="F677" s="16"/>
      <c r="G677" s="16"/>
      <c r="H677" s="16"/>
    </row>
    <row r="678" spans="2:8" ht="12.5" x14ac:dyDescent="0.25">
      <c r="B678" s="14"/>
      <c r="C678" s="15"/>
      <c r="D678" s="16"/>
      <c r="E678" s="16"/>
      <c r="F678" s="16"/>
      <c r="G678" s="16"/>
      <c r="H678" s="16"/>
    </row>
    <row r="679" spans="2:8" ht="12.5" x14ac:dyDescent="0.25">
      <c r="B679" s="14"/>
      <c r="C679" s="15"/>
      <c r="D679" s="16"/>
      <c r="E679" s="16"/>
      <c r="F679" s="16"/>
      <c r="G679" s="16"/>
      <c r="H679" s="16"/>
    </row>
    <row r="680" spans="2:8" ht="12.5" x14ac:dyDescent="0.25">
      <c r="B680" s="14"/>
      <c r="C680" s="15"/>
      <c r="D680" s="16"/>
      <c r="E680" s="16"/>
      <c r="F680" s="16"/>
      <c r="G680" s="16"/>
      <c r="H680" s="16"/>
    </row>
    <row r="681" spans="2:8" ht="12.5" x14ac:dyDescent="0.25">
      <c r="B681" s="14"/>
      <c r="C681" s="15"/>
      <c r="D681" s="16"/>
      <c r="E681" s="16"/>
      <c r="F681" s="16"/>
      <c r="G681" s="16"/>
      <c r="H681" s="16"/>
    </row>
    <row r="682" spans="2:8" ht="12.5" x14ac:dyDescent="0.25">
      <c r="B682" s="14"/>
      <c r="C682" s="15"/>
      <c r="D682" s="16"/>
      <c r="E682" s="16"/>
      <c r="F682" s="16"/>
      <c r="G682" s="16"/>
      <c r="H682" s="16"/>
    </row>
    <row r="683" spans="2:8" ht="12.5" x14ac:dyDescent="0.25">
      <c r="B683" s="14"/>
      <c r="C683" s="15"/>
      <c r="D683" s="16"/>
      <c r="E683" s="16"/>
      <c r="F683" s="16"/>
      <c r="G683" s="16"/>
      <c r="H683" s="16"/>
    </row>
    <row r="684" spans="2:8" ht="12.5" x14ac:dyDescent="0.25">
      <c r="B684" s="14"/>
      <c r="C684" s="15"/>
      <c r="D684" s="16"/>
      <c r="E684" s="16"/>
      <c r="F684" s="16"/>
      <c r="G684" s="16"/>
      <c r="H684" s="16"/>
    </row>
    <row r="685" spans="2:8" ht="12.5" x14ac:dyDescent="0.25">
      <c r="B685" s="14"/>
      <c r="C685" s="15"/>
      <c r="D685" s="16"/>
      <c r="E685" s="16"/>
      <c r="F685" s="16"/>
      <c r="G685" s="16"/>
      <c r="H685" s="16"/>
    </row>
    <row r="686" spans="2:8" ht="12.5" x14ac:dyDescent="0.25">
      <c r="B686" s="14"/>
      <c r="C686" s="15"/>
      <c r="D686" s="16"/>
      <c r="E686" s="16"/>
      <c r="F686" s="16"/>
      <c r="G686" s="16"/>
      <c r="H686" s="16"/>
    </row>
    <row r="687" spans="2:8" ht="12.5" x14ac:dyDescent="0.25">
      <c r="B687" s="14"/>
      <c r="C687" s="15"/>
      <c r="D687" s="16"/>
      <c r="E687" s="16"/>
      <c r="F687" s="16"/>
      <c r="G687" s="16"/>
      <c r="H687" s="16"/>
    </row>
    <row r="688" spans="2:8" ht="12.5" x14ac:dyDescent="0.25">
      <c r="B688" s="14"/>
      <c r="C688" s="15"/>
      <c r="D688" s="16"/>
      <c r="E688" s="16"/>
      <c r="F688" s="16"/>
      <c r="G688" s="16"/>
      <c r="H688" s="16"/>
    </row>
    <row r="689" spans="2:8" ht="12.5" x14ac:dyDescent="0.25">
      <c r="B689" s="14"/>
      <c r="C689" s="15"/>
      <c r="D689" s="16"/>
      <c r="E689" s="16"/>
      <c r="F689" s="16"/>
      <c r="G689" s="16"/>
      <c r="H689" s="16"/>
    </row>
    <row r="690" spans="2:8" ht="12.5" x14ac:dyDescent="0.25">
      <c r="B690" s="14"/>
      <c r="C690" s="15"/>
      <c r="D690" s="16"/>
      <c r="E690" s="16"/>
      <c r="F690" s="16"/>
      <c r="G690" s="16"/>
      <c r="H690" s="16"/>
    </row>
    <row r="691" spans="2:8" ht="12.5" x14ac:dyDescent="0.25">
      <c r="B691" s="14"/>
      <c r="C691" s="15"/>
      <c r="D691" s="16"/>
      <c r="E691" s="16"/>
      <c r="F691" s="16"/>
      <c r="G691" s="16"/>
      <c r="H691" s="16"/>
    </row>
    <row r="692" spans="2:8" ht="12.5" x14ac:dyDescent="0.25">
      <c r="B692" s="14"/>
      <c r="C692" s="15"/>
      <c r="D692" s="16"/>
      <c r="E692" s="16"/>
      <c r="F692" s="16"/>
      <c r="G692" s="16"/>
      <c r="H692" s="16"/>
    </row>
    <row r="693" spans="2:8" ht="12.5" x14ac:dyDescent="0.25">
      <c r="B693" s="14"/>
      <c r="C693" s="15"/>
      <c r="D693" s="16"/>
      <c r="E693" s="16"/>
      <c r="F693" s="16"/>
      <c r="G693" s="16"/>
      <c r="H693" s="16"/>
    </row>
    <row r="694" spans="2:8" ht="12.5" x14ac:dyDescent="0.25">
      <c r="B694" s="14"/>
      <c r="C694" s="15"/>
      <c r="D694" s="16"/>
      <c r="E694" s="16"/>
      <c r="F694" s="16"/>
      <c r="G694" s="16"/>
      <c r="H694" s="16"/>
    </row>
    <row r="695" spans="2:8" ht="12.5" x14ac:dyDescent="0.25">
      <c r="B695" s="14"/>
      <c r="C695" s="15"/>
      <c r="D695" s="16"/>
      <c r="E695" s="16"/>
      <c r="F695" s="16"/>
      <c r="G695" s="16"/>
      <c r="H695" s="16"/>
    </row>
    <row r="696" spans="2:8" ht="12.5" x14ac:dyDescent="0.25">
      <c r="B696" s="14"/>
      <c r="C696" s="15"/>
      <c r="D696" s="16"/>
      <c r="E696" s="16"/>
      <c r="F696" s="16"/>
      <c r="G696" s="16"/>
      <c r="H696" s="16"/>
    </row>
    <row r="697" spans="2:8" ht="12.5" x14ac:dyDescent="0.25">
      <c r="B697" s="14"/>
      <c r="C697" s="15"/>
      <c r="D697" s="16"/>
      <c r="E697" s="16"/>
      <c r="F697" s="16"/>
      <c r="G697" s="16"/>
      <c r="H697" s="16"/>
    </row>
    <row r="698" spans="2:8" ht="12.5" x14ac:dyDescent="0.25">
      <c r="B698" s="14"/>
      <c r="C698" s="15"/>
      <c r="D698" s="16"/>
      <c r="E698" s="16"/>
      <c r="F698" s="16"/>
      <c r="G698" s="16"/>
      <c r="H698" s="16"/>
    </row>
    <row r="699" spans="2:8" ht="12.5" x14ac:dyDescent="0.25">
      <c r="B699" s="14"/>
      <c r="C699" s="15"/>
      <c r="D699" s="16"/>
      <c r="E699" s="16"/>
      <c r="F699" s="16"/>
      <c r="G699" s="16"/>
      <c r="H699" s="16"/>
    </row>
    <row r="700" spans="2:8" ht="12.5" x14ac:dyDescent="0.25">
      <c r="B700" s="14"/>
      <c r="C700" s="15"/>
      <c r="D700" s="16"/>
      <c r="E700" s="16"/>
      <c r="F700" s="16"/>
      <c r="G700" s="16"/>
      <c r="H700" s="16"/>
    </row>
    <row r="701" spans="2:8" ht="12.5" x14ac:dyDescent="0.25">
      <c r="B701" s="14"/>
      <c r="C701" s="15"/>
      <c r="D701" s="16"/>
      <c r="E701" s="16"/>
      <c r="F701" s="16"/>
      <c r="G701" s="16"/>
      <c r="H701" s="16"/>
    </row>
    <row r="702" spans="2:8" ht="12.5" x14ac:dyDescent="0.25">
      <c r="B702" s="14"/>
      <c r="C702" s="15"/>
      <c r="D702" s="16"/>
      <c r="E702" s="16"/>
      <c r="F702" s="16"/>
      <c r="G702" s="16"/>
      <c r="H702" s="16"/>
    </row>
    <row r="703" spans="2:8" ht="12.5" x14ac:dyDescent="0.25">
      <c r="B703" s="14"/>
      <c r="C703" s="15"/>
      <c r="D703" s="16"/>
      <c r="E703" s="16"/>
      <c r="F703" s="16"/>
      <c r="G703" s="16"/>
      <c r="H703" s="16"/>
    </row>
    <row r="704" spans="2:8" ht="12.5" x14ac:dyDescent="0.25">
      <c r="B704" s="14"/>
      <c r="C704" s="15"/>
      <c r="D704" s="16"/>
      <c r="E704" s="16"/>
      <c r="F704" s="16"/>
      <c r="G704" s="16"/>
      <c r="H704" s="16"/>
    </row>
    <row r="705" spans="2:8" ht="12.5" x14ac:dyDescent="0.25">
      <c r="B705" s="14"/>
      <c r="C705" s="15"/>
      <c r="D705" s="16"/>
      <c r="E705" s="16"/>
      <c r="F705" s="16"/>
      <c r="G705" s="16"/>
      <c r="H705" s="16"/>
    </row>
    <row r="706" spans="2:8" ht="12.5" x14ac:dyDescent="0.25">
      <c r="B706" s="14"/>
      <c r="C706" s="15"/>
      <c r="D706" s="16"/>
      <c r="E706" s="16"/>
      <c r="F706" s="16"/>
      <c r="G706" s="16"/>
      <c r="H706" s="16"/>
    </row>
    <row r="707" spans="2:8" ht="12.5" x14ac:dyDescent="0.25">
      <c r="B707" s="14"/>
      <c r="C707" s="15"/>
      <c r="D707" s="16"/>
      <c r="E707" s="16"/>
      <c r="F707" s="16"/>
      <c r="G707" s="16"/>
      <c r="H707" s="16"/>
    </row>
    <row r="708" spans="2:8" ht="12.5" x14ac:dyDescent="0.25">
      <c r="B708" s="14"/>
      <c r="C708" s="15"/>
      <c r="D708" s="16"/>
      <c r="E708" s="16"/>
      <c r="F708" s="16"/>
      <c r="G708" s="16"/>
      <c r="H708" s="16"/>
    </row>
    <row r="709" spans="2:8" ht="12.5" x14ac:dyDescent="0.25">
      <c r="B709" s="14"/>
      <c r="C709" s="15"/>
      <c r="D709" s="16"/>
      <c r="E709" s="16"/>
      <c r="F709" s="16"/>
      <c r="G709" s="16"/>
      <c r="H709" s="16"/>
    </row>
    <row r="710" spans="2:8" ht="12.5" x14ac:dyDescent="0.25">
      <c r="B710" s="14"/>
      <c r="C710" s="15"/>
      <c r="D710" s="16"/>
      <c r="E710" s="16"/>
      <c r="F710" s="16"/>
      <c r="G710" s="16"/>
      <c r="H710" s="16"/>
    </row>
    <row r="711" spans="2:8" ht="12.5" x14ac:dyDescent="0.25">
      <c r="B711" s="14"/>
      <c r="C711" s="15"/>
      <c r="D711" s="16"/>
      <c r="E711" s="16"/>
      <c r="F711" s="16"/>
      <c r="G711" s="16"/>
      <c r="H711" s="16"/>
    </row>
    <row r="712" spans="2:8" ht="12.5" x14ac:dyDescent="0.25">
      <c r="B712" s="14"/>
      <c r="C712" s="15"/>
      <c r="D712" s="16"/>
      <c r="E712" s="16"/>
      <c r="F712" s="16"/>
      <c r="G712" s="16"/>
      <c r="H712" s="16"/>
    </row>
    <row r="713" spans="2:8" ht="12.5" x14ac:dyDescent="0.25">
      <c r="B713" s="14"/>
      <c r="C713" s="15"/>
      <c r="D713" s="16"/>
      <c r="E713" s="16"/>
      <c r="F713" s="16"/>
      <c r="G713" s="16"/>
      <c r="H713" s="16"/>
    </row>
    <row r="714" spans="2:8" ht="12.5" x14ac:dyDescent="0.25">
      <c r="B714" s="14"/>
      <c r="C714" s="15"/>
      <c r="D714" s="16"/>
      <c r="E714" s="16"/>
      <c r="F714" s="16"/>
      <c r="G714" s="16"/>
      <c r="H714" s="16"/>
    </row>
    <row r="715" spans="2:8" ht="12.5" x14ac:dyDescent="0.25">
      <c r="B715" s="14"/>
      <c r="C715" s="15"/>
      <c r="D715" s="16"/>
      <c r="E715" s="16"/>
      <c r="F715" s="16"/>
      <c r="G715" s="16"/>
      <c r="H715" s="16"/>
    </row>
    <row r="716" spans="2:8" ht="12.5" x14ac:dyDescent="0.25">
      <c r="B716" s="14"/>
      <c r="C716" s="15"/>
      <c r="D716" s="16"/>
      <c r="E716" s="16"/>
      <c r="F716" s="16"/>
      <c r="G716" s="16"/>
      <c r="H716" s="16"/>
    </row>
    <row r="717" spans="2:8" ht="12.5" x14ac:dyDescent="0.25">
      <c r="B717" s="14"/>
      <c r="C717" s="15"/>
      <c r="D717" s="16"/>
      <c r="E717" s="16"/>
      <c r="F717" s="16"/>
      <c r="G717" s="16"/>
      <c r="H717" s="16"/>
    </row>
    <row r="718" spans="2:8" ht="12.5" x14ac:dyDescent="0.25">
      <c r="B718" s="14"/>
      <c r="C718" s="15"/>
      <c r="D718" s="16"/>
      <c r="E718" s="16"/>
      <c r="F718" s="16"/>
      <c r="G718" s="16"/>
      <c r="H718" s="16"/>
    </row>
    <row r="719" spans="2:8" ht="12.5" x14ac:dyDescent="0.25">
      <c r="B719" s="14"/>
      <c r="C719" s="15"/>
      <c r="D719" s="16"/>
      <c r="E719" s="16"/>
      <c r="F719" s="16"/>
      <c r="G719" s="16"/>
      <c r="H719" s="16"/>
    </row>
    <row r="720" spans="2:8" ht="12.5" x14ac:dyDescent="0.25">
      <c r="B720" s="14"/>
      <c r="C720" s="15"/>
      <c r="D720" s="16"/>
      <c r="E720" s="16"/>
      <c r="F720" s="16"/>
      <c r="G720" s="16"/>
      <c r="H720" s="16"/>
    </row>
    <row r="721" spans="2:8" ht="12.5" x14ac:dyDescent="0.25">
      <c r="B721" s="14"/>
      <c r="C721" s="15"/>
      <c r="D721" s="16"/>
      <c r="E721" s="16"/>
      <c r="F721" s="16"/>
      <c r="G721" s="16"/>
      <c r="H721" s="16"/>
    </row>
    <row r="722" spans="2:8" ht="12.5" x14ac:dyDescent="0.25">
      <c r="B722" s="14"/>
      <c r="C722" s="15"/>
      <c r="D722" s="16"/>
      <c r="E722" s="16"/>
      <c r="F722" s="16"/>
      <c r="G722" s="16"/>
      <c r="H722" s="16"/>
    </row>
    <row r="723" spans="2:8" ht="12.5" x14ac:dyDescent="0.25">
      <c r="B723" s="14"/>
      <c r="C723" s="15"/>
      <c r="D723" s="16"/>
      <c r="E723" s="16"/>
      <c r="F723" s="16"/>
      <c r="G723" s="16"/>
      <c r="H723" s="16"/>
    </row>
    <row r="724" spans="2:8" ht="12.5" x14ac:dyDescent="0.25">
      <c r="B724" s="14"/>
      <c r="C724" s="15"/>
      <c r="D724" s="16"/>
      <c r="E724" s="16"/>
      <c r="F724" s="16"/>
      <c r="G724" s="16"/>
      <c r="H724" s="16"/>
    </row>
    <row r="725" spans="2:8" ht="12.5" x14ac:dyDescent="0.25">
      <c r="B725" s="14"/>
      <c r="C725" s="15"/>
      <c r="D725" s="16"/>
      <c r="E725" s="16"/>
      <c r="F725" s="16"/>
      <c r="G725" s="16"/>
      <c r="H725" s="16"/>
    </row>
    <row r="726" spans="2:8" ht="12.5" x14ac:dyDescent="0.25">
      <c r="B726" s="14"/>
      <c r="C726" s="15"/>
      <c r="D726" s="16"/>
      <c r="E726" s="16"/>
      <c r="F726" s="16"/>
      <c r="G726" s="16"/>
      <c r="H726" s="16"/>
    </row>
    <row r="727" spans="2:8" ht="12.5" x14ac:dyDescent="0.25">
      <c r="B727" s="14"/>
      <c r="C727" s="15"/>
      <c r="D727" s="16"/>
      <c r="E727" s="16"/>
      <c r="F727" s="16"/>
      <c r="G727" s="16"/>
      <c r="H727" s="16"/>
    </row>
    <row r="728" spans="2:8" ht="12.5" x14ac:dyDescent="0.25">
      <c r="B728" s="14"/>
      <c r="C728" s="15"/>
      <c r="D728" s="16"/>
      <c r="E728" s="16"/>
      <c r="F728" s="16"/>
      <c r="G728" s="16"/>
      <c r="H728" s="16"/>
    </row>
    <row r="729" spans="2:8" ht="12.5" x14ac:dyDescent="0.25">
      <c r="B729" s="14"/>
      <c r="C729" s="15"/>
      <c r="D729" s="16"/>
      <c r="E729" s="16"/>
      <c r="F729" s="16"/>
      <c r="G729" s="16"/>
      <c r="H729" s="16"/>
    </row>
    <row r="730" spans="2:8" ht="12.5" x14ac:dyDescent="0.25">
      <c r="B730" s="14"/>
      <c r="C730" s="15"/>
      <c r="D730" s="16"/>
      <c r="E730" s="16"/>
      <c r="F730" s="16"/>
      <c r="G730" s="16"/>
      <c r="H730" s="16"/>
    </row>
    <row r="731" spans="2:8" ht="12.5" x14ac:dyDescent="0.25">
      <c r="B731" s="14"/>
      <c r="C731" s="15"/>
      <c r="D731" s="16"/>
      <c r="E731" s="16"/>
      <c r="F731" s="16"/>
      <c r="G731" s="16"/>
      <c r="H731" s="16"/>
    </row>
    <row r="732" spans="2:8" ht="12.5" x14ac:dyDescent="0.25">
      <c r="B732" s="14"/>
      <c r="C732" s="15"/>
      <c r="D732" s="16"/>
      <c r="E732" s="16"/>
      <c r="F732" s="16"/>
      <c r="G732" s="16"/>
      <c r="H732" s="16"/>
    </row>
    <row r="733" spans="2:8" ht="12.5" x14ac:dyDescent="0.25">
      <c r="B733" s="14"/>
      <c r="C733" s="15"/>
      <c r="D733" s="16"/>
      <c r="E733" s="16"/>
      <c r="F733" s="16"/>
      <c r="G733" s="16"/>
      <c r="H733" s="16"/>
    </row>
    <row r="734" spans="2:8" ht="12.5" x14ac:dyDescent="0.25">
      <c r="B734" s="14"/>
      <c r="C734" s="15"/>
      <c r="D734" s="16"/>
      <c r="E734" s="16"/>
      <c r="F734" s="16"/>
      <c r="G734" s="16"/>
      <c r="H734" s="16"/>
    </row>
    <row r="735" spans="2:8" ht="12.5" x14ac:dyDescent="0.25">
      <c r="B735" s="14"/>
      <c r="C735" s="15"/>
      <c r="D735" s="16"/>
      <c r="E735" s="16"/>
      <c r="F735" s="16"/>
      <c r="G735" s="16"/>
      <c r="H735" s="16"/>
    </row>
    <row r="736" spans="2:8" ht="12.5" x14ac:dyDescent="0.25">
      <c r="B736" s="14"/>
      <c r="C736" s="15"/>
      <c r="D736" s="16"/>
      <c r="E736" s="16"/>
      <c r="F736" s="16"/>
      <c r="G736" s="16"/>
      <c r="H736" s="16"/>
    </row>
    <row r="737" spans="2:8" ht="12.5" x14ac:dyDescent="0.25">
      <c r="B737" s="14"/>
      <c r="C737" s="15"/>
      <c r="D737" s="16"/>
      <c r="E737" s="16"/>
      <c r="F737" s="16"/>
      <c r="G737" s="16"/>
      <c r="H737" s="16"/>
    </row>
    <row r="738" spans="2:8" ht="12.5" x14ac:dyDescent="0.25">
      <c r="B738" s="14"/>
      <c r="C738" s="15"/>
      <c r="D738" s="16"/>
      <c r="E738" s="16"/>
      <c r="F738" s="16"/>
      <c r="G738" s="16"/>
      <c r="H738" s="16"/>
    </row>
    <row r="739" spans="2:8" ht="12.5" x14ac:dyDescent="0.25">
      <c r="B739" s="14"/>
      <c r="C739" s="15"/>
      <c r="D739" s="16"/>
      <c r="E739" s="16"/>
      <c r="F739" s="16"/>
      <c r="G739" s="16"/>
      <c r="H739" s="16"/>
    </row>
    <row r="740" spans="2:8" ht="12.5" x14ac:dyDescent="0.25">
      <c r="B740" s="14"/>
      <c r="C740" s="15"/>
      <c r="D740" s="16"/>
      <c r="E740" s="16"/>
      <c r="F740" s="16"/>
      <c r="G740" s="16"/>
      <c r="H740" s="16"/>
    </row>
    <row r="741" spans="2:8" ht="12.5" x14ac:dyDescent="0.25">
      <c r="B741" s="14"/>
      <c r="C741" s="15"/>
      <c r="D741" s="16"/>
      <c r="E741" s="16"/>
      <c r="F741" s="16"/>
      <c r="G741" s="16"/>
      <c r="H741" s="16"/>
    </row>
    <row r="742" spans="2:8" ht="12.5" x14ac:dyDescent="0.25">
      <c r="B742" s="14"/>
      <c r="C742" s="15"/>
      <c r="D742" s="16"/>
      <c r="E742" s="16"/>
      <c r="F742" s="16"/>
      <c r="G742" s="16"/>
      <c r="H742" s="16"/>
    </row>
    <row r="743" spans="2:8" ht="12.5" x14ac:dyDescent="0.25">
      <c r="B743" s="14"/>
      <c r="C743" s="15"/>
      <c r="D743" s="16"/>
      <c r="E743" s="16"/>
      <c r="F743" s="16"/>
      <c r="G743" s="16"/>
      <c r="H743" s="16"/>
    </row>
    <row r="744" spans="2:8" ht="12.5" x14ac:dyDescent="0.25">
      <c r="B744" s="14"/>
      <c r="C744" s="15"/>
      <c r="D744" s="16"/>
      <c r="E744" s="16"/>
      <c r="F744" s="16"/>
      <c r="G744" s="16"/>
      <c r="H744" s="16"/>
    </row>
    <row r="745" spans="2:8" ht="12.5" x14ac:dyDescent="0.25">
      <c r="B745" s="14"/>
      <c r="C745" s="15"/>
      <c r="D745" s="16"/>
      <c r="E745" s="16"/>
      <c r="F745" s="16"/>
      <c r="G745" s="16"/>
      <c r="H745" s="16"/>
    </row>
    <row r="746" spans="2:8" ht="12.5" x14ac:dyDescent="0.25">
      <c r="B746" s="14"/>
      <c r="C746" s="15"/>
      <c r="D746" s="16"/>
      <c r="E746" s="16"/>
      <c r="F746" s="16"/>
      <c r="G746" s="16"/>
      <c r="H746" s="16"/>
    </row>
    <row r="747" spans="2:8" ht="12.5" x14ac:dyDescent="0.25">
      <c r="B747" s="14"/>
      <c r="C747" s="15"/>
      <c r="D747" s="16"/>
      <c r="E747" s="16"/>
      <c r="F747" s="16"/>
      <c r="G747" s="16"/>
      <c r="H747" s="16"/>
    </row>
    <row r="748" spans="2:8" ht="12.5" x14ac:dyDescent="0.25">
      <c r="B748" s="14"/>
      <c r="C748" s="15"/>
      <c r="D748" s="16"/>
      <c r="E748" s="16"/>
      <c r="F748" s="16"/>
      <c r="G748" s="16"/>
      <c r="H748" s="16"/>
    </row>
    <row r="749" spans="2:8" ht="12.5" x14ac:dyDescent="0.25">
      <c r="B749" s="14"/>
      <c r="C749" s="15"/>
      <c r="D749" s="16"/>
      <c r="E749" s="16"/>
      <c r="F749" s="16"/>
      <c r="G749" s="16"/>
      <c r="H749" s="16"/>
    </row>
    <row r="750" spans="2:8" ht="12.5" x14ac:dyDescent="0.25">
      <c r="B750" s="14"/>
      <c r="C750" s="15"/>
      <c r="D750" s="16"/>
      <c r="E750" s="16"/>
      <c r="F750" s="16"/>
      <c r="G750" s="16"/>
      <c r="H750" s="16"/>
    </row>
    <row r="751" spans="2:8" ht="12.5" x14ac:dyDescent="0.25">
      <c r="B751" s="14"/>
      <c r="C751" s="15"/>
      <c r="D751" s="16"/>
      <c r="E751" s="16"/>
      <c r="F751" s="16"/>
      <c r="G751" s="16"/>
      <c r="H751" s="16"/>
    </row>
    <row r="752" spans="2:8" ht="12.5" x14ac:dyDescent="0.25">
      <c r="B752" s="14"/>
      <c r="C752" s="15"/>
      <c r="D752" s="16"/>
      <c r="E752" s="16"/>
      <c r="F752" s="16"/>
      <c r="G752" s="16"/>
      <c r="H752" s="16"/>
    </row>
    <row r="753" spans="2:8" ht="12.5" x14ac:dyDescent="0.25">
      <c r="B753" s="14"/>
      <c r="C753" s="15"/>
      <c r="D753" s="16"/>
      <c r="E753" s="16"/>
      <c r="F753" s="16"/>
      <c r="G753" s="16"/>
      <c r="H753" s="16"/>
    </row>
    <row r="754" spans="2:8" ht="12.5" x14ac:dyDescent="0.25">
      <c r="B754" s="14"/>
      <c r="C754" s="15"/>
      <c r="D754" s="16"/>
      <c r="E754" s="16"/>
      <c r="F754" s="16"/>
      <c r="G754" s="16"/>
      <c r="H754" s="16"/>
    </row>
    <row r="755" spans="2:8" ht="12.5" x14ac:dyDescent="0.25">
      <c r="B755" s="14"/>
      <c r="C755" s="15"/>
      <c r="D755" s="16"/>
      <c r="E755" s="16"/>
      <c r="F755" s="16"/>
      <c r="G755" s="16"/>
      <c r="H755" s="16"/>
    </row>
    <row r="756" spans="2:8" ht="12.5" x14ac:dyDescent="0.25">
      <c r="B756" s="14"/>
      <c r="C756" s="15"/>
      <c r="D756" s="16"/>
      <c r="E756" s="16"/>
      <c r="F756" s="16"/>
      <c r="G756" s="16"/>
      <c r="H756" s="16"/>
    </row>
    <row r="757" spans="2:8" ht="12.5" x14ac:dyDescent="0.25">
      <c r="B757" s="14"/>
      <c r="C757" s="15"/>
      <c r="D757" s="16"/>
      <c r="E757" s="16"/>
      <c r="F757" s="16"/>
      <c r="G757" s="16"/>
      <c r="H757" s="16"/>
    </row>
    <row r="758" spans="2:8" ht="12.5" x14ac:dyDescent="0.25">
      <c r="B758" s="14"/>
      <c r="C758" s="15"/>
      <c r="D758" s="16"/>
      <c r="E758" s="16"/>
      <c r="F758" s="16"/>
      <c r="G758" s="16"/>
      <c r="H758" s="16"/>
    </row>
    <row r="759" spans="2:8" ht="12.5" x14ac:dyDescent="0.25">
      <c r="B759" s="14"/>
      <c r="C759" s="15"/>
      <c r="D759" s="16"/>
      <c r="E759" s="16"/>
      <c r="F759" s="16"/>
      <c r="G759" s="16"/>
      <c r="H759" s="16"/>
    </row>
    <row r="760" spans="2:8" ht="12.5" x14ac:dyDescent="0.25">
      <c r="B760" s="14"/>
      <c r="C760" s="15"/>
      <c r="D760" s="16"/>
      <c r="E760" s="16"/>
      <c r="F760" s="16"/>
      <c r="G760" s="16"/>
      <c r="H760" s="16"/>
    </row>
    <row r="761" spans="2:8" ht="12.5" x14ac:dyDescent="0.25">
      <c r="B761" s="14"/>
      <c r="C761" s="15"/>
      <c r="D761" s="16"/>
      <c r="E761" s="16"/>
      <c r="F761" s="16"/>
      <c r="G761" s="16"/>
      <c r="H761" s="16"/>
    </row>
    <row r="762" spans="2:8" ht="12.5" x14ac:dyDescent="0.25">
      <c r="B762" s="14"/>
      <c r="C762" s="15"/>
      <c r="D762" s="16"/>
      <c r="E762" s="16"/>
      <c r="F762" s="16"/>
      <c r="G762" s="16"/>
      <c r="H762" s="16"/>
    </row>
    <row r="763" spans="2:8" ht="12.5" x14ac:dyDescent="0.25">
      <c r="B763" s="14"/>
      <c r="C763" s="15"/>
      <c r="D763" s="16"/>
      <c r="E763" s="16"/>
      <c r="F763" s="16"/>
      <c r="G763" s="16"/>
      <c r="H763" s="16"/>
    </row>
    <row r="764" spans="2:8" ht="12.5" x14ac:dyDescent="0.25">
      <c r="B764" s="14"/>
      <c r="C764" s="15"/>
      <c r="D764" s="16"/>
      <c r="E764" s="16"/>
      <c r="F764" s="16"/>
      <c r="G764" s="16"/>
      <c r="H764" s="16"/>
    </row>
    <row r="765" spans="2:8" ht="12.5" x14ac:dyDescent="0.25">
      <c r="B765" s="14"/>
      <c r="C765" s="15"/>
      <c r="D765" s="16"/>
      <c r="E765" s="16"/>
      <c r="F765" s="16"/>
      <c r="G765" s="16"/>
      <c r="H765" s="16"/>
    </row>
    <row r="766" spans="2:8" ht="12.5" x14ac:dyDescent="0.25">
      <c r="B766" s="14"/>
      <c r="C766" s="15"/>
      <c r="D766" s="16"/>
      <c r="E766" s="16"/>
      <c r="F766" s="16"/>
      <c r="G766" s="16"/>
      <c r="H766" s="16"/>
    </row>
    <row r="767" spans="2:8" ht="12.5" x14ac:dyDescent="0.25">
      <c r="B767" s="14"/>
      <c r="C767" s="15"/>
      <c r="D767" s="16"/>
      <c r="E767" s="16"/>
      <c r="F767" s="16"/>
      <c r="G767" s="16"/>
      <c r="H767" s="16"/>
    </row>
    <row r="768" spans="2:8" ht="12.5" x14ac:dyDescent="0.25">
      <c r="B768" s="14"/>
      <c r="C768" s="15"/>
      <c r="D768" s="16"/>
      <c r="E768" s="16"/>
      <c r="F768" s="16"/>
      <c r="G768" s="16"/>
      <c r="H768" s="16"/>
    </row>
    <row r="769" spans="2:8" ht="12.5" x14ac:dyDescent="0.25">
      <c r="B769" s="14"/>
      <c r="C769" s="15"/>
      <c r="D769" s="16"/>
      <c r="E769" s="16"/>
      <c r="F769" s="16"/>
      <c r="G769" s="16"/>
      <c r="H769" s="16"/>
    </row>
    <row r="770" spans="2:8" ht="12.5" x14ac:dyDescent="0.25">
      <c r="B770" s="14"/>
      <c r="C770" s="15"/>
      <c r="D770" s="16"/>
      <c r="E770" s="16"/>
      <c r="F770" s="16"/>
      <c r="G770" s="16"/>
      <c r="H770" s="16"/>
    </row>
    <row r="771" spans="2:8" ht="12.5" x14ac:dyDescent="0.25">
      <c r="B771" s="14"/>
      <c r="C771" s="15"/>
      <c r="D771" s="16"/>
      <c r="E771" s="16"/>
      <c r="F771" s="16"/>
      <c r="G771" s="16"/>
      <c r="H771" s="16"/>
    </row>
    <row r="772" spans="2:8" ht="12.5" x14ac:dyDescent="0.25">
      <c r="B772" s="14"/>
      <c r="C772" s="15"/>
      <c r="D772" s="16"/>
      <c r="E772" s="16"/>
      <c r="F772" s="16"/>
      <c r="G772" s="16"/>
      <c r="H772" s="16"/>
    </row>
    <row r="773" spans="2:8" ht="12.5" x14ac:dyDescent="0.25">
      <c r="B773" s="14"/>
      <c r="C773" s="15"/>
      <c r="D773" s="16"/>
      <c r="E773" s="16"/>
      <c r="F773" s="16"/>
      <c r="G773" s="16"/>
      <c r="H773" s="16"/>
    </row>
    <row r="774" spans="2:8" ht="12.5" x14ac:dyDescent="0.25">
      <c r="B774" s="14"/>
      <c r="C774" s="15"/>
      <c r="D774" s="16"/>
      <c r="E774" s="16"/>
      <c r="F774" s="16"/>
      <c r="G774" s="16"/>
      <c r="H774" s="16"/>
    </row>
    <row r="775" spans="2:8" ht="12.5" x14ac:dyDescent="0.25">
      <c r="B775" s="14"/>
      <c r="C775" s="15"/>
      <c r="D775" s="16"/>
      <c r="E775" s="16"/>
      <c r="F775" s="16"/>
      <c r="G775" s="16"/>
      <c r="H775" s="16"/>
    </row>
    <row r="776" spans="2:8" ht="12.5" x14ac:dyDescent="0.25">
      <c r="B776" s="14"/>
      <c r="C776" s="15"/>
      <c r="D776" s="16"/>
      <c r="E776" s="16"/>
      <c r="F776" s="16"/>
      <c r="G776" s="16"/>
      <c r="H776" s="16"/>
    </row>
    <row r="777" spans="2:8" ht="12.5" x14ac:dyDescent="0.25">
      <c r="B777" s="14"/>
      <c r="C777" s="15"/>
      <c r="D777" s="16"/>
      <c r="E777" s="16"/>
      <c r="F777" s="16"/>
      <c r="G777" s="16"/>
      <c r="H777" s="16"/>
    </row>
    <row r="778" spans="2:8" ht="12.5" x14ac:dyDescent="0.25">
      <c r="B778" s="14"/>
      <c r="C778" s="15"/>
      <c r="D778" s="16"/>
      <c r="E778" s="16"/>
      <c r="F778" s="16"/>
      <c r="G778" s="16"/>
      <c r="H778" s="16"/>
    </row>
    <row r="779" spans="2:8" ht="12.5" x14ac:dyDescent="0.25">
      <c r="B779" s="14"/>
      <c r="C779" s="15"/>
      <c r="D779" s="16"/>
      <c r="E779" s="16"/>
      <c r="F779" s="16"/>
      <c r="G779" s="16"/>
      <c r="H779" s="16"/>
    </row>
    <row r="780" spans="2:8" ht="12.5" x14ac:dyDescent="0.25">
      <c r="B780" s="14"/>
      <c r="C780" s="15"/>
      <c r="D780" s="16"/>
      <c r="E780" s="16"/>
      <c r="F780" s="16"/>
      <c r="G780" s="16"/>
      <c r="H780" s="16"/>
    </row>
    <row r="781" spans="2:8" ht="12.5" x14ac:dyDescent="0.25">
      <c r="B781" s="14"/>
      <c r="C781" s="15"/>
      <c r="D781" s="16"/>
      <c r="E781" s="16"/>
      <c r="F781" s="16"/>
      <c r="G781" s="16"/>
      <c r="H781" s="16"/>
    </row>
    <row r="782" spans="2:8" ht="12.5" x14ac:dyDescent="0.25">
      <c r="B782" s="14"/>
      <c r="C782" s="15"/>
      <c r="D782" s="16"/>
      <c r="E782" s="16"/>
      <c r="F782" s="16"/>
      <c r="G782" s="16"/>
      <c r="H782" s="16"/>
    </row>
    <row r="783" spans="2:8" ht="12.5" x14ac:dyDescent="0.25">
      <c r="B783" s="14"/>
      <c r="C783" s="15"/>
      <c r="D783" s="16"/>
      <c r="E783" s="16"/>
      <c r="F783" s="16"/>
      <c r="G783" s="16"/>
      <c r="H783" s="16"/>
    </row>
    <row r="784" spans="2:8" ht="12.5" x14ac:dyDescent="0.25">
      <c r="B784" s="14"/>
      <c r="C784" s="15"/>
      <c r="D784" s="16"/>
      <c r="E784" s="16"/>
      <c r="F784" s="16"/>
      <c r="G784" s="16"/>
      <c r="H784" s="16"/>
    </row>
    <row r="785" spans="2:8" ht="12.5" x14ac:dyDescent="0.25">
      <c r="B785" s="14"/>
      <c r="C785" s="15"/>
      <c r="D785" s="16"/>
      <c r="E785" s="16"/>
      <c r="F785" s="16"/>
      <c r="G785" s="16"/>
      <c r="H785" s="16"/>
    </row>
    <row r="786" spans="2:8" ht="12.5" x14ac:dyDescent="0.25">
      <c r="B786" s="14"/>
      <c r="C786" s="15"/>
      <c r="D786" s="16"/>
      <c r="E786" s="16"/>
      <c r="F786" s="16"/>
      <c r="G786" s="16"/>
      <c r="H786" s="16"/>
    </row>
    <row r="787" spans="2:8" ht="12.5" x14ac:dyDescent="0.25">
      <c r="B787" s="14"/>
      <c r="C787" s="15"/>
      <c r="D787" s="16"/>
      <c r="E787" s="16"/>
      <c r="F787" s="16"/>
      <c r="G787" s="16"/>
      <c r="H787" s="16"/>
    </row>
    <row r="788" spans="2:8" ht="12.5" x14ac:dyDescent="0.25">
      <c r="B788" s="14"/>
      <c r="C788" s="15"/>
      <c r="D788" s="16"/>
      <c r="E788" s="16"/>
      <c r="F788" s="16"/>
      <c r="G788" s="16"/>
      <c r="H788" s="16"/>
    </row>
    <row r="789" spans="2:8" ht="12.5" x14ac:dyDescent="0.25">
      <c r="B789" s="14"/>
      <c r="C789" s="15"/>
      <c r="D789" s="16"/>
      <c r="E789" s="16"/>
      <c r="F789" s="16"/>
      <c r="G789" s="16"/>
      <c r="H789" s="16"/>
    </row>
    <row r="790" spans="2:8" ht="12.5" x14ac:dyDescent="0.25">
      <c r="B790" s="14"/>
      <c r="C790" s="15"/>
      <c r="D790" s="16"/>
      <c r="E790" s="16"/>
      <c r="F790" s="16"/>
      <c r="G790" s="16"/>
      <c r="H790" s="16"/>
    </row>
    <row r="791" spans="2:8" ht="12.5" x14ac:dyDescent="0.25">
      <c r="B791" s="14"/>
      <c r="C791" s="15"/>
      <c r="D791" s="16"/>
      <c r="E791" s="16"/>
      <c r="F791" s="16"/>
      <c r="G791" s="16"/>
      <c r="H791" s="16"/>
    </row>
    <row r="792" spans="2:8" ht="12.5" x14ac:dyDescent="0.25">
      <c r="B792" s="14"/>
      <c r="C792" s="15"/>
      <c r="D792" s="16"/>
      <c r="E792" s="16"/>
      <c r="F792" s="16"/>
      <c r="G792" s="16"/>
      <c r="H792" s="16"/>
    </row>
    <row r="793" spans="2:8" ht="12.5" x14ac:dyDescent="0.25">
      <c r="B793" s="14"/>
      <c r="C793" s="15"/>
      <c r="D793" s="16"/>
      <c r="E793" s="16"/>
      <c r="F793" s="16"/>
      <c r="G793" s="16"/>
      <c r="H793" s="16"/>
    </row>
    <row r="794" spans="2:8" ht="12.5" x14ac:dyDescent="0.25">
      <c r="B794" s="14"/>
      <c r="C794" s="15"/>
      <c r="D794" s="16"/>
      <c r="E794" s="16"/>
      <c r="F794" s="16"/>
      <c r="G794" s="16"/>
      <c r="H794" s="16"/>
    </row>
    <row r="795" spans="2:8" ht="12.5" x14ac:dyDescent="0.25">
      <c r="B795" s="14"/>
      <c r="C795" s="15"/>
      <c r="D795" s="16"/>
      <c r="E795" s="16"/>
      <c r="F795" s="16"/>
      <c r="G795" s="16"/>
      <c r="H795" s="16"/>
    </row>
    <row r="796" spans="2:8" ht="12.5" x14ac:dyDescent="0.25">
      <c r="B796" s="14"/>
      <c r="C796" s="15"/>
      <c r="D796" s="16"/>
      <c r="E796" s="16"/>
      <c r="F796" s="16"/>
      <c r="G796" s="16"/>
      <c r="H796" s="16"/>
    </row>
    <row r="797" spans="2:8" ht="12.5" x14ac:dyDescent="0.25">
      <c r="B797" s="14"/>
      <c r="C797" s="15"/>
      <c r="D797" s="16"/>
      <c r="E797" s="16"/>
      <c r="F797" s="16"/>
      <c r="G797" s="16"/>
      <c r="H797" s="16"/>
    </row>
    <row r="798" spans="2:8" ht="12.5" x14ac:dyDescent="0.25">
      <c r="B798" s="14"/>
      <c r="C798" s="15"/>
      <c r="D798" s="16"/>
      <c r="E798" s="16"/>
      <c r="F798" s="16"/>
      <c r="G798" s="16"/>
      <c r="H798" s="16"/>
    </row>
    <row r="799" spans="2:8" ht="12.5" x14ac:dyDescent="0.25">
      <c r="B799" s="14"/>
      <c r="C799" s="15"/>
      <c r="D799" s="16"/>
      <c r="E799" s="16"/>
      <c r="F799" s="16"/>
      <c r="G799" s="16"/>
      <c r="H799" s="16"/>
    </row>
    <row r="800" spans="2:8" ht="12.5" x14ac:dyDescent="0.25">
      <c r="B800" s="14"/>
      <c r="C800" s="15"/>
      <c r="D800" s="16"/>
      <c r="E800" s="16"/>
      <c r="F800" s="16"/>
      <c r="G800" s="16"/>
      <c r="H800" s="16"/>
    </row>
    <row r="801" spans="2:8" ht="12.5" x14ac:dyDescent="0.25">
      <c r="B801" s="14"/>
      <c r="C801" s="15"/>
      <c r="D801" s="16"/>
      <c r="E801" s="16"/>
      <c r="F801" s="16"/>
      <c r="G801" s="16"/>
      <c r="H801" s="16"/>
    </row>
    <row r="802" spans="2:8" ht="12.5" x14ac:dyDescent="0.25">
      <c r="B802" s="14"/>
      <c r="C802" s="15"/>
      <c r="D802" s="16"/>
      <c r="E802" s="16"/>
      <c r="F802" s="16"/>
      <c r="G802" s="16"/>
      <c r="H802" s="16"/>
    </row>
    <row r="803" spans="2:8" ht="12.5" x14ac:dyDescent="0.25">
      <c r="B803" s="14"/>
      <c r="C803" s="15"/>
      <c r="D803" s="16"/>
      <c r="E803" s="16"/>
      <c r="F803" s="16"/>
      <c r="G803" s="16"/>
      <c r="H803" s="16"/>
    </row>
    <row r="804" spans="2:8" ht="12.5" x14ac:dyDescent="0.25">
      <c r="B804" s="14"/>
      <c r="C804" s="15"/>
      <c r="D804" s="16"/>
      <c r="E804" s="16"/>
      <c r="F804" s="16"/>
      <c r="G804" s="16"/>
      <c r="H804" s="16"/>
    </row>
    <row r="805" spans="2:8" ht="12.5" x14ac:dyDescent="0.25">
      <c r="B805" s="14"/>
      <c r="C805" s="15"/>
      <c r="D805" s="16"/>
      <c r="E805" s="16"/>
      <c r="F805" s="16"/>
      <c r="G805" s="16"/>
      <c r="H805" s="16"/>
    </row>
    <row r="806" spans="2:8" ht="12.5" x14ac:dyDescent="0.25">
      <c r="B806" s="14"/>
      <c r="C806" s="15"/>
      <c r="D806" s="16"/>
      <c r="E806" s="16"/>
      <c r="F806" s="16"/>
      <c r="G806" s="16"/>
      <c r="H806" s="16"/>
    </row>
    <row r="807" spans="2:8" ht="12.5" x14ac:dyDescent="0.25">
      <c r="B807" s="14"/>
      <c r="C807" s="15"/>
      <c r="D807" s="16"/>
      <c r="E807" s="16"/>
      <c r="F807" s="16"/>
      <c r="G807" s="16"/>
      <c r="H807" s="16"/>
    </row>
    <row r="808" spans="2:8" ht="12.5" x14ac:dyDescent="0.25">
      <c r="B808" s="14"/>
      <c r="C808" s="15"/>
      <c r="D808" s="16"/>
      <c r="E808" s="16"/>
      <c r="F808" s="16"/>
      <c r="G808" s="16"/>
      <c r="H808" s="16"/>
    </row>
    <row r="809" spans="2:8" ht="12.5" x14ac:dyDescent="0.25">
      <c r="B809" s="14"/>
      <c r="C809" s="15"/>
      <c r="D809" s="16"/>
      <c r="E809" s="16"/>
      <c r="F809" s="16"/>
      <c r="G809" s="16"/>
      <c r="H809" s="16"/>
    </row>
    <row r="810" spans="2:8" ht="12.5" x14ac:dyDescent="0.25">
      <c r="B810" s="14"/>
      <c r="C810" s="15"/>
      <c r="D810" s="16"/>
      <c r="E810" s="16"/>
      <c r="F810" s="16"/>
      <c r="G810" s="16"/>
      <c r="H810" s="16"/>
    </row>
    <row r="811" spans="2:8" ht="12.5" x14ac:dyDescent="0.25">
      <c r="B811" s="14"/>
      <c r="C811" s="15"/>
      <c r="D811" s="16"/>
      <c r="E811" s="16"/>
      <c r="F811" s="16"/>
      <c r="G811" s="16"/>
      <c r="H811" s="16"/>
    </row>
    <row r="812" spans="2:8" ht="12.5" x14ac:dyDescent="0.25">
      <c r="B812" s="14"/>
      <c r="C812" s="15"/>
      <c r="D812" s="16"/>
      <c r="E812" s="16"/>
      <c r="F812" s="16"/>
      <c r="G812" s="16"/>
      <c r="H812" s="16"/>
    </row>
    <row r="813" spans="2:8" ht="12.5" x14ac:dyDescent="0.25">
      <c r="B813" s="14"/>
      <c r="C813" s="15"/>
      <c r="D813" s="16"/>
      <c r="E813" s="16"/>
      <c r="F813" s="16"/>
      <c r="G813" s="16"/>
      <c r="H813" s="16"/>
    </row>
    <row r="814" spans="2:8" ht="12.5" x14ac:dyDescent="0.25">
      <c r="B814" s="14"/>
      <c r="C814" s="15"/>
      <c r="D814" s="16"/>
      <c r="E814" s="16"/>
      <c r="F814" s="16"/>
      <c r="G814" s="16"/>
      <c r="H814" s="16"/>
    </row>
    <row r="815" spans="2:8" ht="12.5" x14ac:dyDescent="0.25">
      <c r="B815" s="14"/>
      <c r="C815" s="15"/>
      <c r="D815" s="16"/>
      <c r="E815" s="16"/>
      <c r="F815" s="16"/>
      <c r="G815" s="16"/>
      <c r="H815" s="16"/>
    </row>
    <row r="816" spans="2:8" ht="12.5" x14ac:dyDescent="0.25">
      <c r="B816" s="14"/>
      <c r="C816" s="15"/>
      <c r="D816" s="16"/>
      <c r="E816" s="16"/>
      <c r="F816" s="16"/>
      <c r="G816" s="16"/>
      <c r="H816" s="16"/>
    </row>
    <row r="817" spans="2:8" ht="12.5" x14ac:dyDescent="0.25">
      <c r="B817" s="14"/>
      <c r="C817" s="15"/>
      <c r="D817" s="16"/>
      <c r="E817" s="16"/>
      <c r="F817" s="16"/>
      <c r="G817" s="16"/>
      <c r="H817" s="16"/>
    </row>
    <row r="818" spans="2:8" ht="12.5" x14ac:dyDescent="0.25">
      <c r="B818" s="14"/>
      <c r="C818" s="15"/>
      <c r="D818" s="16"/>
      <c r="E818" s="16"/>
      <c r="F818" s="16"/>
      <c r="G818" s="16"/>
      <c r="H818" s="16"/>
    </row>
    <row r="819" spans="2:8" ht="12.5" x14ac:dyDescent="0.25">
      <c r="B819" s="14"/>
      <c r="C819" s="15"/>
      <c r="D819" s="16"/>
      <c r="E819" s="16"/>
      <c r="F819" s="16"/>
      <c r="G819" s="16"/>
      <c r="H819" s="16"/>
    </row>
    <row r="820" spans="2:8" ht="12.5" x14ac:dyDescent="0.25">
      <c r="B820" s="14"/>
      <c r="C820" s="15"/>
      <c r="D820" s="16"/>
      <c r="E820" s="16"/>
      <c r="F820" s="16"/>
      <c r="G820" s="16"/>
      <c r="H820" s="16"/>
    </row>
    <row r="821" spans="2:8" ht="12.5" x14ac:dyDescent="0.25">
      <c r="B821" s="14"/>
      <c r="C821" s="15"/>
      <c r="D821" s="16"/>
      <c r="E821" s="16"/>
      <c r="F821" s="16"/>
      <c r="G821" s="16"/>
      <c r="H821" s="16"/>
    </row>
    <row r="822" spans="2:8" ht="12.5" x14ac:dyDescent="0.25">
      <c r="B822" s="14"/>
      <c r="C822" s="15"/>
      <c r="D822" s="16"/>
      <c r="E822" s="16"/>
      <c r="F822" s="16"/>
      <c r="G822" s="16"/>
      <c r="H822" s="16"/>
    </row>
    <row r="823" spans="2:8" ht="12.5" x14ac:dyDescent="0.25">
      <c r="B823" s="14"/>
      <c r="C823" s="15"/>
      <c r="D823" s="16"/>
      <c r="E823" s="16"/>
      <c r="F823" s="16"/>
      <c r="G823" s="16"/>
      <c r="H823" s="16"/>
    </row>
    <row r="824" spans="2:8" ht="12.5" x14ac:dyDescent="0.25">
      <c r="B824" s="14"/>
      <c r="C824" s="15"/>
      <c r="D824" s="16"/>
      <c r="E824" s="16"/>
      <c r="F824" s="16"/>
      <c r="G824" s="16"/>
      <c r="H824" s="16"/>
    </row>
    <row r="825" spans="2:8" ht="12.5" x14ac:dyDescent="0.25">
      <c r="B825" s="14"/>
      <c r="C825" s="15"/>
      <c r="D825" s="16"/>
      <c r="E825" s="16"/>
      <c r="F825" s="16"/>
      <c r="G825" s="16"/>
      <c r="H825" s="16"/>
    </row>
    <row r="826" spans="2:8" ht="12.5" x14ac:dyDescent="0.25">
      <c r="B826" s="14"/>
      <c r="C826" s="15"/>
      <c r="D826" s="16"/>
      <c r="E826" s="16"/>
      <c r="F826" s="16"/>
      <c r="G826" s="16"/>
      <c r="H826" s="16"/>
    </row>
    <row r="827" spans="2:8" ht="12.5" x14ac:dyDescent="0.25">
      <c r="B827" s="14"/>
      <c r="C827" s="15"/>
      <c r="D827" s="16"/>
      <c r="E827" s="16"/>
      <c r="F827" s="16"/>
      <c r="G827" s="16"/>
      <c r="H827" s="16"/>
    </row>
    <row r="828" spans="2:8" ht="12.5" x14ac:dyDescent="0.25">
      <c r="B828" s="14"/>
      <c r="C828" s="15"/>
      <c r="D828" s="16"/>
      <c r="E828" s="16"/>
      <c r="F828" s="16"/>
      <c r="G828" s="16"/>
      <c r="H828" s="16"/>
    </row>
    <row r="829" spans="2:8" ht="12.5" x14ac:dyDescent="0.25">
      <c r="B829" s="14"/>
      <c r="C829" s="15"/>
      <c r="D829" s="16"/>
      <c r="E829" s="16"/>
      <c r="F829" s="16"/>
      <c r="G829" s="16"/>
      <c r="H829" s="16"/>
    </row>
    <row r="830" spans="2:8" ht="12.5" x14ac:dyDescent="0.25">
      <c r="B830" s="14"/>
      <c r="C830" s="15"/>
      <c r="D830" s="16"/>
      <c r="E830" s="16"/>
      <c r="F830" s="16"/>
      <c r="G830" s="16"/>
      <c r="H830" s="16"/>
    </row>
    <row r="831" spans="2:8" ht="12.5" x14ac:dyDescent="0.25">
      <c r="B831" s="14"/>
      <c r="C831" s="15"/>
      <c r="D831" s="16"/>
      <c r="E831" s="16"/>
      <c r="F831" s="16"/>
      <c r="G831" s="16"/>
      <c r="H831" s="16"/>
    </row>
    <row r="832" spans="2:8" ht="12.5" x14ac:dyDescent="0.25">
      <c r="B832" s="14"/>
      <c r="C832" s="15"/>
      <c r="D832" s="16"/>
      <c r="E832" s="16"/>
      <c r="F832" s="16"/>
      <c r="G832" s="16"/>
      <c r="H832" s="16"/>
    </row>
    <row r="833" spans="2:8" ht="12.5" x14ac:dyDescent="0.25">
      <c r="B833" s="14"/>
      <c r="C833" s="15"/>
      <c r="D833" s="16"/>
      <c r="E833" s="16"/>
      <c r="F833" s="16"/>
      <c r="G833" s="16"/>
      <c r="H833" s="16"/>
    </row>
    <row r="834" spans="2:8" ht="12.5" x14ac:dyDescent="0.25">
      <c r="B834" s="14"/>
      <c r="C834" s="15"/>
      <c r="D834" s="16"/>
      <c r="E834" s="16"/>
      <c r="F834" s="16"/>
      <c r="G834" s="16"/>
      <c r="H834" s="16"/>
    </row>
    <row r="835" spans="2:8" ht="12.5" x14ac:dyDescent="0.25">
      <c r="B835" s="14"/>
      <c r="C835" s="15"/>
      <c r="D835" s="16"/>
      <c r="E835" s="16"/>
      <c r="F835" s="16"/>
      <c r="G835" s="16"/>
      <c r="H835" s="16"/>
    </row>
    <row r="836" spans="2:8" ht="12.5" x14ac:dyDescent="0.25">
      <c r="B836" s="14"/>
      <c r="C836" s="15"/>
      <c r="D836" s="16"/>
      <c r="E836" s="16"/>
      <c r="F836" s="16"/>
      <c r="G836" s="16"/>
      <c r="H836" s="16"/>
    </row>
    <row r="837" spans="2:8" ht="12.5" x14ac:dyDescent="0.25">
      <c r="B837" s="14"/>
      <c r="C837" s="15"/>
      <c r="D837" s="16"/>
      <c r="E837" s="16"/>
      <c r="F837" s="16"/>
      <c r="G837" s="16"/>
      <c r="H837" s="16"/>
    </row>
    <row r="838" spans="2:8" ht="12.5" x14ac:dyDescent="0.25">
      <c r="B838" s="14"/>
      <c r="C838" s="15"/>
      <c r="D838" s="16"/>
      <c r="E838" s="16"/>
      <c r="F838" s="16"/>
      <c r="G838" s="16"/>
      <c r="H838" s="16"/>
    </row>
    <row r="839" spans="2:8" ht="12.5" x14ac:dyDescent="0.25">
      <c r="B839" s="14"/>
      <c r="C839" s="15"/>
      <c r="D839" s="16"/>
      <c r="E839" s="16"/>
      <c r="F839" s="16"/>
      <c r="G839" s="16"/>
      <c r="H839" s="16"/>
    </row>
    <row r="840" spans="2:8" ht="12.5" x14ac:dyDescent="0.25">
      <c r="B840" s="14"/>
      <c r="C840" s="15"/>
      <c r="D840" s="16"/>
      <c r="E840" s="16"/>
      <c r="F840" s="16"/>
      <c r="G840" s="16"/>
      <c r="H840" s="16"/>
    </row>
    <row r="841" spans="2:8" ht="12.5" x14ac:dyDescent="0.25">
      <c r="B841" s="14"/>
      <c r="C841" s="15"/>
      <c r="D841" s="16"/>
      <c r="E841" s="16"/>
      <c r="F841" s="16"/>
      <c r="G841" s="16"/>
      <c r="H841" s="16"/>
    </row>
    <row r="842" spans="2:8" ht="12.5" x14ac:dyDescent="0.25">
      <c r="B842" s="14"/>
      <c r="C842" s="15"/>
      <c r="D842" s="16"/>
      <c r="E842" s="16"/>
      <c r="F842" s="16"/>
      <c r="G842" s="16"/>
      <c r="H842" s="16"/>
    </row>
    <row r="843" spans="2:8" ht="12.5" x14ac:dyDescent="0.25">
      <c r="B843" s="14"/>
      <c r="C843" s="15"/>
      <c r="D843" s="16"/>
      <c r="E843" s="16"/>
      <c r="F843" s="16"/>
      <c r="G843" s="16"/>
      <c r="H843" s="16"/>
    </row>
    <row r="844" spans="2:8" ht="12.5" x14ac:dyDescent="0.25">
      <c r="B844" s="14"/>
      <c r="C844" s="15"/>
      <c r="D844" s="16"/>
      <c r="E844" s="16"/>
      <c r="F844" s="16"/>
      <c r="G844" s="16"/>
      <c r="H844" s="16"/>
    </row>
    <row r="845" spans="2:8" ht="12.5" x14ac:dyDescent="0.25">
      <c r="B845" s="14"/>
      <c r="C845" s="15"/>
      <c r="D845" s="16"/>
      <c r="E845" s="16"/>
      <c r="F845" s="16"/>
      <c r="G845" s="16"/>
      <c r="H845" s="16"/>
    </row>
    <row r="846" spans="2:8" ht="12.5" x14ac:dyDescent="0.25">
      <c r="B846" s="14"/>
      <c r="C846" s="15"/>
      <c r="D846" s="16"/>
      <c r="E846" s="16"/>
      <c r="F846" s="16"/>
      <c r="G846" s="16"/>
      <c r="H846" s="16"/>
    </row>
    <row r="847" spans="2:8" ht="12.5" x14ac:dyDescent="0.25">
      <c r="B847" s="14"/>
      <c r="C847" s="15"/>
      <c r="D847" s="16"/>
      <c r="E847" s="16"/>
      <c r="F847" s="16"/>
      <c r="G847" s="16"/>
      <c r="H847" s="16"/>
    </row>
    <row r="848" spans="2:8" ht="12.5" x14ac:dyDescent="0.25">
      <c r="B848" s="14"/>
      <c r="C848" s="15"/>
      <c r="D848" s="16"/>
      <c r="E848" s="16"/>
      <c r="F848" s="16"/>
      <c r="G848" s="16"/>
      <c r="H848" s="16"/>
    </row>
    <row r="849" spans="2:8" ht="12.5" x14ac:dyDescent="0.25">
      <c r="B849" s="14"/>
      <c r="C849" s="15"/>
      <c r="D849" s="16"/>
      <c r="E849" s="16"/>
      <c r="F849" s="16"/>
      <c r="G849" s="16"/>
      <c r="H849" s="16"/>
    </row>
    <row r="850" spans="2:8" ht="12.5" x14ac:dyDescent="0.25">
      <c r="B850" s="14"/>
      <c r="C850" s="15"/>
      <c r="D850" s="16"/>
      <c r="E850" s="16"/>
      <c r="F850" s="16"/>
      <c r="G850" s="16"/>
      <c r="H850" s="16"/>
    </row>
    <row r="851" spans="2:8" ht="12.5" x14ac:dyDescent="0.25">
      <c r="B851" s="14"/>
      <c r="C851" s="15"/>
      <c r="D851" s="16"/>
      <c r="E851" s="16"/>
      <c r="F851" s="16"/>
      <c r="G851" s="16"/>
      <c r="H851" s="16"/>
    </row>
    <row r="852" spans="2:8" ht="12.5" x14ac:dyDescent="0.25">
      <c r="B852" s="14"/>
      <c r="C852" s="15"/>
      <c r="D852" s="16"/>
      <c r="E852" s="16"/>
      <c r="F852" s="16"/>
      <c r="G852" s="16"/>
      <c r="H852" s="16"/>
    </row>
    <row r="853" spans="2:8" ht="12.5" x14ac:dyDescent="0.25">
      <c r="B853" s="14"/>
      <c r="C853" s="15"/>
      <c r="D853" s="16"/>
      <c r="E853" s="16"/>
      <c r="F853" s="16"/>
      <c r="G853" s="16"/>
      <c r="H853" s="16"/>
    </row>
    <row r="854" spans="2:8" ht="12.5" x14ac:dyDescent="0.25">
      <c r="B854" s="14"/>
      <c r="C854" s="15"/>
      <c r="D854" s="16"/>
      <c r="E854" s="16"/>
      <c r="F854" s="16"/>
      <c r="G854" s="16"/>
      <c r="H854" s="16"/>
    </row>
    <row r="855" spans="2:8" ht="12.5" x14ac:dyDescent="0.25">
      <c r="B855" s="14"/>
      <c r="C855" s="15"/>
      <c r="D855" s="16"/>
      <c r="E855" s="16"/>
      <c r="F855" s="16"/>
      <c r="G855" s="16"/>
      <c r="H855" s="16"/>
    </row>
    <row r="856" spans="2:8" ht="12.5" x14ac:dyDescent="0.25">
      <c r="B856" s="14"/>
      <c r="C856" s="15"/>
      <c r="D856" s="16"/>
      <c r="E856" s="16"/>
      <c r="F856" s="16"/>
      <c r="G856" s="16"/>
      <c r="H856" s="16"/>
    </row>
    <row r="857" spans="2:8" ht="12.5" x14ac:dyDescent="0.25">
      <c r="B857" s="14"/>
      <c r="C857" s="15"/>
      <c r="D857" s="16"/>
      <c r="E857" s="16"/>
      <c r="F857" s="16"/>
      <c r="G857" s="16"/>
      <c r="H857" s="16"/>
    </row>
    <row r="858" spans="2:8" ht="12.5" x14ac:dyDescent="0.25">
      <c r="B858" s="14"/>
      <c r="C858" s="15"/>
      <c r="D858" s="16"/>
      <c r="E858" s="16"/>
      <c r="F858" s="16"/>
      <c r="G858" s="16"/>
      <c r="H858" s="16"/>
    </row>
    <row r="859" spans="2:8" ht="12.5" x14ac:dyDescent="0.25">
      <c r="B859" s="14"/>
      <c r="C859" s="15"/>
      <c r="D859" s="16"/>
      <c r="E859" s="16"/>
      <c r="F859" s="16"/>
      <c r="G859" s="16"/>
      <c r="H859" s="16"/>
    </row>
    <row r="860" spans="2:8" ht="12.5" x14ac:dyDescent="0.25">
      <c r="B860" s="14"/>
      <c r="C860" s="15"/>
      <c r="D860" s="16"/>
      <c r="E860" s="16"/>
      <c r="F860" s="16"/>
      <c r="G860" s="16"/>
      <c r="H860" s="16"/>
    </row>
    <row r="861" spans="2:8" ht="12.5" x14ac:dyDescent="0.25">
      <c r="B861" s="14"/>
      <c r="C861" s="15"/>
      <c r="D861" s="16"/>
      <c r="E861" s="16"/>
      <c r="F861" s="16"/>
      <c r="G861" s="16"/>
      <c r="H861" s="16"/>
    </row>
    <row r="862" spans="2:8" ht="12.5" x14ac:dyDescent="0.25">
      <c r="B862" s="14"/>
      <c r="C862" s="15"/>
      <c r="D862" s="16"/>
      <c r="E862" s="16"/>
      <c r="F862" s="16"/>
      <c r="G862" s="16"/>
      <c r="H862" s="16"/>
    </row>
    <row r="863" spans="2:8" ht="12.5" x14ac:dyDescent="0.25">
      <c r="B863" s="14"/>
      <c r="C863" s="15"/>
      <c r="D863" s="16"/>
      <c r="E863" s="16"/>
      <c r="F863" s="16"/>
      <c r="G863" s="16"/>
      <c r="H863" s="16"/>
    </row>
    <row r="864" spans="2:8" ht="12.5" x14ac:dyDescent="0.25">
      <c r="B864" s="14"/>
      <c r="C864" s="15"/>
      <c r="D864" s="16"/>
      <c r="E864" s="16"/>
      <c r="F864" s="16"/>
      <c r="G864" s="16"/>
      <c r="H864" s="16"/>
    </row>
    <row r="865" spans="2:8" ht="12.5" x14ac:dyDescent="0.25">
      <c r="B865" s="14"/>
      <c r="C865" s="15"/>
      <c r="D865" s="16"/>
      <c r="E865" s="16"/>
      <c r="F865" s="16"/>
      <c r="G865" s="16"/>
      <c r="H865" s="16"/>
    </row>
    <row r="866" spans="2:8" ht="12.5" x14ac:dyDescent="0.25">
      <c r="B866" s="14"/>
      <c r="C866" s="15"/>
      <c r="D866" s="16"/>
      <c r="E866" s="16"/>
      <c r="F866" s="16"/>
      <c r="G866" s="16"/>
      <c r="H866" s="16"/>
    </row>
    <row r="867" spans="2:8" ht="12.5" x14ac:dyDescent="0.25">
      <c r="B867" s="14"/>
      <c r="C867" s="15"/>
      <c r="D867" s="16"/>
      <c r="E867" s="16"/>
      <c r="F867" s="16"/>
      <c r="G867" s="16"/>
      <c r="H867" s="16"/>
    </row>
    <row r="868" spans="2:8" ht="12.5" x14ac:dyDescent="0.25">
      <c r="B868" s="14"/>
      <c r="C868" s="15"/>
      <c r="D868" s="16"/>
      <c r="E868" s="16"/>
      <c r="F868" s="16"/>
      <c r="G868" s="16"/>
      <c r="H868" s="16"/>
    </row>
    <row r="869" spans="2:8" ht="12.5" x14ac:dyDescent="0.25">
      <c r="B869" s="14"/>
      <c r="C869" s="15"/>
      <c r="D869" s="16"/>
      <c r="E869" s="16"/>
      <c r="F869" s="16"/>
      <c r="G869" s="16"/>
      <c r="H869" s="16"/>
    </row>
    <row r="870" spans="2:8" ht="12.5" x14ac:dyDescent="0.25">
      <c r="B870" s="14"/>
      <c r="C870" s="15"/>
      <c r="D870" s="16"/>
      <c r="E870" s="16"/>
      <c r="F870" s="16"/>
      <c r="G870" s="16"/>
      <c r="H870" s="16"/>
    </row>
    <row r="871" spans="2:8" ht="12.5" x14ac:dyDescent="0.25">
      <c r="B871" s="14"/>
      <c r="C871" s="15"/>
      <c r="D871" s="16"/>
      <c r="E871" s="16"/>
      <c r="F871" s="16"/>
      <c r="G871" s="16"/>
      <c r="H871" s="16"/>
    </row>
    <row r="872" spans="2:8" ht="12.5" x14ac:dyDescent="0.25">
      <c r="B872" s="14"/>
      <c r="C872" s="15"/>
      <c r="D872" s="16"/>
      <c r="E872" s="16"/>
      <c r="F872" s="16"/>
      <c r="G872" s="16"/>
      <c r="H872" s="16"/>
    </row>
    <row r="873" spans="2:8" ht="12.5" x14ac:dyDescent="0.25">
      <c r="B873" s="14"/>
      <c r="C873" s="15"/>
      <c r="D873" s="16"/>
      <c r="E873" s="16"/>
      <c r="F873" s="16"/>
      <c r="G873" s="16"/>
      <c r="H873" s="16"/>
    </row>
    <row r="874" spans="2:8" ht="12.5" x14ac:dyDescent="0.25">
      <c r="B874" s="14"/>
      <c r="C874" s="15"/>
      <c r="D874" s="16"/>
      <c r="E874" s="16"/>
      <c r="F874" s="16"/>
      <c r="G874" s="16"/>
      <c r="H874" s="16"/>
    </row>
    <row r="875" spans="2:8" ht="12.5" x14ac:dyDescent="0.25">
      <c r="B875" s="14"/>
      <c r="C875" s="15"/>
      <c r="D875" s="16"/>
      <c r="E875" s="16"/>
      <c r="F875" s="16"/>
      <c r="G875" s="16"/>
      <c r="H875" s="16"/>
    </row>
    <row r="876" spans="2:8" ht="12.5" x14ac:dyDescent="0.25">
      <c r="B876" s="14"/>
      <c r="C876" s="15"/>
      <c r="D876" s="16"/>
      <c r="E876" s="16"/>
      <c r="F876" s="16"/>
      <c r="G876" s="16"/>
      <c r="H876" s="16"/>
    </row>
    <row r="877" spans="2:8" ht="12.5" x14ac:dyDescent="0.25">
      <c r="B877" s="14"/>
      <c r="C877" s="15"/>
      <c r="D877" s="16"/>
      <c r="E877" s="16"/>
      <c r="F877" s="16"/>
      <c r="G877" s="16"/>
      <c r="H877" s="16"/>
    </row>
    <row r="878" spans="2:8" ht="12.5" x14ac:dyDescent="0.25">
      <c r="B878" s="14"/>
      <c r="C878" s="15"/>
      <c r="D878" s="16"/>
      <c r="E878" s="16"/>
      <c r="F878" s="16"/>
      <c r="G878" s="16"/>
      <c r="H878" s="16"/>
    </row>
    <row r="879" spans="2:8" ht="12.5" x14ac:dyDescent="0.25">
      <c r="B879" s="14"/>
      <c r="C879" s="15"/>
      <c r="D879" s="16"/>
      <c r="E879" s="16"/>
      <c r="F879" s="16"/>
      <c r="G879" s="16"/>
      <c r="H879" s="16"/>
    </row>
    <row r="880" spans="2:8" ht="12.5" x14ac:dyDescent="0.25">
      <c r="B880" s="14"/>
      <c r="C880" s="15"/>
      <c r="D880" s="16"/>
      <c r="E880" s="16"/>
      <c r="F880" s="16"/>
      <c r="G880" s="16"/>
      <c r="H880" s="16"/>
    </row>
    <row r="881" spans="2:8" ht="12.5" x14ac:dyDescent="0.25">
      <c r="B881" s="14"/>
      <c r="C881" s="15"/>
      <c r="D881" s="16"/>
      <c r="E881" s="16"/>
      <c r="F881" s="16"/>
      <c r="G881" s="16"/>
      <c r="H881" s="16"/>
    </row>
    <row r="882" spans="2:8" ht="12.5" x14ac:dyDescent="0.25">
      <c r="B882" s="14"/>
      <c r="C882" s="15"/>
      <c r="D882" s="16"/>
      <c r="E882" s="16"/>
      <c r="F882" s="16"/>
      <c r="G882" s="16"/>
      <c r="H882" s="16"/>
    </row>
    <row r="883" spans="2:8" ht="12.5" x14ac:dyDescent="0.25">
      <c r="B883" s="14"/>
      <c r="C883" s="15"/>
      <c r="D883" s="16"/>
      <c r="E883" s="16"/>
      <c r="F883" s="16"/>
      <c r="G883" s="16"/>
      <c r="H883" s="16"/>
    </row>
    <row r="884" spans="2:8" ht="12.5" x14ac:dyDescent="0.25">
      <c r="B884" s="14"/>
      <c r="C884" s="15"/>
      <c r="D884" s="16"/>
      <c r="E884" s="16"/>
      <c r="F884" s="16"/>
      <c r="G884" s="16"/>
      <c r="H884" s="16"/>
    </row>
    <row r="885" spans="2:8" ht="12.5" x14ac:dyDescent="0.25">
      <c r="B885" s="14"/>
      <c r="C885" s="15"/>
      <c r="D885" s="16"/>
      <c r="E885" s="16"/>
      <c r="F885" s="16"/>
      <c r="G885" s="16"/>
      <c r="H885" s="16"/>
    </row>
    <row r="886" spans="2:8" ht="12.5" x14ac:dyDescent="0.25">
      <c r="B886" s="14"/>
      <c r="C886" s="15"/>
      <c r="D886" s="16"/>
      <c r="E886" s="16"/>
      <c r="F886" s="16"/>
      <c r="G886" s="16"/>
      <c r="H886" s="16"/>
    </row>
    <row r="887" spans="2:8" ht="12.5" x14ac:dyDescent="0.25">
      <c r="B887" s="14"/>
      <c r="C887" s="15"/>
      <c r="D887" s="16"/>
      <c r="E887" s="16"/>
      <c r="F887" s="16"/>
      <c r="G887" s="16"/>
      <c r="H887" s="16"/>
    </row>
    <row r="888" spans="2:8" ht="12.5" x14ac:dyDescent="0.25">
      <c r="B888" s="14"/>
      <c r="C888" s="15"/>
      <c r="D888" s="16"/>
      <c r="E888" s="16"/>
      <c r="F888" s="16"/>
      <c r="G888" s="16"/>
      <c r="H888" s="16"/>
    </row>
    <row r="889" spans="2:8" ht="12.5" x14ac:dyDescent="0.25">
      <c r="B889" s="14"/>
      <c r="C889" s="15"/>
      <c r="D889" s="16"/>
      <c r="E889" s="16"/>
      <c r="F889" s="16"/>
      <c r="G889" s="16"/>
      <c r="H889" s="16"/>
    </row>
    <row r="890" spans="2:8" ht="12.5" x14ac:dyDescent="0.25">
      <c r="B890" s="14"/>
      <c r="C890" s="15"/>
      <c r="D890" s="16"/>
      <c r="E890" s="16"/>
      <c r="F890" s="16"/>
      <c r="G890" s="16"/>
      <c r="H890" s="16"/>
    </row>
    <row r="891" spans="2:8" ht="12.5" x14ac:dyDescent="0.25">
      <c r="B891" s="14"/>
      <c r="C891" s="15"/>
      <c r="D891" s="16"/>
      <c r="E891" s="16"/>
      <c r="F891" s="16"/>
      <c r="G891" s="16"/>
      <c r="H891" s="16"/>
    </row>
    <row r="892" spans="2:8" ht="12.5" x14ac:dyDescent="0.25">
      <c r="B892" s="14"/>
      <c r="C892" s="15"/>
      <c r="D892" s="16"/>
      <c r="E892" s="16"/>
      <c r="F892" s="16"/>
      <c r="G892" s="16"/>
      <c r="H892" s="16"/>
    </row>
    <row r="893" spans="2:8" ht="12.5" x14ac:dyDescent="0.25">
      <c r="B893" s="14"/>
      <c r="C893" s="15"/>
      <c r="D893" s="16"/>
      <c r="E893" s="16"/>
      <c r="F893" s="16"/>
      <c r="G893" s="16"/>
      <c r="H893" s="16"/>
    </row>
    <row r="894" spans="2:8" ht="12.5" x14ac:dyDescent="0.25">
      <c r="B894" s="14"/>
      <c r="C894" s="15"/>
      <c r="D894" s="16"/>
      <c r="E894" s="16"/>
      <c r="F894" s="16"/>
      <c r="G894" s="16"/>
      <c r="H894" s="16"/>
    </row>
    <row r="895" spans="2:8" ht="12.5" x14ac:dyDescent="0.25">
      <c r="B895" s="14"/>
      <c r="C895" s="15"/>
      <c r="D895" s="16"/>
      <c r="E895" s="16"/>
      <c r="F895" s="16"/>
      <c r="G895" s="16"/>
      <c r="H895" s="16"/>
    </row>
    <row r="896" spans="2:8" ht="12.5" x14ac:dyDescent="0.25">
      <c r="B896" s="14"/>
      <c r="C896" s="15"/>
      <c r="D896" s="16"/>
      <c r="E896" s="16"/>
      <c r="F896" s="16"/>
      <c r="G896" s="16"/>
      <c r="H896" s="16"/>
    </row>
    <row r="897" spans="2:8" ht="12.5" x14ac:dyDescent="0.25">
      <c r="B897" s="14"/>
      <c r="C897" s="15"/>
      <c r="D897" s="16"/>
      <c r="E897" s="16"/>
      <c r="F897" s="16"/>
      <c r="G897" s="16"/>
      <c r="H897" s="16"/>
    </row>
    <row r="898" spans="2:8" ht="12.5" x14ac:dyDescent="0.25">
      <c r="B898" s="14"/>
      <c r="C898" s="15"/>
      <c r="D898" s="16"/>
      <c r="E898" s="16"/>
      <c r="F898" s="16"/>
      <c r="G898" s="16"/>
      <c r="H898" s="16"/>
    </row>
    <row r="899" spans="2:8" ht="12.5" x14ac:dyDescent="0.25">
      <c r="B899" s="14"/>
      <c r="C899" s="15"/>
      <c r="D899" s="16"/>
      <c r="E899" s="16"/>
      <c r="F899" s="16"/>
      <c r="G899" s="16"/>
      <c r="H899" s="16"/>
    </row>
    <row r="900" spans="2:8" ht="12.5" x14ac:dyDescent="0.25">
      <c r="B900" s="14"/>
      <c r="C900" s="15"/>
      <c r="D900" s="16"/>
      <c r="E900" s="16"/>
      <c r="F900" s="16"/>
      <c r="G900" s="16"/>
      <c r="H900" s="16"/>
    </row>
    <row r="901" spans="2:8" ht="12.5" x14ac:dyDescent="0.25">
      <c r="B901" s="14"/>
      <c r="C901" s="15"/>
      <c r="D901" s="16"/>
      <c r="E901" s="16"/>
      <c r="F901" s="16"/>
      <c r="G901" s="16"/>
      <c r="H901" s="16"/>
    </row>
    <row r="902" spans="2:8" ht="12.5" x14ac:dyDescent="0.25">
      <c r="B902" s="14"/>
      <c r="C902" s="15"/>
      <c r="D902" s="16"/>
      <c r="E902" s="16"/>
      <c r="F902" s="16"/>
      <c r="G902" s="16"/>
      <c r="H902" s="16"/>
    </row>
    <row r="903" spans="2:8" ht="12.5" x14ac:dyDescent="0.25">
      <c r="B903" s="14"/>
      <c r="C903" s="15"/>
      <c r="D903" s="16"/>
      <c r="E903" s="16"/>
      <c r="F903" s="16"/>
      <c r="G903" s="16"/>
      <c r="H903" s="16"/>
    </row>
    <row r="904" spans="2:8" ht="12.5" x14ac:dyDescent="0.25">
      <c r="B904" s="14"/>
      <c r="C904" s="15"/>
      <c r="D904" s="16"/>
      <c r="E904" s="16"/>
      <c r="F904" s="16"/>
      <c r="G904" s="16"/>
      <c r="H904" s="16"/>
    </row>
    <row r="905" spans="2:8" ht="12.5" x14ac:dyDescent="0.25">
      <c r="B905" s="14"/>
      <c r="C905" s="15"/>
      <c r="D905" s="16"/>
      <c r="E905" s="16"/>
      <c r="F905" s="16"/>
      <c r="G905" s="16"/>
      <c r="H905" s="16"/>
    </row>
    <row r="906" spans="2:8" ht="12.5" x14ac:dyDescent="0.25">
      <c r="B906" s="14"/>
      <c r="C906" s="15"/>
      <c r="D906" s="16"/>
      <c r="E906" s="16"/>
      <c r="F906" s="16"/>
      <c r="G906" s="16"/>
      <c r="H906" s="16"/>
    </row>
    <row r="907" spans="2:8" ht="12.5" x14ac:dyDescent="0.25">
      <c r="B907" s="14"/>
      <c r="C907" s="15"/>
      <c r="D907" s="16"/>
      <c r="E907" s="16"/>
      <c r="F907" s="16"/>
      <c r="G907" s="16"/>
      <c r="H907" s="16"/>
    </row>
    <row r="908" spans="2:8" ht="12.5" x14ac:dyDescent="0.25">
      <c r="B908" s="14"/>
      <c r="C908" s="15"/>
      <c r="D908" s="16"/>
      <c r="E908" s="16"/>
      <c r="F908" s="16"/>
      <c r="G908" s="16"/>
      <c r="H908" s="16"/>
    </row>
    <row r="909" spans="2:8" ht="12.5" x14ac:dyDescent="0.25">
      <c r="B909" s="14"/>
      <c r="C909" s="15"/>
      <c r="D909" s="16"/>
      <c r="E909" s="16"/>
      <c r="F909" s="16"/>
      <c r="G909" s="16"/>
      <c r="H909" s="16"/>
    </row>
    <row r="910" spans="2:8" ht="12.5" x14ac:dyDescent="0.25">
      <c r="B910" s="14"/>
      <c r="C910" s="15"/>
      <c r="D910" s="16"/>
      <c r="E910" s="16"/>
      <c r="F910" s="16"/>
      <c r="G910" s="16"/>
      <c r="H910" s="16"/>
    </row>
    <row r="911" spans="2:8" ht="12.5" x14ac:dyDescent="0.25">
      <c r="B911" s="14"/>
      <c r="C911" s="15"/>
      <c r="D911" s="16"/>
      <c r="E911" s="16"/>
      <c r="F911" s="16"/>
      <c r="G911" s="16"/>
      <c r="H911" s="16"/>
    </row>
    <row r="912" spans="2:8" ht="12.5" x14ac:dyDescent="0.25">
      <c r="B912" s="14"/>
      <c r="C912" s="15"/>
      <c r="D912" s="16"/>
      <c r="E912" s="16"/>
      <c r="F912" s="16"/>
      <c r="G912" s="16"/>
      <c r="H912" s="16"/>
    </row>
    <row r="913" spans="2:8" ht="12.5" x14ac:dyDescent="0.25">
      <c r="B913" s="14"/>
      <c r="C913" s="15"/>
      <c r="D913" s="16"/>
      <c r="E913" s="16"/>
      <c r="F913" s="16"/>
      <c r="G913" s="16"/>
      <c r="H913" s="16"/>
    </row>
    <row r="914" spans="2:8" ht="12.5" x14ac:dyDescent="0.25">
      <c r="B914" s="14"/>
      <c r="C914" s="15"/>
      <c r="D914" s="16"/>
      <c r="E914" s="16"/>
      <c r="F914" s="16"/>
      <c r="G914" s="16"/>
      <c r="H914" s="16"/>
    </row>
    <row r="915" spans="2:8" ht="12.5" x14ac:dyDescent="0.25">
      <c r="B915" s="14"/>
      <c r="C915" s="15"/>
      <c r="D915" s="16"/>
      <c r="E915" s="16"/>
      <c r="F915" s="16"/>
      <c r="G915" s="16"/>
      <c r="H915" s="16"/>
    </row>
    <row r="916" spans="2:8" ht="12.5" x14ac:dyDescent="0.25">
      <c r="B916" s="14"/>
      <c r="C916" s="15"/>
      <c r="D916" s="16"/>
      <c r="E916" s="16"/>
      <c r="F916" s="16"/>
      <c r="G916" s="16"/>
      <c r="H916" s="16"/>
    </row>
    <row r="917" spans="2:8" ht="12.5" x14ac:dyDescent="0.25">
      <c r="B917" s="14"/>
      <c r="C917" s="15"/>
      <c r="D917" s="16"/>
      <c r="E917" s="16"/>
      <c r="F917" s="16"/>
      <c r="G917" s="16"/>
      <c r="H917" s="16"/>
    </row>
    <row r="918" spans="2:8" ht="12.5" x14ac:dyDescent="0.25">
      <c r="B918" s="14"/>
      <c r="C918" s="15"/>
      <c r="D918" s="16"/>
      <c r="E918" s="16"/>
      <c r="F918" s="16"/>
      <c r="G918" s="16"/>
      <c r="H918" s="16"/>
    </row>
    <row r="919" spans="2:8" ht="12.5" x14ac:dyDescent="0.25">
      <c r="B919" s="14"/>
      <c r="C919" s="15"/>
      <c r="D919" s="16"/>
      <c r="E919" s="16"/>
      <c r="F919" s="16"/>
      <c r="G919" s="16"/>
      <c r="H919" s="16"/>
    </row>
    <row r="920" spans="2:8" ht="12.5" x14ac:dyDescent="0.25">
      <c r="B920" s="14"/>
      <c r="C920" s="15"/>
      <c r="D920" s="16"/>
      <c r="E920" s="16"/>
      <c r="F920" s="16"/>
      <c r="G920" s="16"/>
      <c r="H920" s="16"/>
    </row>
    <row r="921" spans="2:8" ht="12.5" x14ac:dyDescent="0.25">
      <c r="B921" s="14"/>
      <c r="C921" s="15"/>
      <c r="D921" s="16"/>
      <c r="E921" s="16"/>
      <c r="F921" s="16"/>
      <c r="G921" s="16"/>
      <c r="H921" s="16"/>
    </row>
    <row r="922" spans="2:8" ht="12.5" x14ac:dyDescent="0.25">
      <c r="B922" s="14"/>
      <c r="C922" s="15"/>
      <c r="D922" s="16"/>
      <c r="E922" s="16"/>
      <c r="F922" s="16"/>
      <c r="G922" s="16"/>
      <c r="H922" s="16"/>
    </row>
    <row r="923" spans="2:8" ht="12.5" x14ac:dyDescent="0.25">
      <c r="B923" s="14"/>
      <c r="C923" s="15"/>
      <c r="D923" s="16"/>
      <c r="E923" s="16"/>
      <c r="F923" s="16"/>
      <c r="G923" s="16"/>
      <c r="H923" s="16"/>
    </row>
    <row r="924" spans="2:8" ht="12.5" x14ac:dyDescent="0.25">
      <c r="B924" s="14"/>
      <c r="C924" s="15"/>
      <c r="D924" s="16"/>
      <c r="E924" s="16"/>
      <c r="F924" s="16"/>
      <c r="G924" s="16"/>
      <c r="H924" s="16"/>
    </row>
    <row r="925" spans="2:8" ht="12.5" x14ac:dyDescent="0.25">
      <c r="B925" s="14"/>
      <c r="C925" s="15"/>
      <c r="D925" s="16"/>
      <c r="E925" s="16"/>
      <c r="F925" s="16"/>
      <c r="G925" s="16"/>
      <c r="H925" s="16"/>
    </row>
    <row r="926" spans="2:8" ht="12.5" x14ac:dyDescent="0.25">
      <c r="B926" s="14"/>
      <c r="C926" s="15"/>
      <c r="D926" s="16"/>
      <c r="E926" s="16"/>
      <c r="F926" s="16"/>
      <c r="G926" s="16"/>
      <c r="H926" s="16"/>
    </row>
    <row r="927" spans="2:8" ht="12.5" x14ac:dyDescent="0.25">
      <c r="B927" s="14"/>
      <c r="C927" s="15"/>
      <c r="D927" s="16"/>
      <c r="E927" s="16"/>
      <c r="F927" s="16"/>
      <c r="G927" s="16"/>
      <c r="H927" s="16"/>
    </row>
    <row r="928" spans="2:8" ht="12.5" x14ac:dyDescent="0.25">
      <c r="B928" s="14"/>
      <c r="C928" s="15"/>
      <c r="D928" s="16"/>
      <c r="E928" s="16"/>
      <c r="F928" s="16"/>
      <c r="G928" s="16"/>
      <c r="H928" s="16"/>
    </row>
    <row r="929" spans="2:8" ht="12.5" x14ac:dyDescent="0.25">
      <c r="B929" s="14"/>
      <c r="C929" s="15"/>
      <c r="D929" s="16"/>
      <c r="E929" s="16"/>
      <c r="F929" s="16"/>
      <c r="G929" s="16"/>
      <c r="H929" s="16"/>
    </row>
    <row r="930" spans="2:8" ht="12.5" x14ac:dyDescent="0.25">
      <c r="B930" s="14"/>
      <c r="C930" s="15"/>
      <c r="D930" s="16"/>
      <c r="E930" s="16"/>
      <c r="F930" s="16"/>
      <c r="G930" s="16"/>
      <c r="H930" s="16"/>
    </row>
    <row r="931" spans="2:8" ht="12.5" x14ac:dyDescent="0.25">
      <c r="B931" s="14"/>
      <c r="C931" s="15"/>
      <c r="D931" s="16"/>
      <c r="E931" s="16"/>
      <c r="F931" s="16"/>
      <c r="G931" s="16"/>
      <c r="H931" s="16"/>
    </row>
    <row r="932" spans="2:8" ht="12.5" x14ac:dyDescent="0.25">
      <c r="B932" s="14"/>
      <c r="C932" s="15"/>
      <c r="D932" s="16"/>
      <c r="E932" s="16"/>
      <c r="F932" s="16"/>
      <c r="G932" s="16"/>
      <c r="H932" s="16"/>
    </row>
    <row r="933" spans="2:8" ht="12.5" x14ac:dyDescent="0.25">
      <c r="B933" s="14"/>
      <c r="C933" s="15"/>
      <c r="D933" s="16"/>
      <c r="E933" s="16"/>
      <c r="F933" s="16"/>
      <c r="G933" s="16"/>
      <c r="H933" s="16"/>
    </row>
    <row r="934" spans="2:8" ht="12.5" x14ac:dyDescent="0.25">
      <c r="B934" s="14"/>
      <c r="C934" s="15"/>
      <c r="D934" s="16"/>
      <c r="E934" s="16"/>
      <c r="F934" s="16"/>
      <c r="G934" s="16"/>
      <c r="H934" s="16"/>
    </row>
    <row r="935" spans="2:8" ht="12.5" x14ac:dyDescent="0.25">
      <c r="B935" s="14"/>
      <c r="C935" s="15"/>
      <c r="D935" s="16"/>
      <c r="E935" s="16"/>
      <c r="F935" s="16"/>
      <c r="G935" s="16"/>
      <c r="H935" s="16"/>
    </row>
    <row r="936" spans="2:8" ht="12.5" x14ac:dyDescent="0.25">
      <c r="B936" s="14"/>
      <c r="C936" s="15"/>
      <c r="D936" s="16"/>
      <c r="E936" s="16"/>
      <c r="F936" s="16"/>
      <c r="G936" s="16"/>
      <c r="H936" s="16"/>
    </row>
    <row r="937" spans="2:8" ht="12.5" x14ac:dyDescent="0.25">
      <c r="B937" s="14"/>
      <c r="C937" s="15"/>
      <c r="D937" s="16"/>
      <c r="E937" s="16"/>
      <c r="F937" s="16"/>
      <c r="G937" s="16"/>
      <c r="H937" s="16"/>
    </row>
    <row r="938" spans="2:8" ht="12.5" x14ac:dyDescent="0.25">
      <c r="B938" s="14"/>
      <c r="C938" s="15"/>
      <c r="D938" s="16"/>
      <c r="E938" s="16"/>
      <c r="F938" s="16"/>
      <c r="G938" s="16"/>
      <c r="H938" s="16"/>
    </row>
    <row r="939" spans="2:8" ht="12.5" x14ac:dyDescent="0.25">
      <c r="B939" s="14"/>
      <c r="C939" s="15"/>
      <c r="D939" s="16"/>
      <c r="E939" s="16"/>
      <c r="F939" s="16"/>
      <c r="G939" s="16"/>
      <c r="H939" s="16"/>
    </row>
    <row r="940" spans="2:8" ht="12.5" x14ac:dyDescent="0.25">
      <c r="B940" s="14"/>
      <c r="C940" s="15"/>
      <c r="D940" s="16"/>
      <c r="E940" s="16"/>
      <c r="F940" s="16"/>
      <c r="G940" s="16"/>
      <c r="H940" s="16"/>
    </row>
    <row r="941" spans="2:8" ht="12.5" x14ac:dyDescent="0.25">
      <c r="B941" s="14"/>
      <c r="C941" s="15"/>
      <c r="D941" s="16"/>
      <c r="E941" s="16"/>
      <c r="F941" s="16"/>
      <c r="G941" s="16"/>
      <c r="H941" s="16"/>
    </row>
    <row r="942" spans="2:8" ht="12.5" x14ac:dyDescent="0.25">
      <c r="B942" s="14"/>
      <c r="C942" s="15"/>
      <c r="D942" s="16"/>
      <c r="E942" s="16"/>
      <c r="F942" s="16"/>
      <c r="G942" s="16"/>
      <c r="H942" s="16"/>
    </row>
    <row r="943" spans="2:8" ht="12.5" x14ac:dyDescent="0.25">
      <c r="B943" s="14"/>
      <c r="C943" s="15"/>
      <c r="D943" s="16"/>
      <c r="E943" s="16"/>
      <c r="F943" s="16"/>
      <c r="G943" s="16"/>
      <c r="H943" s="16"/>
    </row>
    <row r="944" spans="2:8" ht="12.5" x14ac:dyDescent="0.25">
      <c r="B944" s="14"/>
      <c r="C944" s="15"/>
      <c r="D944" s="16"/>
      <c r="E944" s="16"/>
      <c r="F944" s="16"/>
      <c r="G944" s="16"/>
      <c r="H944" s="16"/>
    </row>
    <row r="945" spans="2:8" ht="12.5" x14ac:dyDescent="0.25">
      <c r="B945" s="14"/>
      <c r="C945" s="15"/>
      <c r="D945" s="16"/>
      <c r="E945" s="16"/>
      <c r="F945" s="16"/>
      <c r="G945" s="16"/>
      <c r="H945" s="16"/>
    </row>
    <row r="946" spans="2:8" ht="12.5" x14ac:dyDescent="0.25">
      <c r="B946" s="14"/>
      <c r="C946" s="15"/>
      <c r="D946" s="16"/>
      <c r="E946" s="16"/>
      <c r="F946" s="16"/>
      <c r="G946" s="16"/>
      <c r="H946" s="16"/>
    </row>
    <row r="947" spans="2:8" ht="12.5" x14ac:dyDescent="0.25">
      <c r="B947" s="14"/>
      <c r="C947" s="15"/>
      <c r="D947" s="16"/>
      <c r="E947" s="16"/>
      <c r="F947" s="16"/>
      <c r="G947" s="16"/>
      <c r="H947" s="16"/>
    </row>
    <row r="948" spans="2:8" ht="12.5" x14ac:dyDescent="0.25">
      <c r="B948" s="14"/>
      <c r="C948" s="15"/>
      <c r="D948" s="16"/>
      <c r="E948" s="16"/>
      <c r="F948" s="16"/>
      <c r="G948" s="16"/>
      <c r="H948" s="16"/>
    </row>
    <row r="949" spans="2:8" ht="12.5" x14ac:dyDescent="0.25">
      <c r="B949" s="14"/>
      <c r="C949" s="15"/>
      <c r="D949" s="16"/>
      <c r="E949" s="16"/>
      <c r="F949" s="16"/>
      <c r="G949" s="16"/>
      <c r="H949" s="16"/>
    </row>
    <row r="950" spans="2:8" ht="12.5" x14ac:dyDescent="0.25">
      <c r="B950" s="14"/>
      <c r="C950" s="15"/>
      <c r="D950" s="16"/>
      <c r="E950" s="16"/>
      <c r="F950" s="16"/>
      <c r="G950" s="16"/>
      <c r="H950" s="16"/>
    </row>
    <row r="951" spans="2:8" ht="12.5" x14ac:dyDescent="0.25">
      <c r="B951" s="14"/>
      <c r="C951" s="15"/>
      <c r="D951" s="16"/>
      <c r="E951" s="16"/>
      <c r="F951" s="16"/>
      <c r="G951" s="16"/>
      <c r="H951" s="16"/>
    </row>
    <row r="952" spans="2:8" ht="12.5" x14ac:dyDescent="0.25">
      <c r="B952" s="14"/>
      <c r="C952" s="15"/>
      <c r="D952" s="16"/>
      <c r="E952" s="16"/>
      <c r="F952" s="16"/>
      <c r="G952" s="16"/>
      <c r="H952" s="16"/>
    </row>
    <row r="953" spans="2:8" ht="12.5" x14ac:dyDescent="0.25">
      <c r="B953" s="14"/>
      <c r="C953" s="15"/>
      <c r="D953" s="16"/>
      <c r="E953" s="16"/>
      <c r="F953" s="16"/>
      <c r="G953" s="16"/>
      <c r="H953" s="16"/>
    </row>
    <row r="954" spans="2:8" ht="12.5" x14ac:dyDescent="0.25">
      <c r="B954" s="14"/>
      <c r="C954" s="15"/>
      <c r="D954" s="16"/>
      <c r="E954" s="16"/>
      <c r="F954" s="16"/>
      <c r="G954" s="16"/>
      <c r="H954" s="16"/>
    </row>
    <row r="955" spans="2:8" ht="12.5" x14ac:dyDescent="0.25">
      <c r="B955" s="14"/>
      <c r="C955" s="15"/>
      <c r="D955" s="16"/>
      <c r="E955" s="16"/>
      <c r="F955" s="16"/>
      <c r="G955" s="16"/>
      <c r="H955" s="16"/>
    </row>
    <row r="956" spans="2:8" ht="12.5" x14ac:dyDescent="0.25">
      <c r="B956" s="14"/>
      <c r="C956" s="15"/>
      <c r="D956" s="16"/>
      <c r="E956" s="16"/>
      <c r="F956" s="16"/>
      <c r="G956" s="16"/>
      <c r="H956" s="16"/>
    </row>
    <row r="957" spans="2:8" ht="12.5" x14ac:dyDescent="0.25">
      <c r="B957" s="14"/>
      <c r="C957" s="15"/>
      <c r="D957" s="16"/>
      <c r="E957" s="16"/>
      <c r="F957" s="16"/>
      <c r="G957" s="16"/>
      <c r="H957" s="16"/>
    </row>
    <row r="958" spans="2:8" ht="12.5" x14ac:dyDescent="0.25">
      <c r="B958" s="14"/>
      <c r="C958" s="15"/>
      <c r="D958" s="16"/>
      <c r="E958" s="16"/>
      <c r="F958" s="16"/>
      <c r="G958" s="16"/>
      <c r="H958" s="16"/>
    </row>
    <row r="959" spans="2:8" ht="12.5" x14ac:dyDescent="0.25">
      <c r="B959" s="14"/>
      <c r="C959" s="15"/>
      <c r="D959" s="16"/>
      <c r="E959" s="16"/>
      <c r="F959" s="16"/>
      <c r="G959" s="16"/>
      <c r="H959" s="16"/>
    </row>
    <row r="960" spans="2:8" ht="12.5" x14ac:dyDescent="0.25">
      <c r="B960" s="14"/>
      <c r="C960" s="15"/>
      <c r="D960" s="16"/>
      <c r="E960" s="16"/>
      <c r="F960" s="16"/>
      <c r="G960" s="16"/>
      <c r="H960" s="16"/>
    </row>
    <row r="961" spans="2:8" ht="12.5" x14ac:dyDescent="0.25">
      <c r="B961" s="14"/>
      <c r="C961" s="15"/>
      <c r="D961" s="16"/>
      <c r="E961" s="16"/>
      <c r="F961" s="16"/>
      <c r="G961" s="16"/>
      <c r="H961" s="16"/>
    </row>
    <row r="962" spans="2:8" ht="12.5" x14ac:dyDescent="0.25">
      <c r="B962" s="14"/>
      <c r="C962" s="15"/>
      <c r="D962" s="16"/>
      <c r="E962" s="16"/>
      <c r="F962" s="16"/>
      <c r="G962" s="16"/>
      <c r="H962" s="16"/>
    </row>
    <row r="963" spans="2:8" ht="12.5" x14ac:dyDescent="0.25">
      <c r="B963" s="14"/>
      <c r="C963" s="15"/>
      <c r="D963" s="16"/>
      <c r="E963" s="16"/>
      <c r="F963" s="16"/>
      <c r="G963" s="16"/>
      <c r="H963" s="16"/>
    </row>
    <row r="964" spans="2:8" ht="12.5" x14ac:dyDescent="0.25">
      <c r="B964" s="14"/>
      <c r="C964" s="15"/>
      <c r="D964" s="16"/>
      <c r="E964" s="16"/>
      <c r="F964" s="16"/>
      <c r="G964" s="16"/>
      <c r="H964" s="16"/>
    </row>
    <row r="965" spans="2:8" ht="12.5" x14ac:dyDescent="0.25">
      <c r="B965" s="14"/>
      <c r="C965" s="15"/>
      <c r="D965" s="16"/>
      <c r="E965" s="16"/>
      <c r="F965" s="16"/>
      <c r="G965" s="16"/>
      <c r="H965" s="16"/>
    </row>
    <row r="966" spans="2:8" ht="12.5" x14ac:dyDescent="0.25">
      <c r="B966" s="14"/>
      <c r="C966" s="15"/>
      <c r="D966" s="16"/>
      <c r="E966" s="16"/>
      <c r="F966" s="16"/>
      <c r="G966" s="16"/>
      <c r="H966" s="16"/>
    </row>
    <row r="967" spans="2:8" ht="12.5" x14ac:dyDescent="0.25">
      <c r="B967" s="14"/>
      <c r="C967" s="15"/>
      <c r="D967" s="16"/>
      <c r="E967" s="16"/>
      <c r="F967" s="16"/>
      <c r="G967" s="16"/>
      <c r="H967" s="16"/>
    </row>
    <row r="968" spans="2:8" ht="12.5" x14ac:dyDescent="0.25">
      <c r="B968" s="14"/>
      <c r="C968" s="15"/>
      <c r="D968" s="16"/>
      <c r="E968" s="16"/>
      <c r="F968" s="16"/>
      <c r="G968" s="16"/>
      <c r="H968" s="16"/>
    </row>
    <row r="969" spans="2:8" ht="12.5" x14ac:dyDescent="0.25">
      <c r="B969" s="14"/>
      <c r="C969" s="15"/>
      <c r="D969" s="16"/>
      <c r="E969" s="16"/>
      <c r="F969" s="16"/>
      <c r="G969" s="16"/>
      <c r="H969" s="16"/>
    </row>
    <row r="970" spans="2:8" ht="12.5" x14ac:dyDescent="0.25">
      <c r="B970" s="14"/>
      <c r="C970" s="15"/>
      <c r="D970" s="16"/>
      <c r="E970" s="16"/>
      <c r="F970" s="16"/>
      <c r="G970" s="16"/>
      <c r="H970" s="16"/>
    </row>
    <row r="971" spans="2:8" ht="12.5" x14ac:dyDescent="0.25">
      <c r="B971" s="14"/>
      <c r="C971" s="15"/>
      <c r="D971" s="16"/>
      <c r="E971" s="16"/>
      <c r="F971" s="16"/>
      <c r="G971" s="16"/>
      <c r="H971" s="16"/>
    </row>
    <row r="972" spans="2:8" ht="12.5" x14ac:dyDescent="0.25">
      <c r="B972" s="14"/>
      <c r="C972" s="15"/>
      <c r="D972" s="16"/>
      <c r="E972" s="16"/>
      <c r="F972" s="16"/>
      <c r="G972" s="16"/>
      <c r="H972" s="16"/>
    </row>
    <row r="973" spans="2:8" ht="12.5" x14ac:dyDescent="0.25">
      <c r="B973" s="14"/>
      <c r="C973" s="15"/>
      <c r="D973" s="16"/>
      <c r="E973" s="16"/>
      <c r="F973" s="16"/>
      <c r="G973" s="16"/>
      <c r="H973" s="16"/>
    </row>
    <row r="974" spans="2:8" ht="12.5" x14ac:dyDescent="0.25">
      <c r="B974" s="14"/>
      <c r="C974" s="15"/>
      <c r="D974" s="16"/>
      <c r="E974" s="16"/>
      <c r="F974" s="16"/>
      <c r="G974" s="16"/>
      <c r="H974" s="16"/>
    </row>
    <row r="975" spans="2:8" ht="12.5" x14ac:dyDescent="0.25">
      <c r="B975" s="14"/>
      <c r="C975" s="15"/>
      <c r="D975" s="16"/>
      <c r="E975" s="16"/>
      <c r="F975" s="16"/>
      <c r="G975" s="16"/>
      <c r="H975" s="16"/>
    </row>
    <row r="976" spans="2:8" ht="12.5" x14ac:dyDescent="0.25">
      <c r="B976" s="14"/>
      <c r="C976" s="15"/>
      <c r="D976" s="16"/>
      <c r="E976" s="16"/>
      <c r="F976" s="16"/>
      <c r="G976" s="16"/>
      <c r="H976" s="16"/>
    </row>
    <row r="977" spans="2:8" ht="12.5" x14ac:dyDescent="0.25">
      <c r="B977" s="14"/>
      <c r="C977" s="15"/>
      <c r="D977" s="16"/>
      <c r="E977" s="16"/>
      <c r="F977" s="16"/>
      <c r="G977" s="16"/>
      <c r="H977" s="16"/>
    </row>
    <row r="978" spans="2:8" ht="12.5" x14ac:dyDescent="0.25">
      <c r="B978" s="14"/>
      <c r="C978" s="15"/>
      <c r="D978" s="16"/>
      <c r="E978" s="16"/>
      <c r="F978" s="16"/>
      <c r="G978" s="16"/>
      <c r="H978" s="16"/>
    </row>
    <row r="979" spans="2:8" ht="12.5" x14ac:dyDescent="0.25">
      <c r="B979" s="14"/>
      <c r="C979" s="15"/>
      <c r="D979" s="16"/>
      <c r="E979" s="16"/>
      <c r="F979" s="16"/>
      <c r="G979" s="16"/>
      <c r="H979" s="16"/>
    </row>
    <row r="980" spans="2:8" ht="12.5" x14ac:dyDescent="0.25">
      <c r="B980" s="14"/>
      <c r="C980" s="15"/>
      <c r="D980" s="16"/>
      <c r="E980" s="16"/>
      <c r="F980" s="16"/>
      <c r="G980" s="16"/>
      <c r="H980" s="16"/>
    </row>
    <row r="981" spans="2:8" ht="12.5" x14ac:dyDescent="0.25">
      <c r="B981" s="14"/>
      <c r="C981" s="15"/>
      <c r="D981" s="16"/>
      <c r="E981" s="16"/>
      <c r="F981" s="16"/>
      <c r="G981" s="16"/>
      <c r="H981" s="16"/>
    </row>
    <row r="982" spans="2:8" ht="12.5" x14ac:dyDescent="0.25">
      <c r="B982" s="14"/>
      <c r="C982" s="15"/>
      <c r="D982" s="16"/>
      <c r="E982" s="16"/>
      <c r="F982" s="16"/>
      <c r="G982" s="16"/>
      <c r="H982" s="16"/>
    </row>
    <row r="983" spans="2:8" ht="12.5" x14ac:dyDescent="0.25">
      <c r="B983" s="14"/>
      <c r="C983" s="15"/>
      <c r="D983" s="16"/>
      <c r="E983" s="16"/>
      <c r="F983" s="16"/>
      <c r="G983" s="16"/>
      <c r="H983" s="16"/>
    </row>
    <row r="984" spans="2:8" ht="12.5" x14ac:dyDescent="0.25">
      <c r="B984" s="14"/>
      <c r="C984" s="15"/>
      <c r="D984" s="16"/>
      <c r="E984" s="16"/>
      <c r="F984" s="16"/>
      <c r="G984" s="16"/>
      <c r="H984" s="16"/>
    </row>
    <row r="985" spans="2:8" ht="12.5" x14ac:dyDescent="0.25">
      <c r="B985" s="14"/>
      <c r="C985" s="15"/>
      <c r="D985" s="16"/>
      <c r="E985" s="16"/>
      <c r="F985" s="16"/>
      <c r="G985" s="16"/>
      <c r="H985" s="16"/>
    </row>
    <row r="986" spans="2:8" ht="12.5" x14ac:dyDescent="0.25">
      <c r="B986" s="14"/>
      <c r="C986" s="15"/>
      <c r="D986" s="16"/>
      <c r="E986" s="16"/>
      <c r="F986" s="16"/>
      <c r="G986" s="16"/>
      <c r="H986" s="16"/>
    </row>
    <row r="987" spans="2:8" ht="12.5" x14ac:dyDescent="0.25">
      <c r="B987" s="14"/>
      <c r="C987" s="15"/>
      <c r="D987" s="16"/>
      <c r="E987" s="16"/>
      <c r="F987" s="16"/>
      <c r="G987" s="16"/>
      <c r="H987" s="16"/>
    </row>
    <row r="988" spans="2:8" ht="12.5" x14ac:dyDescent="0.25">
      <c r="B988" s="14"/>
      <c r="C988" s="15"/>
      <c r="D988" s="16"/>
      <c r="E988" s="16"/>
      <c r="F988" s="16"/>
      <c r="G988" s="16"/>
      <c r="H988" s="16"/>
    </row>
    <row r="989" spans="2:8" ht="12.5" x14ac:dyDescent="0.25">
      <c r="B989" s="14"/>
      <c r="C989" s="15"/>
      <c r="D989" s="16"/>
      <c r="E989" s="16"/>
      <c r="F989" s="16"/>
      <c r="G989" s="16"/>
      <c r="H989" s="16"/>
    </row>
    <row r="990" spans="2:8" ht="12.5" x14ac:dyDescent="0.25">
      <c r="B990" s="14"/>
      <c r="C990" s="15"/>
      <c r="D990" s="16"/>
      <c r="E990" s="16"/>
      <c r="F990" s="16"/>
      <c r="G990" s="16"/>
      <c r="H990" s="16"/>
    </row>
    <row r="991" spans="2:8" ht="12.5" x14ac:dyDescent="0.25">
      <c r="B991" s="14"/>
      <c r="C991" s="15"/>
      <c r="D991" s="16"/>
      <c r="E991" s="16"/>
      <c r="F991" s="16"/>
      <c r="G991" s="16"/>
      <c r="H991" s="16"/>
    </row>
    <row r="992" spans="2:8" ht="12.5" x14ac:dyDescent="0.25">
      <c r="B992" s="14"/>
      <c r="C992" s="15"/>
      <c r="D992" s="16"/>
      <c r="E992" s="16"/>
      <c r="F992" s="16"/>
      <c r="G992" s="16"/>
      <c r="H992" s="16"/>
    </row>
    <row r="993" spans="2:8" ht="12.5" x14ac:dyDescent="0.25">
      <c r="B993" s="14"/>
      <c r="C993" s="15"/>
      <c r="D993" s="16"/>
      <c r="E993" s="16"/>
      <c r="F993" s="16"/>
      <c r="G993" s="16"/>
      <c r="H993" s="16"/>
    </row>
    <row r="994" spans="2:8" ht="12.5" x14ac:dyDescent="0.25">
      <c r="B994" s="14"/>
      <c r="C994" s="15"/>
      <c r="D994" s="16"/>
      <c r="E994" s="16"/>
      <c r="F994" s="16"/>
      <c r="G994" s="16"/>
      <c r="H994" s="16"/>
    </row>
    <row r="995" spans="2:8" ht="12.5" x14ac:dyDescent="0.25">
      <c r="B995" s="14"/>
      <c r="C995" s="15"/>
      <c r="D995" s="16"/>
      <c r="E995" s="16"/>
      <c r="F995" s="16"/>
      <c r="G995" s="16"/>
      <c r="H995" s="16"/>
    </row>
    <row r="996" spans="2:8" ht="12.5" x14ac:dyDescent="0.25">
      <c r="B996" s="14"/>
      <c r="C996" s="15"/>
      <c r="D996" s="16"/>
      <c r="E996" s="16"/>
      <c r="F996" s="16"/>
      <c r="G996" s="16"/>
      <c r="H996" s="16"/>
    </row>
    <row r="997" spans="2:8" ht="12.5" x14ac:dyDescent="0.25">
      <c r="B997" s="14"/>
      <c r="C997" s="15"/>
      <c r="D997" s="16"/>
      <c r="E997" s="16"/>
      <c r="F997" s="16"/>
      <c r="G997" s="16"/>
      <c r="H997" s="16"/>
    </row>
    <row r="998" spans="2:8" ht="12.5" x14ac:dyDescent="0.25">
      <c r="B998" s="14"/>
      <c r="C998" s="15"/>
      <c r="D998" s="16"/>
      <c r="E998" s="16"/>
      <c r="F998" s="16"/>
      <c r="G998" s="16"/>
      <c r="H998" s="16"/>
    </row>
    <row r="999" spans="2:8" ht="12.5" x14ac:dyDescent="0.25">
      <c r="B999" s="14"/>
      <c r="C999" s="15"/>
      <c r="D999" s="16"/>
      <c r="E999" s="16"/>
      <c r="F999" s="16"/>
      <c r="G999" s="16"/>
      <c r="H999" s="16"/>
    </row>
    <row r="1000" spans="2:8" ht="12.5" x14ac:dyDescent="0.25">
      <c r="B1000" s="14"/>
      <c r="C1000" s="15"/>
      <c r="D1000" s="16"/>
      <c r="E1000" s="16"/>
      <c r="F1000" s="16"/>
      <c r="G1000" s="16"/>
      <c r="H1000" s="16"/>
    </row>
    <row r="1001" spans="2:8" ht="12.5" x14ac:dyDescent="0.25">
      <c r="B1001" s="14"/>
      <c r="C1001" s="15"/>
      <c r="D1001" s="16"/>
      <c r="E1001" s="16"/>
      <c r="F1001" s="16"/>
      <c r="G1001" s="16"/>
      <c r="H1001" s="16"/>
    </row>
    <row r="1002" spans="2:8" ht="12.5" x14ac:dyDescent="0.25">
      <c r="B1002" s="14"/>
      <c r="C1002" s="15"/>
      <c r="D1002" s="16"/>
      <c r="E1002" s="16"/>
      <c r="F1002" s="16"/>
      <c r="G1002" s="16"/>
      <c r="H1002" s="16"/>
    </row>
    <row r="1003" spans="2:8" ht="12.5" x14ac:dyDescent="0.25">
      <c r="B1003" s="14"/>
      <c r="C1003" s="15"/>
      <c r="D1003" s="16"/>
      <c r="E1003" s="16"/>
      <c r="F1003" s="16"/>
      <c r="G1003" s="16"/>
      <c r="H1003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J992"/>
  <sheetViews>
    <sheetView workbookViewId="0"/>
  </sheetViews>
  <sheetFormatPr defaultColWidth="12.6328125" defaultRowHeight="15.75" customHeight="1" x14ac:dyDescent="0.25"/>
  <cols>
    <col min="1" max="1" width="39" customWidth="1"/>
    <col min="2" max="46" width="16.7265625" customWidth="1"/>
  </cols>
  <sheetData>
    <row r="1" spans="1:62" ht="15.75" customHeight="1" x14ac:dyDescent="0.35">
      <c r="A1" s="1" t="str">
        <f>Specs!E1</f>
        <v>Wireless</v>
      </c>
      <c r="B1" s="23" t="s">
        <v>116</v>
      </c>
      <c r="C1" s="23" t="s">
        <v>117</v>
      </c>
      <c r="D1" s="23" t="s">
        <v>118</v>
      </c>
      <c r="E1" s="23" t="s">
        <v>119</v>
      </c>
      <c r="F1" s="23" t="s">
        <v>120</v>
      </c>
      <c r="G1" s="23" t="s">
        <v>121</v>
      </c>
      <c r="H1" s="23" t="s">
        <v>122</v>
      </c>
      <c r="I1" s="23" t="s">
        <v>123</v>
      </c>
      <c r="J1" s="23" t="s">
        <v>124</v>
      </c>
      <c r="K1" s="23" t="s">
        <v>125</v>
      </c>
      <c r="L1" s="23" t="s">
        <v>126</v>
      </c>
      <c r="M1" s="23" t="s">
        <v>127</v>
      </c>
      <c r="N1" s="23" t="s">
        <v>128</v>
      </c>
      <c r="O1" s="23" t="s">
        <v>129</v>
      </c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6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</row>
    <row r="2" spans="1:62" ht="15.75" customHeight="1" x14ac:dyDescent="0.35">
      <c r="A2" s="8" t="str">
        <f>Specs!E2</f>
        <v>Loại Access Point (indoor/outdoor)</v>
      </c>
      <c r="B2" s="24" t="s">
        <v>130</v>
      </c>
      <c r="C2" s="24" t="s">
        <v>130</v>
      </c>
      <c r="D2" s="24" t="s">
        <v>130</v>
      </c>
      <c r="E2" s="24" t="s">
        <v>130</v>
      </c>
      <c r="F2" s="24" t="s">
        <v>130</v>
      </c>
      <c r="G2" s="24" t="s">
        <v>130</v>
      </c>
      <c r="H2" s="24" t="s">
        <v>130</v>
      </c>
      <c r="I2" s="24" t="s">
        <v>130</v>
      </c>
      <c r="J2" s="24" t="s">
        <v>130</v>
      </c>
      <c r="K2" s="24" t="s">
        <v>130</v>
      </c>
      <c r="L2" s="24" t="s">
        <v>131</v>
      </c>
      <c r="M2" s="24" t="s">
        <v>131</v>
      </c>
      <c r="N2" s="24" t="s">
        <v>131</v>
      </c>
      <c r="O2" s="24" t="s">
        <v>131</v>
      </c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13"/>
    </row>
    <row r="3" spans="1:62" ht="15.75" customHeight="1" x14ac:dyDescent="0.35">
      <c r="A3" s="8" t="str">
        <f>Specs!E3</f>
        <v>Công nghệ WiFi (WiFi6/WiFi7)</v>
      </c>
      <c r="B3" s="24" t="s">
        <v>132</v>
      </c>
      <c r="C3" s="24" t="s">
        <v>132</v>
      </c>
      <c r="D3" s="24" t="s">
        <v>132</v>
      </c>
      <c r="E3" s="24" t="s">
        <v>132</v>
      </c>
      <c r="F3" s="24" t="s">
        <v>132</v>
      </c>
      <c r="G3" s="24" t="s">
        <v>133</v>
      </c>
      <c r="H3" s="24" t="s">
        <v>133</v>
      </c>
      <c r="I3" s="24" t="s">
        <v>133</v>
      </c>
      <c r="J3" s="24" t="s">
        <v>133</v>
      </c>
      <c r="K3" s="24" t="s">
        <v>133</v>
      </c>
      <c r="L3" s="24" t="s">
        <v>134</v>
      </c>
      <c r="M3" s="24" t="s">
        <v>134</v>
      </c>
      <c r="N3" s="24" t="s">
        <v>134</v>
      </c>
      <c r="O3" s="24" t="s">
        <v>132</v>
      </c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13"/>
    </row>
    <row r="4" spans="1:62" ht="15.75" customHeight="1" x14ac:dyDescent="0.35">
      <c r="A4" s="8" t="str">
        <f>Specs!E4</f>
        <v>Số lượng người dùng trong phạm vi phủ sóng 1 AP</v>
      </c>
      <c r="B4" s="24">
        <v>400</v>
      </c>
      <c r="C4" s="24">
        <v>400</v>
      </c>
      <c r="D4" s="24">
        <v>400</v>
      </c>
      <c r="E4" s="24">
        <v>400</v>
      </c>
      <c r="F4" s="24">
        <v>400</v>
      </c>
      <c r="G4" s="24">
        <v>256</v>
      </c>
      <c r="H4" s="24">
        <v>256</v>
      </c>
      <c r="I4" s="24">
        <v>400</v>
      </c>
      <c r="J4" s="24">
        <v>400</v>
      </c>
      <c r="K4" s="24">
        <v>400</v>
      </c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13"/>
    </row>
    <row r="5" spans="1:62" ht="15.75" customHeight="1" x14ac:dyDescent="0.35">
      <c r="A5" s="8" t="str">
        <f>Specs!E5</f>
        <v>Bán kính phủ sóng (m)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13"/>
    </row>
    <row r="6" spans="1:62" ht="15.75" customHeight="1" x14ac:dyDescent="0.35">
      <c r="A6" s="8" t="s">
        <v>135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13"/>
    </row>
    <row r="7" spans="1:62" ht="15.75" customHeight="1" x14ac:dyDescent="0.35">
      <c r="A7" s="8" t="s">
        <v>136</v>
      </c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13"/>
    </row>
    <row r="8" spans="1:62" ht="15.75" customHeight="1" x14ac:dyDescent="0.35">
      <c r="A8" s="8" t="s">
        <v>137</v>
      </c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13"/>
    </row>
    <row r="9" spans="1:62" ht="15.75" customHeight="1" x14ac:dyDescent="0.35">
      <c r="A9" s="8">
        <f>Specs!E9</f>
        <v>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13"/>
    </row>
    <row r="10" spans="1:62" ht="15.75" customHeight="1" x14ac:dyDescent="0.35">
      <c r="A10" s="8">
        <f>Specs!E10</f>
        <v>0</v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13"/>
    </row>
    <row r="11" spans="1:62" ht="15.75" customHeight="1" x14ac:dyDescent="0.25">
      <c r="A11" s="17" t="s">
        <v>138</v>
      </c>
      <c r="B11" s="16" t="str">
        <f t="shared" ref="B11:P11" si="0">IF(ISNUMBER(FIND("WiFi6",B3)),"Mid Range",IF(ISNUMBER(FIND("WiFi7",B3)),"High End",""))</f>
        <v>Mid Range</v>
      </c>
      <c r="C11" s="16" t="str">
        <f t="shared" si="0"/>
        <v>Mid Range</v>
      </c>
      <c r="D11" s="16" t="str">
        <f t="shared" si="0"/>
        <v>Mid Range</v>
      </c>
      <c r="E11" s="16" t="str">
        <f t="shared" si="0"/>
        <v>Mid Range</v>
      </c>
      <c r="F11" s="16" t="str">
        <f t="shared" si="0"/>
        <v>Mid Range</v>
      </c>
      <c r="G11" s="16" t="str">
        <f t="shared" si="0"/>
        <v>High End</v>
      </c>
      <c r="H11" s="16" t="str">
        <f t="shared" si="0"/>
        <v>High End</v>
      </c>
      <c r="I11" s="16" t="str">
        <f t="shared" si="0"/>
        <v>High End</v>
      </c>
      <c r="J11" s="16" t="str">
        <f t="shared" si="0"/>
        <v>High End</v>
      </c>
      <c r="K11" s="16" t="str">
        <f t="shared" si="0"/>
        <v>High End</v>
      </c>
      <c r="L11" s="16" t="str">
        <f t="shared" si="0"/>
        <v>Mid Range</v>
      </c>
      <c r="M11" s="16" t="str">
        <f t="shared" si="0"/>
        <v>Mid Range</v>
      </c>
      <c r="N11" s="16" t="str">
        <f t="shared" si="0"/>
        <v>Mid Range</v>
      </c>
      <c r="O11" s="16" t="str">
        <f t="shared" si="0"/>
        <v>Mid Range</v>
      </c>
      <c r="P11" s="16" t="str">
        <f t="shared" si="0"/>
        <v/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 t="s">
        <v>25</v>
      </c>
      <c r="AR11" s="16" t="s">
        <v>25</v>
      </c>
      <c r="AS11" s="16" t="s">
        <v>25</v>
      </c>
      <c r="AT11" s="16"/>
    </row>
    <row r="12" spans="1:62" ht="15.75" customHeight="1" x14ac:dyDescent="0.25">
      <c r="A12" s="17" t="s">
        <v>27</v>
      </c>
      <c r="B12" s="19">
        <f ca="1">IFERROR(VLOOKUP(B1,AllListPrice!$A$2:$D$1000,4,0),0)</f>
        <v>5585.79</v>
      </c>
      <c r="C12" s="19">
        <f ca="1">IFERROR(VLOOKUP(C1,AllListPrice!$A$2:$D$1000,4,0),0)</f>
        <v>3076.63</v>
      </c>
      <c r="D12" s="19">
        <f ca="1">IFERROR(VLOOKUP(D1,AllListPrice!$A$2:$D$1000,4,0),0)</f>
        <v>4438.9799999999996</v>
      </c>
      <c r="E12" s="19">
        <f ca="1">IFERROR(VLOOKUP(E1,AllListPrice!$A$2:$D$1000,4,0),0)</f>
        <v>4870.07</v>
      </c>
      <c r="F12" s="19">
        <f ca="1">IFERROR(VLOOKUP(F1,AllListPrice!$A$2:$D$1000,4,0),0)</f>
        <v>5301.15</v>
      </c>
      <c r="G12" s="19">
        <f ca="1">IFERROR(VLOOKUP(G1,AllListPrice!$A$2:$D$1000,4,0),0)</f>
        <v>3173.83</v>
      </c>
      <c r="H12" s="19">
        <f ca="1">IFERROR(VLOOKUP(H1,AllListPrice!$A$2:$D$1000,4,0),0)</f>
        <v>2870.81</v>
      </c>
      <c r="I12" s="19">
        <f ca="1">IFERROR(VLOOKUP(I1,AllListPrice!$A$2:$D$1000,4,0),0)</f>
        <v>4982.70999999999</v>
      </c>
      <c r="J12" s="19">
        <f ca="1">IFERROR(VLOOKUP(J1,AllListPrice!$A$2:$D$1000,4,0),0)</f>
        <v>5437.05</v>
      </c>
      <c r="K12" s="19">
        <f ca="1">IFERROR(VLOOKUP(K1,AllListPrice!$A$2:$D$1000,4,0),0)</f>
        <v>5737.19</v>
      </c>
      <c r="L12" s="19">
        <f ca="1">IFERROR(VLOOKUP(L1,AllListPrice!$A$2:$D$1000,4,0),0)</f>
        <v>6120.74</v>
      </c>
      <c r="M12" s="19">
        <f ca="1">IFERROR(VLOOKUP(M1,AllListPrice!$A$2:$D$1000,4,0),0)</f>
        <v>6448.4699999999903</v>
      </c>
      <c r="N12" s="19">
        <f ca="1">IFERROR(VLOOKUP(N1,AllListPrice!$A$2:$D$1000,4,0),0)</f>
        <v>6448.4699999999903</v>
      </c>
      <c r="O12" s="19">
        <f ca="1">IFERROR(VLOOKUP(O1,AllListPrice!$A$2:$D$1000,4,0),0)</f>
        <v>5659.86</v>
      </c>
      <c r="P12" s="19">
        <f ca="1">IFERROR(VLOOKUP(P1,AllListPrice!$A$2:$D$1000,4,0),0)</f>
        <v>0</v>
      </c>
      <c r="Q12" s="19">
        <f ca="1">IFERROR(VLOOKUP(Q1,AllListPrice!$A$2:$D$1000,4,0),0)</f>
        <v>0</v>
      </c>
      <c r="R12" s="19">
        <f ca="1">IFERROR(VLOOKUP(R1,AllListPrice!$A$2:$D$1000,4,0),0)</f>
        <v>0</v>
      </c>
      <c r="S12" s="19">
        <f ca="1">IFERROR(VLOOKUP(S1,AllListPrice!$A$2:$D$1000,4,0),0)</f>
        <v>0</v>
      </c>
      <c r="T12" s="19">
        <f ca="1">IFERROR(VLOOKUP(T1,AllListPrice!$A$2:$D$1000,4,0),0)</f>
        <v>0</v>
      </c>
      <c r="U12" s="19">
        <f ca="1">IFERROR(VLOOKUP(U1,AllListPrice!$A$2:$D$1000,4,0),0)</f>
        <v>0</v>
      </c>
      <c r="V12" s="19">
        <f ca="1">IFERROR(VLOOKUP(V1,AllListPrice!$A$2:$D$1000,4,0),0)</f>
        <v>0</v>
      </c>
      <c r="W12" s="19">
        <f ca="1">IFERROR(VLOOKUP(W1,AllListPrice!$A$2:$D$1000,4,0),0)</f>
        <v>0</v>
      </c>
      <c r="X12" s="19">
        <f ca="1">IFERROR(VLOOKUP(X1,AllListPrice!$A$2:$D$1000,4,0),0)</f>
        <v>0</v>
      </c>
      <c r="Y12" s="19">
        <f ca="1">IFERROR(VLOOKUP(Y1,AllListPrice!$A$2:$D$1000,4,0),0)</f>
        <v>0</v>
      </c>
      <c r="Z12" s="19">
        <f ca="1">IFERROR(VLOOKUP(Z1,AllListPrice!$A$2:$D$1000,4,0),0)</f>
        <v>0</v>
      </c>
      <c r="AA12" s="19">
        <f ca="1">IFERROR(VLOOKUP(AA1,AllListPrice!$A$2:$D$1000,4,0),0)</f>
        <v>0</v>
      </c>
      <c r="AB12" s="19">
        <f ca="1">IFERROR(VLOOKUP(AB1,AllListPrice!$A$2:$D$1000,4,0),0)</f>
        <v>0</v>
      </c>
      <c r="AC12" s="19">
        <f ca="1">IFERROR(VLOOKUP(AC1,AllListPrice!$A$2:$D$1000,4,0),0)</f>
        <v>0</v>
      </c>
      <c r="AD12" s="19">
        <f ca="1">IFERROR(VLOOKUP(AD1,AllListPrice!$A$2:$D$1000,4,0),0)</f>
        <v>0</v>
      </c>
      <c r="AE12" s="19">
        <f ca="1">IFERROR(VLOOKUP(AE1,AllListPrice!$A$2:$D$1000,4,0),0)</f>
        <v>0</v>
      </c>
      <c r="AF12" s="19">
        <f ca="1">IFERROR(VLOOKUP(AF1,AllListPrice!$A$2:$D$1000,4,0),0)</f>
        <v>0</v>
      </c>
      <c r="AG12" s="19">
        <f ca="1">IFERROR(VLOOKUP(AG1,AllListPrice!$A$2:$D$1000,4,0),0)</f>
        <v>0</v>
      </c>
      <c r="AH12" s="19">
        <f ca="1">IFERROR(VLOOKUP(AH1,AllListPrice!$A$2:$D$1000,4,0),0)</f>
        <v>0</v>
      </c>
      <c r="AI12" s="19">
        <f ca="1">IFERROR(VLOOKUP(AI1,AllListPrice!$A$2:$D$1000,4,0),0)</f>
        <v>0</v>
      </c>
      <c r="AJ12" s="19">
        <f ca="1">IFERROR(VLOOKUP(AJ1,AllListPrice!$A$2:$D$1000,4,0),0)</f>
        <v>0</v>
      </c>
      <c r="AK12" s="19">
        <f ca="1">IFERROR(VLOOKUP(AK1,AllListPrice!$A$2:$D$1000,4,0),0)</f>
        <v>0</v>
      </c>
      <c r="AL12" s="19">
        <f ca="1">IFERROR(VLOOKUP(AL1,AllListPrice!$A$2:$D$1000,4,0),0)</f>
        <v>0</v>
      </c>
      <c r="AM12" s="19">
        <f ca="1">IFERROR(VLOOKUP(AM1,AllListPrice!$A$2:$D$1000,4,0),0)</f>
        <v>0</v>
      </c>
      <c r="AN12" s="19">
        <f ca="1">IFERROR(VLOOKUP(AN1,AllListPrice!$A$2:$D$1000,4,0),0)</f>
        <v>0</v>
      </c>
      <c r="AO12" s="19">
        <f ca="1">IFERROR(VLOOKUP(AO1,AllListPrice!$A$2:$D$1000,4,0),0)</f>
        <v>0</v>
      </c>
      <c r="AP12" s="19">
        <f ca="1">IFERROR(VLOOKUP(AP1,AllListPrice!$A$2:$D$1000,4,0),0)</f>
        <v>0</v>
      </c>
      <c r="AQ12" s="16"/>
      <c r="AR12" s="16"/>
      <c r="AS12" s="16"/>
      <c r="AT12" s="16"/>
    </row>
    <row r="13" spans="1:62" ht="15.75" customHeight="1" x14ac:dyDescent="0.25"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</row>
    <row r="14" spans="1:62" ht="15.75" customHeight="1" x14ac:dyDescent="0.25"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</row>
    <row r="15" spans="1:62" ht="15.75" customHeight="1" x14ac:dyDescent="0.25"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</row>
    <row r="16" spans="1:62" ht="15.75" customHeight="1" x14ac:dyDescent="0.25">
      <c r="A16" s="17">
        <f t="shared" ref="A16:A17" si="1">A9</f>
        <v>0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</row>
    <row r="17" spans="1:46" ht="15.75" customHeight="1" x14ac:dyDescent="0.25">
      <c r="A17" s="17">
        <f t="shared" si="1"/>
        <v>0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</row>
    <row r="18" spans="1:46" ht="15.75" customHeight="1" x14ac:dyDescent="0.25"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</row>
    <row r="19" spans="1:46" ht="15.75" customHeight="1" x14ac:dyDescent="0.25"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</row>
    <row r="20" spans="1:46" ht="12.5" x14ac:dyDescent="0.25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</row>
    <row r="21" spans="1:46" ht="12.5" x14ac:dyDescent="0.25"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</row>
    <row r="22" spans="1:46" ht="12.5" x14ac:dyDescent="0.25"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</row>
    <row r="23" spans="1:46" ht="12.5" x14ac:dyDescent="0.25"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</row>
    <row r="24" spans="1:46" ht="12.5" x14ac:dyDescent="0.25"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</row>
    <row r="25" spans="1:46" ht="12.5" x14ac:dyDescent="0.25"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</row>
    <row r="26" spans="1:46" ht="12.5" x14ac:dyDescent="0.25"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</row>
    <row r="27" spans="1:46" ht="12.5" x14ac:dyDescent="0.25"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</row>
    <row r="28" spans="1:46" ht="12.5" x14ac:dyDescent="0.25"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</row>
    <row r="29" spans="1:46" ht="12.5" x14ac:dyDescent="0.25"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</row>
    <row r="30" spans="1:46" ht="12.5" x14ac:dyDescent="0.25"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</row>
    <row r="31" spans="1:46" ht="12.5" x14ac:dyDescent="0.25"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</row>
    <row r="32" spans="1:46" ht="12.5" x14ac:dyDescent="0.25"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</row>
    <row r="33" spans="2:46" ht="12.5" x14ac:dyDescent="0.25"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</row>
    <row r="34" spans="2:46" ht="12.5" x14ac:dyDescent="0.25"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</row>
    <row r="35" spans="2:46" ht="12.5" x14ac:dyDescent="0.25"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</row>
    <row r="36" spans="2:46" ht="12.5" x14ac:dyDescent="0.25"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</row>
    <row r="37" spans="2:46" ht="12.5" x14ac:dyDescent="0.25"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</row>
    <row r="38" spans="2:46" ht="12.5" x14ac:dyDescent="0.25"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</row>
    <row r="39" spans="2:46" ht="12.5" x14ac:dyDescent="0.25"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</row>
    <row r="40" spans="2:46" ht="12.5" x14ac:dyDescent="0.25"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</row>
    <row r="41" spans="2:46" ht="12.5" x14ac:dyDescent="0.25"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</row>
    <row r="42" spans="2:46" ht="12.5" x14ac:dyDescent="0.25"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</row>
    <row r="43" spans="2:46" ht="12.5" x14ac:dyDescent="0.25"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</row>
    <row r="44" spans="2:46" ht="12.5" x14ac:dyDescent="0.25"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</row>
    <row r="45" spans="2:46" ht="12.5" x14ac:dyDescent="0.25"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</row>
    <row r="46" spans="2:46" ht="12.5" x14ac:dyDescent="0.25"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</row>
    <row r="47" spans="2:46" ht="12.5" x14ac:dyDescent="0.25"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</row>
    <row r="48" spans="2:46" ht="12.5" x14ac:dyDescent="0.25"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</row>
    <row r="49" spans="2:46" ht="12.5" x14ac:dyDescent="0.25"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</row>
    <row r="50" spans="2:46" ht="12.5" x14ac:dyDescent="0.25"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</row>
    <row r="51" spans="2:46" ht="12.5" x14ac:dyDescent="0.25"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</row>
    <row r="52" spans="2:46" ht="12.5" x14ac:dyDescent="0.25"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</row>
    <row r="53" spans="2:46" ht="12.5" x14ac:dyDescent="0.25"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</row>
    <row r="54" spans="2:46" ht="12.5" x14ac:dyDescent="0.25"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</row>
    <row r="55" spans="2:46" ht="12.5" x14ac:dyDescent="0.25"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</row>
    <row r="56" spans="2:46" ht="12.5" x14ac:dyDescent="0.25"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</row>
    <row r="57" spans="2:46" ht="12.5" x14ac:dyDescent="0.25"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</row>
    <row r="58" spans="2:46" ht="12.5" x14ac:dyDescent="0.25"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</row>
    <row r="59" spans="2:46" ht="12.5" x14ac:dyDescent="0.25"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</row>
    <row r="60" spans="2:46" ht="12.5" x14ac:dyDescent="0.25"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</row>
    <row r="61" spans="2:46" ht="12.5" x14ac:dyDescent="0.25"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</row>
    <row r="62" spans="2:46" ht="12.5" x14ac:dyDescent="0.25"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</row>
    <row r="63" spans="2:46" ht="12.5" x14ac:dyDescent="0.25"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</row>
    <row r="64" spans="2:46" ht="12.5" x14ac:dyDescent="0.25"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</row>
    <row r="65" spans="2:46" ht="12.5" x14ac:dyDescent="0.25"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</row>
    <row r="66" spans="2:46" ht="12.5" x14ac:dyDescent="0.25"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</row>
    <row r="67" spans="2:46" ht="12.5" x14ac:dyDescent="0.25"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</row>
    <row r="68" spans="2:46" ht="12.5" x14ac:dyDescent="0.25"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</row>
    <row r="69" spans="2:46" ht="12.5" x14ac:dyDescent="0.25"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</row>
    <row r="70" spans="2:46" ht="12.5" x14ac:dyDescent="0.25"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</row>
    <row r="71" spans="2:46" ht="12.5" x14ac:dyDescent="0.25"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</row>
    <row r="72" spans="2:46" ht="12.5" x14ac:dyDescent="0.25"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</row>
    <row r="73" spans="2:46" ht="12.5" x14ac:dyDescent="0.25"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</row>
    <row r="74" spans="2:46" ht="12.5" x14ac:dyDescent="0.25"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</row>
    <row r="75" spans="2:46" ht="12.5" x14ac:dyDescent="0.25"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</row>
    <row r="76" spans="2:46" ht="12.5" x14ac:dyDescent="0.25"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</row>
    <row r="77" spans="2:46" ht="12.5" x14ac:dyDescent="0.25"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</row>
    <row r="78" spans="2:46" ht="12.5" x14ac:dyDescent="0.25"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</row>
    <row r="79" spans="2:46" ht="12.5" x14ac:dyDescent="0.25"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</row>
    <row r="80" spans="2:46" ht="12.5" x14ac:dyDescent="0.25"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</row>
    <row r="81" spans="2:46" ht="12.5" x14ac:dyDescent="0.25"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</row>
    <row r="82" spans="2:46" ht="12.5" x14ac:dyDescent="0.25"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</row>
    <row r="83" spans="2:46" ht="12.5" x14ac:dyDescent="0.25"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</row>
    <row r="84" spans="2:46" ht="12.5" x14ac:dyDescent="0.25"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</row>
    <row r="85" spans="2:46" ht="12.5" x14ac:dyDescent="0.25"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</row>
    <row r="86" spans="2:46" ht="12.5" x14ac:dyDescent="0.25"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</row>
    <row r="87" spans="2:46" ht="12.5" x14ac:dyDescent="0.25"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</row>
    <row r="88" spans="2:46" ht="12.5" x14ac:dyDescent="0.25"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</row>
    <row r="89" spans="2:46" ht="12.5" x14ac:dyDescent="0.25"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</row>
    <row r="90" spans="2:46" ht="12.5" x14ac:dyDescent="0.25"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</row>
    <row r="91" spans="2:46" ht="12.5" x14ac:dyDescent="0.25"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</row>
    <row r="92" spans="2:46" ht="12.5" x14ac:dyDescent="0.25"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</row>
    <row r="93" spans="2:46" ht="12.5" x14ac:dyDescent="0.25"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</row>
    <row r="94" spans="2:46" ht="12.5" x14ac:dyDescent="0.25"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</row>
    <row r="95" spans="2:46" ht="12.5" x14ac:dyDescent="0.25"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</row>
    <row r="96" spans="2:46" ht="12.5" x14ac:dyDescent="0.25"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</row>
    <row r="97" spans="2:46" ht="12.5" x14ac:dyDescent="0.25"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</row>
    <row r="98" spans="2:46" ht="12.5" x14ac:dyDescent="0.25"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</row>
    <row r="99" spans="2:46" ht="12.5" x14ac:dyDescent="0.25"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</row>
    <row r="100" spans="2:46" ht="12.5" x14ac:dyDescent="0.25"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</row>
    <row r="101" spans="2:46" ht="12.5" x14ac:dyDescent="0.25"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</row>
    <row r="102" spans="2:46" ht="12.5" x14ac:dyDescent="0.25"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</row>
    <row r="103" spans="2:46" ht="12.5" x14ac:dyDescent="0.25"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</row>
    <row r="104" spans="2:46" ht="12.5" x14ac:dyDescent="0.25"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</row>
    <row r="105" spans="2:46" ht="12.5" x14ac:dyDescent="0.25"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</row>
    <row r="106" spans="2:46" ht="12.5" x14ac:dyDescent="0.25"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</row>
    <row r="107" spans="2:46" ht="12.5" x14ac:dyDescent="0.25"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</row>
    <row r="108" spans="2:46" ht="12.5" x14ac:dyDescent="0.25"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</row>
    <row r="109" spans="2:46" ht="12.5" x14ac:dyDescent="0.25"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</row>
    <row r="110" spans="2:46" ht="12.5" x14ac:dyDescent="0.25"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</row>
    <row r="111" spans="2:46" ht="12.5" x14ac:dyDescent="0.25"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</row>
    <row r="112" spans="2:46" ht="12.5" x14ac:dyDescent="0.25"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</row>
    <row r="113" spans="2:46" ht="12.5" x14ac:dyDescent="0.25"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</row>
    <row r="114" spans="2:46" ht="12.5" x14ac:dyDescent="0.25"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</row>
    <row r="115" spans="2:46" ht="12.5" x14ac:dyDescent="0.25"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</row>
    <row r="116" spans="2:46" ht="12.5" x14ac:dyDescent="0.25"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</row>
    <row r="117" spans="2:46" ht="12.5" x14ac:dyDescent="0.25"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</row>
    <row r="118" spans="2:46" ht="12.5" x14ac:dyDescent="0.25"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</row>
    <row r="119" spans="2:46" ht="12.5" x14ac:dyDescent="0.25"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</row>
    <row r="120" spans="2:46" ht="12.5" x14ac:dyDescent="0.25"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</row>
    <row r="121" spans="2:46" ht="12.5" x14ac:dyDescent="0.25"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</row>
    <row r="122" spans="2:46" ht="12.5" x14ac:dyDescent="0.25"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</row>
    <row r="123" spans="2:46" ht="12.5" x14ac:dyDescent="0.25"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</row>
    <row r="124" spans="2:46" ht="12.5" x14ac:dyDescent="0.25"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</row>
    <row r="125" spans="2:46" ht="12.5" x14ac:dyDescent="0.25"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</row>
    <row r="126" spans="2:46" ht="12.5" x14ac:dyDescent="0.25"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</row>
    <row r="127" spans="2:46" ht="12.5" x14ac:dyDescent="0.25"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</row>
    <row r="128" spans="2:46" ht="12.5" x14ac:dyDescent="0.25"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</row>
    <row r="129" spans="2:46" ht="12.5" x14ac:dyDescent="0.25"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</row>
    <row r="130" spans="2:46" ht="12.5" x14ac:dyDescent="0.25"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</row>
    <row r="131" spans="2:46" ht="12.5" x14ac:dyDescent="0.25"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</row>
    <row r="132" spans="2:46" ht="12.5" x14ac:dyDescent="0.25"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</row>
    <row r="133" spans="2:46" ht="12.5" x14ac:dyDescent="0.25"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</row>
    <row r="134" spans="2:46" ht="12.5" x14ac:dyDescent="0.25"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</row>
    <row r="135" spans="2:46" ht="12.5" x14ac:dyDescent="0.25"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</row>
    <row r="136" spans="2:46" ht="12.5" x14ac:dyDescent="0.25"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</row>
    <row r="137" spans="2:46" ht="12.5" x14ac:dyDescent="0.25"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</row>
    <row r="138" spans="2:46" ht="12.5" x14ac:dyDescent="0.25"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</row>
    <row r="139" spans="2:46" ht="12.5" x14ac:dyDescent="0.25"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</row>
    <row r="140" spans="2:46" ht="12.5" x14ac:dyDescent="0.25"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</row>
    <row r="141" spans="2:46" ht="12.5" x14ac:dyDescent="0.25"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</row>
    <row r="142" spans="2:46" ht="12.5" x14ac:dyDescent="0.25"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</row>
    <row r="143" spans="2:46" ht="12.5" x14ac:dyDescent="0.25"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</row>
    <row r="144" spans="2:46" ht="12.5" x14ac:dyDescent="0.25"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</row>
    <row r="145" spans="2:46" ht="12.5" x14ac:dyDescent="0.25"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</row>
    <row r="146" spans="2:46" ht="12.5" x14ac:dyDescent="0.25"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</row>
    <row r="147" spans="2:46" ht="12.5" x14ac:dyDescent="0.25"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</row>
    <row r="148" spans="2:46" ht="12.5" x14ac:dyDescent="0.25"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</row>
    <row r="149" spans="2:46" ht="12.5" x14ac:dyDescent="0.25"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</row>
    <row r="150" spans="2:46" ht="12.5" x14ac:dyDescent="0.25"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</row>
    <row r="151" spans="2:46" ht="12.5" x14ac:dyDescent="0.25"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</row>
    <row r="152" spans="2:46" ht="12.5" x14ac:dyDescent="0.25"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</row>
    <row r="153" spans="2:46" ht="12.5" x14ac:dyDescent="0.25"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</row>
    <row r="154" spans="2:46" ht="12.5" x14ac:dyDescent="0.25"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</row>
    <row r="155" spans="2:46" ht="12.5" x14ac:dyDescent="0.25"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</row>
    <row r="156" spans="2:46" ht="12.5" x14ac:dyDescent="0.25"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</row>
    <row r="157" spans="2:46" ht="12.5" x14ac:dyDescent="0.25"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</row>
    <row r="158" spans="2:46" ht="12.5" x14ac:dyDescent="0.25"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</row>
    <row r="159" spans="2:46" ht="12.5" x14ac:dyDescent="0.25"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</row>
    <row r="160" spans="2:46" ht="12.5" x14ac:dyDescent="0.25"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</row>
    <row r="161" spans="2:46" ht="12.5" x14ac:dyDescent="0.25"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</row>
    <row r="162" spans="2:46" ht="12.5" x14ac:dyDescent="0.25"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</row>
    <row r="163" spans="2:46" ht="12.5" x14ac:dyDescent="0.25"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</row>
    <row r="164" spans="2:46" ht="12.5" x14ac:dyDescent="0.25"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</row>
    <row r="165" spans="2:46" ht="12.5" x14ac:dyDescent="0.25"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</row>
    <row r="166" spans="2:46" ht="12.5" x14ac:dyDescent="0.25"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</row>
    <row r="167" spans="2:46" ht="12.5" x14ac:dyDescent="0.25"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</row>
    <row r="168" spans="2:46" ht="12.5" x14ac:dyDescent="0.25"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</row>
    <row r="169" spans="2:46" ht="12.5" x14ac:dyDescent="0.25"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</row>
    <row r="170" spans="2:46" ht="12.5" x14ac:dyDescent="0.25"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</row>
    <row r="171" spans="2:46" ht="12.5" x14ac:dyDescent="0.25"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</row>
    <row r="172" spans="2:46" ht="12.5" x14ac:dyDescent="0.25"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</row>
    <row r="173" spans="2:46" ht="12.5" x14ac:dyDescent="0.25"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</row>
    <row r="174" spans="2:46" ht="12.5" x14ac:dyDescent="0.25"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</row>
    <row r="175" spans="2:46" ht="12.5" x14ac:dyDescent="0.25"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</row>
    <row r="176" spans="2:46" ht="12.5" x14ac:dyDescent="0.25"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</row>
    <row r="177" spans="2:46" ht="12.5" x14ac:dyDescent="0.25"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</row>
    <row r="178" spans="2:46" ht="12.5" x14ac:dyDescent="0.25"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</row>
    <row r="179" spans="2:46" ht="12.5" x14ac:dyDescent="0.25"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</row>
    <row r="180" spans="2:46" ht="12.5" x14ac:dyDescent="0.25"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</row>
    <row r="181" spans="2:46" ht="12.5" x14ac:dyDescent="0.25"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</row>
    <row r="182" spans="2:46" ht="12.5" x14ac:dyDescent="0.25"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</row>
    <row r="183" spans="2:46" ht="12.5" x14ac:dyDescent="0.25"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</row>
    <row r="184" spans="2:46" ht="12.5" x14ac:dyDescent="0.25"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</row>
    <row r="185" spans="2:46" ht="12.5" x14ac:dyDescent="0.25"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</row>
    <row r="186" spans="2:46" ht="12.5" x14ac:dyDescent="0.25"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</row>
    <row r="187" spans="2:46" ht="12.5" x14ac:dyDescent="0.25"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</row>
    <row r="188" spans="2:46" ht="12.5" x14ac:dyDescent="0.25"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</row>
    <row r="189" spans="2:46" ht="12.5" x14ac:dyDescent="0.25"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</row>
    <row r="190" spans="2:46" ht="12.5" x14ac:dyDescent="0.25"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</row>
    <row r="191" spans="2:46" ht="12.5" x14ac:dyDescent="0.25"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</row>
    <row r="192" spans="2:46" ht="12.5" x14ac:dyDescent="0.25"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</row>
    <row r="193" spans="2:46" ht="12.5" x14ac:dyDescent="0.25"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</row>
    <row r="194" spans="2:46" ht="12.5" x14ac:dyDescent="0.25"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</row>
    <row r="195" spans="2:46" ht="12.5" x14ac:dyDescent="0.25"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</row>
    <row r="196" spans="2:46" ht="12.5" x14ac:dyDescent="0.25"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</row>
    <row r="197" spans="2:46" ht="12.5" x14ac:dyDescent="0.25"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</row>
    <row r="198" spans="2:46" ht="12.5" x14ac:dyDescent="0.25"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</row>
    <row r="199" spans="2:46" ht="12.5" x14ac:dyDescent="0.25"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</row>
    <row r="200" spans="2:46" ht="12.5" x14ac:dyDescent="0.25"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</row>
    <row r="201" spans="2:46" ht="12.5" x14ac:dyDescent="0.25"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</row>
    <row r="202" spans="2:46" ht="12.5" x14ac:dyDescent="0.25"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</row>
    <row r="203" spans="2:46" ht="12.5" x14ac:dyDescent="0.25"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</row>
    <row r="204" spans="2:46" ht="12.5" x14ac:dyDescent="0.25"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</row>
    <row r="205" spans="2:46" ht="12.5" x14ac:dyDescent="0.25"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</row>
    <row r="206" spans="2:46" ht="12.5" x14ac:dyDescent="0.25"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</row>
    <row r="207" spans="2:46" ht="12.5" x14ac:dyDescent="0.25"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</row>
    <row r="208" spans="2:46" ht="12.5" x14ac:dyDescent="0.25"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</row>
    <row r="209" spans="2:46" ht="12.5" x14ac:dyDescent="0.25"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</row>
    <row r="210" spans="2:46" ht="12.5" x14ac:dyDescent="0.25"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</row>
    <row r="211" spans="2:46" ht="12.5" x14ac:dyDescent="0.25"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</row>
    <row r="212" spans="2:46" ht="12.5" x14ac:dyDescent="0.25"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</row>
    <row r="213" spans="2:46" ht="12.5" x14ac:dyDescent="0.25"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</row>
    <row r="214" spans="2:46" ht="12.5" x14ac:dyDescent="0.25"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</row>
    <row r="215" spans="2:46" ht="12.5" x14ac:dyDescent="0.25"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</row>
    <row r="216" spans="2:46" ht="12.5" x14ac:dyDescent="0.25"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</row>
    <row r="217" spans="2:46" ht="12.5" x14ac:dyDescent="0.25"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</row>
    <row r="218" spans="2:46" ht="12.5" x14ac:dyDescent="0.25"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</row>
    <row r="219" spans="2:46" ht="12.5" x14ac:dyDescent="0.25"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</row>
    <row r="220" spans="2:46" ht="12.5" x14ac:dyDescent="0.25"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</row>
    <row r="221" spans="2:46" ht="12.5" x14ac:dyDescent="0.25"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</row>
    <row r="222" spans="2:46" ht="12.5" x14ac:dyDescent="0.25"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</row>
    <row r="223" spans="2:46" ht="12.5" x14ac:dyDescent="0.25"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</row>
    <row r="224" spans="2:46" ht="12.5" x14ac:dyDescent="0.25"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</row>
    <row r="225" spans="2:46" ht="12.5" x14ac:dyDescent="0.25"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</row>
    <row r="226" spans="2:46" ht="12.5" x14ac:dyDescent="0.25"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</row>
    <row r="227" spans="2:46" ht="12.5" x14ac:dyDescent="0.25"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</row>
    <row r="228" spans="2:46" ht="12.5" x14ac:dyDescent="0.25"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</row>
    <row r="229" spans="2:46" ht="12.5" x14ac:dyDescent="0.25"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</row>
    <row r="230" spans="2:46" ht="12.5" x14ac:dyDescent="0.25"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</row>
    <row r="231" spans="2:46" ht="12.5" x14ac:dyDescent="0.25"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</row>
    <row r="232" spans="2:46" ht="12.5" x14ac:dyDescent="0.25"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</row>
    <row r="233" spans="2:46" ht="12.5" x14ac:dyDescent="0.25"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</row>
    <row r="234" spans="2:46" ht="12.5" x14ac:dyDescent="0.25"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</row>
    <row r="235" spans="2:46" ht="12.5" x14ac:dyDescent="0.25"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</row>
    <row r="236" spans="2:46" ht="12.5" x14ac:dyDescent="0.25"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</row>
    <row r="237" spans="2:46" ht="12.5" x14ac:dyDescent="0.25"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</row>
    <row r="238" spans="2:46" ht="12.5" x14ac:dyDescent="0.25"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</row>
    <row r="239" spans="2:46" ht="12.5" x14ac:dyDescent="0.25"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</row>
    <row r="240" spans="2:46" ht="12.5" x14ac:dyDescent="0.25"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</row>
    <row r="241" spans="2:46" ht="12.5" x14ac:dyDescent="0.25"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</row>
    <row r="242" spans="2:46" ht="12.5" x14ac:dyDescent="0.25"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</row>
    <row r="243" spans="2:46" ht="12.5" x14ac:dyDescent="0.25"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</row>
    <row r="244" spans="2:46" ht="12.5" x14ac:dyDescent="0.25"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</row>
    <row r="245" spans="2:46" ht="12.5" x14ac:dyDescent="0.25"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</row>
    <row r="246" spans="2:46" ht="12.5" x14ac:dyDescent="0.25"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</row>
    <row r="247" spans="2:46" ht="12.5" x14ac:dyDescent="0.25"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</row>
    <row r="248" spans="2:46" ht="12.5" x14ac:dyDescent="0.25"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</row>
    <row r="249" spans="2:46" ht="12.5" x14ac:dyDescent="0.25"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</row>
    <row r="250" spans="2:46" ht="12.5" x14ac:dyDescent="0.25"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</row>
    <row r="251" spans="2:46" ht="12.5" x14ac:dyDescent="0.25"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</row>
    <row r="252" spans="2:46" ht="12.5" x14ac:dyDescent="0.25"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</row>
    <row r="253" spans="2:46" ht="12.5" x14ac:dyDescent="0.25"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</row>
    <row r="254" spans="2:46" ht="12.5" x14ac:dyDescent="0.25"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</row>
    <row r="255" spans="2:46" ht="12.5" x14ac:dyDescent="0.25"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</row>
    <row r="256" spans="2:46" ht="12.5" x14ac:dyDescent="0.25"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</row>
    <row r="257" spans="2:46" ht="12.5" x14ac:dyDescent="0.25"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</row>
    <row r="258" spans="2:46" ht="12.5" x14ac:dyDescent="0.25"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</row>
    <row r="259" spans="2:46" ht="12.5" x14ac:dyDescent="0.25"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</row>
    <row r="260" spans="2:46" ht="12.5" x14ac:dyDescent="0.25"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</row>
    <row r="261" spans="2:46" ht="12.5" x14ac:dyDescent="0.25"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</row>
    <row r="262" spans="2:46" ht="12.5" x14ac:dyDescent="0.25"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</row>
    <row r="263" spans="2:46" ht="12.5" x14ac:dyDescent="0.25"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</row>
    <row r="264" spans="2:46" ht="12.5" x14ac:dyDescent="0.25"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</row>
    <row r="265" spans="2:46" ht="12.5" x14ac:dyDescent="0.25"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</row>
    <row r="266" spans="2:46" ht="12.5" x14ac:dyDescent="0.25"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</row>
    <row r="267" spans="2:46" ht="12.5" x14ac:dyDescent="0.25"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</row>
    <row r="268" spans="2:46" ht="12.5" x14ac:dyDescent="0.25"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</row>
    <row r="269" spans="2:46" ht="12.5" x14ac:dyDescent="0.25"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</row>
    <row r="270" spans="2:46" ht="12.5" x14ac:dyDescent="0.25"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</row>
    <row r="271" spans="2:46" ht="12.5" x14ac:dyDescent="0.25"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</row>
    <row r="272" spans="2:46" ht="12.5" x14ac:dyDescent="0.25"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</row>
    <row r="273" spans="2:46" ht="12.5" x14ac:dyDescent="0.25"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</row>
    <row r="274" spans="2:46" ht="12.5" x14ac:dyDescent="0.25"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</row>
    <row r="275" spans="2:46" ht="12.5" x14ac:dyDescent="0.25"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</row>
    <row r="276" spans="2:46" ht="12.5" x14ac:dyDescent="0.25"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</row>
    <row r="277" spans="2:46" ht="12.5" x14ac:dyDescent="0.25"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</row>
    <row r="278" spans="2:46" ht="12.5" x14ac:dyDescent="0.25"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</row>
    <row r="279" spans="2:46" ht="12.5" x14ac:dyDescent="0.25"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</row>
    <row r="280" spans="2:46" ht="12.5" x14ac:dyDescent="0.25"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</row>
    <row r="281" spans="2:46" ht="12.5" x14ac:dyDescent="0.25"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</row>
    <row r="282" spans="2:46" ht="12.5" x14ac:dyDescent="0.25"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</row>
    <row r="283" spans="2:46" ht="12.5" x14ac:dyDescent="0.25"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</row>
    <row r="284" spans="2:46" ht="12.5" x14ac:dyDescent="0.25"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</row>
    <row r="285" spans="2:46" ht="12.5" x14ac:dyDescent="0.25"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</row>
    <row r="286" spans="2:46" ht="12.5" x14ac:dyDescent="0.25"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</row>
    <row r="287" spans="2:46" ht="12.5" x14ac:dyDescent="0.25"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</row>
    <row r="288" spans="2:46" ht="12.5" x14ac:dyDescent="0.25"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</row>
    <row r="289" spans="2:46" ht="12.5" x14ac:dyDescent="0.25"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</row>
    <row r="290" spans="2:46" ht="12.5" x14ac:dyDescent="0.25"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</row>
    <row r="291" spans="2:46" ht="12.5" x14ac:dyDescent="0.25"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</row>
    <row r="292" spans="2:46" ht="12.5" x14ac:dyDescent="0.25"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</row>
    <row r="293" spans="2:46" ht="12.5" x14ac:dyDescent="0.25"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</row>
    <row r="294" spans="2:46" ht="12.5" x14ac:dyDescent="0.25"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</row>
    <row r="295" spans="2:46" ht="12.5" x14ac:dyDescent="0.25"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</row>
    <row r="296" spans="2:46" ht="12.5" x14ac:dyDescent="0.25"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</row>
    <row r="297" spans="2:46" ht="12.5" x14ac:dyDescent="0.25"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</row>
    <row r="298" spans="2:46" ht="12.5" x14ac:dyDescent="0.25"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</row>
    <row r="299" spans="2:46" ht="12.5" x14ac:dyDescent="0.25"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</row>
    <row r="300" spans="2:46" ht="12.5" x14ac:dyDescent="0.25"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</row>
    <row r="301" spans="2:46" ht="12.5" x14ac:dyDescent="0.25"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</row>
    <row r="302" spans="2:46" ht="12.5" x14ac:dyDescent="0.25"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</row>
    <row r="303" spans="2:46" ht="12.5" x14ac:dyDescent="0.25"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</row>
    <row r="304" spans="2:46" ht="12.5" x14ac:dyDescent="0.25"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</row>
    <row r="305" spans="2:46" ht="12.5" x14ac:dyDescent="0.25"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</row>
    <row r="306" spans="2:46" ht="12.5" x14ac:dyDescent="0.25"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</row>
    <row r="307" spans="2:46" ht="12.5" x14ac:dyDescent="0.25"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</row>
    <row r="308" spans="2:46" ht="12.5" x14ac:dyDescent="0.25"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</row>
    <row r="309" spans="2:46" ht="12.5" x14ac:dyDescent="0.25"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</row>
    <row r="310" spans="2:46" ht="12.5" x14ac:dyDescent="0.25"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</row>
    <row r="311" spans="2:46" ht="12.5" x14ac:dyDescent="0.25"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</row>
    <row r="312" spans="2:46" ht="12.5" x14ac:dyDescent="0.25"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</row>
    <row r="313" spans="2:46" ht="12.5" x14ac:dyDescent="0.25"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</row>
    <row r="314" spans="2:46" ht="12.5" x14ac:dyDescent="0.25"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</row>
    <row r="315" spans="2:46" ht="12.5" x14ac:dyDescent="0.25"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</row>
    <row r="316" spans="2:46" ht="12.5" x14ac:dyDescent="0.25"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</row>
    <row r="317" spans="2:46" ht="12.5" x14ac:dyDescent="0.25"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</row>
    <row r="318" spans="2:46" ht="12.5" x14ac:dyDescent="0.25"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</row>
    <row r="319" spans="2:46" ht="12.5" x14ac:dyDescent="0.25"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</row>
    <row r="320" spans="2:46" ht="12.5" x14ac:dyDescent="0.25"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</row>
    <row r="321" spans="2:46" ht="12.5" x14ac:dyDescent="0.25"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</row>
    <row r="322" spans="2:46" ht="12.5" x14ac:dyDescent="0.25"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</row>
    <row r="323" spans="2:46" ht="12.5" x14ac:dyDescent="0.25"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</row>
    <row r="324" spans="2:46" ht="12.5" x14ac:dyDescent="0.25"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</row>
    <row r="325" spans="2:46" ht="12.5" x14ac:dyDescent="0.25"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</row>
    <row r="326" spans="2:46" ht="12.5" x14ac:dyDescent="0.25"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</row>
    <row r="327" spans="2:46" ht="12.5" x14ac:dyDescent="0.25"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</row>
    <row r="328" spans="2:46" ht="12.5" x14ac:dyDescent="0.25"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</row>
    <row r="329" spans="2:46" ht="12.5" x14ac:dyDescent="0.25"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</row>
    <row r="330" spans="2:46" ht="12.5" x14ac:dyDescent="0.25"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</row>
    <row r="331" spans="2:46" ht="12.5" x14ac:dyDescent="0.25"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</row>
    <row r="332" spans="2:46" ht="12.5" x14ac:dyDescent="0.25"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</row>
    <row r="333" spans="2:46" ht="12.5" x14ac:dyDescent="0.25"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</row>
    <row r="334" spans="2:46" ht="12.5" x14ac:dyDescent="0.25"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</row>
    <row r="335" spans="2:46" ht="12.5" x14ac:dyDescent="0.25"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</row>
    <row r="336" spans="2:46" ht="12.5" x14ac:dyDescent="0.25"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</row>
    <row r="337" spans="2:46" ht="12.5" x14ac:dyDescent="0.25"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</row>
    <row r="338" spans="2:46" ht="12.5" x14ac:dyDescent="0.25"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</row>
    <row r="339" spans="2:46" ht="12.5" x14ac:dyDescent="0.25"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</row>
    <row r="340" spans="2:46" ht="12.5" x14ac:dyDescent="0.25"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</row>
    <row r="341" spans="2:46" ht="12.5" x14ac:dyDescent="0.25"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</row>
    <row r="342" spans="2:46" ht="12.5" x14ac:dyDescent="0.25"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</row>
    <row r="343" spans="2:46" ht="12.5" x14ac:dyDescent="0.25"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</row>
    <row r="344" spans="2:46" ht="12.5" x14ac:dyDescent="0.25"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</row>
    <row r="345" spans="2:46" ht="12.5" x14ac:dyDescent="0.25"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</row>
    <row r="346" spans="2:46" ht="12.5" x14ac:dyDescent="0.25"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</row>
    <row r="347" spans="2:46" ht="12.5" x14ac:dyDescent="0.25"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</row>
    <row r="348" spans="2:46" ht="12.5" x14ac:dyDescent="0.25"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</row>
    <row r="349" spans="2:46" ht="12.5" x14ac:dyDescent="0.25"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</row>
    <row r="350" spans="2:46" ht="12.5" x14ac:dyDescent="0.25"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</row>
    <row r="351" spans="2:46" ht="12.5" x14ac:dyDescent="0.25"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</row>
    <row r="352" spans="2:46" ht="12.5" x14ac:dyDescent="0.25"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</row>
    <row r="353" spans="2:46" ht="12.5" x14ac:dyDescent="0.25"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</row>
    <row r="354" spans="2:46" ht="12.5" x14ac:dyDescent="0.25"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</row>
    <row r="355" spans="2:46" ht="12.5" x14ac:dyDescent="0.25"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</row>
    <row r="356" spans="2:46" ht="12.5" x14ac:dyDescent="0.25"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</row>
    <row r="357" spans="2:46" ht="12.5" x14ac:dyDescent="0.25"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</row>
    <row r="358" spans="2:46" ht="12.5" x14ac:dyDescent="0.25"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</row>
    <row r="359" spans="2:46" ht="12.5" x14ac:dyDescent="0.25"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</row>
    <row r="360" spans="2:46" ht="12.5" x14ac:dyDescent="0.25"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</row>
    <row r="361" spans="2:46" ht="12.5" x14ac:dyDescent="0.25"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</row>
    <row r="362" spans="2:46" ht="12.5" x14ac:dyDescent="0.25"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</row>
    <row r="363" spans="2:46" ht="12.5" x14ac:dyDescent="0.25"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</row>
    <row r="364" spans="2:46" ht="12.5" x14ac:dyDescent="0.25"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</row>
    <row r="365" spans="2:46" ht="12.5" x14ac:dyDescent="0.25"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</row>
    <row r="366" spans="2:46" ht="12.5" x14ac:dyDescent="0.25"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</row>
    <row r="367" spans="2:46" ht="12.5" x14ac:dyDescent="0.25"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</row>
    <row r="368" spans="2:46" ht="12.5" x14ac:dyDescent="0.25"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</row>
    <row r="369" spans="2:46" ht="12.5" x14ac:dyDescent="0.25"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</row>
    <row r="370" spans="2:46" ht="12.5" x14ac:dyDescent="0.25"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</row>
    <row r="371" spans="2:46" ht="12.5" x14ac:dyDescent="0.25"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</row>
    <row r="372" spans="2:46" ht="12.5" x14ac:dyDescent="0.25"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</row>
    <row r="373" spans="2:46" ht="12.5" x14ac:dyDescent="0.25"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</row>
    <row r="374" spans="2:46" ht="12.5" x14ac:dyDescent="0.25"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</row>
    <row r="375" spans="2:46" ht="12.5" x14ac:dyDescent="0.25"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</row>
    <row r="376" spans="2:46" ht="12.5" x14ac:dyDescent="0.25"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</row>
    <row r="377" spans="2:46" ht="12.5" x14ac:dyDescent="0.25"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</row>
    <row r="378" spans="2:46" ht="12.5" x14ac:dyDescent="0.25"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</row>
    <row r="379" spans="2:46" ht="12.5" x14ac:dyDescent="0.25"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</row>
    <row r="380" spans="2:46" ht="12.5" x14ac:dyDescent="0.25"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</row>
    <row r="381" spans="2:46" ht="12.5" x14ac:dyDescent="0.25"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</row>
    <row r="382" spans="2:46" ht="12.5" x14ac:dyDescent="0.25"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</row>
    <row r="383" spans="2:46" ht="12.5" x14ac:dyDescent="0.25"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</row>
    <row r="384" spans="2:46" ht="12.5" x14ac:dyDescent="0.25"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</row>
    <row r="385" spans="2:46" ht="12.5" x14ac:dyDescent="0.25"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</row>
    <row r="386" spans="2:46" ht="12.5" x14ac:dyDescent="0.25"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</row>
    <row r="387" spans="2:46" ht="12.5" x14ac:dyDescent="0.25"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</row>
    <row r="388" spans="2:46" ht="12.5" x14ac:dyDescent="0.25"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</row>
    <row r="389" spans="2:46" ht="12.5" x14ac:dyDescent="0.25"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</row>
    <row r="390" spans="2:46" ht="12.5" x14ac:dyDescent="0.25"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</row>
    <row r="391" spans="2:46" ht="12.5" x14ac:dyDescent="0.25"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</row>
    <row r="392" spans="2:46" ht="12.5" x14ac:dyDescent="0.25"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</row>
    <row r="393" spans="2:46" ht="12.5" x14ac:dyDescent="0.25"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</row>
    <row r="394" spans="2:46" ht="12.5" x14ac:dyDescent="0.25"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</row>
    <row r="395" spans="2:46" ht="12.5" x14ac:dyDescent="0.25"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</row>
    <row r="396" spans="2:46" ht="12.5" x14ac:dyDescent="0.25"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</row>
    <row r="397" spans="2:46" ht="12.5" x14ac:dyDescent="0.25"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</row>
    <row r="398" spans="2:46" ht="12.5" x14ac:dyDescent="0.25"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</row>
    <row r="399" spans="2:46" ht="12.5" x14ac:dyDescent="0.25"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</row>
    <row r="400" spans="2:46" ht="12.5" x14ac:dyDescent="0.25"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</row>
    <row r="401" spans="2:46" ht="12.5" x14ac:dyDescent="0.25"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</row>
    <row r="402" spans="2:46" ht="12.5" x14ac:dyDescent="0.25"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</row>
    <row r="403" spans="2:46" ht="12.5" x14ac:dyDescent="0.25"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</row>
    <row r="404" spans="2:46" ht="12.5" x14ac:dyDescent="0.25"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</row>
    <row r="405" spans="2:46" ht="12.5" x14ac:dyDescent="0.25"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</row>
    <row r="406" spans="2:46" ht="12.5" x14ac:dyDescent="0.25"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</row>
    <row r="407" spans="2:46" ht="12.5" x14ac:dyDescent="0.25"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</row>
    <row r="408" spans="2:46" ht="12.5" x14ac:dyDescent="0.25"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</row>
    <row r="409" spans="2:46" ht="12.5" x14ac:dyDescent="0.25"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</row>
    <row r="410" spans="2:46" ht="12.5" x14ac:dyDescent="0.25"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</row>
    <row r="411" spans="2:46" ht="12.5" x14ac:dyDescent="0.25"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</row>
    <row r="412" spans="2:46" ht="12.5" x14ac:dyDescent="0.25"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</row>
    <row r="413" spans="2:46" ht="12.5" x14ac:dyDescent="0.25"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</row>
    <row r="414" spans="2:46" ht="12.5" x14ac:dyDescent="0.25"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</row>
    <row r="415" spans="2:46" ht="12.5" x14ac:dyDescent="0.25"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</row>
    <row r="416" spans="2:46" ht="12.5" x14ac:dyDescent="0.25"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</row>
    <row r="417" spans="2:46" ht="12.5" x14ac:dyDescent="0.25"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</row>
    <row r="418" spans="2:46" ht="12.5" x14ac:dyDescent="0.25"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</row>
    <row r="419" spans="2:46" ht="12.5" x14ac:dyDescent="0.25"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</row>
    <row r="420" spans="2:46" ht="12.5" x14ac:dyDescent="0.25"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</row>
    <row r="421" spans="2:46" ht="12.5" x14ac:dyDescent="0.25"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</row>
    <row r="422" spans="2:46" ht="12.5" x14ac:dyDescent="0.25"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</row>
    <row r="423" spans="2:46" ht="12.5" x14ac:dyDescent="0.25"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</row>
    <row r="424" spans="2:46" ht="12.5" x14ac:dyDescent="0.25"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</row>
    <row r="425" spans="2:46" ht="12.5" x14ac:dyDescent="0.25"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</row>
    <row r="426" spans="2:46" ht="12.5" x14ac:dyDescent="0.25"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</row>
    <row r="427" spans="2:46" ht="12.5" x14ac:dyDescent="0.25"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</row>
    <row r="428" spans="2:46" ht="12.5" x14ac:dyDescent="0.25"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</row>
    <row r="429" spans="2:46" ht="12.5" x14ac:dyDescent="0.25"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</row>
    <row r="430" spans="2:46" ht="12.5" x14ac:dyDescent="0.25"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</row>
    <row r="431" spans="2:46" ht="12.5" x14ac:dyDescent="0.25"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</row>
    <row r="432" spans="2:46" ht="12.5" x14ac:dyDescent="0.25"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</row>
    <row r="433" spans="2:46" ht="12.5" x14ac:dyDescent="0.25"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</row>
    <row r="434" spans="2:46" ht="12.5" x14ac:dyDescent="0.25"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</row>
    <row r="435" spans="2:46" ht="12.5" x14ac:dyDescent="0.25"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</row>
    <row r="436" spans="2:46" ht="12.5" x14ac:dyDescent="0.25"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</row>
    <row r="437" spans="2:46" ht="12.5" x14ac:dyDescent="0.25"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</row>
    <row r="438" spans="2:46" ht="12.5" x14ac:dyDescent="0.25"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</row>
    <row r="439" spans="2:46" ht="12.5" x14ac:dyDescent="0.25"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</row>
    <row r="440" spans="2:46" ht="12.5" x14ac:dyDescent="0.25"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</row>
    <row r="441" spans="2:46" ht="12.5" x14ac:dyDescent="0.25"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</row>
    <row r="442" spans="2:46" ht="12.5" x14ac:dyDescent="0.25"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</row>
    <row r="443" spans="2:46" ht="12.5" x14ac:dyDescent="0.25"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</row>
    <row r="444" spans="2:46" ht="12.5" x14ac:dyDescent="0.25"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</row>
    <row r="445" spans="2:46" ht="12.5" x14ac:dyDescent="0.25"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</row>
    <row r="446" spans="2:46" ht="12.5" x14ac:dyDescent="0.25"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</row>
    <row r="447" spans="2:46" ht="12.5" x14ac:dyDescent="0.25"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</row>
    <row r="448" spans="2:46" ht="12.5" x14ac:dyDescent="0.25"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</row>
    <row r="449" spans="2:46" ht="12.5" x14ac:dyDescent="0.25"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</row>
    <row r="450" spans="2:46" ht="12.5" x14ac:dyDescent="0.25"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</row>
    <row r="451" spans="2:46" ht="12.5" x14ac:dyDescent="0.25"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</row>
    <row r="452" spans="2:46" ht="12.5" x14ac:dyDescent="0.25"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</row>
    <row r="453" spans="2:46" ht="12.5" x14ac:dyDescent="0.25"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</row>
    <row r="454" spans="2:46" ht="12.5" x14ac:dyDescent="0.25"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</row>
    <row r="455" spans="2:46" ht="12.5" x14ac:dyDescent="0.25"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</row>
    <row r="456" spans="2:46" ht="12.5" x14ac:dyDescent="0.25"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</row>
    <row r="457" spans="2:46" ht="12.5" x14ac:dyDescent="0.25"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</row>
    <row r="458" spans="2:46" ht="12.5" x14ac:dyDescent="0.25"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</row>
    <row r="459" spans="2:46" ht="12.5" x14ac:dyDescent="0.25"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</row>
    <row r="460" spans="2:46" ht="12.5" x14ac:dyDescent="0.25"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</row>
    <row r="461" spans="2:46" ht="12.5" x14ac:dyDescent="0.25"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</row>
    <row r="462" spans="2:46" ht="12.5" x14ac:dyDescent="0.25"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</row>
    <row r="463" spans="2:46" ht="12.5" x14ac:dyDescent="0.25"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</row>
    <row r="464" spans="2:46" ht="12.5" x14ac:dyDescent="0.25"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</row>
    <row r="465" spans="2:46" ht="12.5" x14ac:dyDescent="0.25"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</row>
    <row r="466" spans="2:46" ht="12.5" x14ac:dyDescent="0.25"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</row>
    <row r="467" spans="2:46" ht="12.5" x14ac:dyDescent="0.25"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</row>
    <row r="468" spans="2:46" ht="12.5" x14ac:dyDescent="0.25"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</row>
    <row r="469" spans="2:46" ht="12.5" x14ac:dyDescent="0.25"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</row>
    <row r="470" spans="2:46" ht="12.5" x14ac:dyDescent="0.25"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</row>
    <row r="471" spans="2:46" ht="12.5" x14ac:dyDescent="0.25"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</row>
    <row r="472" spans="2:46" ht="12.5" x14ac:dyDescent="0.25"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</row>
    <row r="473" spans="2:46" ht="12.5" x14ac:dyDescent="0.25"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</row>
    <row r="474" spans="2:46" ht="12.5" x14ac:dyDescent="0.25"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</row>
    <row r="475" spans="2:46" ht="12.5" x14ac:dyDescent="0.25"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</row>
    <row r="476" spans="2:46" ht="12.5" x14ac:dyDescent="0.25"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</row>
    <row r="477" spans="2:46" ht="12.5" x14ac:dyDescent="0.25"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</row>
    <row r="478" spans="2:46" ht="12.5" x14ac:dyDescent="0.25"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</row>
    <row r="479" spans="2:46" ht="12.5" x14ac:dyDescent="0.25"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</row>
    <row r="480" spans="2:46" ht="12.5" x14ac:dyDescent="0.25"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</row>
    <row r="481" spans="2:46" ht="12.5" x14ac:dyDescent="0.25"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</row>
    <row r="482" spans="2:46" ht="12.5" x14ac:dyDescent="0.25"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</row>
    <row r="483" spans="2:46" ht="12.5" x14ac:dyDescent="0.25"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</row>
    <row r="484" spans="2:46" ht="12.5" x14ac:dyDescent="0.25"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</row>
    <row r="485" spans="2:46" ht="12.5" x14ac:dyDescent="0.25"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</row>
    <row r="486" spans="2:46" ht="12.5" x14ac:dyDescent="0.25"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</row>
    <row r="487" spans="2:46" ht="12.5" x14ac:dyDescent="0.25"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</row>
    <row r="488" spans="2:46" ht="12.5" x14ac:dyDescent="0.25"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</row>
    <row r="489" spans="2:46" ht="12.5" x14ac:dyDescent="0.25"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</row>
    <row r="490" spans="2:46" ht="12.5" x14ac:dyDescent="0.25"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</row>
    <row r="491" spans="2:46" ht="12.5" x14ac:dyDescent="0.25"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</row>
    <row r="492" spans="2:46" ht="12.5" x14ac:dyDescent="0.25"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</row>
    <row r="493" spans="2:46" ht="12.5" x14ac:dyDescent="0.25"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</row>
    <row r="494" spans="2:46" ht="12.5" x14ac:dyDescent="0.25"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</row>
    <row r="495" spans="2:46" ht="12.5" x14ac:dyDescent="0.25"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</row>
    <row r="496" spans="2:46" ht="12.5" x14ac:dyDescent="0.25"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</row>
    <row r="497" spans="2:46" ht="12.5" x14ac:dyDescent="0.25"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</row>
    <row r="498" spans="2:46" ht="12.5" x14ac:dyDescent="0.25"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</row>
    <row r="499" spans="2:46" ht="12.5" x14ac:dyDescent="0.25"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</row>
    <row r="500" spans="2:46" ht="12.5" x14ac:dyDescent="0.25"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</row>
    <row r="501" spans="2:46" ht="12.5" x14ac:dyDescent="0.25"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</row>
    <row r="502" spans="2:46" ht="12.5" x14ac:dyDescent="0.25"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</row>
    <row r="503" spans="2:46" ht="12.5" x14ac:dyDescent="0.25"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</row>
    <row r="504" spans="2:46" ht="12.5" x14ac:dyDescent="0.25"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</row>
    <row r="505" spans="2:46" ht="12.5" x14ac:dyDescent="0.25"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</row>
    <row r="506" spans="2:46" ht="12.5" x14ac:dyDescent="0.25"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</row>
    <row r="507" spans="2:46" ht="12.5" x14ac:dyDescent="0.25"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</row>
    <row r="508" spans="2:46" ht="12.5" x14ac:dyDescent="0.25"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</row>
    <row r="509" spans="2:46" ht="12.5" x14ac:dyDescent="0.25"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</row>
    <row r="510" spans="2:46" ht="12.5" x14ac:dyDescent="0.25"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</row>
    <row r="511" spans="2:46" ht="12.5" x14ac:dyDescent="0.25"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</row>
    <row r="512" spans="2:46" ht="12.5" x14ac:dyDescent="0.25"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</row>
    <row r="513" spans="2:46" ht="12.5" x14ac:dyDescent="0.25"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</row>
    <row r="514" spans="2:46" ht="12.5" x14ac:dyDescent="0.25"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</row>
    <row r="515" spans="2:46" ht="12.5" x14ac:dyDescent="0.25"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</row>
    <row r="516" spans="2:46" ht="12.5" x14ac:dyDescent="0.25"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</row>
    <row r="517" spans="2:46" ht="12.5" x14ac:dyDescent="0.25"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</row>
    <row r="518" spans="2:46" ht="12.5" x14ac:dyDescent="0.25"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</row>
    <row r="519" spans="2:46" ht="12.5" x14ac:dyDescent="0.25"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</row>
    <row r="520" spans="2:46" ht="12.5" x14ac:dyDescent="0.25"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</row>
    <row r="521" spans="2:46" ht="12.5" x14ac:dyDescent="0.25"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</row>
    <row r="522" spans="2:46" ht="12.5" x14ac:dyDescent="0.25"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</row>
    <row r="523" spans="2:46" ht="12.5" x14ac:dyDescent="0.25"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</row>
    <row r="524" spans="2:46" ht="12.5" x14ac:dyDescent="0.25"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</row>
    <row r="525" spans="2:46" ht="12.5" x14ac:dyDescent="0.25"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</row>
    <row r="526" spans="2:46" ht="12.5" x14ac:dyDescent="0.25"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</row>
    <row r="527" spans="2:46" ht="12.5" x14ac:dyDescent="0.25"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</row>
    <row r="528" spans="2:46" ht="12.5" x14ac:dyDescent="0.25"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</row>
    <row r="529" spans="2:46" ht="12.5" x14ac:dyDescent="0.25"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</row>
    <row r="530" spans="2:46" ht="12.5" x14ac:dyDescent="0.25"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</row>
    <row r="531" spans="2:46" ht="12.5" x14ac:dyDescent="0.25"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</row>
    <row r="532" spans="2:46" ht="12.5" x14ac:dyDescent="0.25"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</row>
    <row r="533" spans="2:46" ht="12.5" x14ac:dyDescent="0.25"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</row>
    <row r="534" spans="2:46" ht="12.5" x14ac:dyDescent="0.25"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</row>
    <row r="535" spans="2:46" ht="12.5" x14ac:dyDescent="0.25"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</row>
    <row r="536" spans="2:46" ht="12.5" x14ac:dyDescent="0.25"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</row>
    <row r="537" spans="2:46" ht="12.5" x14ac:dyDescent="0.25"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</row>
    <row r="538" spans="2:46" ht="12.5" x14ac:dyDescent="0.25"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</row>
    <row r="539" spans="2:46" ht="12.5" x14ac:dyDescent="0.25"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</row>
    <row r="540" spans="2:46" ht="12.5" x14ac:dyDescent="0.25"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</row>
    <row r="541" spans="2:46" ht="12.5" x14ac:dyDescent="0.25"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</row>
    <row r="542" spans="2:46" ht="12.5" x14ac:dyDescent="0.25"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</row>
    <row r="543" spans="2:46" ht="12.5" x14ac:dyDescent="0.25"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</row>
    <row r="544" spans="2:46" ht="12.5" x14ac:dyDescent="0.25"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</row>
    <row r="545" spans="2:46" ht="12.5" x14ac:dyDescent="0.25"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</row>
    <row r="546" spans="2:46" ht="12.5" x14ac:dyDescent="0.25"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</row>
    <row r="547" spans="2:46" ht="12.5" x14ac:dyDescent="0.25"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</row>
    <row r="548" spans="2:46" ht="12.5" x14ac:dyDescent="0.25"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</row>
    <row r="549" spans="2:46" ht="12.5" x14ac:dyDescent="0.25"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</row>
    <row r="550" spans="2:46" ht="12.5" x14ac:dyDescent="0.25"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</row>
    <row r="551" spans="2:46" ht="12.5" x14ac:dyDescent="0.25"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</row>
    <row r="552" spans="2:46" ht="12.5" x14ac:dyDescent="0.25"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</row>
    <row r="553" spans="2:46" ht="12.5" x14ac:dyDescent="0.25"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</row>
    <row r="554" spans="2:46" ht="12.5" x14ac:dyDescent="0.25"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</row>
    <row r="555" spans="2:46" ht="12.5" x14ac:dyDescent="0.25"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</row>
    <row r="556" spans="2:46" ht="12.5" x14ac:dyDescent="0.25"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</row>
    <row r="557" spans="2:46" ht="12.5" x14ac:dyDescent="0.25"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</row>
    <row r="558" spans="2:46" ht="12.5" x14ac:dyDescent="0.25"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</row>
    <row r="559" spans="2:46" ht="12.5" x14ac:dyDescent="0.25"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</row>
    <row r="560" spans="2:46" ht="12.5" x14ac:dyDescent="0.25"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</row>
    <row r="561" spans="2:46" ht="12.5" x14ac:dyDescent="0.25"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</row>
    <row r="562" spans="2:46" ht="12.5" x14ac:dyDescent="0.25"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</row>
    <row r="563" spans="2:46" ht="12.5" x14ac:dyDescent="0.25"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</row>
    <row r="564" spans="2:46" ht="12.5" x14ac:dyDescent="0.25"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</row>
    <row r="565" spans="2:46" ht="12.5" x14ac:dyDescent="0.25"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</row>
    <row r="566" spans="2:46" ht="12.5" x14ac:dyDescent="0.25"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</row>
    <row r="567" spans="2:46" ht="12.5" x14ac:dyDescent="0.25"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</row>
    <row r="568" spans="2:46" ht="12.5" x14ac:dyDescent="0.25"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</row>
    <row r="569" spans="2:46" ht="12.5" x14ac:dyDescent="0.25"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</row>
    <row r="570" spans="2:46" ht="12.5" x14ac:dyDescent="0.25"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</row>
    <row r="571" spans="2:46" ht="12.5" x14ac:dyDescent="0.25"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</row>
    <row r="572" spans="2:46" ht="12.5" x14ac:dyDescent="0.25"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</row>
    <row r="573" spans="2:46" ht="12.5" x14ac:dyDescent="0.25"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</row>
    <row r="574" spans="2:46" ht="12.5" x14ac:dyDescent="0.25"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</row>
    <row r="575" spans="2:46" ht="12.5" x14ac:dyDescent="0.25"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</row>
    <row r="576" spans="2:46" ht="12.5" x14ac:dyDescent="0.25"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</row>
    <row r="577" spans="2:46" ht="12.5" x14ac:dyDescent="0.25"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</row>
    <row r="578" spans="2:46" ht="12.5" x14ac:dyDescent="0.25"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</row>
    <row r="579" spans="2:46" ht="12.5" x14ac:dyDescent="0.25"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</row>
    <row r="580" spans="2:46" ht="12.5" x14ac:dyDescent="0.25"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</row>
    <row r="581" spans="2:46" ht="12.5" x14ac:dyDescent="0.25"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</row>
    <row r="582" spans="2:46" ht="12.5" x14ac:dyDescent="0.25"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</row>
    <row r="583" spans="2:46" ht="12.5" x14ac:dyDescent="0.25"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</row>
    <row r="584" spans="2:46" ht="12.5" x14ac:dyDescent="0.25"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</row>
    <row r="585" spans="2:46" ht="12.5" x14ac:dyDescent="0.25"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</row>
    <row r="586" spans="2:46" ht="12.5" x14ac:dyDescent="0.25"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</row>
    <row r="587" spans="2:46" ht="12.5" x14ac:dyDescent="0.25"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</row>
    <row r="588" spans="2:46" ht="12.5" x14ac:dyDescent="0.25"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</row>
    <row r="589" spans="2:46" ht="12.5" x14ac:dyDescent="0.25"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</row>
    <row r="590" spans="2:46" ht="12.5" x14ac:dyDescent="0.25"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</row>
    <row r="591" spans="2:46" ht="12.5" x14ac:dyDescent="0.25"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</row>
    <row r="592" spans="2:46" ht="12.5" x14ac:dyDescent="0.25"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</row>
    <row r="593" spans="2:46" ht="12.5" x14ac:dyDescent="0.25"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</row>
    <row r="594" spans="2:46" ht="12.5" x14ac:dyDescent="0.25"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</row>
    <row r="595" spans="2:46" ht="12.5" x14ac:dyDescent="0.25"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</row>
    <row r="596" spans="2:46" ht="12.5" x14ac:dyDescent="0.25"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</row>
    <row r="597" spans="2:46" ht="12.5" x14ac:dyDescent="0.25"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</row>
    <row r="598" spans="2:46" ht="12.5" x14ac:dyDescent="0.25"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</row>
    <row r="599" spans="2:46" ht="12.5" x14ac:dyDescent="0.25"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</row>
    <row r="600" spans="2:46" ht="12.5" x14ac:dyDescent="0.25"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</row>
    <row r="601" spans="2:46" ht="12.5" x14ac:dyDescent="0.25"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</row>
    <row r="602" spans="2:46" ht="12.5" x14ac:dyDescent="0.25"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</row>
    <row r="603" spans="2:46" ht="12.5" x14ac:dyDescent="0.25"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</row>
    <row r="604" spans="2:46" ht="12.5" x14ac:dyDescent="0.25"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</row>
    <row r="605" spans="2:46" ht="12.5" x14ac:dyDescent="0.25"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</row>
    <row r="606" spans="2:46" ht="12.5" x14ac:dyDescent="0.25"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</row>
    <row r="607" spans="2:46" ht="12.5" x14ac:dyDescent="0.25"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</row>
    <row r="608" spans="2:46" ht="12.5" x14ac:dyDescent="0.25"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</row>
    <row r="609" spans="2:46" ht="12.5" x14ac:dyDescent="0.25"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</row>
    <row r="610" spans="2:46" ht="12.5" x14ac:dyDescent="0.25"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</row>
    <row r="611" spans="2:46" ht="12.5" x14ac:dyDescent="0.25"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</row>
    <row r="612" spans="2:46" ht="12.5" x14ac:dyDescent="0.25"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</row>
    <row r="613" spans="2:46" ht="12.5" x14ac:dyDescent="0.25"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</row>
    <row r="614" spans="2:46" ht="12.5" x14ac:dyDescent="0.25"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</row>
    <row r="615" spans="2:46" ht="12.5" x14ac:dyDescent="0.25"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</row>
    <row r="616" spans="2:46" ht="12.5" x14ac:dyDescent="0.25"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</row>
    <row r="617" spans="2:46" ht="12.5" x14ac:dyDescent="0.25"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</row>
    <row r="618" spans="2:46" ht="12.5" x14ac:dyDescent="0.25"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</row>
    <row r="619" spans="2:46" ht="12.5" x14ac:dyDescent="0.25"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</row>
    <row r="620" spans="2:46" ht="12.5" x14ac:dyDescent="0.25"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</row>
    <row r="621" spans="2:46" ht="12.5" x14ac:dyDescent="0.25"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</row>
    <row r="622" spans="2:46" ht="12.5" x14ac:dyDescent="0.25"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</row>
    <row r="623" spans="2:46" ht="12.5" x14ac:dyDescent="0.25"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</row>
    <row r="624" spans="2:46" ht="12.5" x14ac:dyDescent="0.25"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</row>
    <row r="625" spans="2:46" ht="12.5" x14ac:dyDescent="0.25"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</row>
    <row r="626" spans="2:46" ht="12.5" x14ac:dyDescent="0.25"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</row>
    <row r="627" spans="2:46" ht="12.5" x14ac:dyDescent="0.25"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</row>
    <row r="628" spans="2:46" ht="12.5" x14ac:dyDescent="0.25"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</row>
    <row r="629" spans="2:46" ht="12.5" x14ac:dyDescent="0.25"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</row>
    <row r="630" spans="2:46" ht="12.5" x14ac:dyDescent="0.25"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</row>
    <row r="631" spans="2:46" ht="12.5" x14ac:dyDescent="0.25"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</row>
    <row r="632" spans="2:46" ht="12.5" x14ac:dyDescent="0.25"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</row>
    <row r="633" spans="2:46" ht="12.5" x14ac:dyDescent="0.25"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</row>
    <row r="634" spans="2:46" ht="12.5" x14ac:dyDescent="0.25"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</row>
    <row r="635" spans="2:46" ht="12.5" x14ac:dyDescent="0.25"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</row>
    <row r="636" spans="2:46" ht="12.5" x14ac:dyDescent="0.25"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</row>
    <row r="637" spans="2:46" ht="12.5" x14ac:dyDescent="0.25"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</row>
    <row r="638" spans="2:46" ht="12.5" x14ac:dyDescent="0.25"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</row>
    <row r="639" spans="2:46" ht="12.5" x14ac:dyDescent="0.25"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</row>
    <row r="640" spans="2:46" ht="12.5" x14ac:dyDescent="0.25"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</row>
    <row r="641" spans="2:46" ht="12.5" x14ac:dyDescent="0.25"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</row>
    <row r="642" spans="2:46" ht="12.5" x14ac:dyDescent="0.25"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</row>
    <row r="643" spans="2:46" ht="12.5" x14ac:dyDescent="0.25"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</row>
    <row r="644" spans="2:46" ht="12.5" x14ac:dyDescent="0.25"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</row>
    <row r="645" spans="2:46" ht="12.5" x14ac:dyDescent="0.25"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</row>
    <row r="646" spans="2:46" ht="12.5" x14ac:dyDescent="0.25"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</row>
    <row r="647" spans="2:46" ht="12.5" x14ac:dyDescent="0.25"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</row>
    <row r="648" spans="2:46" ht="12.5" x14ac:dyDescent="0.25"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</row>
    <row r="649" spans="2:46" ht="12.5" x14ac:dyDescent="0.25"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</row>
    <row r="650" spans="2:46" ht="12.5" x14ac:dyDescent="0.25"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</row>
    <row r="651" spans="2:46" ht="12.5" x14ac:dyDescent="0.25"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</row>
    <row r="652" spans="2:46" ht="12.5" x14ac:dyDescent="0.25"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</row>
    <row r="653" spans="2:46" ht="12.5" x14ac:dyDescent="0.25"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</row>
    <row r="654" spans="2:46" ht="12.5" x14ac:dyDescent="0.25"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</row>
    <row r="655" spans="2:46" ht="12.5" x14ac:dyDescent="0.25"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</row>
    <row r="656" spans="2:46" ht="12.5" x14ac:dyDescent="0.25"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</row>
    <row r="657" spans="2:46" ht="12.5" x14ac:dyDescent="0.25"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</row>
    <row r="658" spans="2:46" ht="12.5" x14ac:dyDescent="0.25"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</row>
    <row r="659" spans="2:46" ht="12.5" x14ac:dyDescent="0.25"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</row>
    <row r="660" spans="2:46" ht="12.5" x14ac:dyDescent="0.25"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</row>
    <row r="661" spans="2:46" ht="12.5" x14ac:dyDescent="0.25"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</row>
    <row r="662" spans="2:46" ht="12.5" x14ac:dyDescent="0.25"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</row>
    <row r="663" spans="2:46" ht="12.5" x14ac:dyDescent="0.25"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</row>
    <row r="664" spans="2:46" ht="12.5" x14ac:dyDescent="0.25"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</row>
    <row r="665" spans="2:46" ht="12.5" x14ac:dyDescent="0.25"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</row>
    <row r="666" spans="2:46" ht="12.5" x14ac:dyDescent="0.25"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</row>
    <row r="667" spans="2:46" ht="12.5" x14ac:dyDescent="0.25"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</row>
    <row r="668" spans="2:46" ht="12.5" x14ac:dyDescent="0.25"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</row>
    <row r="669" spans="2:46" ht="12.5" x14ac:dyDescent="0.25"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</row>
    <row r="670" spans="2:46" ht="12.5" x14ac:dyDescent="0.25"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</row>
    <row r="671" spans="2:46" ht="12.5" x14ac:dyDescent="0.25"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</row>
    <row r="672" spans="2:46" ht="12.5" x14ac:dyDescent="0.25"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</row>
    <row r="673" spans="2:46" ht="12.5" x14ac:dyDescent="0.25"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</row>
    <row r="674" spans="2:46" ht="12.5" x14ac:dyDescent="0.25"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</row>
    <row r="675" spans="2:46" ht="12.5" x14ac:dyDescent="0.25"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</row>
    <row r="676" spans="2:46" ht="12.5" x14ac:dyDescent="0.25"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</row>
    <row r="677" spans="2:46" ht="12.5" x14ac:dyDescent="0.25"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</row>
    <row r="678" spans="2:46" ht="12.5" x14ac:dyDescent="0.25"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</row>
    <row r="679" spans="2:46" ht="12.5" x14ac:dyDescent="0.25"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</row>
    <row r="680" spans="2:46" ht="12.5" x14ac:dyDescent="0.25"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</row>
    <row r="681" spans="2:46" ht="12.5" x14ac:dyDescent="0.25"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</row>
    <row r="682" spans="2:46" ht="12.5" x14ac:dyDescent="0.25"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</row>
    <row r="683" spans="2:46" ht="12.5" x14ac:dyDescent="0.25"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</row>
    <row r="684" spans="2:46" ht="12.5" x14ac:dyDescent="0.25"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</row>
    <row r="685" spans="2:46" ht="12.5" x14ac:dyDescent="0.25"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</row>
    <row r="686" spans="2:46" ht="12.5" x14ac:dyDescent="0.25"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</row>
    <row r="687" spans="2:46" ht="12.5" x14ac:dyDescent="0.25"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</row>
    <row r="688" spans="2:46" ht="12.5" x14ac:dyDescent="0.25"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</row>
    <row r="689" spans="2:46" ht="12.5" x14ac:dyDescent="0.25"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</row>
    <row r="690" spans="2:46" ht="12.5" x14ac:dyDescent="0.25"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</row>
    <row r="691" spans="2:46" ht="12.5" x14ac:dyDescent="0.25"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</row>
    <row r="692" spans="2:46" ht="12.5" x14ac:dyDescent="0.25"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</row>
    <row r="693" spans="2:46" ht="12.5" x14ac:dyDescent="0.25"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</row>
    <row r="694" spans="2:46" ht="12.5" x14ac:dyDescent="0.25"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</row>
    <row r="695" spans="2:46" ht="12.5" x14ac:dyDescent="0.25"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</row>
    <row r="696" spans="2:46" ht="12.5" x14ac:dyDescent="0.25"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</row>
    <row r="697" spans="2:46" ht="12.5" x14ac:dyDescent="0.25"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</row>
    <row r="698" spans="2:46" ht="12.5" x14ac:dyDescent="0.25"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</row>
    <row r="699" spans="2:46" ht="12.5" x14ac:dyDescent="0.25"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</row>
    <row r="700" spans="2:46" ht="12.5" x14ac:dyDescent="0.25"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</row>
    <row r="701" spans="2:46" ht="12.5" x14ac:dyDescent="0.25"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</row>
    <row r="702" spans="2:46" ht="12.5" x14ac:dyDescent="0.25"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</row>
    <row r="703" spans="2:46" ht="12.5" x14ac:dyDescent="0.25"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</row>
    <row r="704" spans="2:46" ht="12.5" x14ac:dyDescent="0.25"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</row>
    <row r="705" spans="2:46" ht="12.5" x14ac:dyDescent="0.25"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</row>
    <row r="706" spans="2:46" ht="12.5" x14ac:dyDescent="0.25"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</row>
    <row r="707" spans="2:46" ht="12.5" x14ac:dyDescent="0.25"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</row>
    <row r="708" spans="2:46" ht="12.5" x14ac:dyDescent="0.25"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</row>
    <row r="709" spans="2:46" ht="12.5" x14ac:dyDescent="0.25"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</row>
    <row r="710" spans="2:46" ht="12.5" x14ac:dyDescent="0.25"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</row>
    <row r="711" spans="2:46" ht="12.5" x14ac:dyDescent="0.25"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</row>
    <row r="712" spans="2:46" ht="12.5" x14ac:dyDescent="0.25"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</row>
    <row r="713" spans="2:46" ht="12.5" x14ac:dyDescent="0.25"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</row>
    <row r="714" spans="2:46" ht="12.5" x14ac:dyDescent="0.25"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</row>
    <row r="715" spans="2:46" ht="12.5" x14ac:dyDescent="0.25"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</row>
    <row r="716" spans="2:46" ht="12.5" x14ac:dyDescent="0.25"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</row>
    <row r="717" spans="2:46" ht="12.5" x14ac:dyDescent="0.25"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</row>
    <row r="718" spans="2:46" ht="12.5" x14ac:dyDescent="0.25"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</row>
    <row r="719" spans="2:46" ht="12.5" x14ac:dyDescent="0.25"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</row>
    <row r="720" spans="2:46" ht="12.5" x14ac:dyDescent="0.25"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</row>
    <row r="721" spans="2:46" ht="12.5" x14ac:dyDescent="0.25"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</row>
    <row r="722" spans="2:46" ht="12.5" x14ac:dyDescent="0.25"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</row>
    <row r="723" spans="2:46" ht="12.5" x14ac:dyDescent="0.25"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</row>
    <row r="724" spans="2:46" ht="12.5" x14ac:dyDescent="0.25"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</row>
    <row r="725" spans="2:46" ht="12.5" x14ac:dyDescent="0.25"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</row>
    <row r="726" spans="2:46" ht="12.5" x14ac:dyDescent="0.25"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</row>
    <row r="727" spans="2:46" ht="12.5" x14ac:dyDescent="0.25"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</row>
    <row r="728" spans="2:46" ht="12.5" x14ac:dyDescent="0.25"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</row>
    <row r="729" spans="2:46" ht="12.5" x14ac:dyDescent="0.25"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</row>
    <row r="730" spans="2:46" ht="12.5" x14ac:dyDescent="0.25"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</row>
    <row r="731" spans="2:46" ht="12.5" x14ac:dyDescent="0.25"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</row>
    <row r="732" spans="2:46" ht="12.5" x14ac:dyDescent="0.25"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</row>
    <row r="733" spans="2:46" ht="12.5" x14ac:dyDescent="0.25"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</row>
    <row r="734" spans="2:46" ht="12.5" x14ac:dyDescent="0.25"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</row>
    <row r="735" spans="2:46" ht="12.5" x14ac:dyDescent="0.25"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</row>
    <row r="736" spans="2:46" ht="12.5" x14ac:dyDescent="0.25"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</row>
    <row r="737" spans="2:46" ht="12.5" x14ac:dyDescent="0.25"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</row>
    <row r="738" spans="2:46" ht="12.5" x14ac:dyDescent="0.25"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</row>
    <row r="739" spans="2:46" ht="12.5" x14ac:dyDescent="0.25"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</row>
    <row r="740" spans="2:46" ht="12.5" x14ac:dyDescent="0.25"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</row>
    <row r="741" spans="2:46" ht="12.5" x14ac:dyDescent="0.25"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</row>
    <row r="742" spans="2:46" ht="12.5" x14ac:dyDescent="0.25"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</row>
    <row r="743" spans="2:46" ht="12.5" x14ac:dyDescent="0.25"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</row>
    <row r="744" spans="2:46" ht="12.5" x14ac:dyDescent="0.25"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</row>
    <row r="745" spans="2:46" ht="12.5" x14ac:dyDescent="0.25"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</row>
    <row r="746" spans="2:46" ht="12.5" x14ac:dyDescent="0.25"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</row>
    <row r="747" spans="2:46" ht="12.5" x14ac:dyDescent="0.25"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</row>
    <row r="748" spans="2:46" ht="12.5" x14ac:dyDescent="0.25"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</row>
    <row r="749" spans="2:46" ht="12.5" x14ac:dyDescent="0.25"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</row>
    <row r="750" spans="2:46" ht="12.5" x14ac:dyDescent="0.25"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</row>
    <row r="751" spans="2:46" ht="12.5" x14ac:dyDescent="0.25"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</row>
    <row r="752" spans="2:46" ht="12.5" x14ac:dyDescent="0.25"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</row>
    <row r="753" spans="2:46" ht="12.5" x14ac:dyDescent="0.25"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</row>
    <row r="754" spans="2:46" ht="12.5" x14ac:dyDescent="0.25"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</row>
    <row r="755" spans="2:46" ht="12.5" x14ac:dyDescent="0.25"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</row>
    <row r="756" spans="2:46" ht="12.5" x14ac:dyDescent="0.25"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</row>
    <row r="757" spans="2:46" ht="12.5" x14ac:dyDescent="0.25"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</row>
    <row r="758" spans="2:46" ht="12.5" x14ac:dyDescent="0.25"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</row>
    <row r="759" spans="2:46" ht="12.5" x14ac:dyDescent="0.25"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</row>
    <row r="760" spans="2:46" ht="12.5" x14ac:dyDescent="0.25"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</row>
    <row r="761" spans="2:46" ht="12.5" x14ac:dyDescent="0.25"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</row>
    <row r="762" spans="2:46" ht="12.5" x14ac:dyDescent="0.25"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</row>
    <row r="763" spans="2:46" ht="12.5" x14ac:dyDescent="0.25"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</row>
    <row r="764" spans="2:46" ht="12.5" x14ac:dyDescent="0.25"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</row>
    <row r="765" spans="2:46" ht="12.5" x14ac:dyDescent="0.25"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</row>
    <row r="766" spans="2:46" ht="12.5" x14ac:dyDescent="0.25"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</row>
    <row r="767" spans="2:46" ht="12.5" x14ac:dyDescent="0.25"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</row>
    <row r="768" spans="2:46" ht="12.5" x14ac:dyDescent="0.25"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</row>
    <row r="769" spans="2:46" ht="12.5" x14ac:dyDescent="0.25"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</row>
    <row r="770" spans="2:46" ht="12.5" x14ac:dyDescent="0.25"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</row>
    <row r="771" spans="2:46" ht="12.5" x14ac:dyDescent="0.25"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</row>
    <row r="772" spans="2:46" ht="12.5" x14ac:dyDescent="0.25"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</row>
    <row r="773" spans="2:46" ht="12.5" x14ac:dyDescent="0.25"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</row>
    <row r="774" spans="2:46" ht="12.5" x14ac:dyDescent="0.25"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</row>
    <row r="775" spans="2:46" ht="12.5" x14ac:dyDescent="0.25"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</row>
    <row r="776" spans="2:46" ht="12.5" x14ac:dyDescent="0.25"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</row>
    <row r="777" spans="2:46" ht="12.5" x14ac:dyDescent="0.25"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</row>
    <row r="778" spans="2:46" ht="12.5" x14ac:dyDescent="0.25"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</row>
    <row r="779" spans="2:46" ht="12.5" x14ac:dyDescent="0.25"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</row>
    <row r="780" spans="2:46" ht="12.5" x14ac:dyDescent="0.25"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</row>
    <row r="781" spans="2:46" ht="12.5" x14ac:dyDescent="0.25"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</row>
    <row r="782" spans="2:46" ht="12.5" x14ac:dyDescent="0.25"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</row>
    <row r="783" spans="2:46" ht="12.5" x14ac:dyDescent="0.25"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</row>
    <row r="784" spans="2:46" ht="12.5" x14ac:dyDescent="0.25"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</row>
    <row r="785" spans="2:46" ht="12.5" x14ac:dyDescent="0.25"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</row>
    <row r="786" spans="2:46" ht="12.5" x14ac:dyDescent="0.25"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</row>
    <row r="787" spans="2:46" ht="12.5" x14ac:dyDescent="0.25"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</row>
    <row r="788" spans="2:46" ht="12.5" x14ac:dyDescent="0.25"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</row>
    <row r="789" spans="2:46" ht="12.5" x14ac:dyDescent="0.25"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</row>
    <row r="790" spans="2:46" ht="12.5" x14ac:dyDescent="0.25"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</row>
    <row r="791" spans="2:46" ht="12.5" x14ac:dyDescent="0.25"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</row>
    <row r="792" spans="2:46" ht="12.5" x14ac:dyDescent="0.25"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</row>
    <row r="793" spans="2:46" ht="12.5" x14ac:dyDescent="0.25"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</row>
    <row r="794" spans="2:46" ht="12.5" x14ac:dyDescent="0.25"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</row>
    <row r="795" spans="2:46" ht="12.5" x14ac:dyDescent="0.25"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</row>
    <row r="796" spans="2:46" ht="12.5" x14ac:dyDescent="0.25"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</row>
    <row r="797" spans="2:46" ht="12.5" x14ac:dyDescent="0.25"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</row>
    <row r="798" spans="2:46" ht="12.5" x14ac:dyDescent="0.25"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</row>
    <row r="799" spans="2:46" ht="12.5" x14ac:dyDescent="0.25"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</row>
    <row r="800" spans="2:46" ht="12.5" x14ac:dyDescent="0.25"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</row>
    <row r="801" spans="2:46" ht="12.5" x14ac:dyDescent="0.25"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</row>
    <row r="802" spans="2:46" ht="12.5" x14ac:dyDescent="0.25"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</row>
    <row r="803" spans="2:46" ht="12.5" x14ac:dyDescent="0.25"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</row>
    <row r="804" spans="2:46" ht="12.5" x14ac:dyDescent="0.25"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</row>
    <row r="805" spans="2:46" ht="12.5" x14ac:dyDescent="0.25"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</row>
    <row r="806" spans="2:46" ht="12.5" x14ac:dyDescent="0.25"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</row>
    <row r="807" spans="2:46" ht="12.5" x14ac:dyDescent="0.25"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</row>
    <row r="808" spans="2:46" ht="12.5" x14ac:dyDescent="0.25"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</row>
    <row r="809" spans="2:46" ht="12.5" x14ac:dyDescent="0.25"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</row>
    <row r="810" spans="2:46" ht="12.5" x14ac:dyDescent="0.25"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</row>
    <row r="811" spans="2:46" ht="12.5" x14ac:dyDescent="0.25"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</row>
    <row r="812" spans="2:46" ht="12.5" x14ac:dyDescent="0.25"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</row>
    <row r="813" spans="2:46" ht="12.5" x14ac:dyDescent="0.25"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</row>
    <row r="814" spans="2:46" ht="12.5" x14ac:dyDescent="0.25"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</row>
    <row r="815" spans="2:46" ht="12.5" x14ac:dyDescent="0.25"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</row>
    <row r="816" spans="2:46" ht="12.5" x14ac:dyDescent="0.25"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</row>
    <row r="817" spans="2:46" ht="12.5" x14ac:dyDescent="0.25"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</row>
    <row r="818" spans="2:46" ht="12.5" x14ac:dyDescent="0.25"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</row>
    <row r="819" spans="2:46" ht="12.5" x14ac:dyDescent="0.25"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</row>
    <row r="820" spans="2:46" ht="12.5" x14ac:dyDescent="0.25"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</row>
    <row r="821" spans="2:46" ht="12.5" x14ac:dyDescent="0.25"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</row>
    <row r="822" spans="2:46" ht="12.5" x14ac:dyDescent="0.25"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</row>
    <row r="823" spans="2:46" ht="12.5" x14ac:dyDescent="0.25"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</row>
    <row r="824" spans="2:46" ht="12.5" x14ac:dyDescent="0.25"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</row>
    <row r="825" spans="2:46" ht="12.5" x14ac:dyDescent="0.25"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</row>
    <row r="826" spans="2:46" ht="12.5" x14ac:dyDescent="0.25"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</row>
    <row r="827" spans="2:46" ht="12.5" x14ac:dyDescent="0.25"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</row>
    <row r="828" spans="2:46" ht="12.5" x14ac:dyDescent="0.25"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</row>
    <row r="829" spans="2:46" ht="12.5" x14ac:dyDescent="0.25"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</row>
    <row r="830" spans="2:46" ht="12.5" x14ac:dyDescent="0.25"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</row>
    <row r="831" spans="2:46" ht="12.5" x14ac:dyDescent="0.25"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</row>
    <row r="832" spans="2:46" ht="12.5" x14ac:dyDescent="0.25"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</row>
    <row r="833" spans="2:46" ht="12.5" x14ac:dyDescent="0.25"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</row>
    <row r="834" spans="2:46" ht="12.5" x14ac:dyDescent="0.25"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</row>
    <row r="835" spans="2:46" ht="12.5" x14ac:dyDescent="0.25"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</row>
    <row r="836" spans="2:46" ht="12.5" x14ac:dyDescent="0.25"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</row>
    <row r="837" spans="2:46" ht="12.5" x14ac:dyDescent="0.25"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</row>
    <row r="838" spans="2:46" ht="12.5" x14ac:dyDescent="0.25"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</row>
    <row r="839" spans="2:46" ht="12.5" x14ac:dyDescent="0.25"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</row>
    <row r="840" spans="2:46" ht="12.5" x14ac:dyDescent="0.25"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</row>
    <row r="841" spans="2:46" ht="12.5" x14ac:dyDescent="0.25"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</row>
    <row r="842" spans="2:46" ht="12.5" x14ac:dyDescent="0.25"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</row>
    <row r="843" spans="2:46" ht="12.5" x14ac:dyDescent="0.25"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</row>
    <row r="844" spans="2:46" ht="12.5" x14ac:dyDescent="0.25"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</row>
    <row r="845" spans="2:46" ht="12.5" x14ac:dyDescent="0.25"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</row>
    <row r="846" spans="2:46" ht="12.5" x14ac:dyDescent="0.25"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</row>
    <row r="847" spans="2:46" ht="12.5" x14ac:dyDescent="0.25"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</row>
    <row r="848" spans="2:46" ht="12.5" x14ac:dyDescent="0.25"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</row>
    <row r="849" spans="2:46" ht="12.5" x14ac:dyDescent="0.25"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</row>
    <row r="850" spans="2:46" ht="12.5" x14ac:dyDescent="0.25"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</row>
    <row r="851" spans="2:46" ht="12.5" x14ac:dyDescent="0.25"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</row>
    <row r="852" spans="2:46" ht="12.5" x14ac:dyDescent="0.25"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</row>
    <row r="853" spans="2:46" ht="12.5" x14ac:dyDescent="0.25"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</row>
    <row r="854" spans="2:46" ht="12.5" x14ac:dyDescent="0.25"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</row>
    <row r="855" spans="2:46" ht="12.5" x14ac:dyDescent="0.25"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</row>
    <row r="856" spans="2:46" ht="12.5" x14ac:dyDescent="0.25"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</row>
    <row r="857" spans="2:46" ht="12.5" x14ac:dyDescent="0.25"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</row>
    <row r="858" spans="2:46" ht="12.5" x14ac:dyDescent="0.25"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</row>
    <row r="859" spans="2:46" ht="12.5" x14ac:dyDescent="0.25"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</row>
    <row r="860" spans="2:46" ht="12.5" x14ac:dyDescent="0.25"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</row>
    <row r="861" spans="2:46" ht="12.5" x14ac:dyDescent="0.25"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</row>
    <row r="862" spans="2:46" ht="12.5" x14ac:dyDescent="0.25"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</row>
    <row r="863" spans="2:46" ht="12.5" x14ac:dyDescent="0.25"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</row>
    <row r="864" spans="2:46" ht="12.5" x14ac:dyDescent="0.25"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</row>
    <row r="865" spans="2:46" ht="12.5" x14ac:dyDescent="0.25"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</row>
    <row r="866" spans="2:46" ht="12.5" x14ac:dyDescent="0.25"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</row>
    <row r="867" spans="2:46" ht="12.5" x14ac:dyDescent="0.25"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</row>
    <row r="868" spans="2:46" ht="12.5" x14ac:dyDescent="0.25"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</row>
    <row r="869" spans="2:46" ht="12.5" x14ac:dyDescent="0.25"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</row>
    <row r="870" spans="2:46" ht="12.5" x14ac:dyDescent="0.25"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</row>
    <row r="871" spans="2:46" ht="12.5" x14ac:dyDescent="0.25"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</row>
    <row r="872" spans="2:46" ht="12.5" x14ac:dyDescent="0.25"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</row>
    <row r="873" spans="2:46" ht="12.5" x14ac:dyDescent="0.25"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</row>
    <row r="874" spans="2:46" ht="12.5" x14ac:dyDescent="0.25"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</row>
    <row r="875" spans="2:46" ht="12.5" x14ac:dyDescent="0.25"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</row>
    <row r="876" spans="2:46" ht="12.5" x14ac:dyDescent="0.25"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</row>
    <row r="877" spans="2:46" ht="12.5" x14ac:dyDescent="0.25"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</row>
    <row r="878" spans="2:46" ht="12.5" x14ac:dyDescent="0.25"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</row>
    <row r="879" spans="2:46" ht="12.5" x14ac:dyDescent="0.25"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</row>
    <row r="880" spans="2:46" ht="12.5" x14ac:dyDescent="0.25"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</row>
    <row r="881" spans="2:46" ht="12.5" x14ac:dyDescent="0.25"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</row>
    <row r="882" spans="2:46" ht="12.5" x14ac:dyDescent="0.25"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</row>
    <row r="883" spans="2:46" ht="12.5" x14ac:dyDescent="0.25"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</row>
    <row r="884" spans="2:46" ht="12.5" x14ac:dyDescent="0.25"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</row>
    <row r="885" spans="2:46" ht="12.5" x14ac:dyDescent="0.25"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</row>
    <row r="886" spans="2:46" ht="12.5" x14ac:dyDescent="0.25"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</row>
    <row r="887" spans="2:46" ht="12.5" x14ac:dyDescent="0.25"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</row>
    <row r="888" spans="2:46" ht="12.5" x14ac:dyDescent="0.25"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</row>
    <row r="889" spans="2:46" ht="12.5" x14ac:dyDescent="0.25"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</row>
    <row r="890" spans="2:46" ht="12.5" x14ac:dyDescent="0.25"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</row>
    <row r="891" spans="2:46" ht="12.5" x14ac:dyDescent="0.25"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</row>
    <row r="892" spans="2:46" ht="12.5" x14ac:dyDescent="0.25"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</row>
    <row r="893" spans="2:46" ht="12.5" x14ac:dyDescent="0.25"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</row>
    <row r="894" spans="2:46" ht="12.5" x14ac:dyDescent="0.25"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</row>
    <row r="895" spans="2:46" ht="12.5" x14ac:dyDescent="0.25"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</row>
    <row r="896" spans="2:46" ht="12.5" x14ac:dyDescent="0.25"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</row>
    <row r="897" spans="2:46" ht="12.5" x14ac:dyDescent="0.25"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</row>
    <row r="898" spans="2:46" ht="12.5" x14ac:dyDescent="0.25"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</row>
    <row r="899" spans="2:46" ht="12.5" x14ac:dyDescent="0.25"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</row>
    <row r="900" spans="2:46" ht="12.5" x14ac:dyDescent="0.25"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</row>
    <row r="901" spans="2:46" ht="12.5" x14ac:dyDescent="0.25"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</row>
    <row r="902" spans="2:46" ht="12.5" x14ac:dyDescent="0.25"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</row>
    <row r="903" spans="2:46" ht="12.5" x14ac:dyDescent="0.25"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</row>
    <row r="904" spans="2:46" ht="12.5" x14ac:dyDescent="0.25"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</row>
    <row r="905" spans="2:46" ht="12.5" x14ac:dyDescent="0.25"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</row>
    <row r="906" spans="2:46" ht="12.5" x14ac:dyDescent="0.25"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</row>
    <row r="907" spans="2:46" ht="12.5" x14ac:dyDescent="0.25"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</row>
    <row r="908" spans="2:46" ht="12.5" x14ac:dyDescent="0.25"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</row>
    <row r="909" spans="2:46" ht="12.5" x14ac:dyDescent="0.25"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</row>
    <row r="910" spans="2:46" ht="12.5" x14ac:dyDescent="0.25"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</row>
    <row r="911" spans="2:46" ht="12.5" x14ac:dyDescent="0.25"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</row>
    <row r="912" spans="2:46" ht="12.5" x14ac:dyDescent="0.25"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</row>
    <row r="913" spans="2:46" ht="12.5" x14ac:dyDescent="0.25"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</row>
    <row r="914" spans="2:46" ht="12.5" x14ac:dyDescent="0.25"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</row>
    <row r="915" spans="2:46" ht="12.5" x14ac:dyDescent="0.25"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</row>
    <row r="916" spans="2:46" ht="12.5" x14ac:dyDescent="0.25"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</row>
    <row r="917" spans="2:46" ht="12.5" x14ac:dyDescent="0.25"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</row>
    <row r="918" spans="2:46" ht="12.5" x14ac:dyDescent="0.25"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</row>
    <row r="919" spans="2:46" ht="12.5" x14ac:dyDescent="0.25"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</row>
    <row r="920" spans="2:46" ht="12.5" x14ac:dyDescent="0.25"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</row>
    <row r="921" spans="2:46" ht="12.5" x14ac:dyDescent="0.25"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</row>
    <row r="922" spans="2:46" ht="12.5" x14ac:dyDescent="0.25"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</row>
    <row r="923" spans="2:46" ht="12.5" x14ac:dyDescent="0.25"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</row>
    <row r="924" spans="2:46" ht="12.5" x14ac:dyDescent="0.25"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</row>
    <row r="925" spans="2:46" ht="12.5" x14ac:dyDescent="0.25"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</row>
    <row r="926" spans="2:46" ht="12.5" x14ac:dyDescent="0.25"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</row>
    <row r="927" spans="2:46" ht="12.5" x14ac:dyDescent="0.25"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</row>
    <row r="928" spans="2:46" ht="12.5" x14ac:dyDescent="0.25"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</row>
    <row r="929" spans="2:46" ht="12.5" x14ac:dyDescent="0.25"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</row>
    <row r="930" spans="2:46" ht="12.5" x14ac:dyDescent="0.25"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</row>
    <row r="931" spans="2:46" ht="12.5" x14ac:dyDescent="0.25"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</row>
    <row r="932" spans="2:46" ht="12.5" x14ac:dyDescent="0.25"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</row>
    <row r="933" spans="2:46" ht="12.5" x14ac:dyDescent="0.25"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</row>
    <row r="934" spans="2:46" ht="12.5" x14ac:dyDescent="0.25"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</row>
    <row r="935" spans="2:46" ht="12.5" x14ac:dyDescent="0.25"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</row>
    <row r="936" spans="2:46" ht="12.5" x14ac:dyDescent="0.25"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</row>
    <row r="937" spans="2:46" ht="12.5" x14ac:dyDescent="0.25"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</row>
    <row r="938" spans="2:46" ht="12.5" x14ac:dyDescent="0.25"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</row>
    <row r="939" spans="2:46" ht="12.5" x14ac:dyDescent="0.25"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</row>
    <row r="940" spans="2:46" ht="12.5" x14ac:dyDescent="0.25"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</row>
    <row r="941" spans="2:46" ht="12.5" x14ac:dyDescent="0.25"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</row>
    <row r="942" spans="2:46" ht="12.5" x14ac:dyDescent="0.25"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</row>
    <row r="943" spans="2:46" ht="12.5" x14ac:dyDescent="0.25"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</row>
    <row r="944" spans="2:46" ht="12.5" x14ac:dyDescent="0.25"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</row>
    <row r="945" spans="2:46" ht="12.5" x14ac:dyDescent="0.25"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</row>
    <row r="946" spans="2:46" ht="12.5" x14ac:dyDescent="0.25"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</row>
    <row r="947" spans="2:46" ht="12.5" x14ac:dyDescent="0.25"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</row>
    <row r="948" spans="2:46" ht="12.5" x14ac:dyDescent="0.25"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</row>
    <row r="949" spans="2:46" ht="12.5" x14ac:dyDescent="0.25"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</row>
    <row r="950" spans="2:46" ht="12.5" x14ac:dyDescent="0.25"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</row>
    <row r="951" spans="2:46" ht="12.5" x14ac:dyDescent="0.25"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</row>
    <row r="952" spans="2:46" ht="12.5" x14ac:dyDescent="0.25"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</row>
    <row r="953" spans="2:46" ht="12.5" x14ac:dyDescent="0.25"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</row>
    <row r="954" spans="2:46" ht="12.5" x14ac:dyDescent="0.25"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</row>
    <row r="955" spans="2:46" ht="12.5" x14ac:dyDescent="0.25"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</row>
    <row r="956" spans="2:46" ht="12.5" x14ac:dyDescent="0.25"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</row>
    <row r="957" spans="2:46" ht="12.5" x14ac:dyDescent="0.25"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</row>
    <row r="958" spans="2:46" ht="12.5" x14ac:dyDescent="0.25"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</row>
    <row r="959" spans="2:46" ht="12.5" x14ac:dyDescent="0.25"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</row>
    <row r="960" spans="2:46" ht="12.5" x14ac:dyDescent="0.25"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</row>
    <row r="961" spans="2:46" ht="12.5" x14ac:dyDescent="0.25"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</row>
    <row r="962" spans="2:46" ht="12.5" x14ac:dyDescent="0.25"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</row>
    <row r="963" spans="2:46" ht="12.5" x14ac:dyDescent="0.25"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</row>
    <row r="964" spans="2:46" ht="12.5" x14ac:dyDescent="0.25"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</row>
    <row r="965" spans="2:46" ht="12.5" x14ac:dyDescent="0.25"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</row>
    <row r="966" spans="2:46" ht="12.5" x14ac:dyDescent="0.25"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</row>
    <row r="967" spans="2:46" ht="12.5" x14ac:dyDescent="0.25"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</row>
    <row r="968" spans="2:46" ht="12.5" x14ac:dyDescent="0.25"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</row>
    <row r="969" spans="2:46" ht="12.5" x14ac:dyDescent="0.25"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</row>
    <row r="970" spans="2:46" ht="12.5" x14ac:dyDescent="0.25"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</row>
    <row r="971" spans="2:46" ht="12.5" x14ac:dyDescent="0.25"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</row>
    <row r="972" spans="2:46" ht="12.5" x14ac:dyDescent="0.25"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</row>
    <row r="973" spans="2:46" ht="12.5" x14ac:dyDescent="0.25"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</row>
    <row r="974" spans="2:46" ht="12.5" x14ac:dyDescent="0.25"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</row>
    <row r="975" spans="2:46" ht="12.5" x14ac:dyDescent="0.25"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</row>
    <row r="976" spans="2:46" ht="12.5" x14ac:dyDescent="0.25"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</row>
    <row r="977" spans="2:46" ht="12.5" x14ac:dyDescent="0.25"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</row>
    <row r="978" spans="2:46" ht="12.5" x14ac:dyDescent="0.25"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</row>
    <row r="979" spans="2:46" ht="12.5" x14ac:dyDescent="0.25"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</row>
    <row r="980" spans="2:46" ht="12.5" x14ac:dyDescent="0.25"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</row>
    <row r="981" spans="2:46" ht="12.5" x14ac:dyDescent="0.25"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</row>
    <row r="982" spans="2:46" ht="12.5" x14ac:dyDescent="0.25"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</row>
    <row r="983" spans="2:46" ht="12.5" x14ac:dyDescent="0.25"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</row>
    <row r="984" spans="2:46" ht="12.5" x14ac:dyDescent="0.25"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</row>
    <row r="985" spans="2:46" ht="12.5" x14ac:dyDescent="0.25"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</row>
    <row r="986" spans="2:46" ht="12.5" x14ac:dyDescent="0.25"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</row>
    <row r="987" spans="2:46" ht="12.5" x14ac:dyDescent="0.25"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</row>
    <row r="988" spans="2:46" ht="12.5" x14ac:dyDescent="0.25"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</row>
    <row r="989" spans="2:46" ht="12.5" x14ac:dyDescent="0.25"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</row>
    <row r="990" spans="2:46" ht="12.5" x14ac:dyDescent="0.25"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</row>
    <row r="991" spans="2:46" ht="12.5" x14ac:dyDescent="0.25"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</row>
    <row r="992" spans="2:46" ht="12.5" x14ac:dyDescent="0.25"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F99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328125" defaultRowHeight="15.75" customHeight="1" x14ac:dyDescent="0.25"/>
  <cols>
    <col min="1" max="1" width="19.6328125" customWidth="1"/>
    <col min="2" max="4" width="12.6328125" customWidth="1"/>
    <col min="5" max="7" width="13.453125" customWidth="1"/>
    <col min="8" max="10" width="14.36328125" customWidth="1"/>
    <col min="11" max="13" width="12.453125" customWidth="1"/>
    <col min="14" max="14" width="12.36328125" customWidth="1"/>
    <col min="15" max="15" width="13.453125" customWidth="1"/>
    <col min="16" max="22" width="11.7265625" customWidth="1"/>
    <col min="23" max="23" width="16.453125" customWidth="1"/>
    <col min="24" max="24" width="17.6328125" customWidth="1"/>
    <col min="25" max="25" width="16.453125" customWidth="1"/>
  </cols>
  <sheetData>
    <row r="1" spans="1:32" x14ac:dyDescent="0.3">
      <c r="A1" s="26" t="str">
        <f>Specs!I1</f>
        <v>SFP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  <c r="Z1" s="16"/>
      <c r="AA1" s="16"/>
      <c r="AB1" s="16"/>
      <c r="AC1" s="16"/>
      <c r="AD1" s="16"/>
      <c r="AE1" s="16"/>
      <c r="AF1" s="16"/>
    </row>
    <row r="2" spans="1:32" ht="15.75" customHeight="1" x14ac:dyDescent="0.25">
      <c r="A2" s="27" t="str">
        <f>Specs!I2</f>
        <v>Tốc độ (1G/10G/100G)</v>
      </c>
      <c r="B2" s="13">
        <v>1</v>
      </c>
      <c r="C2" s="13">
        <v>1</v>
      </c>
      <c r="D2" s="13">
        <v>1</v>
      </c>
      <c r="E2" s="13">
        <v>10</v>
      </c>
      <c r="F2" s="13">
        <v>10</v>
      </c>
      <c r="G2" s="13">
        <v>10</v>
      </c>
      <c r="H2" s="13">
        <v>100</v>
      </c>
      <c r="I2" s="13">
        <v>100</v>
      </c>
      <c r="J2" s="13">
        <v>100</v>
      </c>
      <c r="K2" s="13">
        <v>1</v>
      </c>
      <c r="L2" s="13">
        <v>1</v>
      </c>
      <c r="M2" s="13">
        <v>1</v>
      </c>
      <c r="N2" s="13">
        <v>1</v>
      </c>
      <c r="O2" s="13">
        <v>10</v>
      </c>
      <c r="P2" s="13">
        <v>10</v>
      </c>
      <c r="Q2" s="13">
        <v>10</v>
      </c>
      <c r="R2" s="13">
        <v>10</v>
      </c>
      <c r="S2" s="13">
        <v>10</v>
      </c>
      <c r="T2" s="13">
        <v>10</v>
      </c>
      <c r="U2" s="13">
        <v>10</v>
      </c>
      <c r="V2" s="13">
        <v>10</v>
      </c>
      <c r="W2" s="13">
        <v>100</v>
      </c>
      <c r="X2" s="13">
        <v>100</v>
      </c>
      <c r="Y2" s="13">
        <v>100</v>
      </c>
      <c r="Z2" s="16"/>
      <c r="AA2" s="16"/>
      <c r="AB2" s="16"/>
      <c r="AC2" s="16"/>
      <c r="AD2" s="16"/>
      <c r="AE2" s="16"/>
      <c r="AF2" s="16"/>
    </row>
    <row r="3" spans="1:32" ht="15.75" customHeight="1" x14ac:dyDescent="0.25">
      <c r="A3" s="27" t="str">
        <f>Specs!I3</f>
        <v>Khoảng cách truyền (km)</v>
      </c>
      <c r="B3" s="13">
        <v>10</v>
      </c>
      <c r="C3" s="13">
        <v>40</v>
      </c>
      <c r="D3" s="13">
        <v>80</v>
      </c>
      <c r="E3" s="13">
        <v>10</v>
      </c>
      <c r="F3" s="13">
        <v>40</v>
      </c>
      <c r="G3" s="13">
        <v>80</v>
      </c>
      <c r="H3" s="13">
        <v>10</v>
      </c>
      <c r="I3" s="13">
        <v>40</v>
      </c>
      <c r="J3" s="13">
        <v>80</v>
      </c>
      <c r="K3" s="13">
        <v>0.5</v>
      </c>
      <c r="L3" s="13">
        <v>10</v>
      </c>
      <c r="M3" s="13">
        <v>40</v>
      </c>
      <c r="N3" s="13">
        <v>70</v>
      </c>
      <c r="O3" s="13">
        <v>0.5</v>
      </c>
      <c r="P3" s="13">
        <v>0.5</v>
      </c>
      <c r="Q3" s="13">
        <v>10</v>
      </c>
      <c r="R3" s="13">
        <v>10</v>
      </c>
      <c r="S3" s="13">
        <v>40</v>
      </c>
      <c r="T3" s="13">
        <v>40</v>
      </c>
      <c r="U3" s="13">
        <v>80</v>
      </c>
      <c r="V3" s="13">
        <v>80</v>
      </c>
      <c r="W3" s="13">
        <v>10</v>
      </c>
      <c r="X3" s="13">
        <v>40</v>
      </c>
      <c r="Y3" s="13">
        <v>80</v>
      </c>
      <c r="Z3" s="16"/>
      <c r="AA3" s="16"/>
      <c r="AB3" s="16"/>
      <c r="AC3" s="16"/>
      <c r="AD3" s="16"/>
      <c r="AE3" s="16"/>
      <c r="AF3" s="16"/>
    </row>
    <row r="4" spans="1:32" ht="15.75" customHeight="1" x14ac:dyDescent="0.25">
      <c r="A4" s="28" t="s">
        <v>163</v>
      </c>
      <c r="B4" s="16" t="s">
        <v>23</v>
      </c>
      <c r="C4" s="16" t="s">
        <v>23</v>
      </c>
      <c r="D4" s="16" t="s">
        <v>23</v>
      </c>
      <c r="E4" s="16" t="s">
        <v>23</v>
      </c>
      <c r="F4" s="16" t="s">
        <v>23</v>
      </c>
      <c r="G4" s="16" t="s">
        <v>23</v>
      </c>
      <c r="H4" s="16" t="s">
        <v>23</v>
      </c>
      <c r="I4" s="16" t="s">
        <v>23</v>
      </c>
      <c r="J4" s="16" t="s">
        <v>23</v>
      </c>
      <c r="K4" s="16" t="s">
        <v>25</v>
      </c>
      <c r="L4" s="16" t="s">
        <v>25</v>
      </c>
      <c r="M4" s="16" t="s">
        <v>25</v>
      </c>
      <c r="N4" s="16" t="s">
        <v>25</v>
      </c>
      <c r="O4" s="16" t="s">
        <v>25</v>
      </c>
      <c r="P4" s="16" t="s">
        <v>25</v>
      </c>
      <c r="Q4" s="16" t="s">
        <v>25</v>
      </c>
      <c r="R4" s="16" t="s">
        <v>25</v>
      </c>
      <c r="S4" s="16" t="s">
        <v>25</v>
      </c>
      <c r="T4" s="16" t="s">
        <v>25</v>
      </c>
      <c r="U4" s="16" t="s">
        <v>25</v>
      </c>
      <c r="V4" s="16" t="s">
        <v>25</v>
      </c>
      <c r="W4" s="16" t="s">
        <v>25</v>
      </c>
      <c r="X4" s="16" t="s">
        <v>25</v>
      </c>
      <c r="Y4" s="16" t="s">
        <v>25</v>
      </c>
      <c r="Z4" s="16"/>
      <c r="AA4" s="16"/>
      <c r="AB4" s="16"/>
      <c r="AC4" s="16"/>
      <c r="AD4" s="16"/>
      <c r="AE4" s="16"/>
      <c r="AF4" s="16"/>
    </row>
    <row r="5" spans="1:32" ht="15.75" customHeight="1" x14ac:dyDescent="0.25">
      <c r="A5" s="28" t="s">
        <v>27</v>
      </c>
      <c r="B5" s="19">
        <f ca="1">IFERROR(VLOOKUP(B1,AllListPrice!$A$2:$D$1000,4,0),0)</f>
        <v>0</v>
      </c>
      <c r="C5" s="19">
        <f ca="1">IFERROR(VLOOKUP(C1,AllListPrice!$A$2:$D$1000,4,0),0)</f>
        <v>0</v>
      </c>
      <c r="D5" s="19">
        <f ca="1">IFERROR(VLOOKUP(D1,AllListPrice!$A$2:$D$1000,4,0),0)</f>
        <v>0</v>
      </c>
      <c r="E5" s="19">
        <f ca="1">IFERROR(VLOOKUP(E1,AllListPrice!$A$2:$D$1000,4,0),0)</f>
        <v>0</v>
      </c>
      <c r="F5" s="19">
        <f ca="1">IFERROR(VLOOKUP(F1,AllListPrice!$A$2:$D$1000,4,0),0)</f>
        <v>0</v>
      </c>
      <c r="G5" s="19">
        <f ca="1">IFERROR(VLOOKUP(G1,AllListPrice!$A$2:$D$1000,4,0),0)</f>
        <v>0</v>
      </c>
      <c r="H5" s="19">
        <f ca="1">IFERROR(VLOOKUP(H1,AllListPrice!$A$2:$D$1000,4,0),0)</f>
        <v>0</v>
      </c>
      <c r="I5" s="19">
        <f ca="1">IFERROR(VLOOKUP(I1,AllListPrice!$A$2:$D$1000,4,0),0)</f>
        <v>0</v>
      </c>
      <c r="J5" s="19">
        <f ca="1">IFERROR(VLOOKUP(J1,AllListPrice!$A$2:$D$1000,4,0),0)</f>
        <v>0</v>
      </c>
      <c r="K5" s="19">
        <f ca="1">IFERROR(VLOOKUP(K1,AllListPrice!$A$2:$D$1000,4,0),0)</f>
        <v>608.51</v>
      </c>
      <c r="L5" s="19">
        <f ca="1">IFERROR(VLOOKUP(L1,AllListPrice!$A$2:$D$1000,4,0),0)</f>
        <v>1210.94</v>
      </c>
      <c r="M5" s="19">
        <f ca="1">IFERROR(VLOOKUP(M1,AllListPrice!$A$2:$D$1000,4,0),0)</f>
        <v>2427.96</v>
      </c>
      <c r="N5" s="19">
        <f ca="1">IFERROR(VLOOKUP(N1,AllListPrice!$A$2:$D$1000,4,0),0)</f>
        <v>4861.99</v>
      </c>
      <c r="O5" s="19">
        <f ca="1">IFERROR(VLOOKUP(O1,AllListPrice!$A$2:$D$1000,4,0),0)</f>
        <v>851.91</v>
      </c>
      <c r="P5" s="19">
        <f ca="1">IFERROR(VLOOKUP(P1,AllListPrice!$A$2:$D$1000,4,0),0)</f>
        <v>1210.94</v>
      </c>
      <c r="Q5" s="19">
        <f ca="1">IFERROR(VLOOKUP(Q1,AllListPrice!$A$2:$D$1000,4,0),0)</f>
        <v>2434.04</v>
      </c>
      <c r="R5" s="19">
        <f ca="1">IFERROR(VLOOKUP(R1,AllListPrice!$A$2:$D$1000,4,0),0)</f>
        <v>4861.99</v>
      </c>
      <c r="S5" s="19">
        <f ca="1">IFERROR(VLOOKUP(S1,AllListPrice!$A$2:$D$1000,4,0),0)</f>
        <v>9614.44</v>
      </c>
      <c r="T5" s="19">
        <f ca="1">IFERROR(VLOOKUP(T1,AllListPrice!$A$2:$D$1000,4,0),0)</f>
        <v>12170.18</v>
      </c>
      <c r="U5" s="19">
        <f ca="1">IFERROR(VLOOKUP(U1,AllListPrice!$A$2:$D$1000,4,0),0)</f>
        <v>13265.5</v>
      </c>
      <c r="V5" s="19">
        <f ca="1">IFERROR(VLOOKUP(V1,AllListPrice!$A$2:$D$1000,4,0),0)</f>
        <v>19472.29</v>
      </c>
      <c r="W5" s="19">
        <f ca="1">IFERROR(VLOOKUP("100GQSFP-LR4-4=",AllListPrice!$A$2:$D$1000,4,0),0)</f>
        <v>36510.54</v>
      </c>
      <c r="X5" s="19">
        <f ca="1">IFERROR(VLOOKUP(X1,AllListPrice!$A$2:$D$1000,4,0),0)</f>
        <v>91270.27</v>
      </c>
      <c r="Y5" s="19">
        <f ca="1">IFERROR(VLOOKUP(Y1,AllListPrice!$A$2:$D$1000,4,0),0)</f>
        <v>36190</v>
      </c>
      <c r="Z5" s="16"/>
      <c r="AA5" s="16"/>
      <c r="AB5" s="16"/>
      <c r="AC5" s="16"/>
      <c r="AD5" s="16"/>
      <c r="AE5" s="16"/>
      <c r="AF5" s="16"/>
    </row>
    <row r="6" spans="1:32" ht="15.75" customHeight="1" x14ac:dyDescent="0.25">
      <c r="A6" s="28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</row>
    <row r="7" spans="1:32" ht="15.75" customHeight="1" x14ac:dyDescent="0.25">
      <c r="A7" s="28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5.75" customHeight="1" x14ac:dyDescent="0.25">
      <c r="A8" s="28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</row>
    <row r="9" spans="1:32" ht="15.75" customHeight="1" x14ac:dyDescent="0.25">
      <c r="A9" s="28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</row>
    <row r="10" spans="1:32" ht="15.75" customHeight="1" x14ac:dyDescent="0.25">
      <c r="A10" s="28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</row>
    <row r="11" spans="1:32" ht="15.75" customHeight="1" x14ac:dyDescent="0.25">
      <c r="A11" s="28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</row>
    <row r="12" spans="1:32" ht="15.75" customHeight="1" x14ac:dyDescent="0.25">
      <c r="A12" s="28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5.75" customHeight="1" x14ac:dyDescent="0.25">
      <c r="A13" s="28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</row>
    <row r="14" spans="1:32" ht="15.75" customHeight="1" x14ac:dyDescent="0.25">
      <c r="A14" s="28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</row>
    <row r="15" spans="1:32" ht="15.75" customHeight="1" x14ac:dyDescent="0.25">
      <c r="A15" s="28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</row>
    <row r="16" spans="1:32" ht="15.75" customHeight="1" x14ac:dyDescent="0.25">
      <c r="A16" s="28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</row>
    <row r="17" spans="1:32" ht="15.75" customHeight="1" x14ac:dyDescent="0.25">
      <c r="A17" s="28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</row>
    <row r="18" spans="1:32" ht="15.75" customHeight="1" x14ac:dyDescent="0.25">
      <c r="A18" s="28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</row>
    <row r="19" spans="1:32" ht="15.75" customHeight="1" x14ac:dyDescent="0.25">
      <c r="A19" s="28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</row>
    <row r="20" spans="1:32" ht="15.75" customHeight="1" x14ac:dyDescent="0.25">
      <c r="A20" s="28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</row>
    <row r="21" spans="1:32" ht="15.75" customHeight="1" x14ac:dyDescent="0.25">
      <c r="A21" s="28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</row>
    <row r="22" spans="1:32" ht="12.5" x14ac:dyDescent="0.25">
      <c r="A22" s="28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</row>
    <row r="23" spans="1:32" ht="12.5" x14ac:dyDescent="0.25">
      <c r="A23" s="28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</row>
    <row r="24" spans="1:32" ht="12.5" x14ac:dyDescent="0.25">
      <c r="A24" s="28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</row>
    <row r="25" spans="1:32" ht="12.5" x14ac:dyDescent="0.25">
      <c r="A25" s="28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</row>
    <row r="26" spans="1:32" ht="12.5" x14ac:dyDescent="0.25">
      <c r="A26" s="28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</row>
    <row r="27" spans="1:32" ht="12.5" x14ac:dyDescent="0.25">
      <c r="A27" s="28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</row>
    <row r="28" spans="1:32" ht="12.5" x14ac:dyDescent="0.25">
      <c r="A28" s="28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</row>
    <row r="29" spans="1:32" ht="12.5" x14ac:dyDescent="0.25">
      <c r="A29" s="28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</row>
    <row r="30" spans="1:32" ht="12.5" x14ac:dyDescent="0.25">
      <c r="A30" s="28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</row>
    <row r="31" spans="1:32" ht="12.5" x14ac:dyDescent="0.25">
      <c r="A31" s="28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</row>
    <row r="32" spans="1:32" ht="12.5" x14ac:dyDescent="0.25">
      <c r="A32" s="28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</row>
    <row r="33" spans="1:32" ht="12.5" x14ac:dyDescent="0.25">
      <c r="A33" s="28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</row>
    <row r="34" spans="1:32" ht="12.5" x14ac:dyDescent="0.25">
      <c r="A34" s="28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</row>
    <row r="35" spans="1:32" ht="12.5" x14ac:dyDescent="0.25">
      <c r="A35" s="28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</row>
    <row r="36" spans="1:32" ht="12.5" x14ac:dyDescent="0.25">
      <c r="A36" s="28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</row>
    <row r="37" spans="1:32" ht="12.5" x14ac:dyDescent="0.25">
      <c r="A37" s="28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</row>
    <row r="38" spans="1:32" ht="12.5" x14ac:dyDescent="0.25">
      <c r="A38" s="28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</row>
    <row r="39" spans="1:32" ht="12.5" x14ac:dyDescent="0.25">
      <c r="A39" s="28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</row>
    <row r="40" spans="1:32" ht="12.5" x14ac:dyDescent="0.25">
      <c r="A40" s="28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</row>
    <row r="41" spans="1:32" ht="12.5" x14ac:dyDescent="0.25">
      <c r="A41" s="28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</row>
    <row r="42" spans="1:32" ht="12.5" x14ac:dyDescent="0.25">
      <c r="A42" s="28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</row>
    <row r="43" spans="1:32" ht="12.5" x14ac:dyDescent="0.25">
      <c r="A43" s="28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</row>
    <row r="44" spans="1:32" ht="12.5" x14ac:dyDescent="0.25">
      <c r="A44" s="28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</row>
    <row r="45" spans="1:32" ht="12.5" x14ac:dyDescent="0.25">
      <c r="A45" s="28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</row>
    <row r="46" spans="1:32" ht="12.5" x14ac:dyDescent="0.25">
      <c r="A46" s="28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</row>
    <row r="47" spans="1:32" ht="12.5" x14ac:dyDescent="0.25">
      <c r="A47" s="28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</row>
    <row r="48" spans="1:32" ht="12.5" x14ac:dyDescent="0.25">
      <c r="A48" s="28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</row>
    <row r="49" spans="1:32" ht="12.5" x14ac:dyDescent="0.25">
      <c r="A49" s="28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</row>
    <row r="50" spans="1:32" ht="12.5" x14ac:dyDescent="0.25">
      <c r="A50" s="28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</row>
    <row r="51" spans="1:32" ht="12.5" x14ac:dyDescent="0.25">
      <c r="A51" s="28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</row>
    <row r="52" spans="1:32" ht="12.5" x14ac:dyDescent="0.25">
      <c r="A52" s="28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</row>
    <row r="53" spans="1:32" ht="12.5" x14ac:dyDescent="0.25">
      <c r="A53" s="28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</row>
    <row r="54" spans="1:32" ht="12.5" x14ac:dyDescent="0.25">
      <c r="A54" s="28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</row>
    <row r="55" spans="1:32" ht="12.5" x14ac:dyDescent="0.25">
      <c r="A55" s="28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</row>
    <row r="56" spans="1:32" ht="12.5" x14ac:dyDescent="0.25">
      <c r="A56" s="28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</row>
    <row r="57" spans="1:32" ht="12.5" x14ac:dyDescent="0.25">
      <c r="A57" s="28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</row>
    <row r="58" spans="1:32" ht="12.5" x14ac:dyDescent="0.25">
      <c r="A58" s="28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</row>
    <row r="59" spans="1:32" ht="12.5" x14ac:dyDescent="0.25">
      <c r="A59" s="28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</row>
    <row r="60" spans="1:32" ht="12.5" x14ac:dyDescent="0.25">
      <c r="A60" s="28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</row>
    <row r="61" spans="1:32" ht="12.5" x14ac:dyDescent="0.25">
      <c r="A61" s="28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</row>
    <row r="62" spans="1:32" ht="12.5" x14ac:dyDescent="0.25">
      <c r="A62" s="28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</row>
    <row r="63" spans="1:32" ht="12.5" x14ac:dyDescent="0.25">
      <c r="A63" s="28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</row>
    <row r="64" spans="1:32" ht="12.5" x14ac:dyDescent="0.25">
      <c r="A64" s="28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</row>
    <row r="65" spans="1:32" ht="12.5" x14ac:dyDescent="0.25">
      <c r="A65" s="28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</row>
    <row r="66" spans="1:32" ht="12.5" x14ac:dyDescent="0.25">
      <c r="A66" s="28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</row>
    <row r="67" spans="1:32" ht="12.5" x14ac:dyDescent="0.25">
      <c r="A67" s="28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</row>
    <row r="68" spans="1:32" ht="12.5" x14ac:dyDescent="0.25">
      <c r="A68" s="28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</row>
    <row r="69" spans="1:32" ht="12.5" x14ac:dyDescent="0.25">
      <c r="A69" s="28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</row>
    <row r="70" spans="1:32" ht="12.5" x14ac:dyDescent="0.25">
      <c r="A70" s="28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</row>
    <row r="71" spans="1:32" ht="12.5" x14ac:dyDescent="0.25">
      <c r="A71" s="28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</row>
    <row r="72" spans="1:32" ht="12.5" x14ac:dyDescent="0.25">
      <c r="A72" s="28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</row>
    <row r="73" spans="1:32" ht="12.5" x14ac:dyDescent="0.25">
      <c r="A73" s="28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</row>
    <row r="74" spans="1:32" ht="12.5" x14ac:dyDescent="0.25">
      <c r="A74" s="28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</row>
    <row r="75" spans="1:32" ht="12.5" x14ac:dyDescent="0.25">
      <c r="A75" s="28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</row>
    <row r="76" spans="1:32" ht="12.5" x14ac:dyDescent="0.25">
      <c r="A76" s="28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</row>
    <row r="77" spans="1:32" ht="12.5" x14ac:dyDescent="0.25">
      <c r="A77" s="28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</row>
    <row r="78" spans="1:32" ht="12.5" x14ac:dyDescent="0.25">
      <c r="A78" s="28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</row>
    <row r="79" spans="1:32" ht="12.5" x14ac:dyDescent="0.25">
      <c r="A79" s="28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</row>
    <row r="80" spans="1:32" ht="12.5" x14ac:dyDescent="0.25">
      <c r="A80" s="28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</row>
    <row r="81" spans="1:32" ht="12.5" x14ac:dyDescent="0.25">
      <c r="A81" s="28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</row>
    <row r="82" spans="1:32" ht="12.5" x14ac:dyDescent="0.25">
      <c r="A82" s="28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</row>
    <row r="83" spans="1:32" ht="12.5" x14ac:dyDescent="0.25">
      <c r="A83" s="28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</row>
    <row r="84" spans="1:32" ht="12.5" x14ac:dyDescent="0.25">
      <c r="A84" s="28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</row>
    <row r="85" spans="1:32" ht="12.5" x14ac:dyDescent="0.25">
      <c r="A85" s="28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</row>
    <row r="86" spans="1:32" ht="12.5" x14ac:dyDescent="0.25">
      <c r="A86" s="28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</row>
    <row r="87" spans="1:32" ht="12.5" x14ac:dyDescent="0.25">
      <c r="A87" s="28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</row>
    <row r="88" spans="1:32" ht="12.5" x14ac:dyDescent="0.25">
      <c r="A88" s="28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</row>
    <row r="89" spans="1:32" ht="12.5" x14ac:dyDescent="0.25">
      <c r="A89" s="28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</row>
    <row r="90" spans="1:32" ht="12.5" x14ac:dyDescent="0.25">
      <c r="A90" s="28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</row>
    <row r="91" spans="1:32" ht="12.5" x14ac:dyDescent="0.25">
      <c r="A91" s="28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</row>
    <row r="92" spans="1:32" ht="12.5" x14ac:dyDescent="0.25">
      <c r="A92" s="28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</row>
    <row r="93" spans="1:32" ht="12.5" x14ac:dyDescent="0.25">
      <c r="A93" s="28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</row>
    <row r="94" spans="1:32" ht="12.5" x14ac:dyDescent="0.25">
      <c r="A94" s="28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</row>
    <row r="95" spans="1:32" ht="12.5" x14ac:dyDescent="0.25">
      <c r="A95" s="28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</row>
    <row r="96" spans="1:32" ht="12.5" x14ac:dyDescent="0.25">
      <c r="A96" s="28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</row>
    <row r="97" spans="1:32" ht="12.5" x14ac:dyDescent="0.25">
      <c r="A97" s="28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</row>
    <row r="98" spans="1:32" ht="12.5" x14ac:dyDescent="0.25">
      <c r="A98" s="28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</row>
    <row r="99" spans="1:32" ht="12.5" x14ac:dyDescent="0.25">
      <c r="A99" s="28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</row>
    <row r="100" spans="1:32" ht="12.5" x14ac:dyDescent="0.25">
      <c r="A100" s="28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</row>
    <row r="101" spans="1:32" ht="12.5" x14ac:dyDescent="0.25">
      <c r="A101" s="28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</row>
    <row r="102" spans="1:32" ht="12.5" x14ac:dyDescent="0.25">
      <c r="A102" s="28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</row>
    <row r="103" spans="1:32" ht="12.5" x14ac:dyDescent="0.25">
      <c r="A103" s="28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</row>
    <row r="104" spans="1:32" ht="12.5" x14ac:dyDescent="0.25">
      <c r="A104" s="28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</row>
    <row r="105" spans="1:32" ht="12.5" x14ac:dyDescent="0.25">
      <c r="A105" s="28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</row>
    <row r="106" spans="1:32" ht="12.5" x14ac:dyDescent="0.25">
      <c r="A106" s="28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</row>
    <row r="107" spans="1:32" ht="12.5" x14ac:dyDescent="0.25">
      <c r="A107" s="28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</row>
    <row r="108" spans="1:32" ht="12.5" x14ac:dyDescent="0.25">
      <c r="A108" s="28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</row>
    <row r="109" spans="1:32" ht="12.5" x14ac:dyDescent="0.25">
      <c r="A109" s="28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</row>
    <row r="110" spans="1:32" ht="12.5" x14ac:dyDescent="0.25">
      <c r="A110" s="28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</row>
    <row r="111" spans="1:32" ht="12.5" x14ac:dyDescent="0.25">
      <c r="A111" s="28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</row>
    <row r="112" spans="1:32" ht="12.5" x14ac:dyDescent="0.25">
      <c r="A112" s="28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</row>
    <row r="113" spans="1:32" ht="12.5" x14ac:dyDescent="0.25">
      <c r="A113" s="28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</row>
    <row r="114" spans="1:32" ht="12.5" x14ac:dyDescent="0.25">
      <c r="A114" s="28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</row>
    <row r="115" spans="1:32" ht="12.5" x14ac:dyDescent="0.25">
      <c r="A115" s="28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</row>
    <row r="116" spans="1:32" ht="12.5" x14ac:dyDescent="0.25">
      <c r="A116" s="28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</row>
    <row r="117" spans="1:32" ht="12.5" x14ac:dyDescent="0.25">
      <c r="A117" s="28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</row>
    <row r="118" spans="1:32" ht="12.5" x14ac:dyDescent="0.25">
      <c r="A118" s="28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</row>
    <row r="119" spans="1:32" ht="12.5" x14ac:dyDescent="0.25">
      <c r="A119" s="28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</row>
    <row r="120" spans="1:32" ht="12.5" x14ac:dyDescent="0.25">
      <c r="A120" s="28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</row>
    <row r="121" spans="1:32" ht="12.5" x14ac:dyDescent="0.25">
      <c r="A121" s="28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</row>
    <row r="122" spans="1:32" ht="12.5" x14ac:dyDescent="0.25">
      <c r="A122" s="28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</row>
    <row r="123" spans="1:32" ht="12.5" x14ac:dyDescent="0.25">
      <c r="A123" s="28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</row>
    <row r="124" spans="1:32" ht="12.5" x14ac:dyDescent="0.25">
      <c r="A124" s="28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</row>
    <row r="125" spans="1:32" ht="12.5" x14ac:dyDescent="0.25">
      <c r="A125" s="28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</row>
    <row r="126" spans="1:32" ht="12.5" x14ac:dyDescent="0.25">
      <c r="A126" s="28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</row>
    <row r="127" spans="1:32" ht="12.5" x14ac:dyDescent="0.25">
      <c r="A127" s="28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</row>
    <row r="128" spans="1:32" ht="12.5" x14ac:dyDescent="0.25">
      <c r="A128" s="28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</row>
    <row r="129" spans="1:32" ht="12.5" x14ac:dyDescent="0.25">
      <c r="A129" s="28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</row>
    <row r="130" spans="1:32" ht="12.5" x14ac:dyDescent="0.25">
      <c r="A130" s="28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</row>
    <row r="131" spans="1:32" ht="12.5" x14ac:dyDescent="0.25">
      <c r="A131" s="28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</row>
    <row r="132" spans="1:32" ht="12.5" x14ac:dyDescent="0.25">
      <c r="A132" s="28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</row>
    <row r="133" spans="1:32" ht="12.5" x14ac:dyDescent="0.25">
      <c r="A133" s="28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</row>
    <row r="134" spans="1:32" ht="12.5" x14ac:dyDescent="0.25">
      <c r="A134" s="28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</row>
    <row r="135" spans="1:32" ht="12.5" x14ac:dyDescent="0.25">
      <c r="A135" s="28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</row>
    <row r="136" spans="1:32" ht="12.5" x14ac:dyDescent="0.25">
      <c r="A136" s="28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</row>
    <row r="137" spans="1:32" ht="12.5" x14ac:dyDescent="0.25">
      <c r="A137" s="28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</row>
    <row r="138" spans="1:32" ht="12.5" x14ac:dyDescent="0.25">
      <c r="A138" s="28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</row>
    <row r="139" spans="1:32" ht="12.5" x14ac:dyDescent="0.25">
      <c r="A139" s="28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</row>
    <row r="140" spans="1:32" ht="12.5" x14ac:dyDescent="0.25">
      <c r="A140" s="28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</row>
    <row r="141" spans="1:32" ht="12.5" x14ac:dyDescent="0.25">
      <c r="A141" s="28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</row>
    <row r="142" spans="1:32" ht="12.5" x14ac:dyDescent="0.25">
      <c r="A142" s="28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</row>
    <row r="143" spans="1:32" ht="12.5" x14ac:dyDescent="0.25">
      <c r="A143" s="28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</row>
    <row r="144" spans="1:32" ht="12.5" x14ac:dyDescent="0.25">
      <c r="A144" s="28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</row>
    <row r="145" spans="1:32" ht="12.5" x14ac:dyDescent="0.25">
      <c r="A145" s="28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</row>
    <row r="146" spans="1:32" ht="12.5" x14ac:dyDescent="0.25">
      <c r="A146" s="28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</row>
    <row r="147" spans="1:32" ht="12.5" x14ac:dyDescent="0.25">
      <c r="A147" s="28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</row>
    <row r="148" spans="1:32" ht="12.5" x14ac:dyDescent="0.25">
      <c r="A148" s="28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</row>
    <row r="149" spans="1:32" ht="12.5" x14ac:dyDescent="0.25">
      <c r="A149" s="28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</row>
    <row r="150" spans="1:32" ht="12.5" x14ac:dyDescent="0.25">
      <c r="A150" s="28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</row>
    <row r="151" spans="1:32" ht="12.5" x14ac:dyDescent="0.25">
      <c r="A151" s="28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</row>
    <row r="152" spans="1:32" ht="12.5" x14ac:dyDescent="0.25">
      <c r="A152" s="28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</row>
    <row r="153" spans="1:32" ht="12.5" x14ac:dyDescent="0.25">
      <c r="A153" s="28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</row>
    <row r="154" spans="1:32" ht="12.5" x14ac:dyDescent="0.25">
      <c r="A154" s="28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</row>
    <row r="155" spans="1:32" ht="12.5" x14ac:dyDescent="0.25">
      <c r="A155" s="28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</row>
    <row r="156" spans="1:32" ht="12.5" x14ac:dyDescent="0.25">
      <c r="A156" s="28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</row>
    <row r="157" spans="1:32" ht="12.5" x14ac:dyDescent="0.25">
      <c r="A157" s="28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</row>
    <row r="158" spans="1:32" ht="12.5" x14ac:dyDescent="0.25">
      <c r="A158" s="28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</row>
    <row r="159" spans="1:32" ht="12.5" x14ac:dyDescent="0.25">
      <c r="A159" s="28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</row>
    <row r="160" spans="1:32" ht="12.5" x14ac:dyDescent="0.25">
      <c r="A160" s="28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</row>
    <row r="161" spans="1:32" ht="12.5" x14ac:dyDescent="0.25">
      <c r="A161" s="28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</row>
    <row r="162" spans="1:32" ht="12.5" x14ac:dyDescent="0.25">
      <c r="A162" s="28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</row>
    <row r="163" spans="1:32" ht="12.5" x14ac:dyDescent="0.25">
      <c r="A163" s="28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</row>
    <row r="164" spans="1:32" ht="12.5" x14ac:dyDescent="0.25">
      <c r="A164" s="28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</row>
    <row r="165" spans="1:32" ht="12.5" x14ac:dyDescent="0.25">
      <c r="A165" s="28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</row>
    <row r="166" spans="1:32" ht="12.5" x14ac:dyDescent="0.25">
      <c r="A166" s="28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</row>
    <row r="167" spans="1:32" ht="12.5" x14ac:dyDescent="0.25">
      <c r="A167" s="28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</row>
    <row r="168" spans="1:32" ht="12.5" x14ac:dyDescent="0.25">
      <c r="A168" s="28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</row>
    <row r="169" spans="1:32" ht="12.5" x14ac:dyDescent="0.25">
      <c r="A169" s="28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</row>
    <row r="170" spans="1:32" ht="12.5" x14ac:dyDescent="0.25">
      <c r="A170" s="28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</row>
    <row r="171" spans="1:32" ht="12.5" x14ac:dyDescent="0.25">
      <c r="A171" s="28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</row>
    <row r="172" spans="1:32" ht="12.5" x14ac:dyDescent="0.25">
      <c r="A172" s="28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</row>
    <row r="173" spans="1:32" ht="12.5" x14ac:dyDescent="0.25">
      <c r="A173" s="28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</row>
    <row r="174" spans="1:32" ht="12.5" x14ac:dyDescent="0.25">
      <c r="A174" s="28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</row>
    <row r="175" spans="1:32" ht="12.5" x14ac:dyDescent="0.25">
      <c r="A175" s="28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</row>
    <row r="176" spans="1:32" ht="12.5" x14ac:dyDescent="0.25">
      <c r="A176" s="28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</row>
    <row r="177" spans="1:32" ht="12.5" x14ac:dyDescent="0.25">
      <c r="A177" s="28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</row>
    <row r="178" spans="1:32" ht="12.5" x14ac:dyDescent="0.25">
      <c r="A178" s="28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</row>
    <row r="179" spans="1:32" ht="12.5" x14ac:dyDescent="0.25">
      <c r="A179" s="28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</row>
    <row r="180" spans="1:32" ht="12.5" x14ac:dyDescent="0.25">
      <c r="A180" s="28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</row>
    <row r="181" spans="1:32" ht="12.5" x14ac:dyDescent="0.25">
      <c r="A181" s="28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</row>
    <row r="182" spans="1:32" ht="12.5" x14ac:dyDescent="0.25">
      <c r="A182" s="28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</row>
    <row r="183" spans="1:32" ht="12.5" x14ac:dyDescent="0.25">
      <c r="A183" s="28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</row>
    <row r="184" spans="1:32" ht="12.5" x14ac:dyDescent="0.25">
      <c r="A184" s="28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</row>
    <row r="185" spans="1:32" ht="12.5" x14ac:dyDescent="0.25">
      <c r="A185" s="28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</row>
    <row r="186" spans="1:32" ht="12.5" x14ac:dyDescent="0.25">
      <c r="A186" s="28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</row>
    <row r="187" spans="1:32" ht="12.5" x14ac:dyDescent="0.25">
      <c r="A187" s="28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</row>
    <row r="188" spans="1:32" ht="12.5" x14ac:dyDescent="0.25">
      <c r="A188" s="28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</row>
    <row r="189" spans="1:32" ht="12.5" x14ac:dyDescent="0.25">
      <c r="A189" s="28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</row>
    <row r="190" spans="1:32" ht="12.5" x14ac:dyDescent="0.25">
      <c r="A190" s="28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</row>
    <row r="191" spans="1:32" ht="12.5" x14ac:dyDescent="0.25">
      <c r="A191" s="28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</row>
    <row r="192" spans="1:32" ht="12.5" x14ac:dyDescent="0.25">
      <c r="A192" s="28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</row>
    <row r="193" spans="1:32" ht="12.5" x14ac:dyDescent="0.25">
      <c r="A193" s="28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</row>
    <row r="194" spans="1:32" ht="12.5" x14ac:dyDescent="0.25">
      <c r="A194" s="28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</row>
    <row r="195" spans="1:32" ht="12.5" x14ac:dyDescent="0.25">
      <c r="A195" s="28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</row>
    <row r="196" spans="1:32" ht="12.5" x14ac:dyDescent="0.25">
      <c r="A196" s="28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</row>
    <row r="197" spans="1:32" ht="12.5" x14ac:dyDescent="0.25">
      <c r="A197" s="28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</row>
    <row r="198" spans="1:32" ht="12.5" x14ac:dyDescent="0.25">
      <c r="A198" s="28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</row>
    <row r="199" spans="1:32" ht="12.5" x14ac:dyDescent="0.25">
      <c r="A199" s="28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</row>
    <row r="200" spans="1:32" ht="12.5" x14ac:dyDescent="0.25">
      <c r="A200" s="28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</row>
    <row r="201" spans="1:32" ht="12.5" x14ac:dyDescent="0.25">
      <c r="A201" s="28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</row>
    <row r="202" spans="1:32" ht="12.5" x14ac:dyDescent="0.25">
      <c r="A202" s="28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</row>
    <row r="203" spans="1:32" ht="12.5" x14ac:dyDescent="0.25">
      <c r="A203" s="28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</row>
    <row r="204" spans="1:32" ht="12.5" x14ac:dyDescent="0.25">
      <c r="A204" s="28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</row>
    <row r="205" spans="1:32" ht="12.5" x14ac:dyDescent="0.25">
      <c r="A205" s="28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</row>
    <row r="206" spans="1:32" ht="12.5" x14ac:dyDescent="0.25">
      <c r="A206" s="28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</row>
    <row r="207" spans="1:32" ht="12.5" x14ac:dyDescent="0.25">
      <c r="A207" s="28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</row>
    <row r="208" spans="1:32" ht="12.5" x14ac:dyDescent="0.25">
      <c r="A208" s="28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</row>
    <row r="209" spans="1:32" ht="12.5" x14ac:dyDescent="0.25">
      <c r="A209" s="28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</row>
    <row r="210" spans="1:32" ht="12.5" x14ac:dyDescent="0.25">
      <c r="A210" s="28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</row>
    <row r="211" spans="1:32" ht="12.5" x14ac:dyDescent="0.25">
      <c r="A211" s="28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</row>
    <row r="212" spans="1:32" ht="12.5" x14ac:dyDescent="0.25">
      <c r="A212" s="28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</row>
    <row r="213" spans="1:32" ht="12.5" x14ac:dyDescent="0.25">
      <c r="A213" s="28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</row>
    <row r="214" spans="1:32" ht="12.5" x14ac:dyDescent="0.25">
      <c r="A214" s="28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</row>
    <row r="215" spans="1:32" ht="12.5" x14ac:dyDescent="0.25">
      <c r="A215" s="28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</row>
    <row r="216" spans="1:32" ht="12.5" x14ac:dyDescent="0.25">
      <c r="A216" s="28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</row>
    <row r="217" spans="1:32" ht="12.5" x14ac:dyDescent="0.25">
      <c r="A217" s="28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</row>
    <row r="218" spans="1:32" ht="12.5" x14ac:dyDescent="0.25">
      <c r="A218" s="28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</row>
    <row r="219" spans="1:32" ht="12.5" x14ac:dyDescent="0.25">
      <c r="A219" s="28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</row>
    <row r="220" spans="1:32" ht="12.5" x14ac:dyDescent="0.25">
      <c r="A220" s="28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</row>
    <row r="221" spans="1:32" ht="12.5" x14ac:dyDescent="0.25">
      <c r="A221" s="28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</row>
    <row r="222" spans="1:32" ht="12.5" x14ac:dyDescent="0.25">
      <c r="A222" s="28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</row>
    <row r="223" spans="1:32" ht="12.5" x14ac:dyDescent="0.25">
      <c r="A223" s="28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</row>
    <row r="224" spans="1:32" ht="12.5" x14ac:dyDescent="0.25">
      <c r="A224" s="28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</row>
    <row r="225" spans="1:32" ht="12.5" x14ac:dyDescent="0.25">
      <c r="A225" s="28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</row>
    <row r="226" spans="1:32" ht="12.5" x14ac:dyDescent="0.25">
      <c r="A226" s="28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</row>
    <row r="227" spans="1:32" ht="12.5" x14ac:dyDescent="0.25">
      <c r="A227" s="28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</row>
    <row r="228" spans="1:32" ht="12.5" x14ac:dyDescent="0.25">
      <c r="A228" s="28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</row>
    <row r="229" spans="1:32" ht="12.5" x14ac:dyDescent="0.25">
      <c r="A229" s="28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</row>
    <row r="230" spans="1:32" ht="12.5" x14ac:dyDescent="0.25">
      <c r="A230" s="28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</row>
    <row r="231" spans="1:32" ht="12.5" x14ac:dyDescent="0.25">
      <c r="A231" s="28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</row>
    <row r="232" spans="1:32" ht="12.5" x14ac:dyDescent="0.25">
      <c r="A232" s="28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</row>
    <row r="233" spans="1:32" ht="12.5" x14ac:dyDescent="0.25">
      <c r="A233" s="28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</row>
    <row r="234" spans="1:32" ht="12.5" x14ac:dyDescent="0.25">
      <c r="A234" s="28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</row>
    <row r="235" spans="1:32" ht="12.5" x14ac:dyDescent="0.25">
      <c r="A235" s="28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</row>
    <row r="236" spans="1:32" ht="12.5" x14ac:dyDescent="0.25">
      <c r="A236" s="28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</row>
    <row r="237" spans="1:32" ht="12.5" x14ac:dyDescent="0.25">
      <c r="A237" s="28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</row>
    <row r="238" spans="1:32" ht="12.5" x14ac:dyDescent="0.25">
      <c r="A238" s="28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</row>
    <row r="239" spans="1:32" ht="12.5" x14ac:dyDescent="0.25">
      <c r="A239" s="28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</row>
    <row r="240" spans="1:32" ht="12.5" x14ac:dyDescent="0.25">
      <c r="A240" s="28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</row>
    <row r="241" spans="1:32" ht="12.5" x14ac:dyDescent="0.25">
      <c r="A241" s="28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</row>
    <row r="242" spans="1:32" ht="12.5" x14ac:dyDescent="0.25">
      <c r="A242" s="28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</row>
    <row r="243" spans="1:32" ht="12.5" x14ac:dyDescent="0.25">
      <c r="A243" s="28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</row>
    <row r="244" spans="1:32" ht="12.5" x14ac:dyDescent="0.25">
      <c r="A244" s="28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</row>
    <row r="245" spans="1:32" ht="12.5" x14ac:dyDescent="0.25">
      <c r="A245" s="28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</row>
    <row r="246" spans="1:32" ht="12.5" x14ac:dyDescent="0.25">
      <c r="A246" s="28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</row>
    <row r="247" spans="1:32" ht="12.5" x14ac:dyDescent="0.25">
      <c r="A247" s="28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</row>
    <row r="248" spans="1:32" ht="12.5" x14ac:dyDescent="0.25">
      <c r="A248" s="28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</row>
    <row r="249" spans="1:32" ht="12.5" x14ac:dyDescent="0.25">
      <c r="A249" s="28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</row>
    <row r="250" spans="1:32" ht="12.5" x14ac:dyDescent="0.25">
      <c r="A250" s="28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</row>
    <row r="251" spans="1:32" ht="12.5" x14ac:dyDescent="0.25">
      <c r="A251" s="28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</row>
    <row r="252" spans="1:32" ht="12.5" x14ac:dyDescent="0.25">
      <c r="A252" s="28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</row>
    <row r="253" spans="1:32" ht="12.5" x14ac:dyDescent="0.25">
      <c r="A253" s="28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</row>
    <row r="254" spans="1:32" ht="12.5" x14ac:dyDescent="0.25">
      <c r="A254" s="28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</row>
    <row r="255" spans="1:32" ht="12.5" x14ac:dyDescent="0.25">
      <c r="A255" s="28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</row>
    <row r="256" spans="1:32" ht="12.5" x14ac:dyDescent="0.25">
      <c r="A256" s="28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</row>
    <row r="257" spans="1:32" ht="12.5" x14ac:dyDescent="0.25">
      <c r="A257" s="28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</row>
    <row r="258" spans="1:32" ht="12.5" x14ac:dyDescent="0.25">
      <c r="A258" s="28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</row>
    <row r="259" spans="1:32" ht="12.5" x14ac:dyDescent="0.25">
      <c r="A259" s="28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</row>
    <row r="260" spans="1:32" ht="12.5" x14ac:dyDescent="0.25">
      <c r="A260" s="28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</row>
    <row r="261" spans="1:32" ht="12.5" x14ac:dyDescent="0.25">
      <c r="A261" s="28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</row>
    <row r="262" spans="1:32" ht="12.5" x14ac:dyDescent="0.25">
      <c r="A262" s="28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</row>
    <row r="263" spans="1:32" ht="12.5" x14ac:dyDescent="0.25">
      <c r="A263" s="28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</row>
    <row r="264" spans="1:32" ht="12.5" x14ac:dyDescent="0.25">
      <c r="A264" s="28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</row>
    <row r="265" spans="1:32" ht="12.5" x14ac:dyDescent="0.25">
      <c r="A265" s="28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</row>
    <row r="266" spans="1:32" ht="12.5" x14ac:dyDescent="0.25">
      <c r="A266" s="28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</row>
    <row r="267" spans="1:32" ht="12.5" x14ac:dyDescent="0.25">
      <c r="A267" s="28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</row>
    <row r="268" spans="1:32" ht="12.5" x14ac:dyDescent="0.25">
      <c r="A268" s="28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</row>
    <row r="269" spans="1:32" ht="12.5" x14ac:dyDescent="0.25">
      <c r="A269" s="28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</row>
    <row r="270" spans="1:32" ht="12.5" x14ac:dyDescent="0.25">
      <c r="A270" s="28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</row>
    <row r="271" spans="1:32" ht="12.5" x14ac:dyDescent="0.25">
      <c r="A271" s="28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</row>
    <row r="272" spans="1:32" ht="12.5" x14ac:dyDescent="0.25">
      <c r="A272" s="28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</row>
    <row r="273" spans="1:32" ht="12.5" x14ac:dyDescent="0.25">
      <c r="A273" s="28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</row>
    <row r="274" spans="1:32" ht="12.5" x14ac:dyDescent="0.25">
      <c r="A274" s="28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</row>
    <row r="275" spans="1:32" ht="12.5" x14ac:dyDescent="0.25">
      <c r="A275" s="28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</row>
    <row r="276" spans="1:32" ht="12.5" x14ac:dyDescent="0.25">
      <c r="A276" s="28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</row>
    <row r="277" spans="1:32" ht="12.5" x14ac:dyDescent="0.25">
      <c r="A277" s="28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</row>
    <row r="278" spans="1:32" ht="12.5" x14ac:dyDescent="0.25">
      <c r="A278" s="28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</row>
    <row r="279" spans="1:32" ht="12.5" x14ac:dyDescent="0.25">
      <c r="A279" s="28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</row>
    <row r="280" spans="1:32" ht="12.5" x14ac:dyDescent="0.25">
      <c r="A280" s="28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</row>
    <row r="281" spans="1:32" ht="12.5" x14ac:dyDescent="0.25">
      <c r="A281" s="28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</row>
    <row r="282" spans="1:32" ht="12.5" x14ac:dyDescent="0.25">
      <c r="A282" s="28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</row>
    <row r="283" spans="1:32" ht="12.5" x14ac:dyDescent="0.25">
      <c r="A283" s="28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</row>
    <row r="284" spans="1:32" ht="12.5" x14ac:dyDescent="0.25">
      <c r="A284" s="28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</row>
    <row r="285" spans="1:32" ht="12.5" x14ac:dyDescent="0.25">
      <c r="A285" s="28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</row>
    <row r="286" spans="1:32" ht="12.5" x14ac:dyDescent="0.25">
      <c r="A286" s="28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</row>
    <row r="287" spans="1:32" ht="12.5" x14ac:dyDescent="0.25">
      <c r="A287" s="28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</row>
    <row r="288" spans="1:32" ht="12.5" x14ac:dyDescent="0.25">
      <c r="A288" s="28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</row>
    <row r="289" spans="1:32" ht="12.5" x14ac:dyDescent="0.25">
      <c r="A289" s="28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</row>
    <row r="290" spans="1:32" ht="12.5" x14ac:dyDescent="0.25">
      <c r="A290" s="28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</row>
    <row r="291" spans="1:32" ht="12.5" x14ac:dyDescent="0.25">
      <c r="A291" s="28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</row>
    <row r="292" spans="1:32" ht="12.5" x14ac:dyDescent="0.25">
      <c r="A292" s="28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</row>
    <row r="293" spans="1:32" ht="12.5" x14ac:dyDescent="0.25">
      <c r="A293" s="28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</row>
    <row r="294" spans="1:32" ht="12.5" x14ac:dyDescent="0.25">
      <c r="A294" s="28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</row>
    <row r="295" spans="1:32" ht="12.5" x14ac:dyDescent="0.25">
      <c r="A295" s="28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</row>
    <row r="296" spans="1:32" ht="12.5" x14ac:dyDescent="0.25">
      <c r="A296" s="28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</row>
    <row r="297" spans="1:32" ht="12.5" x14ac:dyDescent="0.25">
      <c r="A297" s="28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</row>
    <row r="298" spans="1:32" ht="12.5" x14ac:dyDescent="0.25">
      <c r="A298" s="28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</row>
    <row r="299" spans="1:32" ht="12.5" x14ac:dyDescent="0.25">
      <c r="A299" s="28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</row>
    <row r="300" spans="1:32" ht="12.5" x14ac:dyDescent="0.25">
      <c r="A300" s="28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</row>
    <row r="301" spans="1:32" ht="12.5" x14ac:dyDescent="0.25">
      <c r="A301" s="28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</row>
    <row r="302" spans="1:32" ht="12.5" x14ac:dyDescent="0.25">
      <c r="A302" s="28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</row>
    <row r="303" spans="1:32" ht="12.5" x14ac:dyDescent="0.25">
      <c r="A303" s="28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</row>
    <row r="304" spans="1:32" ht="12.5" x14ac:dyDescent="0.25">
      <c r="A304" s="28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</row>
    <row r="305" spans="1:32" ht="12.5" x14ac:dyDescent="0.25">
      <c r="A305" s="28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</row>
    <row r="306" spans="1:32" ht="12.5" x14ac:dyDescent="0.25">
      <c r="A306" s="28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</row>
    <row r="307" spans="1:32" ht="12.5" x14ac:dyDescent="0.25">
      <c r="A307" s="28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</row>
    <row r="308" spans="1:32" ht="12.5" x14ac:dyDescent="0.25">
      <c r="A308" s="28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</row>
    <row r="309" spans="1:32" ht="12.5" x14ac:dyDescent="0.25">
      <c r="A309" s="28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</row>
    <row r="310" spans="1:32" ht="12.5" x14ac:dyDescent="0.25">
      <c r="A310" s="28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</row>
    <row r="311" spans="1:32" ht="12.5" x14ac:dyDescent="0.25">
      <c r="A311" s="28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</row>
    <row r="312" spans="1:32" ht="12.5" x14ac:dyDescent="0.25">
      <c r="A312" s="28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</row>
    <row r="313" spans="1:32" ht="12.5" x14ac:dyDescent="0.25">
      <c r="A313" s="28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</row>
    <row r="314" spans="1:32" ht="12.5" x14ac:dyDescent="0.25">
      <c r="A314" s="28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</row>
    <row r="315" spans="1:32" ht="12.5" x14ac:dyDescent="0.25">
      <c r="A315" s="28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</row>
    <row r="316" spans="1:32" ht="12.5" x14ac:dyDescent="0.25">
      <c r="A316" s="28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</row>
    <row r="317" spans="1:32" ht="12.5" x14ac:dyDescent="0.25">
      <c r="A317" s="28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</row>
    <row r="318" spans="1:32" ht="12.5" x14ac:dyDescent="0.25">
      <c r="A318" s="28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</row>
    <row r="319" spans="1:32" ht="12.5" x14ac:dyDescent="0.25">
      <c r="A319" s="28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</row>
    <row r="320" spans="1:32" ht="12.5" x14ac:dyDescent="0.25">
      <c r="A320" s="28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</row>
    <row r="321" spans="1:32" ht="12.5" x14ac:dyDescent="0.25">
      <c r="A321" s="28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</row>
    <row r="322" spans="1:32" ht="12.5" x14ac:dyDescent="0.25">
      <c r="A322" s="28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</row>
    <row r="323" spans="1:32" ht="12.5" x14ac:dyDescent="0.25">
      <c r="A323" s="28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</row>
    <row r="324" spans="1:32" ht="12.5" x14ac:dyDescent="0.25">
      <c r="A324" s="28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</row>
    <row r="325" spans="1:32" ht="12.5" x14ac:dyDescent="0.25">
      <c r="A325" s="28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</row>
    <row r="326" spans="1:32" ht="12.5" x14ac:dyDescent="0.25">
      <c r="A326" s="28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</row>
    <row r="327" spans="1:32" ht="12.5" x14ac:dyDescent="0.25">
      <c r="A327" s="28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</row>
    <row r="328" spans="1:32" ht="12.5" x14ac:dyDescent="0.25">
      <c r="A328" s="28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</row>
    <row r="329" spans="1:32" ht="12.5" x14ac:dyDescent="0.25">
      <c r="A329" s="28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</row>
    <row r="330" spans="1:32" ht="12.5" x14ac:dyDescent="0.25">
      <c r="A330" s="28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</row>
    <row r="331" spans="1:32" ht="12.5" x14ac:dyDescent="0.25">
      <c r="A331" s="28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</row>
    <row r="332" spans="1:32" ht="12.5" x14ac:dyDescent="0.25">
      <c r="A332" s="28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</row>
    <row r="333" spans="1:32" ht="12.5" x14ac:dyDescent="0.25">
      <c r="A333" s="28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</row>
    <row r="334" spans="1:32" ht="12.5" x14ac:dyDescent="0.25">
      <c r="A334" s="28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</row>
    <row r="335" spans="1:32" ht="12.5" x14ac:dyDescent="0.25">
      <c r="A335" s="28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</row>
    <row r="336" spans="1:32" ht="12.5" x14ac:dyDescent="0.25">
      <c r="A336" s="28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</row>
    <row r="337" spans="1:32" ht="12.5" x14ac:dyDescent="0.25">
      <c r="A337" s="28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</row>
    <row r="338" spans="1:32" ht="12.5" x14ac:dyDescent="0.25">
      <c r="A338" s="28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</row>
    <row r="339" spans="1:32" ht="12.5" x14ac:dyDescent="0.25">
      <c r="A339" s="28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</row>
    <row r="340" spans="1:32" ht="12.5" x14ac:dyDescent="0.25">
      <c r="A340" s="28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</row>
    <row r="341" spans="1:32" ht="12.5" x14ac:dyDescent="0.25">
      <c r="A341" s="28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</row>
    <row r="342" spans="1:32" ht="12.5" x14ac:dyDescent="0.25">
      <c r="A342" s="28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</row>
    <row r="343" spans="1:32" ht="12.5" x14ac:dyDescent="0.25">
      <c r="A343" s="28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</row>
    <row r="344" spans="1:32" ht="12.5" x14ac:dyDescent="0.25">
      <c r="A344" s="28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</row>
    <row r="345" spans="1:32" ht="12.5" x14ac:dyDescent="0.25">
      <c r="A345" s="28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</row>
    <row r="346" spans="1:32" ht="12.5" x14ac:dyDescent="0.25">
      <c r="A346" s="28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</row>
    <row r="347" spans="1:32" ht="12.5" x14ac:dyDescent="0.25">
      <c r="A347" s="28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</row>
    <row r="348" spans="1:32" ht="12.5" x14ac:dyDescent="0.25">
      <c r="A348" s="28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</row>
    <row r="349" spans="1:32" ht="12.5" x14ac:dyDescent="0.25">
      <c r="A349" s="28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</row>
    <row r="350" spans="1:32" ht="12.5" x14ac:dyDescent="0.25">
      <c r="A350" s="28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</row>
    <row r="351" spans="1:32" ht="12.5" x14ac:dyDescent="0.25">
      <c r="A351" s="28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</row>
    <row r="352" spans="1:32" ht="12.5" x14ac:dyDescent="0.25">
      <c r="A352" s="28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</row>
    <row r="353" spans="1:32" ht="12.5" x14ac:dyDescent="0.25">
      <c r="A353" s="28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</row>
    <row r="354" spans="1:32" ht="12.5" x14ac:dyDescent="0.25">
      <c r="A354" s="28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</row>
    <row r="355" spans="1:32" ht="12.5" x14ac:dyDescent="0.25">
      <c r="A355" s="28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</row>
    <row r="356" spans="1:32" ht="12.5" x14ac:dyDescent="0.25">
      <c r="A356" s="28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</row>
    <row r="357" spans="1:32" ht="12.5" x14ac:dyDescent="0.25">
      <c r="A357" s="28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</row>
    <row r="358" spans="1:32" ht="12.5" x14ac:dyDescent="0.25">
      <c r="A358" s="28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</row>
    <row r="359" spans="1:32" ht="12.5" x14ac:dyDescent="0.25">
      <c r="A359" s="28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</row>
    <row r="360" spans="1:32" ht="12.5" x14ac:dyDescent="0.25">
      <c r="A360" s="28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</row>
    <row r="361" spans="1:32" ht="12.5" x14ac:dyDescent="0.25">
      <c r="A361" s="28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</row>
    <row r="362" spans="1:32" ht="12.5" x14ac:dyDescent="0.25">
      <c r="A362" s="28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</row>
    <row r="363" spans="1:32" ht="12.5" x14ac:dyDescent="0.25">
      <c r="A363" s="28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</row>
    <row r="364" spans="1:32" ht="12.5" x14ac:dyDescent="0.25">
      <c r="A364" s="28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</row>
    <row r="365" spans="1:32" ht="12.5" x14ac:dyDescent="0.25">
      <c r="A365" s="28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</row>
    <row r="366" spans="1:32" ht="12.5" x14ac:dyDescent="0.25">
      <c r="A366" s="28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</row>
    <row r="367" spans="1:32" ht="12.5" x14ac:dyDescent="0.25">
      <c r="A367" s="28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</row>
    <row r="368" spans="1:32" ht="12.5" x14ac:dyDescent="0.25">
      <c r="A368" s="28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</row>
    <row r="369" spans="1:32" ht="12.5" x14ac:dyDescent="0.25">
      <c r="A369" s="28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</row>
    <row r="370" spans="1:32" ht="12.5" x14ac:dyDescent="0.25">
      <c r="A370" s="28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</row>
    <row r="371" spans="1:32" ht="12.5" x14ac:dyDescent="0.25">
      <c r="A371" s="28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</row>
    <row r="372" spans="1:32" ht="12.5" x14ac:dyDescent="0.25">
      <c r="A372" s="28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</row>
    <row r="373" spans="1:32" ht="12.5" x14ac:dyDescent="0.25">
      <c r="A373" s="28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</row>
    <row r="374" spans="1:32" ht="12.5" x14ac:dyDescent="0.25">
      <c r="A374" s="28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</row>
    <row r="375" spans="1:32" ht="12.5" x14ac:dyDescent="0.25">
      <c r="A375" s="28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</row>
    <row r="376" spans="1:32" ht="12.5" x14ac:dyDescent="0.25">
      <c r="A376" s="28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</row>
    <row r="377" spans="1:32" ht="12.5" x14ac:dyDescent="0.25">
      <c r="A377" s="28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</row>
    <row r="378" spans="1:32" ht="12.5" x14ac:dyDescent="0.25">
      <c r="A378" s="28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</row>
    <row r="379" spans="1:32" ht="12.5" x14ac:dyDescent="0.25">
      <c r="A379" s="28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</row>
    <row r="380" spans="1:32" ht="12.5" x14ac:dyDescent="0.25">
      <c r="A380" s="28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</row>
    <row r="381" spans="1:32" ht="12.5" x14ac:dyDescent="0.25">
      <c r="A381" s="28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</row>
    <row r="382" spans="1:32" ht="12.5" x14ac:dyDescent="0.25">
      <c r="A382" s="28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</row>
    <row r="383" spans="1:32" ht="12.5" x14ac:dyDescent="0.25">
      <c r="A383" s="28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</row>
    <row r="384" spans="1:32" ht="12.5" x14ac:dyDescent="0.25">
      <c r="A384" s="28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</row>
    <row r="385" spans="1:32" ht="12.5" x14ac:dyDescent="0.25">
      <c r="A385" s="28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</row>
    <row r="386" spans="1:32" ht="12.5" x14ac:dyDescent="0.25">
      <c r="A386" s="28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</row>
    <row r="387" spans="1:32" ht="12.5" x14ac:dyDescent="0.25">
      <c r="A387" s="28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</row>
    <row r="388" spans="1:32" ht="12.5" x14ac:dyDescent="0.25">
      <c r="A388" s="28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</row>
    <row r="389" spans="1:32" ht="12.5" x14ac:dyDescent="0.25">
      <c r="A389" s="28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</row>
    <row r="390" spans="1:32" ht="12.5" x14ac:dyDescent="0.25">
      <c r="A390" s="28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</row>
    <row r="391" spans="1:32" ht="12.5" x14ac:dyDescent="0.25">
      <c r="A391" s="28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</row>
    <row r="392" spans="1:32" ht="12.5" x14ac:dyDescent="0.25">
      <c r="A392" s="28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</row>
    <row r="393" spans="1:32" ht="12.5" x14ac:dyDescent="0.25">
      <c r="A393" s="28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</row>
    <row r="394" spans="1:32" ht="12.5" x14ac:dyDescent="0.25">
      <c r="A394" s="28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</row>
    <row r="395" spans="1:32" ht="12.5" x14ac:dyDescent="0.25">
      <c r="A395" s="28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</row>
    <row r="396" spans="1:32" ht="12.5" x14ac:dyDescent="0.25">
      <c r="A396" s="28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</row>
    <row r="397" spans="1:32" ht="12.5" x14ac:dyDescent="0.25">
      <c r="A397" s="28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</row>
    <row r="398" spans="1:32" ht="12.5" x14ac:dyDescent="0.25">
      <c r="A398" s="28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</row>
    <row r="399" spans="1:32" ht="12.5" x14ac:dyDescent="0.25">
      <c r="A399" s="28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</row>
    <row r="400" spans="1:32" ht="12.5" x14ac:dyDescent="0.25">
      <c r="A400" s="28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</row>
    <row r="401" spans="1:32" ht="12.5" x14ac:dyDescent="0.25">
      <c r="A401" s="28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</row>
    <row r="402" spans="1:32" ht="12.5" x14ac:dyDescent="0.25">
      <c r="A402" s="28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</row>
    <row r="403" spans="1:32" ht="12.5" x14ac:dyDescent="0.25">
      <c r="A403" s="28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</row>
    <row r="404" spans="1:32" ht="12.5" x14ac:dyDescent="0.25">
      <c r="A404" s="28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</row>
    <row r="405" spans="1:32" ht="12.5" x14ac:dyDescent="0.25">
      <c r="A405" s="28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</row>
    <row r="406" spans="1:32" ht="12.5" x14ac:dyDescent="0.25">
      <c r="A406" s="28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</row>
    <row r="407" spans="1:32" ht="12.5" x14ac:dyDescent="0.25">
      <c r="A407" s="28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</row>
    <row r="408" spans="1:32" ht="12.5" x14ac:dyDescent="0.25">
      <c r="A408" s="28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</row>
    <row r="409" spans="1:32" ht="12.5" x14ac:dyDescent="0.25">
      <c r="A409" s="28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</row>
    <row r="410" spans="1:32" ht="12.5" x14ac:dyDescent="0.25">
      <c r="A410" s="28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</row>
    <row r="411" spans="1:32" ht="12.5" x14ac:dyDescent="0.25">
      <c r="A411" s="28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</row>
    <row r="412" spans="1:32" ht="12.5" x14ac:dyDescent="0.25">
      <c r="A412" s="28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</row>
    <row r="413" spans="1:32" ht="12.5" x14ac:dyDescent="0.25">
      <c r="A413" s="28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</row>
    <row r="414" spans="1:32" ht="12.5" x14ac:dyDescent="0.25">
      <c r="A414" s="28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</row>
    <row r="415" spans="1:32" ht="12.5" x14ac:dyDescent="0.25">
      <c r="A415" s="28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</row>
    <row r="416" spans="1:32" ht="12.5" x14ac:dyDescent="0.25">
      <c r="A416" s="28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</row>
    <row r="417" spans="1:32" ht="12.5" x14ac:dyDescent="0.25">
      <c r="A417" s="28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</row>
    <row r="418" spans="1:32" ht="12.5" x14ac:dyDescent="0.25">
      <c r="A418" s="28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</row>
    <row r="419" spans="1:32" ht="12.5" x14ac:dyDescent="0.25">
      <c r="A419" s="28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</row>
    <row r="420" spans="1:32" ht="12.5" x14ac:dyDescent="0.25">
      <c r="A420" s="28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</row>
    <row r="421" spans="1:32" ht="12.5" x14ac:dyDescent="0.25">
      <c r="A421" s="28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</row>
    <row r="422" spans="1:32" ht="12.5" x14ac:dyDescent="0.25">
      <c r="A422" s="28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</row>
    <row r="423" spans="1:32" ht="12.5" x14ac:dyDescent="0.25">
      <c r="A423" s="28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</row>
    <row r="424" spans="1:32" ht="12.5" x14ac:dyDescent="0.25">
      <c r="A424" s="28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</row>
    <row r="425" spans="1:32" ht="12.5" x14ac:dyDescent="0.25">
      <c r="A425" s="28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</row>
    <row r="426" spans="1:32" ht="12.5" x14ac:dyDescent="0.25">
      <c r="A426" s="28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</row>
    <row r="427" spans="1:32" ht="12.5" x14ac:dyDescent="0.25">
      <c r="A427" s="28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</row>
    <row r="428" spans="1:32" ht="12.5" x14ac:dyDescent="0.25">
      <c r="A428" s="28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</row>
    <row r="429" spans="1:32" ht="12.5" x14ac:dyDescent="0.25">
      <c r="A429" s="28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</row>
    <row r="430" spans="1:32" ht="12.5" x14ac:dyDescent="0.25">
      <c r="A430" s="28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</row>
    <row r="431" spans="1:32" ht="12.5" x14ac:dyDescent="0.25">
      <c r="A431" s="28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</row>
    <row r="432" spans="1:32" ht="12.5" x14ac:dyDescent="0.25">
      <c r="A432" s="28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</row>
    <row r="433" spans="1:32" ht="12.5" x14ac:dyDescent="0.25">
      <c r="A433" s="28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</row>
    <row r="434" spans="1:32" ht="12.5" x14ac:dyDescent="0.25">
      <c r="A434" s="28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</row>
    <row r="435" spans="1:32" ht="12.5" x14ac:dyDescent="0.25">
      <c r="A435" s="28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</row>
    <row r="436" spans="1:32" ht="12.5" x14ac:dyDescent="0.25">
      <c r="A436" s="28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</row>
    <row r="437" spans="1:32" ht="12.5" x14ac:dyDescent="0.25">
      <c r="A437" s="28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</row>
    <row r="438" spans="1:32" ht="12.5" x14ac:dyDescent="0.25">
      <c r="A438" s="28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</row>
    <row r="439" spans="1:32" ht="12.5" x14ac:dyDescent="0.25">
      <c r="A439" s="28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</row>
    <row r="440" spans="1:32" ht="12.5" x14ac:dyDescent="0.25">
      <c r="A440" s="28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</row>
    <row r="441" spans="1:32" ht="12.5" x14ac:dyDescent="0.25">
      <c r="A441" s="28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</row>
    <row r="442" spans="1:32" ht="12.5" x14ac:dyDescent="0.25">
      <c r="A442" s="28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</row>
    <row r="443" spans="1:32" ht="12.5" x14ac:dyDescent="0.25">
      <c r="A443" s="28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</row>
    <row r="444" spans="1:32" ht="12.5" x14ac:dyDescent="0.25">
      <c r="A444" s="28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</row>
    <row r="445" spans="1:32" ht="12.5" x14ac:dyDescent="0.25">
      <c r="A445" s="28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</row>
    <row r="446" spans="1:32" ht="12.5" x14ac:dyDescent="0.25">
      <c r="A446" s="28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</row>
    <row r="447" spans="1:32" ht="12.5" x14ac:dyDescent="0.25">
      <c r="A447" s="28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</row>
    <row r="448" spans="1:32" ht="12.5" x14ac:dyDescent="0.25">
      <c r="A448" s="28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</row>
    <row r="449" spans="1:32" ht="12.5" x14ac:dyDescent="0.25">
      <c r="A449" s="28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</row>
    <row r="450" spans="1:32" ht="12.5" x14ac:dyDescent="0.25">
      <c r="A450" s="28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</row>
    <row r="451" spans="1:32" ht="12.5" x14ac:dyDescent="0.25">
      <c r="A451" s="28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</row>
    <row r="452" spans="1:32" ht="12.5" x14ac:dyDescent="0.25">
      <c r="A452" s="28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</row>
    <row r="453" spans="1:32" ht="12.5" x14ac:dyDescent="0.25">
      <c r="A453" s="28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</row>
    <row r="454" spans="1:32" ht="12.5" x14ac:dyDescent="0.25">
      <c r="A454" s="28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</row>
    <row r="455" spans="1:32" ht="12.5" x14ac:dyDescent="0.25">
      <c r="A455" s="28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</row>
    <row r="456" spans="1:32" ht="12.5" x14ac:dyDescent="0.25">
      <c r="A456" s="28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</row>
    <row r="457" spans="1:32" ht="12.5" x14ac:dyDescent="0.25">
      <c r="A457" s="28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</row>
    <row r="458" spans="1:32" ht="12.5" x14ac:dyDescent="0.25">
      <c r="A458" s="28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</row>
    <row r="459" spans="1:32" ht="12.5" x14ac:dyDescent="0.25">
      <c r="A459" s="28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</row>
    <row r="460" spans="1:32" ht="12.5" x14ac:dyDescent="0.25">
      <c r="A460" s="28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</row>
    <row r="461" spans="1:32" ht="12.5" x14ac:dyDescent="0.25">
      <c r="A461" s="28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</row>
    <row r="462" spans="1:32" ht="12.5" x14ac:dyDescent="0.25">
      <c r="A462" s="28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</row>
    <row r="463" spans="1:32" ht="12.5" x14ac:dyDescent="0.25">
      <c r="A463" s="28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</row>
    <row r="464" spans="1:32" ht="12.5" x14ac:dyDescent="0.25">
      <c r="A464" s="28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</row>
    <row r="465" spans="1:32" ht="12.5" x14ac:dyDescent="0.25">
      <c r="A465" s="28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</row>
    <row r="466" spans="1:32" ht="12.5" x14ac:dyDescent="0.25">
      <c r="A466" s="28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</row>
    <row r="467" spans="1:32" ht="12.5" x14ac:dyDescent="0.25">
      <c r="A467" s="28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</row>
    <row r="468" spans="1:32" ht="12.5" x14ac:dyDescent="0.25">
      <c r="A468" s="28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</row>
    <row r="469" spans="1:32" ht="12.5" x14ac:dyDescent="0.25">
      <c r="A469" s="28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</row>
    <row r="470" spans="1:32" ht="12.5" x14ac:dyDescent="0.25">
      <c r="A470" s="28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</row>
    <row r="471" spans="1:32" ht="12.5" x14ac:dyDescent="0.25">
      <c r="A471" s="28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</row>
    <row r="472" spans="1:32" ht="12.5" x14ac:dyDescent="0.25">
      <c r="A472" s="28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</row>
    <row r="473" spans="1:32" ht="12.5" x14ac:dyDescent="0.25">
      <c r="A473" s="28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</row>
    <row r="474" spans="1:32" ht="12.5" x14ac:dyDescent="0.25">
      <c r="A474" s="28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</row>
    <row r="475" spans="1:32" ht="12.5" x14ac:dyDescent="0.25">
      <c r="A475" s="28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</row>
    <row r="476" spans="1:32" ht="12.5" x14ac:dyDescent="0.25">
      <c r="A476" s="28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</row>
    <row r="477" spans="1:32" ht="12.5" x14ac:dyDescent="0.25">
      <c r="A477" s="28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</row>
    <row r="478" spans="1:32" ht="12.5" x14ac:dyDescent="0.25">
      <c r="A478" s="28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</row>
    <row r="479" spans="1:32" ht="12.5" x14ac:dyDescent="0.25">
      <c r="A479" s="28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</row>
    <row r="480" spans="1:32" ht="12.5" x14ac:dyDescent="0.25">
      <c r="A480" s="28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</row>
    <row r="481" spans="1:32" ht="12.5" x14ac:dyDescent="0.25">
      <c r="A481" s="28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</row>
    <row r="482" spans="1:32" ht="12.5" x14ac:dyDescent="0.25">
      <c r="A482" s="28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</row>
    <row r="483" spans="1:32" ht="12.5" x14ac:dyDescent="0.25">
      <c r="A483" s="28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</row>
    <row r="484" spans="1:32" ht="12.5" x14ac:dyDescent="0.25">
      <c r="A484" s="28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</row>
    <row r="485" spans="1:32" ht="12.5" x14ac:dyDescent="0.25">
      <c r="A485" s="28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</row>
    <row r="486" spans="1:32" ht="12.5" x14ac:dyDescent="0.25">
      <c r="A486" s="28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</row>
    <row r="487" spans="1:32" ht="12.5" x14ac:dyDescent="0.25">
      <c r="A487" s="28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</row>
    <row r="488" spans="1:32" ht="12.5" x14ac:dyDescent="0.25">
      <c r="A488" s="28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</row>
    <row r="489" spans="1:32" ht="12.5" x14ac:dyDescent="0.25">
      <c r="A489" s="28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</row>
    <row r="490" spans="1:32" ht="12.5" x14ac:dyDescent="0.25">
      <c r="A490" s="28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</row>
    <row r="491" spans="1:32" ht="12.5" x14ac:dyDescent="0.25">
      <c r="A491" s="28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</row>
    <row r="492" spans="1:32" ht="12.5" x14ac:dyDescent="0.25">
      <c r="A492" s="28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</row>
    <row r="493" spans="1:32" ht="12.5" x14ac:dyDescent="0.25">
      <c r="A493" s="28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</row>
    <row r="494" spans="1:32" ht="12.5" x14ac:dyDescent="0.25">
      <c r="A494" s="28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</row>
    <row r="495" spans="1:32" ht="12.5" x14ac:dyDescent="0.25">
      <c r="A495" s="28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</row>
    <row r="496" spans="1:32" ht="12.5" x14ac:dyDescent="0.25">
      <c r="A496" s="28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</row>
    <row r="497" spans="1:32" ht="12.5" x14ac:dyDescent="0.25">
      <c r="A497" s="28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</row>
    <row r="498" spans="1:32" ht="12.5" x14ac:dyDescent="0.25">
      <c r="A498" s="28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</row>
    <row r="499" spans="1:32" ht="12.5" x14ac:dyDescent="0.25">
      <c r="A499" s="28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</row>
    <row r="500" spans="1:32" ht="12.5" x14ac:dyDescent="0.25">
      <c r="A500" s="28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</row>
    <row r="501" spans="1:32" ht="12.5" x14ac:dyDescent="0.25">
      <c r="A501" s="28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</row>
    <row r="502" spans="1:32" ht="12.5" x14ac:dyDescent="0.25">
      <c r="A502" s="28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</row>
    <row r="503" spans="1:32" ht="12.5" x14ac:dyDescent="0.25">
      <c r="A503" s="28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</row>
    <row r="504" spans="1:32" ht="12.5" x14ac:dyDescent="0.25">
      <c r="A504" s="28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</row>
    <row r="505" spans="1:32" ht="12.5" x14ac:dyDescent="0.25">
      <c r="A505" s="28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</row>
    <row r="506" spans="1:32" ht="12.5" x14ac:dyDescent="0.25">
      <c r="A506" s="28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</row>
    <row r="507" spans="1:32" ht="12.5" x14ac:dyDescent="0.25">
      <c r="A507" s="28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</row>
    <row r="508" spans="1:32" ht="12.5" x14ac:dyDescent="0.25">
      <c r="A508" s="28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</row>
    <row r="509" spans="1:32" ht="12.5" x14ac:dyDescent="0.25">
      <c r="A509" s="28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</row>
    <row r="510" spans="1:32" ht="12.5" x14ac:dyDescent="0.25">
      <c r="A510" s="28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</row>
    <row r="511" spans="1:32" ht="12.5" x14ac:dyDescent="0.25">
      <c r="A511" s="28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</row>
    <row r="512" spans="1:32" ht="12.5" x14ac:dyDescent="0.25">
      <c r="A512" s="28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</row>
    <row r="513" spans="1:32" ht="12.5" x14ac:dyDescent="0.25">
      <c r="A513" s="28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</row>
    <row r="514" spans="1:32" ht="12.5" x14ac:dyDescent="0.25">
      <c r="A514" s="28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</row>
    <row r="515" spans="1:32" ht="12.5" x14ac:dyDescent="0.25">
      <c r="A515" s="28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</row>
    <row r="516" spans="1:32" ht="12.5" x14ac:dyDescent="0.25">
      <c r="A516" s="28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</row>
    <row r="517" spans="1:32" ht="12.5" x14ac:dyDescent="0.25">
      <c r="A517" s="28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</row>
    <row r="518" spans="1:32" ht="12.5" x14ac:dyDescent="0.25">
      <c r="A518" s="28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</row>
    <row r="519" spans="1:32" ht="12.5" x14ac:dyDescent="0.25">
      <c r="A519" s="28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</row>
    <row r="520" spans="1:32" ht="12.5" x14ac:dyDescent="0.25">
      <c r="A520" s="28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</row>
    <row r="521" spans="1:32" ht="12.5" x14ac:dyDescent="0.25">
      <c r="A521" s="28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</row>
    <row r="522" spans="1:32" ht="12.5" x14ac:dyDescent="0.25">
      <c r="A522" s="28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</row>
    <row r="523" spans="1:32" ht="12.5" x14ac:dyDescent="0.25">
      <c r="A523" s="28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</row>
    <row r="524" spans="1:32" ht="12.5" x14ac:dyDescent="0.25">
      <c r="A524" s="28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</row>
    <row r="525" spans="1:32" ht="12.5" x14ac:dyDescent="0.25">
      <c r="A525" s="28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</row>
    <row r="526" spans="1:32" ht="12.5" x14ac:dyDescent="0.25">
      <c r="A526" s="28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</row>
    <row r="527" spans="1:32" ht="12.5" x14ac:dyDescent="0.25">
      <c r="A527" s="28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</row>
    <row r="528" spans="1:32" ht="12.5" x14ac:dyDescent="0.25">
      <c r="A528" s="28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</row>
    <row r="529" spans="1:32" ht="12.5" x14ac:dyDescent="0.25">
      <c r="A529" s="28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</row>
    <row r="530" spans="1:32" ht="12.5" x14ac:dyDescent="0.25">
      <c r="A530" s="28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</row>
    <row r="531" spans="1:32" ht="12.5" x14ac:dyDescent="0.25">
      <c r="A531" s="28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</row>
    <row r="532" spans="1:32" ht="12.5" x14ac:dyDescent="0.25">
      <c r="A532" s="28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</row>
    <row r="533" spans="1:32" ht="12.5" x14ac:dyDescent="0.25">
      <c r="A533" s="28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</row>
    <row r="534" spans="1:32" ht="12.5" x14ac:dyDescent="0.25">
      <c r="A534" s="28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</row>
    <row r="535" spans="1:32" ht="12.5" x14ac:dyDescent="0.25">
      <c r="A535" s="28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</row>
    <row r="536" spans="1:32" ht="12.5" x14ac:dyDescent="0.25">
      <c r="A536" s="28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</row>
    <row r="537" spans="1:32" ht="12.5" x14ac:dyDescent="0.25">
      <c r="A537" s="28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</row>
    <row r="538" spans="1:32" ht="12.5" x14ac:dyDescent="0.25">
      <c r="A538" s="28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</row>
    <row r="539" spans="1:32" ht="12.5" x14ac:dyDescent="0.25">
      <c r="A539" s="28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</row>
    <row r="540" spans="1:32" ht="12.5" x14ac:dyDescent="0.25">
      <c r="A540" s="28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</row>
    <row r="541" spans="1:32" ht="12.5" x14ac:dyDescent="0.25">
      <c r="A541" s="28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</row>
    <row r="542" spans="1:32" ht="12.5" x14ac:dyDescent="0.25">
      <c r="A542" s="28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</row>
    <row r="543" spans="1:32" ht="12.5" x14ac:dyDescent="0.25">
      <c r="A543" s="28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</row>
    <row r="544" spans="1:32" ht="12.5" x14ac:dyDescent="0.25">
      <c r="A544" s="28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</row>
    <row r="545" spans="1:32" ht="12.5" x14ac:dyDescent="0.25">
      <c r="A545" s="28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</row>
    <row r="546" spans="1:32" ht="12.5" x14ac:dyDescent="0.25">
      <c r="A546" s="28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</row>
    <row r="547" spans="1:32" ht="12.5" x14ac:dyDescent="0.25">
      <c r="A547" s="28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</row>
    <row r="548" spans="1:32" ht="12.5" x14ac:dyDescent="0.25">
      <c r="A548" s="28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</row>
    <row r="549" spans="1:32" ht="12.5" x14ac:dyDescent="0.25">
      <c r="A549" s="28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</row>
    <row r="550" spans="1:32" ht="12.5" x14ac:dyDescent="0.25">
      <c r="A550" s="28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</row>
    <row r="551" spans="1:32" ht="12.5" x14ac:dyDescent="0.25">
      <c r="A551" s="28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</row>
    <row r="552" spans="1:32" ht="12.5" x14ac:dyDescent="0.25">
      <c r="A552" s="28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</row>
    <row r="553" spans="1:32" ht="12.5" x14ac:dyDescent="0.25">
      <c r="A553" s="28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</row>
    <row r="554" spans="1:32" ht="12.5" x14ac:dyDescent="0.25">
      <c r="A554" s="28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</row>
    <row r="555" spans="1:32" ht="12.5" x14ac:dyDescent="0.25">
      <c r="A555" s="28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</row>
    <row r="556" spans="1:32" ht="12.5" x14ac:dyDescent="0.25">
      <c r="A556" s="28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</row>
    <row r="557" spans="1:32" ht="12.5" x14ac:dyDescent="0.25">
      <c r="A557" s="28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</row>
    <row r="558" spans="1:32" ht="12.5" x14ac:dyDescent="0.25">
      <c r="A558" s="28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</row>
    <row r="559" spans="1:32" ht="12.5" x14ac:dyDescent="0.25">
      <c r="A559" s="28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</row>
    <row r="560" spans="1:32" ht="12.5" x14ac:dyDescent="0.25">
      <c r="A560" s="28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</row>
    <row r="561" spans="1:32" ht="12.5" x14ac:dyDescent="0.25">
      <c r="A561" s="28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</row>
    <row r="562" spans="1:32" ht="12.5" x14ac:dyDescent="0.25">
      <c r="A562" s="28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</row>
    <row r="563" spans="1:32" ht="12.5" x14ac:dyDescent="0.25">
      <c r="A563" s="28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</row>
    <row r="564" spans="1:32" ht="12.5" x14ac:dyDescent="0.25">
      <c r="A564" s="28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</row>
    <row r="565" spans="1:32" ht="12.5" x14ac:dyDescent="0.25">
      <c r="A565" s="28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</row>
    <row r="566" spans="1:32" ht="12.5" x14ac:dyDescent="0.25">
      <c r="A566" s="28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</row>
    <row r="567" spans="1:32" ht="12.5" x14ac:dyDescent="0.25">
      <c r="A567" s="28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</row>
    <row r="568" spans="1:32" ht="12.5" x14ac:dyDescent="0.25">
      <c r="A568" s="28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</row>
    <row r="569" spans="1:32" ht="12.5" x14ac:dyDescent="0.25">
      <c r="A569" s="28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</row>
    <row r="570" spans="1:32" ht="12.5" x14ac:dyDescent="0.25">
      <c r="A570" s="28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</row>
    <row r="571" spans="1:32" ht="12.5" x14ac:dyDescent="0.25">
      <c r="A571" s="28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</row>
    <row r="572" spans="1:32" ht="12.5" x14ac:dyDescent="0.25">
      <c r="A572" s="28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</row>
    <row r="573" spans="1:32" ht="12.5" x14ac:dyDescent="0.25">
      <c r="A573" s="28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</row>
    <row r="574" spans="1:32" ht="12.5" x14ac:dyDescent="0.25">
      <c r="A574" s="28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</row>
    <row r="575" spans="1:32" ht="12.5" x14ac:dyDescent="0.25">
      <c r="A575" s="28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</row>
    <row r="576" spans="1:32" ht="12.5" x14ac:dyDescent="0.25">
      <c r="A576" s="28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</row>
    <row r="577" spans="1:32" ht="12.5" x14ac:dyDescent="0.25">
      <c r="A577" s="28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</row>
    <row r="578" spans="1:32" ht="12.5" x14ac:dyDescent="0.25">
      <c r="A578" s="28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</row>
    <row r="579" spans="1:32" ht="12.5" x14ac:dyDescent="0.25">
      <c r="A579" s="28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</row>
    <row r="580" spans="1:32" ht="12.5" x14ac:dyDescent="0.25">
      <c r="A580" s="28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</row>
    <row r="581" spans="1:32" ht="12.5" x14ac:dyDescent="0.25">
      <c r="A581" s="28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</row>
    <row r="582" spans="1:32" ht="12.5" x14ac:dyDescent="0.25">
      <c r="A582" s="28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</row>
    <row r="583" spans="1:32" ht="12.5" x14ac:dyDescent="0.25">
      <c r="A583" s="28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</row>
    <row r="584" spans="1:32" ht="12.5" x14ac:dyDescent="0.25">
      <c r="A584" s="28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</row>
    <row r="585" spans="1:32" ht="12.5" x14ac:dyDescent="0.25">
      <c r="A585" s="28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</row>
    <row r="586" spans="1:32" ht="12.5" x14ac:dyDescent="0.25">
      <c r="A586" s="28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</row>
    <row r="587" spans="1:32" ht="12.5" x14ac:dyDescent="0.25">
      <c r="A587" s="28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</row>
    <row r="588" spans="1:32" ht="12.5" x14ac:dyDescent="0.25">
      <c r="A588" s="28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</row>
    <row r="589" spans="1:32" ht="12.5" x14ac:dyDescent="0.25">
      <c r="A589" s="28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</row>
    <row r="590" spans="1:32" ht="12.5" x14ac:dyDescent="0.25">
      <c r="A590" s="28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</row>
    <row r="591" spans="1:32" ht="12.5" x14ac:dyDescent="0.25">
      <c r="A591" s="28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</row>
    <row r="592" spans="1:32" ht="12.5" x14ac:dyDescent="0.25">
      <c r="A592" s="28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</row>
    <row r="593" spans="1:32" ht="12.5" x14ac:dyDescent="0.25">
      <c r="A593" s="28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</row>
    <row r="594" spans="1:32" ht="12.5" x14ac:dyDescent="0.25">
      <c r="A594" s="28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</row>
    <row r="595" spans="1:32" ht="12.5" x14ac:dyDescent="0.25">
      <c r="A595" s="28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</row>
    <row r="596" spans="1:32" ht="12.5" x14ac:dyDescent="0.25">
      <c r="A596" s="28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</row>
    <row r="597" spans="1:32" ht="12.5" x14ac:dyDescent="0.25">
      <c r="A597" s="28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</row>
    <row r="598" spans="1:32" ht="12.5" x14ac:dyDescent="0.25">
      <c r="A598" s="28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</row>
    <row r="599" spans="1:32" ht="12.5" x14ac:dyDescent="0.25">
      <c r="A599" s="28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</row>
    <row r="600" spans="1:32" ht="12.5" x14ac:dyDescent="0.25">
      <c r="A600" s="28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</row>
    <row r="601" spans="1:32" ht="12.5" x14ac:dyDescent="0.25">
      <c r="A601" s="28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</row>
    <row r="602" spans="1:32" ht="12.5" x14ac:dyDescent="0.25">
      <c r="A602" s="28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</row>
    <row r="603" spans="1:32" ht="12.5" x14ac:dyDescent="0.25">
      <c r="A603" s="28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</row>
    <row r="604" spans="1:32" ht="12.5" x14ac:dyDescent="0.25">
      <c r="A604" s="28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</row>
    <row r="605" spans="1:32" ht="12.5" x14ac:dyDescent="0.25">
      <c r="A605" s="28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</row>
    <row r="606" spans="1:32" ht="12.5" x14ac:dyDescent="0.25">
      <c r="A606" s="28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</row>
    <row r="607" spans="1:32" ht="12.5" x14ac:dyDescent="0.25">
      <c r="A607" s="28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</row>
    <row r="608" spans="1:32" ht="12.5" x14ac:dyDescent="0.25">
      <c r="A608" s="28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</row>
    <row r="609" spans="1:32" ht="12.5" x14ac:dyDescent="0.25">
      <c r="A609" s="28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</row>
    <row r="610" spans="1:32" ht="12.5" x14ac:dyDescent="0.25">
      <c r="A610" s="28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</row>
    <row r="611" spans="1:32" ht="12.5" x14ac:dyDescent="0.25">
      <c r="A611" s="28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</row>
    <row r="612" spans="1:32" ht="12.5" x14ac:dyDescent="0.25">
      <c r="A612" s="28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</row>
    <row r="613" spans="1:32" ht="12.5" x14ac:dyDescent="0.25">
      <c r="A613" s="28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</row>
    <row r="614" spans="1:32" ht="12.5" x14ac:dyDescent="0.25">
      <c r="A614" s="28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</row>
    <row r="615" spans="1:32" ht="12.5" x14ac:dyDescent="0.25">
      <c r="A615" s="28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</row>
    <row r="616" spans="1:32" ht="12.5" x14ac:dyDescent="0.25">
      <c r="A616" s="28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</row>
    <row r="617" spans="1:32" ht="12.5" x14ac:dyDescent="0.25">
      <c r="A617" s="28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</row>
    <row r="618" spans="1:32" ht="12.5" x14ac:dyDescent="0.25">
      <c r="A618" s="28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</row>
    <row r="619" spans="1:32" ht="12.5" x14ac:dyDescent="0.25">
      <c r="A619" s="28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</row>
    <row r="620" spans="1:32" ht="12.5" x14ac:dyDescent="0.25">
      <c r="A620" s="28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</row>
    <row r="621" spans="1:32" ht="12.5" x14ac:dyDescent="0.25">
      <c r="A621" s="28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</row>
    <row r="622" spans="1:32" ht="12.5" x14ac:dyDescent="0.25">
      <c r="A622" s="28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</row>
    <row r="623" spans="1:32" ht="12.5" x14ac:dyDescent="0.25">
      <c r="A623" s="28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</row>
    <row r="624" spans="1:32" ht="12.5" x14ac:dyDescent="0.25">
      <c r="A624" s="28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</row>
    <row r="625" spans="1:32" ht="12.5" x14ac:dyDescent="0.25">
      <c r="A625" s="28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</row>
    <row r="626" spans="1:32" ht="12.5" x14ac:dyDescent="0.25">
      <c r="A626" s="28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</row>
    <row r="627" spans="1:32" ht="12.5" x14ac:dyDescent="0.25">
      <c r="A627" s="28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</row>
    <row r="628" spans="1:32" ht="12.5" x14ac:dyDescent="0.25">
      <c r="A628" s="28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</row>
    <row r="629" spans="1:32" ht="12.5" x14ac:dyDescent="0.25">
      <c r="A629" s="28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</row>
    <row r="630" spans="1:32" ht="12.5" x14ac:dyDescent="0.25">
      <c r="A630" s="28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</row>
    <row r="631" spans="1:32" ht="12.5" x14ac:dyDescent="0.25">
      <c r="A631" s="28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</row>
    <row r="632" spans="1:32" ht="12.5" x14ac:dyDescent="0.25">
      <c r="A632" s="28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</row>
    <row r="633" spans="1:32" ht="12.5" x14ac:dyDescent="0.25">
      <c r="A633" s="28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</row>
    <row r="634" spans="1:32" ht="12.5" x14ac:dyDescent="0.25">
      <c r="A634" s="28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</row>
    <row r="635" spans="1:32" ht="12.5" x14ac:dyDescent="0.25">
      <c r="A635" s="28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</row>
    <row r="636" spans="1:32" ht="12.5" x14ac:dyDescent="0.25">
      <c r="A636" s="28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</row>
    <row r="637" spans="1:32" ht="12.5" x14ac:dyDescent="0.25">
      <c r="A637" s="28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</row>
    <row r="638" spans="1:32" ht="12.5" x14ac:dyDescent="0.25">
      <c r="A638" s="28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</row>
    <row r="639" spans="1:32" ht="12.5" x14ac:dyDescent="0.25">
      <c r="A639" s="28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</row>
    <row r="640" spans="1:32" ht="12.5" x14ac:dyDescent="0.25">
      <c r="A640" s="28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</row>
    <row r="641" spans="1:32" ht="12.5" x14ac:dyDescent="0.25">
      <c r="A641" s="28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</row>
    <row r="642" spans="1:32" ht="12.5" x14ac:dyDescent="0.25">
      <c r="A642" s="28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</row>
    <row r="643" spans="1:32" ht="12.5" x14ac:dyDescent="0.25">
      <c r="A643" s="28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</row>
    <row r="644" spans="1:32" ht="12.5" x14ac:dyDescent="0.25">
      <c r="A644" s="28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</row>
    <row r="645" spans="1:32" ht="12.5" x14ac:dyDescent="0.25">
      <c r="A645" s="28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</row>
    <row r="646" spans="1:32" ht="12.5" x14ac:dyDescent="0.25">
      <c r="A646" s="28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</row>
    <row r="647" spans="1:32" ht="12.5" x14ac:dyDescent="0.25">
      <c r="A647" s="28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</row>
    <row r="648" spans="1:32" ht="12.5" x14ac:dyDescent="0.25">
      <c r="A648" s="28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</row>
    <row r="649" spans="1:32" ht="12.5" x14ac:dyDescent="0.25">
      <c r="A649" s="28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</row>
    <row r="650" spans="1:32" ht="12.5" x14ac:dyDescent="0.25">
      <c r="A650" s="28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</row>
    <row r="651" spans="1:32" ht="12.5" x14ac:dyDescent="0.25">
      <c r="A651" s="28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</row>
    <row r="652" spans="1:32" ht="12.5" x14ac:dyDescent="0.25">
      <c r="A652" s="28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</row>
    <row r="653" spans="1:32" ht="12.5" x14ac:dyDescent="0.25">
      <c r="A653" s="28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</row>
    <row r="654" spans="1:32" ht="12.5" x14ac:dyDescent="0.25">
      <c r="A654" s="28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</row>
    <row r="655" spans="1:32" ht="12.5" x14ac:dyDescent="0.25">
      <c r="A655" s="28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</row>
    <row r="656" spans="1:32" ht="12.5" x14ac:dyDescent="0.25">
      <c r="A656" s="28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</row>
    <row r="657" spans="1:32" ht="12.5" x14ac:dyDescent="0.25">
      <c r="A657" s="28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</row>
    <row r="658" spans="1:32" ht="12.5" x14ac:dyDescent="0.25">
      <c r="A658" s="28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</row>
    <row r="659" spans="1:32" ht="12.5" x14ac:dyDescent="0.25">
      <c r="A659" s="28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</row>
    <row r="660" spans="1:32" ht="12.5" x14ac:dyDescent="0.25">
      <c r="A660" s="28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</row>
    <row r="661" spans="1:32" ht="12.5" x14ac:dyDescent="0.25">
      <c r="A661" s="28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</row>
    <row r="662" spans="1:32" ht="12.5" x14ac:dyDescent="0.25">
      <c r="A662" s="28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</row>
    <row r="663" spans="1:32" ht="12.5" x14ac:dyDescent="0.25">
      <c r="A663" s="28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</row>
    <row r="664" spans="1:32" ht="12.5" x14ac:dyDescent="0.25">
      <c r="A664" s="28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</row>
    <row r="665" spans="1:32" ht="12.5" x14ac:dyDescent="0.25">
      <c r="A665" s="28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</row>
    <row r="666" spans="1:32" ht="12.5" x14ac:dyDescent="0.25">
      <c r="A666" s="28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</row>
    <row r="667" spans="1:32" ht="12.5" x14ac:dyDescent="0.25">
      <c r="A667" s="28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</row>
    <row r="668" spans="1:32" ht="12.5" x14ac:dyDescent="0.25">
      <c r="A668" s="28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</row>
    <row r="669" spans="1:32" ht="12.5" x14ac:dyDescent="0.25">
      <c r="A669" s="28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</row>
    <row r="670" spans="1:32" ht="12.5" x14ac:dyDescent="0.25">
      <c r="A670" s="28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</row>
    <row r="671" spans="1:32" ht="12.5" x14ac:dyDescent="0.25">
      <c r="A671" s="28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</row>
    <row r="672" spans="1:32" ht="12.5" x14ac:dyDescent="0.25">
      <c r="A672" s="28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</row>
    <row r="673" spans="1:32" ht="12.5" x14ac:dyDescent="0.25">
      <c r="A673" s="28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</row>
    <row r="674" spans="1:32" ht="12.5" x14ac:dyDescent="0.25">
      <c r="A674" s="28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</row>
    <row r="675" spans="1:32" ht="12.5" x14ac:dyDescent="0.25">
      <c r="A675" s="28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</row>
    <row r="676" spans="1:32" ht="12.5" x14ac:dyDescent="0.25">
      <c r="A676" s="28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</row>
    <row r="677" spans="1:32" ht="12.5" x14ac:dyDescent="0.25">
      <c r="A677" s="28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</row>
    <row r="678" spans="1:32" ht="12.5" x14ac:dyDescent="0.25">
      <c r="A678" s="28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</row>
    <row r="679" spans="1:32" ht="12.5" x14ac:dyDescent="0.25">
      <c r="A679" s="28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</row>
    <row r="680" spans="1:32" ht="12.5" x14ac:dyDescent="0.25">
      <c r="A680" s="28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</row>
    <row r="681" spans="1:32" ht="12.5" x14ac:dyDescent="0.25">
      <c r="A681" s="28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</row>
    <row r="682" spans="1:32" ht="12.5" x14ac:dyDescent="0.25">
      <c r="A682" s="28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</row>
    <row r="683" spans="1:32" ht="12.5" x14ac:dyDescent="0.25">
      <c r="A683" s="28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</row>
    <row r="684" spans="1:32" ht="12.5" x14ac:dyDescent="0.25">
      <c r="A684" s="28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</row>
    <row r="685" spans="1:32" ht="12.5" x14ac:dyDescent="0.25">
      <c r="A685" s="28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</row>
    <row r="686" spans="1:32" ht="12.5" x14ac:dyDescent="0.25">
      <c r="A686" s="28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</row>
    <row r="687" spans="1:32" ht="12.5" x14ac:dyDescent="0.25">
      <c r="A687" s="28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</row>
    <row r="688" spans="1:32" ht="12.5" x14ac:dyDescent="0.25">
      <c r="A688" s="28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</row>
    <row r="689" spans="1:32" ht="12.5" x14ac:dyDescent="0.25">
      <c r="A689" s="28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</row>
    <row r="690" spans="1:32" ht="12.5" x14ac:dyDescent="0.25">
      <c r="A690" s="28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</row>
    <row r="691" spans="1:32" ht="12.5" x14ac:dyDescent="0.25">
      <c r="A691" s="28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</row>
    <row r="692" spans="1:32" ht="12.5" x14ac:dyDescent="0.25">
      <c r="A692" s="28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</row>
    <row r="693" spans="1:32" ht="12.5" x14ac:dyDescent="0.25">
      <c r="A693" s="28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</row>
    <row r="694" spans="1:32" ht="12.5" x14ac:dyDescent="0.25">
      <c r="A694" s="28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</row>
    <row r="695" spans="1:32" ht="12.5" x14ac:dyDescent="0.25">
      <c r="A695" s="28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</row>
    <row r="696" spans="1:32" ht="12.5" x14ac:dyDescent="0.25">
      <c r="A696" s="28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</row>
    <row r="697" spans="1:32" ht="12.5" x14ac:dyDescent="0.25">
      <c r="A697" s="28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</row>
    <row r="698" spans="1:32" ht="12.5" x14ac:dyDescent="0.25">
      <c r="A698" s="28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</row>
    <row r="699" spans="1:32" ht="12.5" x14ac:dyDescent="0.25">
      <c r="A699" s="28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</row>
    <row r="700" spans="1:32" ht="12.5" x14ac:dyDescent="0.25">
      <c r="A700" s="28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</row>
    <row r="701" spans="1:32" ht="12.5" x14ac:dyDescent="0.25">
      <c r="A701" s="28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</row>
    <row r="702" spans="1:32" ht="12.5" x14ac:dyDescent="0.25">
      <c r="A702" s="28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</row>
    <row r="703" spans="1:32" ht="12.5" x14ac:dyDescent="0.25">
      <c r="A703" s="28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</row>
    <row r="704" spans="1:32" ht="12.5" x14ac:dyDescent="0.25">
      <c r="A704" s="28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</row>
    <row r="705" spans="1:32" ht="12.5" x14ac:dyDescent="0.25">
      <c r="A705" s="28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</row>
    <row r="706" spans="1:32" ht="12.5" x14ac:dyDescent="0.25">
      <c r="A706" s="28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</row>
    <row r="707" spans="1:32" ht="12.5" x14ac:dyDescent="0.25">
      <c r="A707" s="28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</row>
    <row r="708" spans="1:32" ht="12.5" x14ac:dyDescent="0.25">
      <c r="A708" s="28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</row>
    <row r="709" spans="1:32" ht="12.5" x14ac:dyDescent="0.25">
      <c r="A709" s="28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</row>
    <row r="710" spans="1:32" ht="12.5" x14ac:dyDescent="0.25">
      <c r="A710" s="28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</row>
    <row r="711" spans="1:32" ht="12.5" x14ac:dyDescent="0.25">
      <c r="A711" s="28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</row>
    <row r="712" spans="1:32" ht="12.5" x14ac:dyDescent="0.25">
      <c r="A712" s="28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</row>
    <row r="713" spans="1:32" ht="12.5" x14ac:dyDescent="0.25">
      <c r="A713" s="28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</row>
    <row r="714" spans="1:32" ht="12.5" x14ac:dyDescent="0.25">
      <c r="A714" s="28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</row>
    <row r="715" spans="1:32" ht="12.5" x14ac:dyDescent="0.25">
      <c r="A715" s="28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</row>
    <row r="716" spans="1:32" ht="12.5" x14ac:dyDescent="0.25">
      <c r="A716" s="28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</row>
    <row r="717" spans="1:32" ht="12.5" x14ac:dyDescent="0.25">
      <c r="A717" s="28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</row>
    <row r="718" spans="1:32" ht="12.5" x14ac:dyDescent="0.25">
      <c r="A718" s="28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</row>
    <row r="719" spans="1:32" ht="12.5" x14ac:dyDescent="0.25">
      <c r="A719" s="28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</row>
    <row r="720" spans="1:32" ht="12.5" x14ac:dyDescent="0.25">
      <c r="A720" s="28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</row>
    <row r="721" spans="1:32" ht="12.5" x14ac:dyDescent="0.25">
      <c r="A721" s="28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</row>
    <row r="722" spans="1:32" ht="12.5" x14ac:dyDescent="0.25">
      <c r="A722" s="28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</row>
    <row r="723" spans="1:32" ht="12.5" x14ac:dyDescent="0.25">
      <c r="A723" s="28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</row>
    <row r="724" spans="1:32" ht="12.5" x14ac:dyDescent="0.25">
      <c r="A724" s="28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</row>
    <row r="725" spans="1:32" ht="12.5" x14ac:dyDescent="0.25">
      <c r="A725" s="28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</row>
    <row r="726" spans="1:32" ht="12.5" x14ac:dyDescent="0.25">
      <c r="A726" s="28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</row>
    <row r="727" spans="1:32" ht="12.5" x14ac:dyDescent="0.25">
      <c r="A727" s="28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</row>
    <row r="728" spans="1:32" ht="12.5" x14ac:dyDescent="0.25">
      <c r="A728" s="28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</row>
    <row r="729" spans="1:32" ht="12.5" x14ac:dyDescent="0.25">
      <c r="A729" s="28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</row>
    <row r="730" spans="1:32" ht="12.5" x14ac:dyDescent="0.25">
      <c r="A730" s="28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</row>
    <row r="731" spans="1:32" ht="12.5" x14ac:dyDescent="0.25">
      <c r="A731" s="28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</row>
    <row r="732" spans="1:32" ht="12.5" x14ac:dyDescent="0.25">
      <c r="A732" s="28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</row>
    <row r="733" spans="1:32" ht="12.5" x14ac:dyDescent="0.25">
      <c r="A733" s="28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</row>
    <row r="734" spans="1:32" ht="12.5" x14ac:dyDescent="0.25">
      <c r="A734" s="28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</row>
    <row r="735" spans="1:32" ht="12.5" x14ac:dyDescent="0.25">
      <c r="A735" s="28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</row>
    <row r="736" spans="1:32" ht="12.5" x14ac:dyDescent="0.25">
      <c r="A736" s="28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</row>
    <row r="737" spans="1:32" ht="12.5" x14ac:dyDescent="0.25">
      <c r="A737" s="28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</row>
    <row r="738" spans="1:32" ht="12.5" x14ac:dyDescent="0.25">
      <c r="A738" s="28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</row>
    <row r="739" spans="1:32" ht="12.5" x14ac:dyDescent="0.25">
      <c r="A739" s="28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</row>
    <row r="740" spans="1:32" ht="12.5" x14ac:dyDescent="0.25">
      <c r="A740" s="28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</row>
    <row r="741" spans="1:32" ht="12.5" x14ac:dyDescent="0.25">
      <c r="A741" s="28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</row>
    <row r="742" spans="1:32" ht="12.5" x14ac:dyDescent="0.25">
      <c r="A742" s="28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</row>
    <row r="743" spans="1:32" ht="12.5" x14ac:dyDescent="0.25">
      <c r="A743" s="28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</row>
    <row r="744" spans="1:32" ht="12.5" x14ac:dyDescent="0.25">
      <c r="A744" s="28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</row>
    <row r="745" spans="1:32" ht="12.5" x14ac:dyDescent="0.25">
      <c r="A745" s="28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</row>
    <row r="746" spans="1:32" ht="12.5" x14ac:dyDescent="0.25">
      <c r="A746" s="28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</row>
    <row r="747" spans="1:32" ht="12.5" x14ac:dyDescent="0.25">
      <c r="A747" s="28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</row>
    <row r="748" spans="1:32" ht="12.5" x14ac:dyDescent="0.25">
      <c r="A748" s="28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</row>
    <row r="749" spans="1:32" ht="12.5" x14ac:dyDescent="0.25">
      <c r="A749" s="28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</row>
    <row r="750" spans="1:32" ht="12.5" x14ac:dyDescent="0.25">
      <c r="A750" s="28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</row>
    <row r="751" spans="1:32" ht="12.5" x14ac:dyDescent="0.25">
      <c r="A751" s="28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</row>
    <row r="752" spans="1:32" ht="12.5" x14ac:dyDescent="0.25">
      <c r="A752" s="28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</row>
    <row r="753" spans="1:32" ht="12.5" x14ac:dyDescent="0.25">
      <c r="A753" s="28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</row>
    <row r="754" spans="1:32" ht="12.5" x14ac:dyDescent="0.25">
      <c r="A754" s="28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</row>
    <row r="755" spans="1:32" ht="12.5" x14ac:dyDescent="0.25">
      <c r="A755" s="28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</row>
    <row r="756" spans="1:32" ht="12.5" x14ac:dyDescent="0.25">
      <c r="A756" s="28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</row>
    <row r="757" spans="1:32" ht="12.5" x14ac:dyDescent="0.25">
      <c r="A757" s="28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</row>
    <row r="758" spans="1:32" ht="12.5" x14ac:dyDescent="0.25">
      <c r="A758" s="28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</row>
    <row r="759" spans="1:32" ht="12.5" x14ac:dyDescent="0.25">
      <c r="A759" s="28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</row>
    <row r="760" spans="1:32" ht="12.5" x14ac:dyDescent="0.25">
      <c r="A760" s="28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</row>
    <row r="761" spans="1:32" ht="12.5" x14ac:dyDescent="0.25">
      <c r="A761" s="28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</row>
    <row r="762" spans="1:32" ht="12.5" x14ac:dyDescent="0.25">
      <c r="A762" s="28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</row>
    <row r="763" spans="1:32" ht="12.5" x14ac:dyDescent="0.25">
      <c r="A763" s="28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</row>
    <row r="764" spans="1:32" ht="12.5" x14ac:dyDescent="0.25">
      <c r="A764" s="28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</row>
    <row r="765" spans="1:32" ht="12.5" x14ac:dyDescent="0.25">
      <c r="A765" s="28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</row>
    <row r="766" spans="1:32" ht="12.5" x14ac:dyDescent="0.25">
      <c r="A766" s="28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</row>
    <row r="767" spans="1:32" ht="12.5" x14ac:dyDescent="0.25">
      <c r="A767" s="28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</row>
    <row r="768" spans="1:32" ht="12.5" x14ac:dyDescent="0.25">
      <c r="A768" s="28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</row>
    <row r="769" spans="1:32" ht="12.5" x14ac:dyDescent="0.25">
      <c r="A769" s="28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</row>
    <row r="770" spans="1:32" ht="12.5" x14ac:dyDescent="0.25">
      <c r="A770" s="28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</row>
    <row r="771" spans="1:32" ht="12.5" x14ac:dyDescent="0.25">
      <c r="A771" s="28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</row>
    <row r="772" spans="1:32" ht="12.5" x14ac:dyDescent="0.25">
      <c r="A772" s="28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</row>
    <row r="773" spans="1:32" ht="12.5" x14ac:dyDescent="0.25">
      <c r="A773" s="28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</row>
    <row r="774" spans="1:32" ht="12.5" x14ac:dyDescent="0.25">
      <c r="A774" s="28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</row>
    <row r="775" spans="1:32" ht="12.5" x14ac:dyDescent="0.25">
      <c r="A775" s="28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</row>
    <row r="776" spans="1:32" ht="12.5" x14ac:dyDescent="0.25">
      <c r="A776" s="28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</row>
    <row r="777" spans="1:32" ht="12.5" x14ac:dyDescent="0.25">
      <c r="A777" s="28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</row>
    <row r="778" spans="1:32" ht="12.5" x14ac:dyDescent="0.25">
      <c r="A778" s="28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</row>
    <row r="779" spans="1:32" ht="12.5" x14ac:dyDescent="0.25">
      <c r="A779" s="28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</row>
    <row r="780" spans="1:32" ht="12.5" x14ac:dyDescent="0.25">
      <c r="A780" s="28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</row>
    <row r="781" spans="1:32" ht="12.5" x14ac:dyDescent="0.25">
      <c r="A781" s="28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</row>
    <row r="782" spans="1:32" ht="12.5" x14ac:dyDescent="0.25">
      <c r="A782" s="28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</row>
    <row r="783" spans="1:32" ht="12.5" x14ac:dyDescent="0.25">
      <c r="A783" s="28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</row>
    <row r="784" spans="1:32" ht="12.5" x14ac:dyDescent="0.25">
      <c r="A784" s="28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</row>
    <row r="785" spans="1:32" ht="12.5" x14ac:dyDescent="0.25">
      <c r="A785" s="28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</row>
    <row r="786" spans="1:32" ht="12.5" x14ac:dyDescent="0.25">
      <c r="A786" s="28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</row>
    <row r="787" spans="1:32" ht="12.5" x14ac:dyDescent="0.25">
      <c r="A787" s="28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</row>
    <row r="788" spans="1:32" ht="12.5" x14ac:dyDescent="0.25">
      <c r="A788" s="28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</row>
    <row r="789" spans="1:32" ht="12.5" x14ac:dyDescent="0.25">
      <c r="A789" s="28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</row>
    <row r="790" spans="1:32" ht="12.5" x14ac:dyDescent="0.25">
      <c r="A790" s="28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</row>
    <row r="791" spans="1:32" ht="12.5" x14ac:dyDescent="0.25">
      <c r="A791" s="28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</row>
    <row r="792" spans="1:32" ht="12.5" x14ac:dyDescent="0.25">
      <c r="A792" s="28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</row>
    <row r="793" spans="1:32" ht="12.5" x14ac:dyDescent="0.25">
      <c r="A793" s="28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</row>
    <row r="794" spans="1:32" ht="12.5" x14ac:dyDescent="0.25">
      <c r="A794" s="28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</row>
    <row r="795" spans="1:32" ht="12.5" x14ac:dyDescent="0.25">
      <c r="A795" s="28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</row>
    <row r="796" spans="1:32" ht="12.5" x14ac:dyDescent="0.25">
      <c r="A796" s="28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</row>
    <row r="797" spans="1:32" ht="12.5" x14ac:dyDescent="0.25">
      <c r="A797" s="28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</row>
    <row r="798" spans="1:32" ht="12.5" x14ac:dyDescent="0.25">
      <c r="A798" s="28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</row>
    <row r="799" spans="1:32" ht="12.5" x14ac:dyDescent="0.25">
      <c r="A799" s="28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</row>
    <row r="800" spans="1:32" ht="12.5" x14ac:dyDescent="0.25">
      <c r="A800" s="28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</row>
    <row r="801" spans="1:32" ht="12.5" x14ac:dyDescent="0.25">
      <c r="A801" s="28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</row>
    <row r="802" spans="1:32" ht="12.5" x14ac:dyDescent="0.25">
      <c r="A802" s="28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</row>
    <row r="803" spans="1:32" ht="12.5" x14ac:dyDescent="0.25">
      <c r="A803" s="28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</row>
    <row r="804" spans="1:32" ht="12.5" x14ac:dyDescent="0.25">
      <c r="A804" s="28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</row>
    <row r="805" spans="1:32" ht="12.5" x14ac:dyDescent="0.25">
      <c r="A805" s="28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</row>
    <row r="806" spans="1:32" ht="12.5" x14ac:dyDescent="0.25">
      <c r="A806" s="28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</row>
    <row r="807" spans="1:32" ht="12.5" x14ac:dyDescent="0.25">
      <c r="A807" s="28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</row>
    <row r="808" spans="1:32" ht="12.5" x14ac:dyDescent="0.25">
      <c r="A808" s="28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</row>
    <row r="809" spans="1:32" ht="12.5" x14ac:dyDescent="0.25">
      <c r="A809" s="28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</row>
    <row r="810" spans="1:32" ht="12.5" x14ac:dyDescent="0.25">
      <c r="A810" s="28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</row>
    <row r="811" spans="1:32" ht="12.5" x14ac:dyDescent="0.25">
      <c r="A811" s="28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</row>
    <row r="812" spans="1:32" ht="12.5" x14ac:dyDescent="0.25">
      <c r="A812" s="28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</row>
    <row r="813" spans="1:32" ht="12.5" x14ac:dyDescent="0.25">
      <c r="A813" s="28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</row>
    <row r="814" spans="1:32" ht="12.5" x14ac:dyDescent="0.25">
      <c r="A814" s="28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</row>
    <row r="815" spans="1:32" ht="12.5" x14ac:dyDescent="0.25">
      <c r="A815" s="28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</row>
    <row r="816" spans="1:32" ht="12.5" x14ac:dyDescent="0.25">
      <c r="A816" s="28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</row>
    <row r="817" spans="1:32" ht="12.5" x14ac:dyDescent="0.25">
      <c r="A817" s="28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</row>
    <row r="818" spans="1:32" ht="12.5" x14ac:dyDescent="0.25">
      <c r="A818" s="28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</row>
    <row r="819" spans="1:32" ht="12.5" x14ac:dyDescent="0.25">
      <c r="A819" s="28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</row>
    <row r="820" spans="1:32" ht="12.5" x14ac:dyDescent="0.25">
      <c r="A820" s="28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</row>
    <row r="821" spans="1:32" ht="12.5" x14ac:dyDescent="0.25">
      <c r="A821" s="28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</row>
    <row r="822" spans="1:32" ht="12.5" x14ac:dyDescent="0.25">
      <c r="A822" s="28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</row>
    <row r="823" spans="1:32" ht="12.5" x14ac:dyDescent="0.25">
      <c r="A823" s="28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</row>
    <row r="824" spans="1:32" ht="12.5" x14ac:dyDescent="0.25">
      <c r="A824" s="28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</row>
    <row r="825" spans="1:32" ht="12.5" x14ac:dyDescent="0.25">
      <c r="A825" s="28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</row>
    <row r="826" spans="1:32" ht="12.5" x14ac:dyDescent="0.25">
      <c r="A826" s="28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</row>
    <row r="827" spans="1:32" ht="12.5" x14ac:dyDescent="0.25">
      <c r="A827" s="28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</row>
    <row r="828" spans="1:32" ht="12.5" x14ac:dyDescent="0.25">
      <c r="A828" s="28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</row>
    <row r="829" spans="1:32" ht="12.5" x14ac:dyDescent="0.25">
      <c r="A829" s="28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</row>
    <row r="830" spans="1:32" ht="12.5" x14ac:dyDescent="0.25">
      <c r="A830" s="28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</row>
    <row r="831" spans="1:32" ht="12.5" x14ac:dyDescent="0.25">
      <c r="A831" s="28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</row>
    <row r="832" spans="1:32" ht="12.5" x14ac:dyDescent="0.25">
      <c r="A832" s="28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</row>
    <row r="833" spans="1:32" ht="12.5" x14ac:dyDescent="0.25">
      <c r="A833" s="28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</row>
    <row r="834" spans="1:32" ht="12.5" x14ac:dyDescent="0.25">
      <c r="A834" s="28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</row>
    <row r="835" spans="1:32" ht="12.5" x14ac:dyDescent="0.25">
      <c r="A835" s="28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</row>
    <row r="836" spans="1:32" ht="12.5" x14ac:dyDescent="0.25">
      <c r="A836" s="28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</row>
    <row r="837" spans="1:32" ht="12.5" x14ac:dyDescent="0.25">
      <c r="A837" s="28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</row>
    <row r="838" spans="1:32" ht="12.5" x14ac:dyDescent="0.25">
      <c r="A838" s="28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</row>
    <row r="839" spans="1:32" ht="12.5" x14ac:dyDescent="0.25">
      <c r="A839" s="28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</row>
    <row r="840" spans="1:32" ht="12.5" x14ac:dyDescent="0.25">
      <c r="A840" s="28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</row>
    <row r="841" spans="1:32" ht="12.5" x14ac:dyDescent="0.25">
      <c r="A841" s="28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</row>
    <row r="842" spans="1:32" ht="12.5" x14ac:dyDescent="0.25">
      <c r="A842" s="28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</row>
    <row r="843" spans="1:32" ht="12.5" x14ac:dyDescent="0.25">
      <c r="A843" s="28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</row>
    <row r="844" spans="1:32" ht="12.5" x14ac:dyDescent="0.25">
      <c r="A844" s="28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</row>
    <row r="845" spans="1:32" ht="12.5" x14ac:dyDescent="0.25">
      <c r="A845" s="28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</row>
    <row r="846" spans="1:32" ht="12.5" x14ac:dyDescent="0.25">
      <c r="A846" s="28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</row>
    <row r="847" spans="1:32" ht="12.5" x14ac:dyDescent="0.25">
      <c r="A847" s="28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</row>
    <row r="848" spans="1:32" ht="12.5" x14ac:dyDescent="0.25">
      <c r="A848" s="28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</row>
    <row r="849" spans="1:32" ht="12.5" x14ac:dyDescent="0.25">
      <c r="A849" s="28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</row>
    <row r="850" spans="1:32" ht="12.5" x14ac:dyDescent="0.25">
      <c r="A850" s="28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</row>
    <row r="851" spans="1:32" ht="12.5" x14ac:dyDescent="0.25">
      <c r="A851" s="28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</row>
    <row r="852" spans="1:32" ht="12.5" x14ac:dyDescent="0.25">
      <c r="A852" s="28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</row>
    <row r="853" spans="1:32" ht="12.5" x14ac:dyDescent="0.25">
      <c r="A853" s="28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</row>
    <row r="854" spans="1:32" ht="12.5" x14ac:dyDescent="0.25">
      <c r="A854" s="28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</row>
    <row r="855" spans="1:32" ht="12.5" x14ac:dyDescent="0.25">
      <c r="A855" s="28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</row>
    <row r="856" spans="1:32" ht="12.5" x14ac:dyDescent="0.25">
      <c r="A856" s="28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</row>
    <row r="857" spans="1:32" ht="12.5" x14ac:dyDescent="0.25">
      <c r="A857" s="28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</row>
    <row r="858" spans="1:32" ht="12.5" x14ac:dyDescent="0.25">
      <c r="A858" s="28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</row>
    <row r="859" spans="1:32" ht="12.5" x14ac:dyDescent="0.25">
      <c r="A859" s="28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</row>
    <row r="860" spans="1:32" ht="12.5" x14ac:dyDescent="0.25">
      <c r="A860" s="28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</row>
    <row r="861" spans="1:32" ht="12.5" x14ac:dyDescent="0.25">
      <c r="A861" s="28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</row>
    <row r="862" spans="1:32" ht="12.5" x14ac:dyDescent="0.25">
      <c r="A862" s="28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</row>
    <row r="863" spans="1:32" ht="12.5" x14ac:dyDescent="0.25">
      <c r="A863" s="28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</row>
    <row r="864" spans="1:32" ht="12.5" x14ac:dyDescent="0.25">
      <c r="A864" s="28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</row>
    <row r="865" spans="1:32" ht="12.5" x14ac:dyDescent="0.25">
      <c r="A865" s="28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</row>
    <row r="866" spans="1:32" ht="12.5" x14ac:dyDescent="0.25">
      <c r="A866" s="28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</row>
    <row r="867" spans="1:32" ht="12.5" x14ac:dyDescent="0.25">
      <c r="A867" s="28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</row>
    <row r="868" spans="1:32" ht="12.5" x14ac:dyDescent="0.25">
      <c r="A868" s="28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</row>
    <row r="869" spans="1:32" ht="12.5" x14ac:dyDescent="0.25">
      <c r="A869" s="28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</row>
    <row r="870" spans="1:32" ht="12.5" x14ac:dyDescent="0.25">
      <c r="A870" s="28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</row>
    <row r="871" spans="1:32" ht="12.5" x14ac:dyDescent="0.25">
      <c r="A871" s="28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</row>
    <row r="872" spans="1:32" ht="12.5" x14ac:dyDescent="0.25">
      <c r="A872" s="28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</row>
    <row r="873" spans="1:32" ht="12.5" x14ac:dyDescent="0.25">
      <c r="A873" s="28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</row>
    <row r="874" spans="1:32" ht="12.5" x14ac:dyDescent="0.25">
      <c r="A874" s="28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</row>
    <row r="875" spans="1:32" ht="12.5" x14ac:dyDescent="0.25">
      <c r="A875" s="28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</row>
    <row r="876" spans="1:32" ht="12.5" x14ac:dyDescent="0.25">
      <c r="A876" s="28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</row>
    <row r="877" spans="1:32" ht="12.5" x14ac:dyDescent="0.25">
      <c r="A877" s="28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</row>
    <row r="878" spans="1:32" ht="12.5" x14ac:dyDescent="0.25">
      <c r="A878" s="28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</row>
    <row r="879" spans="1:32" ht="12.5" x14ac:dyDescent="0.25">
      <c r="A879" s="28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</row>
    <row r="880" spans="1:32" ht="12.5" x14ac:dyDescent="0.25">
      <c r="A880" s="28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</row>
    <row r="881" spans="1:32" ht="12.5" x14ac:dyDescent="0.25">
      <c r="A881" s="28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</row>
    <row r="882" spans="1:32" ht="12.5" x14ac:dyDescent="0.25">
      <c r="A882" s="28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</row>
    <row r="883" spans="1:32" ht="12.5" x14ac:dyDescent="0.25">
      <c r="A883" s="28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</row>
    <row r="884" spans="1:32" ht="12.5" x14ac:dyDescent="0.25">
      <c r="A884" s="28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</row>
    <row r="885" spans="1:32" ht="12.5" x14ac:dyDescent="0.25">
      <c r="A885" s="28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</row>
    <row r="886" spans="1:32" ht="12.5" x14ac:dyDescent="0.25">
      <c r="A886" s="28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</row>
    <row r="887" spans="1:32" ht="12.5" x14ac:dyDescent="0.25">
      <c r="A887" s="28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</row>
    <row r="888" spans="1:32" ht="12.5" x14ac:dyDescent="0.25">
      <c r="A888" s="28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</row>
    <row r="889" spans="1:32" ht="12.5" x14ac:dyDescent="0.25">
      <c r="A889" s="28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</row>
    <row r="890" spans="1:32" ht="12.5" x14ac:dyDescent="0.25">
      <c r="A890" s="28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</row>
    <row r="891" spans="1:32" ht="12.5" x14ac:dyDescent="0.25">
      <c r="A891" s="28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</row>
    <row r="892" spans="1:32" ht="12.5" x14ac:dyDescent="0.25">
      <c r="A892" s="28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</row>
    <row r="893" spans="1:32" ht="12.5" x14ac:dyDescent="0.25">
      <c r="A893" s="28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</row>
    <row r="894" spans="1:32" ht="12.5" x14ac:dyDescent="0.25">
      <c r="A894" s="28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</row>
    <row r="895" spans="1:32" ht="12.5" x14ac:dyDescent="0.25">
      <c r="A895" s="28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</row>
    <row r="896" spans="1:32" ht="12.5" x14ac:dyDescent="0.25">
      <c r="A896" s="28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</row>
    <row r="897" spans="1:32" ht="12.5" x14ac:dyDescent="0.25">
      <c r="A897" s="28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</row>
    <row r="898" spans="1:32" ht="12.5" x14ac:dyDescent="0.25">
      <c r="A898" s="28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</row>
    <row r="899" spans="1:32" ht="12.5" x14ac:dyDescent="0.25">
      <c r="A899" s="28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</row>
    <row r="900" spans="1:32" ht="12.5" x14ac:dyDescent="0.25">
      <c r="A900" s="28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</row>
    <row r="901" spans="1:32" ht="12.5" x14ac:dyDescent="0.25">
      <c r="A901" s="28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</row>
    <row r="902" spans="1:32" ht="12.5" x14ac:dyDescent="0.25">
      <c r="A902" s="28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</row>
    <row r="903" spans="1:32" ht="12.5" x14ac:dyDescent="0.25">
      <c r="A903" s="28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</row>
    <row r="904" spans="1:32" ht="12.5" x14ac:dyDescent="0.25">
      <c r="A904" s="28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</row>
    <row r="905" spans="1:32" ht="12.5" x14ac:dyDescent="0.25">
      <c r="A905" s="28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</row>
    <row r="906" spans="1:32" ht="12.5" x14ac:dyDescent="0.25">
      <c r="A906" s="28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</row>
    <row r="907" spans="1:32" ht="12.5" x14ac:dyDescent="0.25">
      <c r="A907" s="28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</row>
    <row r="908" spans="1:32" ht="12.5" x14ac:dyDescent="0.25">
      <c r="A908" s="28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</row>
    <row r="909" spans="1:32" ht="12.5" x14ac:dyDescent="0.25">
      <c r="A909" s="28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</row>
    <row r="910" spans="1:32" ht="12.5" x14ac:dyDescent="0.25">
      <c r="A910" s="28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</row>
    <row r="911" spans="1:32" ht="12.5" x14ac:dyDescent="0.25">
      <c r="A911" s="28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</row>
    <row r="912" spans="1:32" ht="12.5" x14ac:dyDescent="0.25">
      <c r="A912" s="28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</row>
    <row r="913" spans="1:32" ht="12.5" x14ac:dyDescent="0.25">
      <c r="A913" s="28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</row>
    <row r="914" spans="1:32" ht="12.5" x14ac:dyDescent="0.25">
      <c r="A914" s="28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</row>
    <row r="915" spans="1:32" ht="12.5" x14ac:dyDescent="0.25">
      <c r="A915" s="28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</row>
    <row r="916" spans="1:32" ht="12.5" x14ac:dyDescent="0.25">
      <c r="A916" s="28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</row>
    <row r="917" spans="1:32" ht="12.5" x14ac:dyDescent="0.25">
      <c r="A917" s="28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</row>
    <row r="918" spans="1:32" ht="12.5" x14ac:dyDescent="0.25">
      <c r="A918" s="28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</row>
    <row r="919" spans="1:32" ht="12.5" x14ac:dyDescent="0.25">
      <c r="A919" s="28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</row>
    <row r="920" spans="1:32" ht="12.5" x14ac:dyDescent="0.25">
      <c r="A920" s="28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</row>
    <row r="921" spans="1:32" ht="12.5" x14ac:dyDescent="0.25">
      <c r="A921" s="28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</row>
    <row r="922" spans="1:32" ht="12.5" x14ac:dyDescent="0.25">
      <c r="A922" s="28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</row>
    <row r="923" spans="1:32" ht="12.5" x14ac:dyDescent="0.25">
      <c r="A923" s="28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</row>
    <row r="924" spans="1:32" ht="12.5" x14ac:dyDescent="0.25">
      <c r="A924" s="28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</row>
    <row r="925" spans="1:32" ht="12.5" x14ac:dyDescent="0.25">
      <c r="A925" s="28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</row>
    <row r="926" spans="1:32" ht="12.5" x14ac:dyDescent="0.25">
      <c r="A926" s="28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</row>
    <row r="927" spans="1:32" ht="12.5" x14ac:dyDescent="0.25">
      <c r="A927" s="28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</row>
    <row r="928" spans="1:32" ht="12.5" x14ac:dyDescent="0.25">
      <c r="A928" s="28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</row>
    <row r="929" spans="1:32" ht="12.5" x14ac:dyDescent="0.25">
      <c r="A929" s="28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</row>
    <row r="930" spans="1:32" ht="12.5" x14ac:dyDescent="0.25">
      <c r="A930" s="28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</row>
    <row r="931" spans="1:32" ht="12.5" x14ac:dyDescent="0.25">
      <c r="A931" s="28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</row>
    <row r="932" spans="1:32" ht="12.5" x14ac:dyDescent="0.25">
      <c r="A932" s="28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</row>
    <row r="933" spans="1:32" ht="12.5" x14ac:dyDescent="0.25">
      <c r="A933" s="28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</row>
    <row r="934" spans="1:32" ht="12.5" x14ac:dyDescent="0.25">
      <c r="A934" s="28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</row>
    <row r="935" spans="1:32" ht="12.5" x14ac:dyDescent="0.25">
      <c r="A935" s="28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</row>
    <row r="936" spans="1:32" ht="12.5" x14ac:dyDescent="0.25">
      <c r="A936" s="28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</row>
    <row r="937" spans="1:32" ht="12.5" x14ac:dyDescent="0.25">
      <c r="A937" s="28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</row>
    <row r="938" spans="1:32" ht="12.5" x14ac:dyDescent="0.25">
      <c r="A938" s="28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</row>
    <row r="939" spans="1:32" ht="12.5" x14ac:dyDescent="0.25">
      <c r="A939" s="28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</row>
    <row r="940" spans="1:32" ht="12.5" x14ac:dyDescent="0.25">
      <c r="A940" s="28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</row>
    <row r="941" spans="1:32" ht="12.5" x14ac:dyDescent="0.25">
      <c r="A941" s="28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</row>
    <row r="942" spans="1:32" ht="12.5" x14ac:dyDescent="0.25">
      <c r="A942" s="28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</row>
    <row r="943" spans="1:32" ht="12.5" x14ac:dyDescent="0.25">
      <c r="A943" s="28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</row>
    <row r="944" spans="1:32" ht="12.5" x14ac:dyDescent="0.25">
      <c r="A944" s="28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</row>
    <row r="945" spans="1:32" ht="12.5" x14ac:dyDescent="0.25">
      <c r="A945" s="28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</row>
    <row r="946" spans="1:32" ht="12.5" x14ac:dyDescent="0.25">
      <c r="A946" s="28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</row>
    <row r="947" spans="1:32" ht="12.5" x14ac:dyDescent="0.25">
      <c r="A947" s="28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</row>
    <row r="948" spans="1:32" ht="12.5" x14ac:dyDescent="0.25">
      <c r="A948" s="28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</row>
    <row r="949" spans="1:32" ht="12.5" x14ac:dyDescent="0.25">
      <c r="A949" s="28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</row>
    <row r="950" spans="1:32" ht="12.5" x14ac:dyDescent="0.25">
      <c r="A950" s="28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</row>
    <row r="951" spans="1:32" ht="12.5" x14ac:dyDescent="0.25">
      <c r="A951" s="28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</row>
    <row r="952" spans="1:32" ht="12.5" x14ac:dyDescent="0.25">
      <c r="A952" s="28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</row>
    <row r="953" spans="1:32" ht="12.5" x14ac:dyDescent="0.25">
      <c r="A953" s="28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</row>
    <row r="954" spans="1:32" ht="12.5" x14ac:dyDescent="0.25">
      <c r="A954" s="28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</row>
    <row r="955" spans="1:32" ht="12.5" x14ac:dyDescent="0.25">
      <c r="A955" s="28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</row>
    <row r="956" spans="1:32" ht="12.5" x14ac:dyDescent="0.25">
      <c r="A956" s="28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</row>
    <row r="957" spans="1:32" ht="12.5" x14ac:dyDescent="0.25">
      <c r="A957" s="28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</row>
    <row r="958" spans="1:32" ht="12.5" x14ac:dyDescent="0.25">
      <c r="A958" s="28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</row>
    <row r="959" spans="1:32" ht="12.5" x14ac:dyDescent="0.25">
      <c r="A959" s="28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</row>
    <row r="960" spans="1:32" ht="12.5" x14ac:dyDescent="0.25">
      <c r="A960" s="28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</row>
    <row r="961" spans="1:32" ht="12.5" x14ac:dyDescent="0.25">
      <c r="A961" s="28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</row>
    <row r="962" spans="1:32" ht="12.5" x14ac:dyDescent="0.25">
      <c r="A962" s="28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</row>
    <row r="963" spans="1:32" ht="12.5" x14ac:dyDescent="0.25">
      <c r="A963" s="28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</row>
    <row r="964" spans="1:32" ht="12.5" x14ac:dyDescent="0.25">
      <c r="A964" s="28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</row>
    <row r="965" spans="1:32" ht="12.5" x14ac:dyDescent="0.25">
      <c r="A965" s="28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</row>
    <row r="966" spans="1:32" ht="12.5" x14ac:dyDescent="0.25">
      <c r="A966" s="28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</row>
    <row r="967" spans="1:32" ht="12.5" x14ac:dyDescent="0.25">
      <c r="A967" s="28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</row>
    <row r="968" spans="1:32" ht="12.5" x14ac:dyDescent="0.25">
      <c r="A968" s="28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</row>
    <row r="969" spans="1:32" ht="12.5" x14ac:dyDescent="0.25">
      <c r="A969" s="28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</row>
    <row r="970" spans="1:32" ht="12.5" x14ac:dyDescent="0.25">
      <c r="A970" s="28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</row>
    <row r="971" spans="1:32" ht="12.5" x14ac:dyDescent="0.25">
      <c r="A971" s="28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</row>
    <row r="972" spans="1:32" ht="12.5" x14ac:dyDescent="0.25">
      <c r="A972" s="28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</row>
    <row r="973" spans="1:32" ht="12.5" x14ac:dyDescent="0.25">
      <c r="A973" s="28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</row>
    <row r="974" spans="1:32" ht="12.5" x14ac:dyDescent="0.25">
      <c r="A974" s="28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</row>
    <row r="975" spans="1:32" ht="12.5" x14ac:dyDescent="0.25">
      <c r="A975" s="28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</row>
    <row r="976" spans="1:32" ht="12.5" x14ac:dyDescent="0.25">
      <c r="A976" s="28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</row>
    <row r="977" spans="1:32" ht="12.5" x14ac:dyDescent="0.25">
      <c r="A977" s="28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</row>
    <row r="978" spans="1:32" ht="12.5" x14ac:dyDescent="0.25">
      <c r="A978" s="28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</row>
    <row r="979" spans="1:32" ht="12.5" x14ac:dyDescent="0.25">
      <c r="A979" s="28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</row>
    <row r="980" spans="1:32" ht="12.5" x14ac:dyDescent="0.25">
      <c r="A980" s="28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</row>
    <row r="981" spans="1:32" ht="12.5" x14ac:dyDescent="0.25">
      <c r="A981" s="28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</row>
    <row r="982" spans="1:32" ht="12.5" x14ac:dyDescent="0.25">
      <c r="A982" s="28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</row>
    <row r="983" spans="1:32" ht="12.5" x14ac:dyDescent="0.25">
      <c r="A983" s="28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</row>
    <row r="984" spans="1:32" ht="12.5" x14ac:dyDescent="0.25">
      <c r="A984" s="28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</row>
    <row r="985" spans="1:32" ht="12.5" x14ac:dyDescent="0.25">
      <c r="A985" s="28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</row>
    <row r="986" spans="1:32" ht="12.5" x14ac:dyDescent="0.25">
      <c r="A986" s="28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</row>
    <row r="987" spans="1:32" ht="12.5" x14ac:dyDescent="0.25">
      <c r="A987" s="28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</row>
    <row r="988" spans="1:32" ht="12.5" x14ac:dyDescent="0.25">
      <c r="A988" s="28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</row>
    <row r="989" spans="1:32" ht="12.5" x14ac:dyDescent="0.25">
      <c r="A989" s="28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</row>
    <row r="990" spans="1:32" ht="12.5" x14ac:dyDescent="0.25">
      <c r="A990" s="28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</row>
    <row r="991" spans="1:32" ht="12.5" x14ac:dyDescent="0.25">
      <c r="A991" s="28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</row>
    <row r="992" spans="1:32" ht="12.5" x14ac:dyDescent="0.25">
      <c r="A992" s="28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</row>
    <row r="993" spans="1:32" ht="12.5" x14ac:dyDescent="0.25">
      <c r="A993" s="28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</row>
    <row r="994" spans="1:32" ht="12.5" x14ac:dyDescent="0.25">
      <c r="A994" s="28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</row>
    <row r="995" spans="1:32" ht="12.5" x14ac:dyDescent="0.25">
      <c r="A995" s="28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" width="23.453125" customWidth="1"/>
    <col min="2" max="2" width="22.08984375" customWidth="1"/>
  </cols>
  <sheetData>
    <row r="1" spans="1:26" x14ac:dyDescent="0.3">
      <c r="A1" s="22" t="s">
        <v>164</v>
      </c>
      <c r="B1" s="22" t="s">
        <v>165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5.75" customHeight="1" x14ac:dyDescent="0.25">
      <c r="A2" s="17" t="str">
        <f ca="1">IFERROR(__xludf.DUMMYFUNCTION("transpose(HSTACK(
FILTER(Router!D1:EA1, Router!D1:EA1&lt;&gt;""""),
FILTER(SwitchCampus!D1:CO1, SwitchCampus!D1:CO1&lt;&gt;"""")
))"),"C1161-8P")</f>
        <v>C1161-8P</v>
      </c>
      <c r="B2" s="16">
        <f ca="1">COUNTIF(AllListPrice!A:A,A2)</f>
        <v>1</v>
      </c>
    </row>
    <row r="3" spans="1:26" ht="15.75" customHeight="1" x14ac:dyDescent="0.25">
      <c r="A3" s="17" t="str">
        <f ca="1">IFERROR(__xludf.DUMMYFUNCTION("""COMPUTED_VALUE"""),"C1161X-8P")</f>
        <v>C1161X-8P</v>
      </c>
      <c r="B3" s="16">
        <f ca="1">COUNTIF(AllListPrice!A:A,A3)</f>
        <v>1</v>
      </c>
    </row>
    <row r="4" spans="1:26" ht="15.75" customHeight="1" x14ac:dyDescent="0.25">
      <c r="A4" s="17" t="str">
        <f ca="1">IFERROR(__xludf.DUMMYFUNCTION("""COMPUTED_VALUE"""),"C1131-8PWS")</f>
        <v>C1131-8PWS</v>
      </c>
      <c r="B4" s="16">
        <f ca="1">COUNTIF(AllListPrice!A:A,A4)</f>
        <v>1</v>
      </c>
    </row>
    <row r="5" spans="1:26" ht="15.75" customHeight="1" x14ac:dyDescent="0.25">
      <c r="A5" s="17" t="str">
        <f ca="1">IFERROR(__xludf.DUMMYFUNCTION("""COMPUTED_VALUE"""),"C1131X-8PWS")</f>
        <v>C1131X-8PWS</v>
      </c>
      <c r="B5" s="16">
        <f ca="1">COUNTIF(AllListPrice!A:A,A5)</f>
        <v>1</v>
      </c>
    </row>
    <row r="6" spans="1:26" ht="15.75" customHeight="1" x14ac:dyDescent="0.25">
      <c r="A6" s="17" t="str">
        <f ca="1">IFERROR(__xludf.DUMMYFUNCTION("""COMPUTED_VALUE"""),"C1121-4P")</f>
        <v>C1121-4P</v>
      </c>
      <c r="B6" s="16">
        <f ca="1">COUNTIF(AllListPrice!A:A,A6)</f>
        <v>1</v>
      </c>
    </row>
    <row r="7" spans="1:26" ht="15.75" customHeight="1" x14ac:dyDescent="0.25">
      <c r="A7" s="17" t="str">
        <f ca="1">IFERROR(__xludf.DUMMYFUNCTION("""COMPUTED_VALUE"""),"C1121-8P")</f>
        <v>C1121-8P</v>
      </c>
      <c r="B7" s="16">
        <f ca="1">COUNTIF(AllListPrice!A:A,A7)</f>
        <v>1</v>
      </c>
    </row>
    <row r="8" spans="1:26" ht="15.75" customHeight="1" x14ac:dyDescent="0.25">
      <c r="A8" s="17" t="str">
        <f ca="1">IFERROR(__xludf.DUMMYFUNCTION("""COMPUTED_VALUE"""),"C1127-8PLTEP")</f>
        <v>C1127-8PLTEP</v>
      </c>
      <c r="B8" s="16">
        <f ca="1">COUNTIF(AllListPrice!A:A,A8)</f>
        <v>1</v>
      </c>
    </row>
    <row r="9" spans="1:26" ht="15.75" customHeight="1" x14ac:dyDescent="0.25">
      <c r="A9" s="17" t="str">
        <f ca="1">IFERROR(__xludf.DUMMYFUNCTION("""COMPUTED_VALUE"""),"C1116-4P")</f>
        <v>C1116-4P</v>
      </c>
      <c r="B9" s="16">
        <f ca="1">COUNTIF(AllListPrice!A:A,A9)</f>
        <v>1</v>
      </c>
    </row>
    <row r="10" spans="1:26" ht="15.75" customHeight="1" x14ac:dyDescent="0.25">
      <c r="A10" s="17" t="str">
        <f ca="1">IFERROR(__xludf.DUMMYFUNCTION("""COMPUTED_VALUE"""),"C1117-4P")</f>
        <v>C1117-4P</v>
      </c>
      <c r="B10" s="16">
        <f ca="1">COUNTIF(AllListPrice!A:A,A10)</f>
        <v>1</v>
      </c>
    </row>
    <row r="11" spans="1:26" ht="15.75" customHeight="1" x14ac:dyDescent="0.25">
      <c r="A11" s="17" t="str">
        <f ca="1">IFERROR(__xludf.DUMMYFUNCTION("""COMPUTED_VALUE"""),"C1112-8P")</f>
        <v>C1112-8P</v>
      </c>
      <c r="B11" s="16">
        <f ca="1">COUNTIF(AllListPrice!A:A,A11)</f>
        <v>1</v>
      </c>
    </row>
    <row r="12" spans="1:26" ht="15.75" customHeight="1" x14ac:dyDescent="0.25">
      <c r="A12" s="17" t="str">
        <f ca="1">IFERROR(__xludf.DUMMYFUNCTION("""COMPUTED_VALUE"""),"C1109-4PLTE2P")</f>
        <v>C1109-4PLTE2P</v>
      </c>
      <c r="B12" s="16">
        <f ca="1">COUNTIF(AllListPrice!A:A,A12)</f>
        <v>1</v>
      </c>
    </row>
    <row r="13" spans="1:26" ht="15.75" customHeight="1" x14ac:dyDescent="0.25">
      <c r="A13" s="17" t="str">
        <f ca="1">IFERROR(__xludf.DUMMYFUNCTION("""COMPUTED_VALUE"""),"C8200L-1N-4T")</f>
        <v>C8200L-1N-4T</v>
      </c>
      <c r="B13" s="16">
        <f ca="1">COUNTIF(AllListPrice!A:A,A13)</f>
        <v>1</v>
      </c>
    </row>
    <row r="14" spans="1:26" ht="15.75" customHeight="1" x14ac:dyDescent="0.25">
      <c r="A14" s="17" t="str">
        <f ca="1">IFERROR(__xludf.DUMMYFUNCTION("""COMPUTED_VALUE"""),"C8200-1N-4T")</f>
        <v>C8200-1N-4T</v>
      </c>
      <c r="B14" s="16">
        <f ca="1">COUNTIF(AllListPrice!A:A,A14)</f>
        <v>1</v>
      </c>
    </row>
    <row r="15" spans="1:26" ht="15.75" customHeight="1" x14ac:dyDescent="0.25">
      <c r="A15" s="17" t="str">
        <f ca="1">IFERROR(__xludf.DUMMYFUNCTION("""COMPUTED_VALUE"""),"C8300-1N1S-6T")</f>
        <v>C8300-1N1S-6T</v>
      </c>
      <c r="B15" s="16">
        <f ca="1">COUNTIF(AllListPrice!A:A,A15)</f>
        <v>1</v>
      </c>
    </row>
    <row r="16" spans="1:26" ht="15.75" customHeight="1" x14ac:dyDescent="0.25">
      <c r="A16" s="17" t="str">
        <f ca="1">IFERROR(__xludf.DUMMYFUNCTION("""COMPUTED_VALUE"""),"C8300-2N2S-6T")</f>
        <v>C8300-2N2S-6T</v>
      </c>
      <c r="B16" s="16">
        <f ca="1">COUNTIF(AllListPrice!A:A,A16)</f>
        <v>1</v>
      </c>
    </row>
    <row r="17" spans="1:2" ht="15.75" customHeight="1" x14ac:dyDescent="0.25">
      <c r="A17" s="17" t="str">
        <f ca="1">IFERROR(__xludf.DUMMYFUNCTION("""COMPUTED_VALUE"""),"C8300-1N1S-4T2X")</f>
        <v>C8300-1N1S-4T2X</v>
      </c>
      <c r="B17" s="16">
        <f ca="1">COUNTIF(AllListPrice!A:A,A17)</f>
        <v>1</v>
      </c>
    </row>
    <row r="18" spans="1:2" ht="15.75" customHeight="1" x14ac:dyDescent="0.25">
      <c r="A18" s="17" t="str">
        <f ca="1">IFERROR(__xludf.DUMMYFUNCTION("""COMPUTED_VALUE"""),"C8300-2N2S-4T2X")</f>
        <v>C8300-2N2S-4T2X</v>
      </c>
      <c r="B18" s="16">
        <f ca="1">COUNTIF(AllListPrice!A:A,A18)</f>
        <v>1</v>
      </c>
    </row>
    <row r="19" spans="1:2" ht="15.75" customHeight="1" x14ac:dyDescent="0.25">
      <c r="A19" s="17" t="str">
        <f ca="1">IFERROR(__xludf.DUMMYFUNCTION("""COMPUTED_VALUE"""),"C8500L-8S4X")</f>
        <v>C8500L-8S4X</v>
      </c>
      <c r="B19" s="16">
        <f ca="1">COUNTIF(AllListPrice!A:A,A19)</f>
        <v>1</v>
      </c>
    </row>
    <row r="20" spans="1:2" ht="15.75" customHeight="1" x14ac:dyDescent="0.25">
      <c r="A20" s="17" t="str">
        <f ca="1">IFERROR(__xludf.DUMMYFUNCTION("""COMPUTED_VALUE"""),"C8500-12X")</f>
        <v>C8500-12X</v>
      </c>
      <c r="B20" s="16">
        <f ca="1">COUNTIF(AllListPrice!A:A,A20)</f>
        <v>1</v>
      </c>
    </row>
    <row r="21" spans="1:2" ht="15.75" customHeight="1" x14ac:dyDescent="0.25">
      <c r="A21" s="17" t="str">
        <f ca="1">IFERROR(__xludf.DUMMYFUNCTION("""COMPUTED_VALUE"""),"C8500-12X4QC")</f>
        <v>C8500-12X4QC</v>
      </c>
      <c r="B21" s="16">
        <f ca="1">COUNTIF(AllListPrice!A:A,A21)</f>
        <v>1</v>
      </c>
    </row>
    <row r="22" spans="1:2" ht="12.5" x14ac:dyDescent="0.25">
      <c r="A22" s="17" t="str">
        <f ca="1">IFERROR(__xludf.DUMMYFUNCTION("""COMPUTED_VALUE"""),"C8500-20X6C")</f>
        <v>C8500-20X6C</v>
      </c>
      <c r="B22" s="16">
        <f ca="1">COUNTIF(AllListPrice!A:A,A22)</f>
        <v>1</v>
      </c>
    </row>
    <row r="23" spans="1:2" ht="12.5" x14ac:dyDescent="0.25">
      <c r="A23" s="17" t="str">
        <f ca="1">IFERROR(__xludf.DUMMYFUNCTION("""COMPUTED_VALUE"""),"C1300-8T-E-2G")</f>
        <v>C1300-8T-E-2G</v>
      </c>
      <c r="B23" s="16">
        <f ca="1">COUNTIF(AllListPrice!A:A,A23)</f>
        <v>1</v>
      </c>
    </row>
    <row r="24" spans="1:2" ht="12.5" x14ac:dyDescent="0.25">
      <c r="A24" s="17" t="str">
        <f ca="1">IFERROR(__xludf.DUMMYFUNCTION("""COMPUTED_VALUE"""),"C1300-8P-E-2G")</f>
        <v>C1300-8P-E-2G</v>
      </c>
      <c r="B24" s="16">
        <f ca="1">COUNTIF(AllListPrice!A:A,A24)</f>
        <v>1</v>
      </c>
    </row>
    <row r="25" spans="1:2" ht="12.5" x14ac:dyDescent="0.25">
      <c r="A25" s="17" t="str">
        <f ca="1">IFERROR(__xludf.DUMMYFUNCTION("""COMPUTED_VALUE"""),"C1300-8FP-2G")</f>
        <v>C1300-8FP-2G</v>
      </c>
      <c r="B25" s="16">
        <f ca="1">COUNTIF(AllListPrice!A:A,A25)</f>
        <v>1</v>
      </c>
    </row>
    <row r="26" spans="1:2" ht="12.5" x14ac:dyDescent="0.25">
      <c r="A26" s="17" t="str">
        <f ca="1">IFERROR(__xludf.DUMMYFUNCTION("""COMPUTED_VALUE"""),"C1300-16T-2G")</f>
        <v>C1300-16T-2G</v>
      </c>
      <c r="B26" s="16">
        <f ca="1">COUNTIF(AllListPrice!A:A,A26)</f>
        <v>1</v>
      </c>
    </row>
    <row r="27" spans="1:2" ht="12.5" x14ac:dyDescent="0.25">
      <c r="A27" s="17" t="str">
        <f ca="1">IFERROR(__xludf.DUMMYFUNCTION("""COMPUTED_VALUE"""),"C1300-16P-2G")</f>
        <v>C1300-16P-2G</v>
      </c>
      <c r="B27" s="16">
        <f ca="1">COUNTIF(AllListPrice!A:A,A27)</f>
        <v>1</v>
      </c>
    </row>
    <row r="28" spans="1:2" ht="12.5" x14ac:dyDescent="0.25">
      <c r="A28" s="17" t="str">
        <f ca="1">IFERROR(__xludf.DUMMYFUNCTION("""COMPUTED_VALUE"""),"C1300-16FP-2G")</f>
        <v>C1300-16FP-2G</v>
      </c>
      <c r="B28" s="16">
        <f ca="1">COUNTIF(AllListPrice!A:A,A28)</f>
        <v>1</v>
      </c>
    </row>
    <row r="29" spans="1:2" ht="12.5" x14ac:dyDescent="0.25">
      <c r="A29" s="17" t="str">
        <f ca="1">IFERROR(__xludf.DUMMYFUNCTION("""COMPUTED_VALUE"""),"C1300-24T-4G")</f>
        <v>C1300-24T-4G</v>
      </c>
      <c r="B29" s="16">
        <f ca="1">COUNTIF(AllListPrice!A:A,A29)</f>
        <v>1</v>
      </c>
    </row>
    <row r="30" spans="1:2" ht="12.5" x14ac:dyDescent="0.25">
      <c r="A30" s="17" t="str">
        <f ca="1">IFERROR(__xludf.DUMMYFUNCTION("""COMPUTED_VALUE"""),"C1300-24P-4G")</f>
        <v>C1300-24P-4G</v>
      </c>
      <c r="B30" s="16">
        <f ca="1">COUNTIF(AllListPrice!A:A,A30)</f>
        <v>1</v>
      </c>
    </row>
    <row r="31" spans="1:2" ht="12.5" x14ac:dyDescent="0.25">
      <c r="A31" s="17" t="str">
        <f ca="1">IFERROR(__xludf.DUMMYFUNCTION("""COMPUTED_VALUE"""),"C1300-24FP-4G")</f>
        <v>C1300-24FP-4G</v>
      </c>
      <c r="B31" s="16">
        <f ca="1">COUNTIF(AllListPrice!A:A,A31)</f>
        <v>1</v>
      </c>
    </row>
    <row r="32" spans="1:2" ht="12.5" x14ac:dyDescent="0.25">
      <c r="A32" s="17" t="str">
        <f ca="1">IFERROR(__xludf.DUMMYFUNCTION("""COMPUTED_VALUE"""),"C1300-48T-4G")</f>
        <v>C1300-48T-4G</v>
      </c>
      <c r="B32" s="16">
        <f ca="1">COUNTIF(AllListPrice!A:A,A32)</f>
        <v>1</v>
      </c>
    </row>
    <row r="33" spans="1:2" ht="12.5" x14ac:dyDescent="0.25">
      <c r="A33" s="17" t="str">
        <f ca="1">IFERROR(__xludf.DUMMYFUNCTION("""COMPUTED_VALUE"""),"C1300-48P-4G")</f>
        <v>C1300-48P-4G</v>
      </c>
      <c r="B33" s="16">
        <f ca="1">COUNTIF(AllListPrice!A:A,A33)</f>
        <v>1</v>
      </c>
    </row>
    <row r="34" spans="1:2" ht="12.5" x14ac:dyDescent="0.25">
      <c r="A34" s="17" t="str">
        <f ca="1">IFERROR(__xludf.DUMMYFUNCTION("""COMPUTED_VALUE"""),"C1300-48FP-4G")</f>
        <v>C1300-48FP-4G</v>
      </c>
      <c r="B34" s="16">
        <f ca="1">COUNTIF(AllListPrice!A:A,A34)</f>
        <v>1</v>
      </c>
    </row>
    <row r="35" spans="1:2" ht="12.5" x14ac:dyDescent="0.25">
      <c r="A35" s="17" t="str">
        <f ca="1">IFERROR(__xludf.DUMMYFUNCTION("""COMPUTED_VALUE"""),"C1300-16P-4X")</f>
        <v>C1300-16P-4X</v>
      </c>
      <c r="B35" s="16">
        <f ca="1">COUNTIF(AllListPrice!A:A,A35)</f>
        <v>1</v>
      </c>
    </row>
    <row r="36" spans="1:2" ht="12.5" x14ac:dyDescent="0.25">
      <c r="A36" s="17" t="str">
        <f ca="1">IFERROR(__xludf.DUMMYFUNCTION("""COMPUTED_VALUE"""),"C1300-24T-4X")</f>
        <v>C1300-24T-4X</v>
      </c>
      <c r="B36" s="16">
        <f ca="1">COUNTIF(AllListPrice!A:A,A36)</f>
        <v>1</v>
      </c>
    </row>
    <row r="37" spans="1:2" ht="12.5" x14ac:dyDescent="0.25">
      <c r="A37" s="17" t="str">
        <f ca="1">IFERROR(__xludf.DUMMYFUNCTION("""COMPUTED_VALUE"""),"C1300-24P-4X")</f>
        <v>C1300-24P-4X</v>
      </c>
      <c r="B37" s="16">
        <f ca="1">COUNTIF(AllListPrice!A:A,A37)</f>
        <v>1</v>
      </c>
    </row>
    <row r="38" spans="1:2" ht="12.5" x14ac:dyDescent="0.25">
      <c r="A38" s="17" t="str">
        <f ca="1">IFERROR(__xludf.DUMMYFUNCTION("""COMPUTED_VALUE"""),"C1300-24FP-4X")</f>
        <v>C1300-24FP-4X</v>
      </c>
      <c r="B38" s="16">
        <f ca="1">COUNTIF(AllListPrice!A:A,A38)</f>
        <v>1</v>
      </c>
    </row>
    <row r="39" spans="1:2" ht="12.5" x14ac:dyDescent="0.25">
      <c r="A39" s="17" t="str">
        <f ca="1">IFERROR(__xludf.DUMMYFUNCTION("""COMPUTED_VALUE"""),"C1300-48T-4X")</f>
        <v>C1300-48T-4X</v>
      </c>
      <c r="B39" s="16">
        <f ca="1">COUNTIF(AllListPrice!A:A,A39)</f>
        <v>1</v>
      </c>
    </row>
    <row r="40" spans="1:2" ht="12.5" x14ac:dyDescent="0.25">
      <c r="A40" s="17" t="str">
        <f ca="1">IFERROR(__xludf.DUMMYFUNCTION("""COMPUTED_VALUE"""),"C1300-48P-4X")</f>
        <v>C1300-48P-4X</v>
      </c>
      <c r="B40" s="16">
        <f ca="1">COUNTIF(AllListPrice!A:A,A40)</f>
        <v>1</v>
      </c>
    </row>
    <row r="41" spans="1:2" ht="12.5" x14ac:dyDescent="0.25">
      <c r="A41" s="17" t="str">
        <f ca="1">IFERROR(__xludf.DUMMYFUNCTION("""COMPUTED_VALUE"""),"C1300-48FP-4X")</f>
        <v>C1300-48FP-4X</v>
      </c>
      <c r="B41" s="16">
        <f ca="1">COUNTIF(AllListPrice!A:A,A41)</f>
        <v>1</v>
      </c>
    </row>
    <row r="42" spans="1:2" ht="12.5" x14ac:dyDescent="0.25">
      <c r="A42" s="17" t="str">
        <f ca="1">IFERROR(__xludf.DUMMYFUNCTION("""COMPUTED_VALUE"""),"C1300-12XT-2X")</f>
        <v>C1300-12XT-2X</v>
      </c>
      <c r="B42" s="16">
        <f ca="1">COUNTIF(AllListPrice!A:A,A42)</f>
        <v>1</v>
      </c>
    </row>
    <row r="43" spans="1:2" ht="12.5" x14ac:dyDescent="0.25">
      <c r="A43" s="17" t="str">
        <f ca="1">IFERROR(__xludf.DUMMYFUNCTION("""COMPUTED_VALUE"""),"C1300-12XS")</f>
        <v>C1300-12XS</v>
      </c>
      <c r="B43" s="16">
        <f ca="1">COUNTIF(AllListPrice!A:A,A43)</f>
        <v>1</v>
      </c>
    </row>
    <row r="44" spans="1:2" ht="12.5" x14ac:dyDescent="0.25">
      <c r="A44" s="17" t="str">
        <f ca="1">IFERROR(__xludf.DUMMYFUNCTION("""COMPUTED_VALUE"""),"C1300-16XTS")</f>
        <v>C1300-16XTS</v>
      </c>
      <c r="B44" s="16">
        <f ca="1">COUNTIF(AllListPrice!A:A,A44)</f>
        <v>1</v>
      </c>
    </row>
    <row r="45" spans="1:2" ht="12.5" x14ac:dyDescent="0.25">
      <c r="A45" s="17" t="str">
        <f ca="1">IFERROR(__xludf.DUMMYFUNCTION("""COMPUTED_VALUE"""),"C1300-24XS")</f>
        <v>C1300-24XS</v>
      </c>
      <c r="B45" s="16">
        <f ca="1">COUNTIF(AllListPrice!A:A,A45)</f>
        <v>1</v>
      </c>
    </row>
    <row r="46" spans="1:2" ht="12.5" x14ac:dyDescent="0.25">
      <c r="A46" s="17" t="str">
        <f ca="1">IFERROR(__xludf.DUMMYFUNCTION("""COMPUTED_VALUE"""),"C1300-24XT")</f>
        <v>C1300-24XT</v>
      </c>
      <c r="B46" s="16">
        <f ca="1">COUNTIF(AllListPrice!A:A,A46)</f>
        <v>1</v>
      </c>
    </row>
    <row r="47" spans="1:2" ht="12.5" x14ac:dyDescent="0.25">
      <c r="A47" s="17" t="str">
        <f ca="1">IFERROR(__xludf.DUMMYFUNCTION("""COMPUTED_VALUE"""),"C1300-24XTS")</f>
        <v>C1300-24XTS</v>
      </c>
      <c r="B47" s="16">
        <f ca="1">COUNTIF(AllListPrice!A:A,A47)</f>
        <v>1</v>
      </c>
    </row>
    <row r="48" spans="1:2" ht="12.5" x14ac:dyDescent="0.25">
      <c r="A48" s="17" t="str">
        <f ca="1">IFERROR(__xludf.DUMMYFUNCTION("""COMPUTED_VALUE"""),"C1300X-24T-4X")</f>
        <v>C1300X-24T-4X</v>
      </c>
      <c r="B48" s="16">
        <f ca="1">COUNTIF(AllListPrice!A:A,A48)</f>
        <v>1</v>
      </c>
    </row>
    <row r="49" spans="1:2" ht="12.5" x14ac:dyDescent="0.25">
      <c r="A49" s="17" t="str">
        <f ca="1">IFERROR(__xludf.DUMMYFUNCTION("""COMPUTED_VALUE"""),"C1300X-48T-4X")</f>
        <v>C1300X-48T-4X</v>
      </c>
      <c r="B49" s="16">
        <f ca="1">COUNTIF(AllListPrice!A:A,A49)</f>
        <v>1</v>
      </c>
    </row>
    <row r="50" spans="1:2" ht="12.5" x14ac:dyDescent="0.25">
      <c r="A50" s="17" t="str">
        <f ca="1">IFERROR(__xludf.DUMMYFUNCTION("""COMPUTED_VALUE"""),"C1300X-24P-4X")</f>
        <v>C1300X-24P-4X</v>
      </c>
      <c r="B50" s="16">
        <f ca="1">COUNTIF(AllListPrice!A:A,A50)</f>
        <v>1</v>
      </c>
    </row>
    <row r="51" spans="1:2" ht="12.5" x14ac:dyDescent="0.25">
      <c r="A51" s="17" t="str">
        <f ca="1">IFERROR(__xludf.DUMMYFUNCTION("""COMPUTED_VALUE"""),"C1300X-48P-4X")</f>
        <v>C1300X-48P-4X</v>
      </c>
      <c r="B51" s="16">
        <f ca="1">COUNTIF(AllListPrice!A:A,A51)</f>
        <v>1</v>
      </c>
    </row>
    <row r="52" spans="1:2" ht="12.5" x14ac:dyDescent="0.25">
      <c r="A52" s="17" t="str">
        <f ca="1">IFERROR(__xludf.DUMMYFUNCTION("""COMPUTED_VALUE"""),"C9200-24T")</f>
        <v>C9200-24T</v>
      </c>
      <c r="B52" s="16">
        <f ca="1">COUNTIF(AllListPrice!A:A,A52)</f>
        <v>1</v>
      </c>
    </row>
    <row r="53" spans="1:2" ht="12.5" x14ac:dyDescent="0.25">
      <c r="A53" s="17" t="str">
        <f ca="1">IFERROR(__xludf.DUMMYFUNCTION("""COMPUTED_VALUE"""),"C9200-24P")</f>
        <v>C9200-24P</v>
      </c>
      <c r="B53" s="16">
        <f ca="1">COUNTIF(AllListPrice!A:A,A53)</f>
        <v>1</v>
      </c>
    </row>
    <row r="54" spans="1:2" ht="12.5" x14ac:dyDescent="0.25">
      <c r="A54" s="17" t="str">
        <f ca="1">IFERROR(__xludf.DUMMYFUNCTION("""COMPUTED_VALUE"""),"C9200-48T")</f>
        <v>C9200-48T</v>
      </c>
      <c r="B54" s="16">
        <f ca="1">COUNTIF(AllListPrice!A:A,A54)</f>
        <v>1</v>
      </c>
    </row>
    <row r="55" spans="1:2" ht="12.5" x14ac:dyDescent="0.25">
      <c r="A55" s="17" t="str">
        <f ca="1">IFERROR(__xludf.DUMMYFUNCTION("""COMPUTED_VALUE"""),"C9200-48P")</f>
        <v>C9200-48P</v>
      </c>
      <c r="B55" s="16">
        <f ca="1">COUNTIF(AllListPrice!A:A,A55)</f>
        <v>1</v>
      </c>
    </row>
    <row r="56" spans="1:2" ht="12.5" x14ac:dyDescent="0.25">
      <c r="A56" s="17" t="str">
        <f ca="1">IFERROR(__xludf.DUMMYFUNCTION("""COMPUTED_VALUE"""),"C9200L-24T-4G")</f>
        <v>C9200L-24T-4G</v>
      </c>
      <c r="B56" s="16">
        <f ca="1">COUNTIF(AllListPrice!A:A,A56)</f>
        <v>1</v>
      </c>
    </row>
    <row r="57" spans="1:2" ht="12.5" x14ac:dyDescent="0.25">
      <c r="A57" s="17" t="str">
        <f ca="1">IFERROR(__xludf.DUMMYFUNCTION("""COMPUTED_VALUE"""),"C9200L-24P-4G")</f>
        <v>C9200L-24P-4G</v>
      </c>
      <c r="B57" s="16">
        <f ca="1">COUNTIF(AllListPrice!A:A,A57)</f>
        <v>1</v>
      </c>
    </row>
    <row r="58" spans="1:2" ht="12.5" x14ac:dyDescent="0.25">
      <c r="A58" s="17" t="str">
        <f ca="1">IFERROR(__xludf.DUMMYFUNCTION("""COMPUTED_VALUE"""),"C9200L-48T-4G")</f>
        <v>C9200L-48T-4G</v>
      </c>
      <c r="B58" s="16">
        <f ca="1">COUNTIF(AllListPrice!A:A,A58)</f>
        <v>1</v>
      </c>
    </row>
    <row r="59" spans="1:2" ht="12.5" x14ac:dyDescent="0.25">
      <c r="A59" s="17" t="str">
        <f ca="1">IFERROR(__xludf.DUMMYFUNCTION("""COMPUTED_VALUE"""),"C9200L-48P-4G")</f>
        <v>C9200L-48P-4G</v>
      </c>
      <c r="B59" s="16">
        <f ca="1">COUNTIF(AllListPrice!A:A,A59)</f>
        <v>1</v>
      </c>
    </row>
    <row r="60" spans="1:2" ht="12.5" x14ac:dyDescent="0.25">
      <c r="A60" s="17" t="str">
        <f ca="1">IFERROR(__xludf.DUMMYFUNCTION("""COMPUTED_VALUE"""),"C9200L-24T-4X")</f>
        <v>C9200L-24T-4X</v>
      </c>
      <c r="B60" s="16">
        <f ca="1">COUNTIF(AllListPrice!A:A,A60)</f>
        <v>1</v>
      </c>
    </row>
    <row r="61" spans="1:2" ht="12.5" x14ac:dyDescent="0.25">
      <c r="A61" s="17" t="str">
        <f ca="1">IFERROR(__xludf.DUMMYFUNCTION("""COMPUTED_VALUE"""),"C9200L-24P-4X")</f>
        <v>C9200L-24P-4X</v>
      </c>
      <c r="B61" s="16">
        <f ca="1">COUNTIF(AllListPrice!A:A,A61)</f>
        <v>1</v>
      </c>
    </row>
    <row r="62" spans="1:2" ht="12.5" x14ac:dyDescent="0.25">
      <c r="A62" s="17" t="str">
        <f ca="1">IFERROR(__xludf.DUMMYFUNCTION("""COMPUTED_VALUE"""),"C9200L-48T-4X")</f>
        <v>C9200L-48T-4X</v>
      </c>
      <c r="B62" s="16">
        <f ca="1">COUNTIF(AllListPrice!A:A,A62)</f>
        <v>1</v>
      </c>
    </row>
    <row r="63" spans="1:2" ht="12.5" x14ac:dyDescent="0.25">
      <c r="A63" s="17" t="str">
        <f ca="1">IFERROR(__xludf.DUMMYFUNCTION("""COMPUTED_VALUE"""),"C9200L-48P-4X")</f>
        <v>C9200L-48P-4X</v>
      </c>
      <c r="B63" s="16">
        <f ca="1">COUNTIF(AllListPrice!A:A,A63)</f>
        <v>1</v>
      </c>
    </row>
    <row r="64" spans="1:2" ht="12.5" x14ac:dyDescent="0.25">
      <c r="A64" s="17" t="str">
        <f ca="1">IFERROR(__xludf.DUMMYFUNCTION("""COMPUTED_VALUE"""),"C9200CX-8P-2X2G")</f>
        <v>C9200CX-8P-2X2G</v>
      </c>
      <c r="B64" s="16">
        <f ca="1">COUNTIF(AllListPrice!A:A,A64)</f>
        <v>1</v>
      </c>
    </row>
    <row r="65" spans="1:2" ht="12.5" x14ac:dyDescent="0.25">
      <c r="A65" s="17" t="str">
        <f ca="1">IFERROR(__xludf.DUMMYFUNCTION("""COMPUTED_VALUE"""),"C9200CX-12T-2X2G")</f>
        <v>C9200CX-12T-2X2G</v>
      </c>
      <c r="B65" s="16">
        <f ca="1">COUNTIF(AllListPrice!A:A,A65)</f>
        <v>1</v>
      </c>
    </row>
    <row r="66" spans="1:2" ht="12.5" x14ac:dyDescent="0.25">
      <c r="A66" s="17" t="str">
        <f ca="1">IFERROR(__xludf.DUMMYFUNCTION("""COMPUTED_VALUE"""),"C9200CX-12P-2X2G")</f>
        <v>C9200CX-12P-2X2G</v>
      </c>
      <c r="B66" s="16">
        <f ca="1">COUNTIF(AllListPrice!A:A,A66)</f>
        <v>1</v>
      </c>
    </row>
    <row r="67" spans="1:2" ht="12.5" x14ac:dyDescent="0.25">
      <c r="A67" s="17" t="str">
        <f ca="1">IFERROR(__xludf.DUMMYFUNCTION("""COMPUTED_VALUE"""),"C9300L-24T-4G")</f>
        <v>C9300L-24T-4G</v>
      </c>
      <c r="B67" s="16">
        <f ca="1">COUNTIF(AllListPrice!A:A,A67)</f>
        <v>1</v>
      </c>
    </row>
    <row r="68" spans="1:2" ht="12.5" x14ac:dyDescent="0.25">
      <c r="A68" s="17" t="str">
        <f ca="1">IFERROR(__xludf.DUMMYFUNCTION("""COMPUTED_VALUE"""),"C9300L-24P-4G")</f>
        <v>C9300L-24P-4G</v>
      </c>
      <c r="B68" s="16">
        <f ca="1">COUNTIF(AllListPrice!A:A,A68)</f>
        <v>1</v>
      </c>
    </row>
    <row r="69" spans="1:2" ht="12.5" x14ac:dyDescent="0.25">
      <c r="A69" s="17" t="str">
        <f ca="1">IFERROR(__xludf.DUMMYFUNCTION("""COMPUTED_VALUE"""),"C9300L-24T-4X")</f>
        <v>C9300L-24T-4X</v>
      </c>
      <c r="B69" s="16">
        <f ca="1">COUNTIF(AllListPrice!A:A,A69)</f>
        <v>1</v>
      </c>
    </row>
    <row r="70" spans="1:2" ht="12.5" x14ac:dyDescent="0.25">
      <c r="A70" s="17" t="str">
        <f ca="1">IFERROR(__xludf.DUMMYFUNCTION("""COMPUTED_VALUE"""),"C9300L-24P-4X")</f>
        <v>C9300L-24P-4X</v>
      </c>
      <c r="B70" s="16">
        <f ca="1">COUNTIF(AllListPrice!A:A,A70)</f>
        <v>1</v>
      </c>
    </row>
    <row r="71" spans="1:2" ht="12.5" x14ac:dyDescent="0.25">
      <c r="A71" s="17" t="str">
        <f ca="1">IFERROR(__xludf.DUMMYFUNCTION("""COMPUTED_VALUE"""),"C9300L-48T-4G")</f>
        <v>C9300L-48T-4G</v>
      </c>
      <c r="B71" s="16">
        <f ca="1">COUNTIF(AllListPrice!A:A,A71)</f>
        <v>1</v>
      </c>
    </row>
    <row r="72" spans="1:2" ht="12.5" x14ac:dyDescent="0.25">
      <c r="A72" s="17" t="str">
        <f ca="1">IFERROR(__xludf.DUMMYFUNCTION("""COMPUTED_VALUE"""),"C9300L-48P-4G")</f>
        <v>C9300L-48P-4G</v>
      </c>
      <c r="B72" s="16">
        <f ca="1">COUNTIF(AllListPrice!A:A,A72)</f>
        <v>1</v>
      </c>
    </row>
    <row r="73" spans="1:2" ht="12.5" x14ac:dyDescent="0.25">
      <c r="A73" s="17" t="str">
        <f ca="1">IFERROR(__xludf.DUMMYFUNCTION("""COMPUTED_VALUE"""),"C9300L-48T-4X")</f>
        <v>C9300L-48T-4X</v>
      </c>
      <c r="B73" s="16">
        <f ca="1">COUNTIF(AllListPrice!A:A,A73)</f>
        <v>1</v>
      </c>
    </row>
    <row r="74" spans="1:2" ht="12.5" x14ac:dyDescent="0.25">
      <c r="A74" s="17" t="str">
        <f ca="1">IFERROR(__xludf.DUMMYFUNCTION("""COMPUTED_VALUE"""),"C9300L-48P-4X")</f>
        <v>C9300L-48P-4X</v>
      </c>
      <c r="B74" s="16">
        <f ca="1">COUNTIF(AllListPrice!A:A,A74)</f>
        <v>1</v>
      </c>
    </row>
    <row r="75" spans="1:2" ht="12.5" x14ac:dyDescent="0.25">
      <c r="A75" s="17" t="str">
        <f ca="1">IFERROR(__xludf.DUMMYFUNCTION("""COMPUTED_VALUE"""),"C9300-24T")</f>
        <v>C9300-24T</v>
      </c>
      <c r="B75" s="16">
        <f ca="1">COUNTIF(AllListPrice!A:A,A75)</f>
        <v>1</v>
      </c>
    </row>
    <row r="76" spans="1:2" ht="12.5" x14ac:dyDescent="0.25">
      <c r="A76" s="17" t="str">
        <f ca="1">IFERROR(__xludf.DUMMYFUNCTION("""COMPUTED_VALUE"""),"C9300-24P")</f>
        <v>C9300-24P</v>
      </c>
      <c r="B76" s="16">
        <f ca="1">COUNTIF(AllListPrice!A:A,A76)</f>
        <v>1</v>
      </c>
    </row>
    <row r="77" spans="1:2" ht="12.5" x14ac:dyDescent="0.25">
      <c r="A77" s="17" t="str">
        <f ca="1">IFERROR(__xludf.DUMMYFUNCTION("""COMPUTED_VALUE"""),"C9300-24U")</f>
        <v>C9300-24U</v>
      </c>
      <c r="B77" s="16">
        <f ca="1">COUNTIF(AllListPrice!A:A,A77)</f>
        <v>1</v>
      </c>
    </row>
    <row r="78" spans="1:2" ht="12.5" x14ac:dyDescent="0.25">
      <c r="A78" s="17" t="str">
        <f ca="1">IFERROR(__xludf.DUMMYFUNCTION("""COMPUTED_VALUE"""),"C9300-24H")</f>
        <v>C9300-24H</v>
      </c>
      <c r="B78" s="16">
        <f ca="1">COUNTIF(AllListPrice!A:A,A78)</f>
        <v>1</v>
      </c>
    </row>
    <row r="79" spans="1:2" ht="12.5" x14ac:dyDescent="0.25">
      <c r="A79" s="17" t="str">
        <f ca="1">IFERROR(__xludf.DUMMYFUNCTION("""COMPUTED_VALUE"""),"C9300-24S")</f>
        <v>C9300-24S</v>
      </c>
      <c r="B79" s="16">
        <f ca="1">COUNTIF(AllListPrice!A:A,A79)</f>
        <v>1</v>
      </c>
    </row>
    <row r="80" spans="1:2" ht="12.5" x14ac:dyDescent="0.25">
      <c r="A80" s="17" t="str">
        <f ca="1">IFERROR(__xludf.DUMMYFUNCTION("""COMPUTED_VALUE"""),"C9300-24UB")</f>
        <v>C9300-24UB</v>
      </c>
      <c r="B80" s="16">
        <f ca="1">COUNTIF(AllListPrice!A:A,A80)</f>
        <v>1</v>
      </c>
    </row>
    <row r="81" spans="1:2" ht="12.5" x14ac:dyDescent="0.25">
      <c r="A81" s="17" t="str">
        <f ca="1">IFERROR(__xludf.DUMMYFUNCTION("""COMPUTED_VALUE"""),"C9300-48T")</f>
        <v>C9300-48T</v>
      </c>
      <c r="B81" s="16">
        <f ca="1">COUNTIF(AllListPrice!A:A,A81)</f>
        <v>1</v>
      </c>
    </row>
    <row r="82" spans="1:2" ht="12.5" x14ac:dyDescent="0.25">
      <c r="A82" s="17" t="str">
        <f ca="1">IFERROR(__xludf.DUMMYFUNCTION("""COMPUTED_VALUE"""),"C9300-48P")</f>
        <v>C9300-48P</v>
      </c>
      <c r="B82" s="16">
        <f ca="1">COUNTIF(AllListPrice!A:A,A82)</f>
        <v>1</v>
      </c>
    </row>
    <row r="83" spans="1:2" ht="12.5" x14ac:dyDescent="0.25">
      <c r="A83" s="17" t="str">
        <f ca="1">IFERROR(__xludf.DUMMYFUNCTION("""COMPUTED_VALUE"""),"C9300-48U")</f>
        <v>C9300-48U</v>
      </c>
      <c r="B83" s="16">
        <f ca="1">COUNTIF(AllListPrice!A:A,A83)</f>
        <v>1</v>
      </c>
    </row>
    <row r="84" spans="1:2" ht="12.5" x14ac:dyDescent="0.25">
      <c r="A84" s="17" t="str">
        <f ca="1">IFERROR(__xludf.DUMMYFUNCTION("""COMPUTED_VALUE"""),"C9300-48H")</f>
        <v>C9300-48H</v>
      </c>
      <c r="B84" s="16">
        <f ca="1">COUNTIF(AllListPrice!A:A,A84)</f>
        <v>1</v>
      </c>
    </row>
    <row r="85" spans="1:2" ht="12.5" x14ac:dyDescent="0.25">
      <c r="A85" s="17" t="str">
        <f ca="1">IFERROR(__xludf.DUMMYFUNCTION("""COMPUTED_VALUE"""),"C9300-48S")</f>
        <v>C9300-48S</v>
      </c>
      <c r="B85" s="16">
        <f ca="1">COUNTIF(AllListPrice!A:A,A85)</f>
        <v>1</v>
      </c>
    </row>
    <row r="86" spans="1:2" ht="12.5" x14ac:dyDescent="0.25">
      <c r="A86" s="17" t="str">
        <f ca="1">IFERROR(__xludf.DUMMYFUNCTION("""COMPUTED_VALUE"""),"C9300-48UB")</f>
        <v>C9300-48UB</v>
      </c>
      <c r="B86" s="16">
        <f ca="1">COUNTIF(AllListPrice!A:A,A86)</f>
        <v>1</v>
      </c>
    </row>
    <row r="87" spans="1:2" ht="12.5" x14ac:dyDescent="0.25">
      <c r="A87" s="17" t="str">
        <f ca="1">IFERROR(__xludf.DUMMYFUNCTION("""COMPUTED_VALUE"""),"C9500-32C")</f>
        <v>C9500-32C</v>
      </c>
      <c r="B87" s="16">
        <f ca="1">COUNTIF(AllListPrice!A:A,A87)</f>
        <v>1</v>
      </c>
    </row>
    <row r="88" spans="1:2" ht="12.5" x14ac:dyDescent="0.25">
      <c r="A88" s="17" t="str">
        <f ca="1">IFERROR(__xludf.DUMMYFUNCTION("""COMPUTED_VALUE"""),"C9500-32QC")</f>
        <v>C9500-32QC</v>
      </c>
      <c r="B88" s="16">
        <f ca="1">COUNTIF(AllListPrice!A:A,A88)</f>
        <v>1</v>
      </c>
    </row>
    <row r="89" spans="1:2" ht="12.5" x14ac:dyDescent="0.25">
      <c r="A89" s="17" t="str">
        <f ca="1">IFERROR(__xludf.DUMMYFUNCTION("""COMPUTED_VALUE"""),"C9500-48Y4C")</f>
        <v>C9500-48Y4C</v>
      </c>
      <c r="B89" s="16">
        <f ca="1">COUNTIF(AllListPrice!A:A,A89)</f>
        <v>1</v>
      </c>
    </row>
    <row r="90" spans="1:2" ht="12.5" x14ac:dyDescent="0.25">
      <c r="A90" s="17" t="str">
        <f ca="1">IFERROR(__xludf.DUMMYFUNCTION("""COMPUTED_VALUE"""),"C9500-24Y4C")</f>
        <v>C9500-24Y4C</v>
      </c>
      <c r="B90" s="16">
        <f ca="1">COUNTIF(AllListPrice!A:A,A90)</f>
        <v>1</v>
      </c>
    </row>
    <row r="91" spans="1:2" ht="12.5" x14ac:dyDescent="0.25">
      <c r="A91" s="17" t="str">
        <f ca="1">IFERROR(__xludf.DUMMYFUNCTION("""COMPUTED_VALUE"""),"C9500X-28C8D")</f>
        <v>C9500X-28C8D</v>
      </c>
      <c r="B91" s="16">
        <f ca="1">COUNTIF(AllListPrice!A:A,A91)</f>
        <v>1</v>
      </c>
    </row>
    <row r="92" spans="1:2" ht="12.5" x14ac:dyDescent="0.25">
      <c r="A92" s="17" t="str">
        <f ca="1">IFERROR(__xludf.DUMMYFUNCTION("""COMPUTED_VALUE"""),"C9500X-60L4D")</f>
        <v>C9500X-60L4D</v>
      </c>
      <c r="B92" s="16">
        <f ca="1">COUNTIF(AllListPrice!A:A,A92)</f>
        <v>1</v>
      </c>
    </row>
    <row r="93" spans="1:2" ht="12.5" x14ac:dyDescent="0.25">
      <c r="A93" s="17" t="str">
        <f ca="1">IFERROR(__xludf.DUMMYFUNCTION("""COMPUTED_VALUE"""),"EX4200-24T")</f>
        <v>EX4200-24T</v>
      </c>
      <c r="B93" s="16">
        <f ca="1">COUNTIF(AllListPrice!A:A,A93)</f>
        <v>1</v>
      </c>
    </row>
    <row r="94" spans="1:2" ht="12.5" x14ac:dyDescent="0.25">
      <c r="A94" s="17" t="str">
        <f ca="1">IFERROR(__xludf.DUMMYFUNCTION("""COMPUTED_VALUE"""),"EX4300-48S")</f>
        <v>EX4300-48S</v>
      </c>
      <c r="B94" s="16">
        <f ca="1">COUNTIF(AllListPrice!A:A,A94)</f>
        <v>1</v>
      </c>
    </row>
    <row r="95" spans="1:2" ht="12.5" x14ac:dyDescent="0.25">
      <c r="A95" s="17" t="str">
        <f ca="1">IFERROR(__xludf.DUMMYFUNCTION("""COMPUTED_VALUE"""),"EX4600")</f>
        <v>EX4600</v>
      </c>
      <c r="B95" s="16">
        <f ca="1">COUNTIF(AllListPrice!A:A,A95)</f>
        <v>1</v>
      </c>
    </row>
    <row r="96" spans="1:2" ht="12.5" x14ac:dyDescent="0.25">
      <c r="B96" s="16">
        <f ca="1">COUNTIF(AllListPrice!A:A,A96)</f>
        <v>0</v>
      </c>
    </row>
    <row r="97" spans="2:2" ht="12.5" x14ac:dyDescent="0.25">
      <c r="B97" s="16">
        <f ca="1">COUNTIF(AllListPrice!A:A,A97)</f>
        <v>0</v>
      </c>
    </row>
    <row r="98" spans="2:2" ht="12.5" x14ac:dyDescent="0.25">
      <c r="B98" s="16"/>
    </row>
    <row r="99" spans="2:2" ht="12.5" x14ac:dyDescent="0.25">
      <c r="B99" s="16"/>
    </row>
    <row r="100" spans="2:2" ht="12.5" x14ac:dyDescent="0.25">
      <c r="B100" s="16"/>
    </row>
    <row r="101" spans="2:2" ht="12.5" x14ac:dyDescent="0.25">
      <c r="B101" s="16"/>
    </row>
    <row r="102" spans="2:2" ht="12.5" x14ac:dyDescent="0.25">
      <c r="B102" s="16"/>
    </row>
    <row r="103" spans="2:2" ht="12.5" x14ac:dyDescent="0.25">
      <c r="B103" s="16"/>
    </row>
    <row r="104" spans="2:2" ht="12.5" x14ac:dyDescent="0.25">
      <c r="B104" s="16"/>
    </row>
    <row r="105" spans="2:2" ht="12.5" x14ac:dyDescent="0.25">
      <c r="B105" s="16"/>
    </row>
    <row r="106" spans="2:2" ht="12.5" x14ac:dyDescent="0.25">
      <c r="B106" s="16"/>
    </row>
    <row r="107" spans="2:2" ht="12.5" x14ac:dyDescent="0.25">
      <c r="B107" s="16"/>
    </row>
    <row r="108" spans="2:2" ht="12.5" x14ac:dyDescent="0.25">
      <c r="B108" s="16"/>
    </row>
    <row r="109" spans="2:2" ht="12.5" x14ac:dyDescent="0.25">
      <c r="B109" s="16"/>
    </row>
    <row r="110" spans="2:2" ht="12.5" x14ac:dyDescent="0.25">
      <c r="B110" s="16"/>
    </row>
    <row r="111" spans="2:2" ht="12.5" x14ac:dyDescent="0.25">
      <c r="B111" s="16"/>
    </row>
    <row r="112" spans="2:2" ht="12.5" x14ac:dyDescent="0.25">
      <c r="B112" s="16"/>
    </row>
    <row r="113" spans="2:2" ht="12.5" x14ac:dyDescent="0.25">
      <c r="B113" s="16"/>
    </row>
    <row r="114" spans="2:2" ht="12.5" x14ac:dyDescent="0.25">
      <c r="B114" s="16"/>
    </row>
    <row r="115" spans="2:2" ht="12.5" x14ac:dyDescent="0.25">
      <c r="B115" s="16"/>
    </row>
    <row r="116" spans="2:2" ht="12.5" x14ac:dyDescent="0.25">
      <c r="B116" s="16"/>
    </row>
    <row r="117" spans="2:2" ht="12.5" x14ac:dyDescent="0.25">
      <c r="B117" s="16"/>
    </row>
    <row r="118" spans="2:2" ht="12.5" x14ac:dyDescent="0.25">
      <c r="B118" s="16"/>
    </row>
    <row r="119" spans="2:2" ht="12.5" x14ac:dyDescent="0.25">
      <c r="B119" s="16"/>
    </row>
    <row r="120" spans="2:2" ht="12.5" x14ac:dyDescent="0.25">
      <c r="B120" s="16"/>
    </row>
    <row r="121" spans="2:2" ht="12.5" x14ac:dyDescent="0.25">
      <c r="B121" s="16"/>
    </row>
    <row r="122" spans="2:2" ht="12.5" x14ac:dyDescent="0.25">
      <c r="B122" s="16"/>
    </row>
    <row r="123" spans="2:2" ht="12.5" x14ac:dyDescent="0.25">
      <c r="B123" s="16"/>
    </row>
    <row r="124" spans="2:2" ht="12.5" x14ac:dyDescent="0.25">
      <c r="B124" s="16"/>
    </row>
    <row r="125" spans="2:2" ht="12.5" x14ac:dyDescent="0.25">
      <c r="B125" s="16"/>
    </row>
    <row r="126" spans="2:2" ht="12.5" x14ac:dyDescent="0.25">
      <c r="B126" s="16"/>
    </row>
    <row r="127" spans="2:2" ht="12.5" x14ac:dyDescent="0.25">
      <c r="B127" s="16"/>
    </row>
    <row r="128" spans="2:2" ht="12.5" x14ac:dyDescent="0.25">
      <c r="B128" s="16"/>
    </row>
    <row r="129" spans="2:2" ht="12.5" x14ac:dyDescent="0.25">
      <c r="B129" s="16"/>
    </row>
    <row r="130" spans="2:2" ht="12.5" x14ac:dyDescent="0.25">
      <c r="B130" s="16"/>
    </row>
    <row r="131" spans="2:2" ht="12.5" x14ac:dyDescent="0.25">
      <c r="B131" s="16"/>
    </row>
    <row r="132" spans="2:2" ht="12.5" x14ac:dyDescent="0.25">
      <c r="B132" s="16"/>
    </row>
    <row r="133" spans="2:2" ht="12.5" x14ac:dyDescent="0.25">
      <c r="B133" s="16"/>
    </row>
    <row r="134" spans="2:2" ht="12.5" x14ac:dyDescent="0.25">
      <c r="B134" s="16"/>
    </row>
    <row r="135" spans="2:2" ht="12.5" x14ac:dyDescent="0.25">
      <c r="B135" s="16"/>
    </row>
    <row r="136" spans="2:2" ht="12.5" x14ac:dyDescent="0.25">
      <c r="B136" s="16"/>
    </row>
    <row r="137" spans="2:2" ht="12.5" x14ac:dyDescent="0.25">
      <c r="B137" s="16"/>
    </row>
    <row r="138" spans="2:2" ht="12.5" x14ac:dyDescent="0.25">
      <c r="B138" s="16"/>
    </row>
    <row r="139" spans="2:2" ht="12.5" x14ac:dyDescent="0.25">
      <c r="B139" s="16"/>
    </row>
    <row r="140" spans="2:2" ht="12.5" x14ac:dyDescent="0.25">
      <c r="B140" s="16"/>
    </row>
    <row r="141" spans="2:2" ht="12.5" x14ac:dyDescent="0.25">
      <c r="B141" s="16"/>
    </row>
    <row r="142" spans="2:2" ht="12.5" x14ac:dyDescent="0.25">
      <c r="B142" s="16"/>
    </row>
    <row r="143" spans="2:2" ht="12.5" x14ac:dyDescent="0.25">
      <c r="B143" s="16"/>
    </row>
    <row r="144" spans="2:2" ht="12.5" x14ac:dyDescent="0.25">
      <c r="B144" s="16"/>
    </row>
    <row r="145" spans="2:2" ht="12.5" x14ac:dyDescent="0.25">
      <c r="B145" s="16"/>
    </row>
    <row r="146" spans="2:2" ht="12.5" x14ac:dyDescent="0.25">
      <c r="B146" s="16"/>
    </row>
    <row r="147" spans="2:2" ht="12.5" x14ac:dyDescent="0.25">
      <c r="B147" s="16"/>
    </row>
    <row r="148" spans="2:2" ht="12.5" x14ac:dyDescent="0.25">
      <c r="B148" s="16"/>
    </row>
    <row r="149" spans="2:2" ht="12.5" x14ac:dyDescent="0.25">
      <c r="B149" s="16"/>
    </row>
    <row r="150" spans="2:2" ht="12.5" x14ac:dyDescent="0.25">
      <c r="B150" s="16"/>
    </row>
    <row r="151" spans="2:2" ht="12.5" x14ac:dyDescent="0.25">
      <c r="B151" s="16"/>
    </row>
    <row r="152" spans="2:2" ht="12.5" x14ac:dyDescent="0.25">
      <c r="B152" s="16"/>
    </row>
    <row r="153" spans="2:2" ht="12.5" x14ac:dyDescent="0.25">
      <c r="B153" s="16"/>
    </row>
    <row r="154" spans="2:2" ht="12.5" x14ac:dyDescent="0.25">
      <c r="B154" s="16"/>
    </row>
    <row r="155" spans="2:2" ht="12.5" x14ac:dyDescent="0.25">
      <c r="B155" s="16"/>
    </row>
    <row r="156" spans="2:2" ht="12.5" x14ac:dyDescent="0.25">
      <c r="B156" s="16"/>
    </row>
    <row r="157" spans="2:2" ht="12.5" x14ac:dyDescent="0.25">
      <c r="B157" s="16"/>
    </row>
    <row r="158" spans="2:2" ht="12.5" x14ac:dyDescent="0.25">
      <c r="B158" s="16"/>
    </row>
    <row r="159" spans="2:2" ht="12.5" x14ac:dyDescent="0.25">
      <c r="B159" s="16"/>
    </row>
    <row r="160" spans="2:2" ht="12.5" x14ac:dyDescent="0.25">
      <c r="B160" s="16"/>
    </row>
    <row r="161" spans="2:2" ht="12.5" x14ac:dyDescent="0.25">
      <c r="B161" s="16"/>
    </row>
    <row r="162" spans="2:2" ht="12.5" x14ac:dyDescent="0.25">
      <c r="B162" s="16"/>
    </row>
    <row r="163" spans="2:2" ht="12.5" x14ac:dyDescent="0.25">
      <c r="B163" s="16"/>
    </row>
    <row r="164" spans="2:2" ht="12.5" x14ac:dyDescent="0.25">
      <c r="B164" s="16"/>
    </row>
    <row r="165" spans="2:2" ht="12.5" x14ac:dyDescent="0.25">
      <c r="B165" s="16"/>
    </row>
    <row r="166" spans="2:2" ht="12.5" x14ac:dyDescent="0.25">
      <c r="B166" s="16"/>
    </row>
    <row r="167" spans="2:2" ht="12.5" x14ac:dyDescent="0.25">
      <c r="B167" s="16"/>
    </row>
    <row r="168" spans="2:2" ht="12.5" x14ac:dyDescent="0.25">
      <c r="B168" s="16"/>
    </row>
    <row r="169" spans="2:2" ht="12.5" x14ac:dyDescent="0.25">
      <c r="B169" s="16"/>
    </row>
    <row r="170" spans="2:2" ht="12.5" x14ac:dyDescent="0.25">
      <c r="B170" s="16"/>
    </row>
    <row r="171" spans="2:2" ht="12.5" x14ac:dyDescent="0.25">
      <c r="B171" s="16"/>
    </row>
    <row r="172" spans="2:2" ht="12.5" x14ac:dyDescent="0.25">
      <c r="B172" s="16"/>
    </row>
    <row r="173" spans="2:2" ht="12.5" x14ac:dyDescent="0.25">
      <c r="B173" s="16"/>
    </row>
    <row r="174" spans="2:2" ht="12.5" x14ac:dyDescent="0.25">
      <c r="B174" s="16"/>
    </row>
    <row r="175" spans="2:2" ht="12.5" x14ac:dyDescent="0.25">
      <c r="B175" s="16"/>
    </row>
    <row r="176" spans="2:2" ht="12.5" x14ac:dyDescent="0.25">
      <c r="B176" s="16"/>
    </row>
    <row r="177" spans="2:2" ht="12.5" x14ac:dyDescent="0.25">
      <c r="B177" s="16"/>
    </row>
    <row r="178" spans="2:2" ht="12.5" x14ac:dyDescent="0.25">
      <c r="B178" s="16"/>
    </row>
    <row r="179" spans="2:2" ht="12.5" x14ac:dyDescent="0.25">
      <c r="B179" s="16"/>
    </row>
    <row r="180" spans="2:2" ht="12.5" x14ac:dyDescent="0.25">
      <c r="B180" s="16"/>
    </row>
    <row r="181" spans="2:2" ht="12.5" x14ac:dyDescent="0.25">
      <c r="B181" s="16"/>
    </row>
    <row r="182" spans="2:2" ht="12.5" x14ac:dyDescent="0.25">
      <c r="B182" s="16"/>
    </row>
    <row r="183" spans="2:2" ht="12.5" x14ac:dyDescent="0.25">
      <c r="B183" s="16"/>
    </row>
    <row r="184" spans="2:2" ht="12.5" x14ac:dyDescent="0.25">
      <c r="B184" s="16"/>
    </row>
    <row r="185" spans="2:2" ht="12.5" x14ac:dyDescent="0.25">
      <c r="B185" s="16"/>
    </row>
    <row r="186" spans="2:2" ht="12.5" x14ac:dyDescent="0.25">
      <c r="B186" s="16"/>
    </row>
    <row r="187" spans="2:2" ht="12.5" x14ac:dyDescent="0.25">
      <c r="B187" s="16"/>
    </row>
    <row r="188" spans="2:2" ht="12.5" x14ac:dyDescent="0.25">
      <c r="B188" s="16"/>
    </row>
    <row r="189" spans="2:2" ht="12.5" x14ac:dyDescent="0.25">
      <c r="B189" s="16"/>
    </row>
    <row r="190" spans="2:2" ht="12.5" x14ac:dyDescent="0.25">
      <c r="B190" s="16"/>
    </row>
    <row r="191" spans="2:2" ht="12.5" x14ac:dyDescent="0.25">
      <c r="B191" s="16"/>
    </row>
    <row r="192" spans="2:2" ht="12.5" x14ac:dyDescent="0.25">
      <c r="B192" s="16"/>
    </row>
    <row r="193" spans="2:2" ht="12.5" x14ac:dyDescent="0.25">
      <c r="B193" s="16"/>
    </row>
    <row r="194" spans="2:2" ht="12.5" x14ac:dyDescent="0.25">
      <c r="B194" s="16"/>
    </row>
    <row r="195" spans="2:2" ht="12.5" x14ac:dyDescent="0.25">
      <c r="B195" s="16"/>
    </row>
    <row r="196" spans="2:2" ht="12.5" x14ac:dyDescent="0.25">
      <c r="B196" s="16"/>
    </row>
    <row r="197" spans="2:2" ht="12.5" x14ac:dyDescent="0.25">
      <c r="B197" s="16"/>
    </row>
    <row r="198" spans="2:2" ht="12.5" x14ac:dyDescent="0.25">
      <c r="B198" s="16"/>
    </row>
    <row r="199" spans="2:2" ht="12.5" x14ac:dyDescent="0.25">
      <c r="B199" s="16"/>
    </row>
    <row r="200" spans="2:2" ht="12.5" x14ac:dyDescent="0.25">
      <c r="B200" s="16"/>
    </row>
    <row r="201" spans="2:2" ht="12.5" x14ac:dyDescent="0.25">
      <c r="B201" s="16"/>
    </row>
    <row r="202" spans="2:2" ht="12.5" x14ac:dyDescent="0.25">
      <c r="B202" s="16"/>
    </row>
    <row r="203" spans="2:2" ht="12.5" x14ac:dyDescent="0.25">
      <c r="B203" s="16"/>
    </row>
    <row r="204" spans="2:2" ht="12.5" x14ac:dyDescent="0.25">
      <c r="B204" s="16"/>
    </row>
    <row r="205" spans="2:2" ht="12.5" x14ac:dyDescent="0.25">
      <c r="B205" s="16"/>
    </row>
    <row r="206" spans="2:2" ht="12.5" x14ac:dyDescent="0.25">
      <c r="B206" s="16"/>
    </row>
    <row r="207" spans="2:2" ht="12.5" x14ac:dyDescent="0.25">
      <c r="B207" s="16"/>
    </row>
    <row r="208" spans="2:2" ht="12.5" x14ac:dyDescent="0.25">
      <c r="B208" s="16"/>
    </row>
    <row r="209" spans="2:2" ht="12.5" x14ac:dyDescent="0.25">
      <c r="B209" s="16"/>
    </row>
    <row r="210" spans="2:2" ht="12.5" x14ac:dyDescent="0.25">
      <c r="B210" s="16"/>
    </row>
    <row r="211" spans="2:2" ht="12.5" x14ac:dyDescent="0.25">
      <c r="B211" s="16"/>
    </row>
    <row r="212" spans="2:2" ht="12.5" x14ac:dyDescent="0.25">
      <c r="B212" s="16"/>
    </row>
    <row r="213" spans="2:2" ht="12.5" x14ac:dyDescent="0.25">
      <c r="B213" s="16"/>
    </row>
    <row r="214" spans="2:2" ht="12.5" x14ac:dyDescent="0.25">
      <c r="B214" s="16"/>
    </row>
    <row r="215" spans="2:2" ht="12.5" x14ac:dyDescent="0.25">
      <c r="B215" s="16"/>
    </row>
    <row r="216" spans="2:2" ht="12.5" x14ac:dyDescent="0.25">
      <c r="B216" s="16"/>
    </row>
    <row r="217" spans="2:2" ht="12.5" x14ac:dyDescent="0.25">
      <c r="B217" s="16"/>
    </row>
    <row r="218" spans="2:2" ht="12.5" x14ac:dyDescent="0.25">
      <c r="B218" s="16"/>
    </row>
    <row r="219" spans="2:2" ht="12.5" x14ac:dyDescent="0.25">
      <c r="B219" s="16"/>
    </row>
    <row r="220" spans="2:2" ht="12.5" x14ac:dyDescent="0.25">
      <c r="B220" s="16"/>
    </row>
    <row r="221" spans="2:2" ht="12.5" x14ac:dyDescent="0.25">
      <c r="B221" s="16"/>
    </row>
    <row r="222" spans="2:2" ht="12.5" x14ac:dyDescent="0.25">
      <c r="B222" s="16"/>
    </row>
    <row r="223" spans="2:2" ht="12.5" x14ac:dyDescent="0.25">
      <c r="B223" s="16"/>
    </row>
    <row r="224" spans="2:2" ht="12.5" x14ac:dyDescent="0.25">
      <c r="B224" s="16"/>
    </row>
    <row r="225" spans="2:2" ht="12.5" x14ac:dyDescent="0.25">
      <c r="B225" s="16"/>
    </row>
    <row r="226" spans="2:2" ht="12.5" x14ac:dyDescent="0.25">
      <c r="B226" s="16"/>
    </row>
    <row r="227" spans="2:2" ht="12.5" x14ac:dyDescent="0.25">
      <c r="B227" s="16"/>
    </row>
    <row r="228" spans="2:2" ht="12.5" x14ac:dyDescent="0.25">
      <c r="B228" s="16"/>
    </row>
    <row r="229" spans="2:2" ht="12.5" x14ac:dyDescent="0.25">
      <c r="B229" s="16"/>
    </row>
    <row r="230" spans="2:2" ht="12.5" x14ac:dyDescent="0.25">
      <c r="B230" s="16"/>
    </row>
    <row r="231" spans="2:2" ht="12.5" x14ac:dyDescent="0.25">
      <c r="B231" s="16"/>
    </row>
    <row r="232" spans="2:2" ht="12.5" x14ac:dyDescent="0.25">
      <c r="B232" s="16"/>
    </row>
    <row r="233" spans="2:2" ht="12.5" x14ac:dyDescent="0.25">
      <c r="B233" s="16"/>
    </row>
    <row r="234" spans="2:2" ht="12.5" x14ac:dyDescent="0.25">
      <c r="B234" s="16"/>
    </row>
    <row r="235" spans="2:2" ht="12.5" x14ac:dyDescent="0.25">
      <c r="B235" s="16"/>
    </row>
    <row r="236" spans="2:2" ht="12.5" x14ac:dyDescent="0.25">
      <c r="B236" s="16"/>
    </row>
    <row r="237" spans="2:2" ht="12.5" x14ac:dyDescent="0.25">
      <c r="B237" s="16"/>
    </row>
    <row r="238" spans="2:2" ht="12.5" x14ac:dyDescent="0.25">
      <c r="B238" s="16"/>
    </row>
    <row r="239" spans="2:2" ht="12.5" x14ac:dyDescent="0.25">
      <c r="B239" s="16"/>
    </row>
    <row r="240" spans="2:2" ht="12.5" x14ac:dyDescent="0.25">
      <c r="B240" s="16"/>
    </row>
    <row r="241" spans="2:2" ht="12.5" x14ac:dyDescent="0.25">
      <c r="B241" s="16"/>
    </row>
    <row r="242" spans="2:2" ht="12.5" x14ac:dyDescent="0.25">
      <c r="B242" s="16"/>
    </row>
    <row r="243" spans="2:2" ht="12.5" x14ac:dyDescent="0.25">
      <c r="B243" s="16"/>
    </row>
    <row r="244" spans="2:2" ht="12.5" x14ac:dyDescent="0.25">
      <c r="B244" s="16"/>
    </row>
    <row r="245" spans="2:2" ht="12.5" x14ac:dyDescent="0.25">
      <c r="B245" s="16"/>
    </row>
    <row r="246" spans="2:2" ht="12.5" x14ac:dyDescent="0.25">
      <c r="B246" s="16"/>
    </row>
    <row r="247" spans="2:2" ht="12.5" x14ac:dyDescent="0.25">
      <c r="B247" s="16"/>
    </row>
    <row r="248" spans="2:2" ht="12.5" x14ac:dyDescent="0.25">
      <c r="B248" s="16"/>
    </row>
    <row r="249" spans="2:2" ht="12.5" x14ac:dyDescent="0.25">
      <c r="B249" s="16"/>
    </row>
    <row r="250" spans="2:2" ht="12.5" x14ac:dyDescent="0.25">
      <c r="B250" s="16"/>
    </row>
    <row r="251" spans="2:2" ht="12.5" x14ac:dyDescent="0.25">
      <c r="B251" s="16"/>
    </row>
    <row r="252" spans="2:2" ht="12.5" x14ac:dyDescent="0.25">
      <c r="B252" s="16"/>
    </row>
    <row r="253" spans="2:2" ht="12.5" x14ac:dyDescent="0.25">
      <c r="B253" s="16"/>
    </row>
    <row r="254" spans="2:2" ht="12.5" x14ac:dyDescent="0.25">
      <c r="B254" s="16"/>
    </row>
    <row r="255" spans="2:2" ht="12.5" x14ac:dyDescent="0.25">
      <c r="B255" s="16"/>
    </row>
    <row r="256" spans="2:2" ht="12.5" x14ac:dyDescent="0.25">
      <c r="B256" s="16"/>
    </row>
    <row r="257" spans="2:2" ht="12.5" x14ac:dyDescent="0.25">
      <c r="B257" s="16"/>
    </row>
    <row r="258" spans="2:2" ht="12.5" x14ac:dyDescent="0.25">
      <c r="B258" s="16"/>
    </row>
    <row r="259" spans="2:2" ht="12.5" x14ac:dyDescent="0.25">
      <c r="B259" s="16"/>
    </row>
    <row r="260" spans="2:2" ht="12.5" x14ac:dyDescent="0.25">
      <c r="B260" s="16"/>
    </row>
    <row r="261" spans="2:2" ht="12.5" x14ac:dyDescent="0.25">
      <c r="B261" s="16"/>
    </row>
    <row r="262" spans="2:2" ht="12.5" x14ac:dyDescent="0.25">
      <c r="B262" s="16"/>
    </row>
    <row r="263" spans="2:2" ht="12.5" x14ac:dyDescent="0.25">
      <c r="B263" s="16"/>
    </row>
    <row r="264" spans="2:2" ht="12.5" x14ac:dyDescent="0.25">
      <c r="B264" s="16"/>
    </row>
    <row r="265" spans="2:2" ht="12.5" x14ac:dyDescent="0.25">
      <c r="B265" s="16"/>
    </row>
    <row r="266" spans="2:2" ht="12.5" x14ac:dyDescent="0.25">
      <c r="B266" s="16"/>
    </row>
    <row r="267" spans="2:2" ht="12.5" x14ac:dyDescent="0.25">
      <c r="B267" s="16"/>
    </row>
    <row r="268" spans="2:2" ht="12.5" x14ac:dyDescent="0.25">
      <c r="B268" s="16"/>
    </row>
    <row r="269" spans="2:2" ht="12.5" x14ac:dyDescent="0.25">
      <c r="B269" s="16"/>
    </row>
    <row r="270" spans="2:2" ht="12.5" x14ac:dyDescent="0.25">
      <c r="B270" s="16"/>
    </row>
    <row r="271" spans="2:2" ht="12.5" x14ac:dyDescent="0.25">
      <c r="B271" s="16"/>
    </row>
    <row r="272" spans="2:2" ht="12.5" x14ac:dyDescent="0.25">
      <c r="B272" s="16"/>
    </row>
    <row r="273" spans="2:2" ht="12.5" x14ac:dyDescent="0.25">
      <c r="B273" s="16"/>
    </row>
    <row r="274" spans="2:2" ht="12.5" x14ac:dyDescent="0.25">
      <c r="B274" s="16"/>
    </row>
    <row r="275" spans="2:2" ht="12.5" x14ac:dyDescent="0.25">
      <c r="B275" s="16"/>
    </row>
    <row r="276" spans="2:2" ht="12.5" x14ac:dyDescent="0.25">
      <c r="B276" s="16"/>
    </row>
    <row r="277" spans="2:2" ht="12.5" x14ac:dyDescent="0.25">
      <c r="B277" s="16"/>
    </row>
    <row r="278" spans="2:2" ht="12.5" x14ac:dyDescent="0.25">
      <c r="B278" s="16"/>
    </row>
    <row r="279" spans="2:2" ht="12.5" x14ac:dyDescent="0.25">
      <c r="B279" s="16"/>
    </row>
    <row r="280" spans="2:2" ht="12.5" x14ac:dyDescent="0.25">
      <c r="B280" s="16"/>
    </row>
    <row r="281" spans="2:2" ht="12.5" x14ac:dyDescent="0.25">
      <c r="B281" s="16"/>
    </row>
    <row r="282" spans="2:2" ht="12.5" x14ac:dyDescent="0.25">
      <c r="B282" s="16"/>
    </row>
    <row r="283" spans="2:2" ht="12.5" x14ac:dyDescent="0.25">
      <c r="B283" s="16"/>
    </row>
    <row r="284" spans="2:2" ht="12.5" x14ac:dyDescent="0.25">
      <c r="B284" s="16"/>
    </row>
    <row r="285" spans="2:2" ht="12.5" x14ac:dyDescent="0.25">
      <c r="B285" s="16"/>
    </row>
    <row r="286" spans="2:2" ht="12.5" x14ac:dyDescent="0.25">
      <c r="B286" s="16"/>
    </row>
    <row r="287" spans="2:2" ht="12.5" x14ac:dyDescent="0.25">
      <c r="B287" s="16"/>
    </row>
    <row r="288" spans="2:2" ht="12.5" x14ac:dyDescent="0.25">
      <c r="B288" s="16"/>
    </row>
    <row r="289" spans="2:2" ht="12.5" x14ac:dyDescent="0.25">
      <c r="B289" s="16"/>
    </row>
    <row r="290" spans="2:2" ht="12.5" x14ac:dyDescent="0.25">
      <c r="B290" s="16"/>
    </row>
    <row r="291" spans="2:2" ht="12.5" x14ac:dyDescent="0.25">
      <c r="B291" s="16"/>
    </row>
    <row r="292" spans="2:2" ht="12.5" x14ac:dyDescent="0.25">
      <c r="B292" s="16"/>
    </row>
    <row r="293" spans="2:2" ht="12.5" x14ac:dyDescent="0.25">
      <c r="B293" s="16"/>
    </row>
    <row r="294" spans="2:2" ht="12.5" x14ac:dyDescent="0.25">
      <c r="B294" s="16"/>
    </row>
    <row r="295" spans="2:2" ht="12.5" x14ac:dyDescent="0.25">
      <c r="B295" s="16"/>
    </row>
    <row r="296" spans="2:2" ht="12.5" x14ac:dyDescent="0.25">
      <c r="B296" s="16"/>
    </row>
    <row r="297" spans="2:2" ht="12.5" x14ac:dyDescent="0.25">
      <c r="B297" s="16"/>
    </row>
    <row r="298" spans="2:2" ht="12.5" x14ac:dyDescent="0.25">
      <c r="B298" s="16"/>
    </row>
    <row r="299" spans="2:2" ht="12.5" x14ac:dyDescent="0.25">
      <c r="B299" s="16"/>
    </row>
    <row r="300" spans="2:2" ht="12.5" x14ac:dyDescent="0.25">
      <c r="B300" s="16"/>
    </row>
    <row r="301" spans="2:2" ht="12.5" x14ac:dyDescent="0.25">
      <c r="B301" s="16"/>
    </row>
    <row r="302" spans="2:2" ht="12.5" x14ac:dyDescent="0.25">
      <c r="B302" s="16"/>
    </row>
    <row r="303" spans="2:2" ht="12.5" x14ac:dyDescent="0.25">
      <c r="B303" s="16"/>
    </row>
    <row r="304" spans="2:2" ht="12.5" x14ac:dyDescent="0.25">
      <c r="B304" s="16"/>
    </row>
    <row r="305" spans="2:2" ht="12.5" x14ac:dyDescent="0.25">
      <c r="B305" s="16"/>
    </row>
    <row r="306" spans="2:2" ht="12.5" x14ac:dyDescent="0.25">
      <c r="B306" s="16"/>
    </row>
    <row r="307" spans="2:2" ht="12.5" x14ac:dyDescent="0.25">
      <c r="B307" s="16"/>
    </row>
    <row r="308" spans="2:2" ht="12.5" x14ac:dyDescent="0.25">
      <c r="B308" s="16"/>
    </row>
    <row r="309" spans="2:2" ht="12.5" x14ac:dyDescent="0.25">
      <c r="B309" s="16"/>
    </row>
    <row r="310" spans="2:2" ht="12.5" x14ac:dyDescent="0.25">
      <c r="B310" s="16"/>
    </row>
    <row r="311" spans="2:2" ht="12.5" x14ac:dyDescent="0.25">
      <c r="B311" s="16"/>
    </row>
    <row r="312" spans="2:2" ht="12.5" x14ac:dyDescent="0.25">
      <c r="B312" s="16"/>
    </row>
    <row r="313" spans="2:2" ht="12.5" x14ac:dyDescent="0.25">
      <c r="B313" s="16"/>
    </row>
    <row r="314" spans="2:2" ht="12.5" x14ac:dyDescent="0.25">
      <c r="B314" s="16"/>
    </row>
    <row r="315" spans="2:2" ht="12.5" x14ac:dyDescent="0.25">
      <c r="B315" s="16"/>
    </row>
    <row r="316" spans="2:2" ht="12.5" x14ac:dyDescent="0.25">
      <c r="B316" s="16"/>
    </row>
    <row r="317" spans="2:2" ht="12.5" x14ac:dyDescent="0.25">
      <c r="B317" s="16"/>
    </row>
    <row r="318" spans="2:2" ht="12.5" x14ac:dyDescent="0.25">
      <c r="B318" s="16"/>
    </row>
    <row r="319" spans="2:2" ht="12.5" x14ac:dyDescent="0.25">
      <c r="B319" s="16"/>
    </row>
    <row r="320" spans="2:2" ht="12.5" x14ac:dyDescent="0.25">
      <c r="B320" s="16"/>
    </row>
    <row r="321" spans="2:2" ht="12.5" x14ac:dyDescent="0.25">
      <c r="B321" s="16"/>
    </row>
    <row r="322" spans="2:2" ht="12.5" x14ac:dyDescent="0.25">
      <c r="B322" s="16"/>
    </row>
    <row r="323" spans="2:2" ht="12.5" x14ac:dyDescent="0.25">
      <c r="B323" s="16"/>
    </row>
    <row r="324" spans="2:2" ht="12.5" x14ac:dyDescent="0.25">
      <c r="B324" s="16"/>
    </row>
    <row r="325" spans="2:2" ht="12.5" x14ac:dyDescent="0.25">
      <c r="B325" s="16"/>
    </row>
    <row r="326" spans="2:2" ht="12.5" x14ac:dyDescent="0.25">
      <c r="B326" s="16"/>
    </row>
    <row r="327" spans="2:2" ht="12.5" x14ac:dyDescent="0.25">
      <c r="B327" s="16"/>
    </row>
    <row r="328" spans="2:2" ht="12.5" x14ac:dyDescent="0.25">
      <c r="B328" s="16"/>
    </row>
    <row r="329" spans="2:2" ht="12.5" x14ac:dyDescent="0.25">
      <c r="B329" s="16"/>
    </row>
    <row r="330" spans="2:2" ht="12.5" x14ac:dyDescent="0.25">
      <c r="B330" s="16"/>
    </row>
    <row r="331" spans="2:2" ht="12.5" x14ac:dyDescent="0.25">
      <c r="B331" s="16"/>
    </row>
    <row r="332" spans="2:2" ht="12.5" x14ac:dyDescent="0.25">
      <c r="B332" s="16"/>
    </row>
    <row r="333" spans="2:2" ht="12.5" x14ac:dyDescent="0.25">
      <c r="B333" s="16"/>
    </row>
    <row r="334" spans="2:2" ht="12.5" x14ac:dyDescent="0.25">
      <c r="B334" s="16"/>
    </row>
    <row r="335" spans="2:2" ht="12.5" x14ac:dyDescent="0.25">
      <c r="B335" s="16"/>
    </row>
    <row r="336" spans="2:2" ht="12.5" x14ac:dyDescent="0.25">
      <c r="B336" s="16"/>
    </row>
    <row r="337" spans="2:2" ht="12.5" x14ac:dyDescent="0.25">
      <c r="B337" s="16"/>
    </row>
    <row r="338" spans="2:2" ht="12.5" x14ac:dyDescent="0.25">
      <c r="B338" s="16"/>
    </row>
    <row r="339" spans="2:2" ht="12.5" x14ac:dyDescent="0.25">
      <c r="B339" s="16"/>
    </row>
    <row r="340" spans="2:2" ht="12.5" x14ac:dyDescent="0.25">
      <c r="B340" s="16"/>
    </row>
    <row r="341" spans="2:2" ht="12.5" x14ac:dyDescent="0.25">
      <c r="B341" s="16"/>
    </row>
    <row r="342" spans="2:2" ht="12.5" x14ac:dyDescent="0.25">
      <c r="B342" s="16"/>
    </row>
    <row r="343" spans="2:2" ht="12.5" x14ac:dyDescent="0.25">
      <c r="B343" s="16"/>
    </row>
    <row r="344" spans="2:2" ht="12.5" x14ac:dyDescent="0.25">
      <c r="B344" s="16"/>
    </row>
    <row r="345" spans="2:2" ht="12.5" x14ac:dyDescent="0.25">
      <c r="B345" s="16"/>
    </row>
    <row r="346" spans="2:2" ht="12.5" x14ac:dyDescent="0.25">
      <c r="B346" s="16"/>
    </row>
    <row r="347" spans="2:2" ht="12.5" x14ac:dyDescent="0.25">
      <c r="B347" s="16"/>
    </row>
    <row r="348" spans="2:2" ht="12.5" x14ac:dyDescent="0.25">
      <c r="B348" s="16"/>
    </row>
    <row r="349" spans="2:2" ht="12.5" x14ac:dyDescent="0.25">
      <c r="B349" s="16"/>
    </row>
    <row r="350" spans="2:2" ht="12.5" x14ac:dyDescent="0.25">
      <c r="B350" s="16"/>
    </row>
    <row r="351" spans="2:2" ht="12.5" x14ac:dyDescent="0.25">
      <c r="B351" s="16"/>
    </row>
    <row r="352" spans="2:2" ht="12.5" x14ac:dyDescent="0.25">
      <c r="B352" s="16"/>
    </row>
    <row r="353" spans="2:2" ht="12.5" x14ac:dyDescent="0.25">
      <c r="B353" s="16"/>
    </row>
    <row r="354" spans="2:2" ht="12.5" x14ac:dyDescent="0.25">
      <c r="B354" s="16"/>
    </row>
    <row r="355" spans="2:2" ht="12.5" x14ac:dyDescent="0.25">
      <c r="B355" s="16"/>
    </row>
    <row r="356" spans="2:2" ht="12.5" x14ac:dyDescent="0.25">
      <c r="B356" s="16"/>
    </row>
    <row r="357" spans="2:2" ht="12.5" x14ac:dyDescent="0.25">
      <c r="B357" s="16"/>
    </row>
    <row r="358" spans="2:2" ht="12.5" x14ac:dyDescent="0.25">
      <c r="B358" s="16"/>
    </row>
    <row r="359" spans="2:2" ht="12.5" x14ac:dyDescent="0.25">
      <c r="B359" s="16"/>
    </row>
    <row r="360" spans="2:2" ht="12.5" x14ac:dyDescent="0.25">
      <c r="B360" s="16"/>
    </row>
    <row r="361" spans="2:2" ht="12.5" x14ac:dyDescent="0.25">
      <c r="B361" s="16"/>
    </row>
    <row r="362" spans="2:2" ht="12.5" x14ac:dyDescent="0.25">
      <c r="B362" s="16"/>
    </row>
    <row r="363" spans="2:2" ht="12.5" x14ac:dyDescent="0.25">
      <c r="B363" s="16"/>
    </row>
    <row r="364" spans="2:2" ht="12.5" x14ac:dyDescent="0.25">
      <c r="B364" s="16"/>
    </row>
    <row r="365" spans="2:2" ht="12.5" x14ac:dyDescent="0.25">
      <c r="B365" s="16"/>
    </row>
    <row r="366" spans="2:2" ht="12.5" x14ac:dyDescent="0.25">
      <c r="B366" s="16"/>
    </row>
    <row r="367" spans="2:2" ht="12.5" x14ac:dyDescent="0.25">
      <c r="B367" s="16"/>
    </row>
    <row r="368" spans="2:2" ht="12.5" x14ac:dyDescent="0.25">
      <c r="B368" s="16"/>
    </row>
    <row r="369" spans="2:2" ht="12.5" x14ac:dyDescent="0.25">
      <c r="B369" s="16"/>
    </row>
    <row r="370" spans="2:2" ht="12.5" x14ac:dyDescent="0.25">
      <c r="B370" s="16"/>
    </row>
    <row r="371" spans="2:2" ht="12.5" x14ac:dyDescent="0.25">
      <c r="B371" s="16"/>
    </row>
    <row r="372" spans="2:2" ht="12.5" x14ac:dyDescent="0.25">
      <c r="B372" s="16"/>
    </row>
    <row r="373" spans="2:2" ht="12.5" x14ac:dyDescent="0.25">
      <c r="B373" s="16"/>
    </row>
    <row r="374" spans="2:2" ht="12.5" x14ac:dyDescent="0.25">
      <c r="B374" s="16"/>
    </row>
    <row r="375" spans="2:2" ht="12.5" x14ac:dyDescent="0.25">
      <c r="B375" s="16"/>
    </row>
    <row r="376" spans="2:2" ht="12.5" x14ac:dyDescent="0.25">
      <c r="B376" s="16"/>
    </row>
    <row r="377" spans="2:2" ht="12.5" x14ac:dyDescent="0.25">
      <c r="B377" s="16"/>
    </row>
    <row r="378" spans="2:2" ht="12.5" x14ac:dyDescent="0.25">
      <c r="B378" s="16"/>
    </row>
    <row r="379" spans="2:2" ht="12.5" x14ac:dyDescent="0.25">
      <c r="B379" s="16"/>
    </row>
    <row r="380" spans="2:2" ht="12.5" x14ac:dyDescent="0.25">
      <c r="B380" s="16"/>
    </row>
    <row r="381" spans="2:2" ht="12.5" x14ac:dyDescent="0.25">
      <c r="B381" s="16"/>
    </row>
    <row r="382" spans="2:2" ht="12.5" x14ac:dyDescent="0.25">
      <c r="B382" s="16"/>
    </row>
    <row r="383" spans="2:2" ht="12.5" x14ac:dyDescent="0.25">
      <c r="B383" s="16"/>
    </row>
    <row r="384" spans="2:2" ht="12.5" x14ac:dyDescent="0.25">
      <c r="B384" s="16"/>
    </row>
    <row r="385" spans="2:2" ht="12.5" x14ac:dyDescent="0.25">
      <c r="B385" s="16"/>
    </row>
    <row r="386" spans="2:2" ht="12.5" x14ac:dyDescent="0.25">
      <c r="B386" s="16"/>
    </row>
    <row r="387" spans="2:2" ht="12.5" x14ac:dyDescent="0.25">
      <c r="B387" s="16"/>
    </row>
    <row r="388" spans="2:2" ht="12.5" x14ac:dyDescent="0.25">
      <c r="B388" s="16"/>
    </row>
    <row r="389" spans="2:2" ht="12.5" x14ac:dyDescent="0.25">
      <c r="B389" s="16"/>
    </row>
    <row r="390" spans="2:2" ht="12.5" x14ac:dyDescent="0.25">
      <c r="B390" s="16"/>
    </row>
    <row r="391" spans="2:2" ht="12.5" x14ac:dyDescent="0.25">
      <c r="B391" s="16"/>
    </row>
    <row r="392" spans="2:2" ht="12.5" x14ac:dyDescent="0.25">
      <c r="B392" s="16"/>
    </row>
    <row r="393" spans="2:2" ht="12.5" x14ac:dyDescent="0.25">
      <c r="B393" s="16"/>
    </row>
    <row r="394" spans="2:2" ht="12.5" x14ac:dyDescent="0.25">
      <c r="B394" s="16"/>
    </row>
    <row r="395" spans="2:2" ht="12.5" x14ac:dyDescent="0.25">
      <c r="B395" s="16"/>
    </row>
    <row r="396" spans="2:2" ht="12.5" x14ac:dyDescent="0.25">
      <c r="B396" s="16"/>
    </row>
    <row r="397" spans="2:2" ht="12.5" x14ac:dyDescent="0.25">
      <c r="B397" s="16"/>
    </row>
    <row r="398" spans="2:2" ht="12.5" x14ac:dyDescent="0.25">
      <c r="B398" s="16"/>
    </row>
    <row r="399" spans="2:2" ht="12.5" x14ac:dyDescent="0.25">
      <c r="B399" s="16"/>
    </row>
    <row r="400" spans="2:2" ht="12.5" x14ac:dyDescent="0.25">
      <c r="B400" s="16"/>
    </row>
    <row r="401" spans="2:2" ht="12.5" x14ac:dyDescent="0.25">
      <c r="B401" s="16"/>
    </row>
    <row r="402" spans="2:2" ht="12.5" x14ac:dyDescent="0.25">
      <c r="B402" s="16"/>
    </row>
    <row r="403" spans="2:2" ht="12.5" x14ac:dyDescent="0.25">
      <c r="B403" s="16"/>
    </row>
    <row r="404" spans="2:2" ht="12.5" x14ac:dyDescent="0.25">
      <c r="B404" s="16"/>
    </row>
    <row r="405" spans="2:2" ht="12.5" x14ac:dyDescent="0.25">
      <c r="B405" s="16"/>
    </row>
    <row r="406" spans="2:2" ht="12.5" x14ac:dyDescent="0.25">
      <c r="B406" s="16"/>
    </row>
    <row r="407" spans="2:2" ht="12.5" x14ac:dyDescent="0.25">
      <c r="B407" s="16"/>
    </row>
    <row r="408" spans="2:2" ht="12.5" x14ac:dyDescent="0.25">
      <c r="B408" s="16"/>
    </row>
    <row r="409" spans="2:2" ht="12.5" x14ac:dyDescent="0.25">
      <c r="B409" s="16"/>
    </row>
    <row r="410" spans="2:2" ht="12.5" x14ac:dyDescent="0.25">
      <c r="B410" s="16"/>
    </row>
    <row r="411" spans="2:2" ht="12.5" x14ac:dyDescent="0.25">
      <c r="B411" s="16"/>
    </row>
    <row r="412" spans="2:2" ht="12.5" x14ac:dyDescent="0.25">
      <c r="B412" s="16"/>
    </row>
    <row r="413" spans="2:2" ht="12.5" x14ac:dyDescent="0.25">
      <c r="B413" s="16"/>
    </row>
    <row r="414" spans="2:2" ht="12.5" x14ac:dyDescent="0.25">
      <c r="B414" s="16"/>
    </row>
    <row r="415" spans="2:2" ht="12.5" x14ac:dyDescent="0.25">
      <c r="B415" s="16"/>
    </row>
    <row r="416" spans="2:2" ht="12.5" x14ac:dyDescent="0.25">
      <c r="B416" s="16"/>
    </row>
    <row r="417" spans="2:2" ht="12.5" x14ac:dyDescent="0.25">
      <c r="B417" s="16"/>
    </row>
    <row r="418" spans="2:2" ht="12.5" x14ac:dyDescent="0.25">
      <c r="B418" s="16"/>
    </row>
    <row r="419" spans="2:2" ht="12.5" x14ac:dyDescent="0.25">
      <c r="B419" s="16"/>
    </row>
    <row r="420" spans="2:2" ht="12.5" x14ac:dyDescent="0.25">
      <c r="B420" s="16"/>
    </row>
    <row r="421" spans="2:2" ht="12.5" x14ac:dyDescent="0.25">
      <c r="B421" s="16"/>
    </row>
    <row r="422" spans="2:2" ht="12.5" x14ac:dyDescent="0.25">
      <c r="B422" s="16"/>
    </row>
    <row r="423" spans="2:2" ht="12.5" x14ac:dyDescent="0.25">
      <c r="B423" s="16"/>
    </row>
    <row r="424" spans="2:2" ht="12.5" x14ac:dyDescent="0.25">
      <c r="B424" s="16"/>
    </row>
    <row r="425" spans="2:2" ht="12.5" x14ac:dyDescent="0.25">
      <c r="B425" s="16"/>
    </row>
    <row r="426" spans="2:2" ht="12.5" x14ac:dyDescent="0.25">
      <c r="B426" s="16"/>
    </row>
    <row r="427" spans="2:2" ht="12.5" x14ac:dyDescent="0.25">
      <c r="B427" s="16"/>
    </row>
    <row r="428" spans="2:2" ht="12.5" x14ac:dyDescent="0.25">
      <c r="B428" s="16"/>
    </row>
    <row r="429" spans="2:2" ht="12.5" x14ac:dyDescent="0.25">
      <c r="B429" s="16"/>
    </row>
    <row r="430" spans="2:2" ht="12.5" x14ac:dyDescent="0.25">
      <c r="B430" s="16"/>
    </row>
    <row r="431" spans="2:2" ht="12.5" x14ac:dyDescent="0.25">
      <c r="B431" s="16"/>
    </row>
    <row r="432" spans="2:2" ht="12.5" x14ac:dyDescent="0.25">
      <c r="B432" s="16"/>
    </row>
    <row r="433" spans="2:2" ht="12.5" x14ac:dyDescent="0.25">
      <c r="B433" s="16"/>
    </row>
    <row r="434" spans="2:2" ht="12.5" x14ac:dyDescent="0.25">
      <c r="B434" s="16"/>
    </row>
    <row r="435" spans="2:2" ht="12.5" x14ac:dyDescent="0.25">
      <c r="B435" s="16"/>
    </row>
    <row r="436" spans="2:2" ht="12.5" x14ac:dyDescent="0.25">
      <c r="B436" s="16"/>
    </row>
    <row r="437" spans="2:2" ht="12.5" x14ac:dyDescent="0.25">
      <c r="B437" s="16"/>
    </row>
    <row r="438" spans="2:2" ht="12.5" x14ac:dyDescent="0.25">
      <c r="B438" s="16"/>
    </row>
    <row r="439" spans="2:2" ht="12.5" x14ac:dyDescent="0.25">
      <c r="B439" s="16"/>
    </row>
    <row r="440" spans="2:2" ht="12.5" x14ac:dyDescent="0.25">
      <c r="B440" s="16"/>
    </row>
    <row r="441" spans="2:2" ht="12.5" x14ac:dyDescent="0.25">
      <c r="B441" s="16"/>
    </row>
    <row r="442" spans="2:2" ht="12.5" x14ac:dyDescent="0.25">
      <c r="B442" s="16"/>
    </row>
    <row r="443" spans="2:2" ht="12.5" x14ac:dyDescent="0.25">
      <c r="B443" s="16"/>
    </row>
    <row r="444" spans="2:2" ht="12.5" x14ac:dyDescent="0.25">
      <c r="B444" s="16"/>
    </row>
    <row r="445" spans="2:2" ht="12.5" x14ac:dyDescent="0.25">
      <c r="B445" s="16"/>
    </row>
    <row r="446" spans="2:2" ht="12.5" x14ac:dyDescent="0.25">
      <c r="B446" s="16"/>
    </row>
    <row r="447" spans="2:2" ht="12.5" x14ac:dyDescent="0.25">
      <c r="B447" s="16"/>
    </row>
    <row r="448" spans="2:2" ht="12.5" x14ac:dyDescent="0.25">
      <c r="B448" s="16"/>
    </row>
    <row r="449" spans="2:2" ht="12.5" x14ac:dyDescent="0.25">
      <c r="B449" s="16"/>
    </row>
    <row r="450" spans="2:2" ht="12.5" x14ac:dyDescent="0.25">
      <c r="B450" s="16"/>
    </row>
    <row r="451" spans="2:2" ht="12.5" x14ac:dyDescent="0.25">
      <c r="B451" s="16"/>
    </row>
    <row r="452" spans="2:2" ht="12.5" x14ac:dyDescent="0.25">
      <c r="B452" s="16"/>
    </row>
    <row r="453" spans="2:2" ht="12.5" x14ac:dyDescent="0.25">
      <c r="B453" s="16"/>
    </row>
    <row r="454" spans="2:2" ht="12.5" x14ac:dyDescent="0.25">
      <c r="B454" s="16"/>
    </row>
    <row r="455" spans="2:2" ht="12.5" x14ac:dyDescent="0.25">
      <c r="B455" s="16"/>
    </row>
    <row r="456" spans="2:2" ht="12.5" x14ac:dyDescent="0.25">
      <c r="B456" s="16"/>
    </row>
    <row r="457" spans="2:2" ht="12.5" x14ac:dyDescent="0.25">
      <c r="B457" s="16"/>
    </row>
    <row r="458" spans="2:2" ht="12.5" x14ac:dyDescent="0.25">
      <c r="B458" s="16"/>
    </row>
    <row r="459" spans="2:2" ht="12.5" x14ac:dyDescent="0.25">
      <c r="B459" s="16"/>
    </row>
    <row r="460" spans="2:2" ht="12.5" x14ac:dyDescent="0.25">
      <c r="B460" s="16"/>
    </row>
    <row r="461" spans="2:2" ht="12.5" x14ac:dyDescent="0.25">
      <c r="B461" s="16"/>
    </row>
    <row r="462" spans="2:2" ht="12.5" x14ac:dyDescent="0.25">
      <c r="B462" s="16"/>
    </row>
    <row r="463" spans="2:2" ht="12.5" x14ac:dyDescent="0.25">
      <c r="B463" s="16"/>
    </row>
    <row r="464" spans="2:2" ht="12.5" x14ac:dyDescent="0.25">
      <c r="B464" s="16"/>
    </row>
    <row r="465" spans="2:2" ht="12.5" x14ac:dyDescent="0.25">
      <c r="B465" s="16"/>
    </row>
    <row r="466" spans="2:2" ht="12.5" x14ac:dyDescent="0.25">
      <c r="B466" s="16"/>
    </row>
    <row r="467" spans="2:2" ht="12.5" x14ac:dyDescent="0.25">
      <c r="B467" s="16"/>
    </row>
    <row r="468" spans="2:2" ht="12.5" x14ac:dyDescent="0.25">
      <c r="B468" s="16"/>
    </row>
    <row r="469" spans="2:2" ht="12.5" x14ac:dyDescent="0.25">
      <c r="B469" s="16"/>
    </row>
    <row r="470" spans="2:2" ht="12.5" x14ac:dyDescent="0.25">
      <c r="B470" s="16"/>
    </row>
    <row r="471" spans="2:2" ht="12.5" x14ac:dyDescent="0.25">
      <c r="B471" s="16"/>
    </row>
    <row r="472" spans="2:2" ht="12.5" x14ac:dyDescent="0.25">
      <c r="B472" s="16"/>
    </row>
    <row r="473" spans="2:2" ht="12.5" x14ac:dyDescent="0.25">
      <c r="B473" s="16"/>
    </row>
    <row r="474" spans="2:2" ht="12.5" x14ac:dyDescent="0.25">
      <c r="B474" s="16"/>
    </row>
    <row r="475" spans="2:2" ht="12.5" x14ac:dyDescent="0.25">
      <c r="B475" s="16"/>
    </row>
    <row r="476" spans="2:2" ht="12.5" x14ac:dyDescent="0.25">
      <c r="B476" s="16"/>
    </row>
    <row r="477" spans="2:2" ht="12.5" x14ac:dyDescent="0.25">
      <c r="B477" s="16"/>
    </row>
    <row r="478" spans="2:2" ht="12.5" x14ac:dyDescent="0.25">
      <c r="B478" s="16"/>
    </row>
    <row r="479" spans="2:2" ht="12.5" x14ac:dyDescent="0.25">
      <c r="B479" s="16"/>
    </row>
    <row r="480" spans="2:2" ht="12.5" x14ac:dyDescent="0.25">
      <c r="B480" s="16"/>
    </row>
    <row r="481" spans="2:2" ht="12.5" x14ac:dyDescent="0.25">
      <c r="B481" s="16"/>
    </row>
    <row r="482" spans="2:2" ht="12.5" x14ac:dyDescent="0.25">
      <c r="B482" s="16"/>
    </row>
    <row r="483" spans="2:2" ht="12.5" x14ac:dyDescent="0.25">
      <c r="B483" s="16"/>
    </row>
    <row r="484" spans="2:2" ht="12.5" x14ac:dyDescent="0.25">
      <c r="B484" s="16"/>
    </row>
    <row r="485" spans="2:2" ht="12.5" x14ac:dyDescent="0.25">
      <c r="B485" s="16"/>
    </row>
    <row r="486" spans="2:2" ht="12.5" x14ac:dyDescent="0.25">
      <c r="B486" s="16"/>
    </row>
    <row r="487" spans="2:2" ht="12.5" x14ac:dyDescent="0.25">
      <c r="B487" s="16"/>
    </row>
    <row r="488" spans="2:2" ht="12.5" x14ac:dyDescent="0.25">
      <c r="B488" s="16"/>
    </row>
    <row r="489" spans="2:2" ht="12.5" x14ac:dyDescent="0.25">
      <c r="B489" s="16"/>
    </row>
    <row r="490" spans="2:2" ht="12.5" x14ac:dyDescent="0.25">
      <c r="B490" s="16"/>
    </row>
    <row r="491" spans="2:2" ht="12.5" x14ac:dyDescent="0.25">
      <c r="B491" s="16"/>
    </row>
    <row r="492" spans="2:2" ht="12.5" x14ac:dyDescent="0.25">
      <c r="B492" s="16"/>
    </row>
    <row r="493" spans="2:2" ht="12.5" x14ac:dyDescent="0.25">
      <c r="B493" s="16"/>
    </row>
    <row r="494" spans="2:2" ht="12.5" x14ac:dyDescent="0.25">
      <c r="B494" s="16"/>
    </row>
    <row r="495" spans="2:2" ht="12.5" x14ac:dyDescent="0.25">
      <c r="B495" s="16"/>
    </row>
    <row r="496" spans="2:2" ht="12.5" x14ac:dyDescent="0.25">
      <c r="B496" s="16"/>
    </row>
    <row r="497" spans="2:2" ht="12.5" x14ac:dyDescent="0.25">
      <c r="B497" s="16"/>
    </row>
    <row r="498" spans="2:2" ht="12.5" x14ac:dyDescent="0.25">
      <c r="B498" s="16"/>
    </row>
    <row r="499" spans="2:2" ht="12.5" x14ac:dyDescent="0.25">
      <c r="B499" s="16"/>
    </row>
    <row r="500" spans="2:2" ht="12.5" x14ac:dyDescent="0.25">
      <c r="B500" s="16"/>
    </row>
    <row r="501" spans="2:2" ht="12.5" x14ac:dyDescent="0.25">
      <c r="B501" s="16"/>
    </row>
    <row r="502" spans="2:2" ht="12.5" x14ac:dyDescent="0.25">
      <c r="B502" s="16"/>
    </row>
    <row r="503" spans="2:2" ht="12.5" x14ac:dyDescent="0.25">
      <c r="B503" s="16"/>
    </row>
    <row r="504" spans="2:2" ht="12.5" x14ac:dyDescent="0.25">
      <c r="B504" s="16"/>
    </row>
    <row r="505" spans="2:2" ht="12.5" x14ac:dyDescent="0.25">
      <c r="B505" s="16"/>
    </row>
    <row r="506" spans="2:2" ht="12.5" x14ac:dyDescent="0.25">
      <c r="B506" s="16"/>
    </row>
    <row r="507" spans="2:2" ht="12.5" x14ac:dyDescent="0.25">
      <c r="B507" s="16"/>
    </row>
    <row r="508" spans="2:2" ht="12.5" x14ac:dyDescent="0.25">
      <c r="B508" s="16"/>
    </row>
    <row r="509" spans="2:2" ht="12.5" x14ac:dyDescent="0.25">
      <c r="B509" s="16"/>
    </row>
    <row r="510" spans="2:2" ht="12.5" x14ac:dyDescent="0.25">
      <c r="B510" s="16"/>
    </row>
    <row r="511" spans="2:2" ht="12.5" x14ac:dyDescent="0.25">
      <c r="B511" s="16"/>
    </row>
    <row r="512" spans="2:2" ht="12.5" x14ac:dyDescent="0.25">
      <c r="B512" s="16"/>
    </row>
    <row r="513" spans="2:2" ht="12.5" x14ac:dyDescent="0.25">
      <c r="B513" s="16"/>
    </row>
    <row r="514" spans="2:2" ht="12.5" x14ac:dyDescent="0.25">
      <c r="B514" s="16"/>
    </row>
    <row r="515" spans="2:2" ht="12.5" x14ac:dyDescent="0.25">
      <c r="B515" s="16"/>
    </row>
    <row r="516" spans="2:2" ht="12.5" x14ac:dyDescent="0.25">
      <c r="B516" s="16"/>
    </row>
    <row r="517" spans="2:2" ht="12.5" x14ac:dyDescent="0.25">
      <c r="B517" s="16"/>
    </row>
    <row r="518" spans="2:2" ht="12.5" x14ac:dyDescent="0.25">
      <c r="B518" s="16"/>
    </row>
    <row r="519" spans="2:2" ht="12.5" x14ac:dyDescent="0.25">
      <c r="B519" s="16"/>
    </row>
    <row r="520" spans="2:2" ht="12.5" x14ac:dyDescent="0.25">
      <c r="B520" s="16"/>
    </row>
    <row r="521" spans="2:2" ht="12.5" x14ac:dyDescent="0.25">
      <c r="B521" s="16"/>
    </row>
    <row r="522" spans="2:2" ht="12.5" x14ac:dyDescent="0.25">
      <c r="B522" s="16"/>
    </row>
    <row r="523" spans="2:2" ht="12.5" x14ac:dyDescent="0.25">
      <c r="B523" s="16"/>
    </row>
    <row r="524" spans="2:2" ht="12.5" x14ac:dyDescent="0.25">
      <c r="B524" s="16"/>
    </row>
    <row r="525" spans="2:2" ht="12.5" x14ac:dyDescent="0.25">
      <c r="B525" s="16"/>
    </row>
    <row r="526" spans="2:2" ht="12.5" x14ac:dyDescent="0.25">
      <c r="B526" s="16"/>
    </row>
    <row r="527" spans="2:2" ht="12.5" x14ac:dyDescent="0.25">
      <c r="B527" s="16"/>
    </row>
    <row r="528" spans="2:2" ht="12.5" x14ac:dyDescent="0.25">
      <c r="B528" s="16"/>
    </row>
    <row r="529" spans="2:2" ht="12.5" x14ac:dyDescent="0.25">
      <c r="B529" s="16"/>
    </row>
    <row r="530" spans="2:2" ht="12.5" x14ac:dyDescent="0.25">
      <c r="B530" s="16"/>
    </row>
    <row r="531" spans="2:2" ht="12.5" x14ac:dyDescent="0.25">
      <c r="B531" s="16"/>
    </row>
    <row r="532" spans="2:2" ht="12.5" x14ac:dyDescent="0.25">
      <c r="B532" s="16"/>
    </row>
    <row r="533" spans="2:2" ht="12.5" x14ac:dyDescent="0.25">
      <c r="B533" s="16"/>
    </row>
    <row r="534" spans="2:2" ht="12.5" x14ac:dyDescent="0.25">
      <c r="B534" s="16"/>
    </row>
    <row r="535" spans="2:2" ht="12.5" x14ac:dyDescent="0.25">
      <c r="B535" s="16"/>
    </row>
    <row r="536" spans="2:2" ht="12.5" x14ac:dyDescent="0.25">
      <c r="B536" s="16"/>
    </row>
    <row r="537" spans="2:2" ht="12.5" x14ac:dyDescent="0.25">
      <c r="B537" s="16"/>
    </row>
    <row r="538" spans="2:2" ht="12.5" x14ac:dyDescent="0.25">
      <c r="B538" s="16"/>
    </row>
    <row r="539" spans="2:2" ht="12.5" x14ac:dyDescent="0.25">
      <c r="B539" s="16"/>
    </row>
    <row r="540" spans="2:2" ht="12.5" x14ac:dyDescent="0.25">
      <c r="B540" s="16"/>
    </row>
    <row r="541" spans="2:2" ht="12.5" x14ac:dyDescent="0.25">
      <c r="B541" s="16"/>
    </row>
    <row r="542" spans="2:2" ht="12.5" x14ac:dyDescent="0.25">
      <c r="B542" s="16"/>
    </row>
    <row r="543" spans="2:2" ht="12.5" x14ac:dyDescent="0.25">
      <c r="B543" s="16"/>
    </row>
    <row r="544" spans="2:2" ht="12.5" x14ac:dyDescent="0.25">
      <c r="B544" s="16"/>
    </row>
    <row r="545" spans="2:2" ht="12.5" x14ac:dyDescent="0.25">
      <c r="B545" s="16"/>
    </row>
    <row r="546" spans="2:2" ht="12.5" x14ac:dyDescent="0.25">
      <c r="B546" s="16"/>
    </row>
    <row r="547" spans="2:2" ht="12.5" x14ac:dyDescent="0.25">
      <c r="B547" s="16"/>
    </row>
    <row r="548" spans="2:2" ht="12.5" x14ac:dyDescent="0.25">
      <c r="B548" s="16"/>
    </row>
    <row r="549" spans="2:2" ht="12.5" x14ac:dyDescent="0.25">
      <c r="B549" s="16"/>
    </row>
    <row r="550" spans="2:2" ht="12.5" x14ac:dyDescent="0.25">
      <c r="B550" s="16"/>
    </row>
    <row r="551" spans="2:2" ht="12.5" x14ac:dyDescent="0.25">
      <c r="B551" s="16"/>
    </row>
    <row r="552" spans="2:2" ht="12.5" x14ac:dyDescent="0.25">
      <c r="B552" s="16"/>
    </row>
    <row r="553" spans="2:2" ht="12.5" x14ac:dyDescent="0.25">
      <c r="B553" s="16"/>
    </row>
    <row r="554" spans="2:2" ht="12.5" x14ac:dyDescent="0.25">
      <c r="B554" s="16"/>
    </row>
    <row r="555" spans="2:2" ht="12.5" x14ac:dyDescent="0.25">
      <c r="B555" s="16"/>
    </row>
    <row r="556" spans="2:2" ht="12.5" x14ac:dyDescent="0.25">
      <c r="B556" s="16"/>
    </row>
    <row r="557" spans="2:2" ht="12.5" x14ac:dyDescent="0.25">
      <c r="B557" s="16"/>
    </row>
    <row r="558" spans="2:2" ht="12.5" x14ac:dyDescent="0.25">
      <c r="B558" s="16"/>
    </row>
    <row r="559" spans="2:2" ht="12.5" x14ac:dyDescent="0.25">
      <c r="B559" s="16"/>
    </row>
    <row r="560" spans="2:2" ht="12.5" x14ac:dyDescent="0.25">
      <c r="B560" s="16"/>
    </row>
    <row r="561" spans="2:2" ht="12.5" x14ac:dyDescent="0.25">
      <c r="B561" s="16"/>
    </row>
    <row r="562" spans="2:2" ht="12.5" x14ac:dyDescent="0.25">
      <c r="B562" s="16"/>
    </row>
    <row r="563" spans="2:2" ht="12.5" x14ac:dyDescent="0.25">
      <c r="B563" s="16"/>
    </row>
    <row r="564" spans="2:2" ht="12.5" x14ac:dyDescent="0.25">
      <c r="B564" s="16"/>
    </row>
    <row r="565" spans="2:2" ht="12.5" x14ac:dyDescent="0.25">
      <c r="B565" s="16"/>
    </row>
    <row r="566" spans="2:2" ht="12.5" x14ac:dyDescent="0.25">
      <c r="B566" s="16"/>
    </row>
    <row r="567" spans="2:2" ht="12.5" x14ac:dyDescent="0.25">
      <c r="B567" s="16"/>
    </row>
    <row r="568" spans="2:2" ht="12.5" x14ac:dyDescent="0.25">
      <c r="B568" s="16"/>
    </row>
    <row r="569" spans="2:2" ht="12.5" x14ac:dyDescent="0.25">
      <c r="B569" s="16"/>
    </row>
    <row r="570" spans="2:2" ht="12.5" x14ac:dyDescent="0.25">
      <c r="B570" s="16"/>
    </row>
    <row r="571" spans="2:2" ht="12.5" x14ac:dyDescent="0.25">
      <c r="B571" s="16"/>
    </row>
    <row r="572" spans="2:2" ht="12.5" x14ac:dyDescent="0.25">
      <c r="B572" s="16"/>
    </row>
    <row r="573" spans="2:2" ht="12.5" x14ac:dyDescent="0.25">
      <c r="B573" s="16"/>
    </row>
    <row r="574" spans="2:2" ht="12.5" x14ac:dyDescent="0.25">
      <c r="B574" s="16"/>
    </row>
    <row r="575" spans="2:2" ht="12.5" x14ac:dyDescent="0.25">
      <c r="B575" s="16"/>
    </row>
    <row r="576" spans="2:2" ht="12.5" x14ac:dyDescent="0.25">
      <c r="B576" s="16"/>
    </row>
    <row r="577" spans="2:2" ht="12.5" x14ac:dyDescent="0.25">
      <c r="B577" s="16"/>
    </row>
    <row r="578" spans="2:2" ht="12.5" x14ac:dyDescent="0.25">
      <c r="B578" s="16"/>
    </row>
    <row r="579" spans="2:2" ht="12.5" x14ac:dyDescent="0.25">
      <c r="B579" s="16"/>
    </row>
    <row r="580" spans="2:2" ht="12.5" x14ac:dyDescent="0.25">
      <c r="B580" s="16"/>
    </row>
    <row r="581" spans="2:2" ht="12.5" x14ac:dyDescent="0.25">
      <c r="B581" s="16"/>
    </row>
    <row r="582" spans="2:2" ht="12.5" x14ac:dyDescent="0.25">
      <c r="B582" s="16"/>
    </row>
    <row r="583" spans="2:2" ht="12.5" x14ac:dyDescent="0.25">
      <c r="B583" s="16"/>
    </row>
    <row r="584" spans="2:2" ht="12.5" x14ac:dyDescent="0.25">
      <c r="B584" s="16"/>
    </row>
    <row r="585" spans="2:2" ht="12.5" x14ac:dyDescent="0.25">
      <c r="B585" s="16"/>
    </row>
    <row r="586" spans="2:2" ht="12.5" x14ac:dyDescent="0.25">
      <c r="B586" s="16"/>
    </row>
    <row r="587" spans="2:2" ht="12.5" x14ac:dyDescent="0.25">
      <c r="B587" s="16"/>
    </row>
    <row r="588" spans="2:2" ht="12.5" x14ac:dyDescent="0.25">
      <c r="B588" s="16"/>
    </row>
    <row r="589" spans="2:2" ht="12.5" x14ac:dyDescent="0.25">
      <c r="B589" s="16"/>
    </row>
    <row r="590" spans="2:2" ht="12.5" x14ac:dyDescent="0.25">
      <c r="B590" s="16"/>
    </row>
    <row r="591" spans="2:2" ht="12.5" x14ac:dyDescent="0.25">
      <c r="B591" s="16"/>
    </row>
    <row r="592" spans="2:2" ht="12.5" x14ac:dyDescent="0.25">
      <c r="B592" s="16"/>
    </row>
    <row r="593" spans="2:2" ht="12.5" x14ac:dyDescent="0.25">
      <c r="B593" s="16"/>
    </row>
    <row r="594" spans="2:2" ht="12.5" x14ac:dyDescent="0.25">
      <c r="B594" s="16"/>
    </row>
    <row r="595" spans="2:2" ht="12.5" x14ac:dyDescent="0.25">
      <c r="B595" s="16"/>
    </row>
    <row r="596" spans="2:2" ht="12.5" x14ac:dyDescent="0.25">
      <c r="B596" s="16"/>
    </row>
    <row r="597" spans="2:2" ht="12.5" x14ac:dyDescent="0.25">
      <c r="B597" s="16"/>
    </row>
    <row r="598" spans="2:2" ht="12.5" x14ac:dyDescent="0.25">
      <c r="B598" s="16"/>
    </row>
    <row r="599" spans="2:2" ht="12.5" x14ac:dyDescent="0.25">
      <c r="B599" s="16"/>
    </row>
    <row r="600" spans="2:2" ht="12.5" x14ac:dyDescent="0.25">
      <c r="B600" s="16"/>
    </row>
    <row r="601" spans="2:2" ht="12.5" x14ac:dyDescent="0.25">
      <c r="B601" s="16"/>
    </row>
    <row r="602" spans="2:2" ht="12.5" x14ac:dyDescent="0.25">
      <c r="B602" s="16"/>
    </row>
    <row r="603" spans="2:2" ht="12.5" x14ac:dyDescent="0.25">
      <c r="B603" s="16"/>
    </row>
    <row r="604" spans="2:2" ht="12.5" x14ac:dyDescent="0.25">
      <c r="B604" s="16"/>
    </row>
    <row r="605" spans="2:2" ht="12.5" x14ac:dyDescent="0.25">
      <c r="B605" s="16"/>
    </row>
    <row r="606" spans="2:2" ht="12.5" x14ac:dyDescent="0.25">
      <c r="B606" s="16"/>
    </row>
    <row r="607" spans="2:2" ht="12.5" x14ac:dyDescent="0.25">
      <c r="B607" s="16"/>
    </row>
    <row r="608" spans="2:2" ht="12.5" x14ac:dyDescent="0.25">
      <c r="B608" s="16"/>
    </row>
    <row r="609" spans="2:2" ht="12.5" x14ac:dyDescent="0.25">
      <c r="B609" s="16"/>
    </row>
    <row r="610" spans="2:2" ht="12.5" x14ac:dyDescent="0.25">
      <c r="B610" s="16"/>
    </row>
    <row r="611" spans="2:2" ht="12.5" x14ac:dyDescent="0.25">
      <c r="B611" s="16"/>
    </row>
    <row r="612" spans="2:2" ht="12.5" x14ac:dyDescent="0.25">
      <c r="B612" s="16"/>
    </row>
    <row r="613" spans="2:2" ht="12.5" x14ac:dyDescent="0.25">
      <c r="B613" s="16"/>
    </row>
    <row r="614" spans="2:2" ht="12.5" x14ac:dyDescent="0.25">
      <c r="B614" s="16"/>
    </row>
    <row r="615" spans="2:2" ht="12.5" x14ac:dyDescent="0.25">
      <c r="B615" s="16"/>
    </row>
    <row r="616" spans="2:2" ht="12.5" x14ac:dyDescent="0.25">
      <c r="B616" s="16"/>
    </row>
    <row r="617" spans="2:2" ht="12.5" x14ac:dyDescent="0.25">
      <c r="B617" s="16"/>
    </row>
    <row r="618" spans="2:2" ht="12.5" x14ac:dyDescent="0.25">
      <c r="B618" s="16"/>
    </row>
    <row r="619" spans="2:2" ht="12.5" x14ac:dyDescent="0.25">
      <c r="B619" s="16"/>
    </row>
    <row r="620" spans="2:2" ht="12.5" x14ac:dyDescent="0.25">
      <c r="B620" s="16"/>
    </row>
    <row r="621" spans="2:2" ht="12.5" x14ac:dyDescent="0.25">
      <c r="B621" s="16"/>
    </row>
    <row r="622" spans="2:2" ht="12.5" x14ac:dyDescent="0.25">
      <c r="B622" s="16"/>
    </row>
    <row r="623" spans="2:2" ht="12.5" x14ac:dyDescent="0.25">
      <c r="B623" s="16"/>
    </row>
    <row r="624" spans="2:2" ht="12.5" x14ac:dyDescent="0.25">
      <c r="B624" s="16"/>
    </row>
    <row r="625" spans="2:2" ht="12.5" x14ac:dyDescent="0.25">
      <c r="B625" s="16"/>
    </row>
    <row r="626" spans="2:2" ht="12.5" x14ac:dyDescent="0.25">
      <c r="B626" s="16"/>
    </row>
    <row r="627" spans="2:2" ht="12.5" x14ac:dyDescent="0.25">
      <c r="B627" s="16"/>
    </row>
    <row r="628" spans="2:2" ht="12.5" x14ac:dyDescent="0.25">
      <c r="B628" s="16"/>
    </row>
    <row r="629" spans="2:2" ht="12.5" x14ac:dyDescent="0.25">
      <c r="B629" s="16"/>
    </row>
    <row r="630" spans="2:2" ht="12.5" x14ac:dyDescent="0.25">
      <c r="B630" s="16"/>
    </row>
    <row r="631" spans="2:2" ht="12.5" x14ac:dyDescent="0.25">
      <c r="B631" s="16"/>
    </row>
    <row r="632" spans="2:2" ht="12.5" x14ac:dyDescent="0.25">
      <c r="B632" s="16"/>
    </row>
    <row r="633" spans="2:2" ht="12.5" x14ac:dyDescent="0.25">
      <c r="B633" s="16"/>
    </row>
    <row r="634" spans="2:2" ht="12.5" x14ac:dyDescent="0.25">
      <c r="B634" s="16"/>
    </row>
    <row r="635" spans="2:2" ht="12.5" x14ac:dyDescent="0.25">
      <c r="B635" s="16"/>
    </row>
    <row r="636" spans="2:2" ht="12.5" x14ac:dyDescent="0.25">
      <c r="B636" s="16"/>
    </row>
    <row r="637" spans="2:2" ht="12.5" x14ac:dyDescent="0.25">
      <c r="B637" s="16"/>
    </row>
    <row r="638" spans="2:2" ht="12.5" x14ac:dyDescent="0.25">
      <c r="B638" s="16"/>
    </row>
    <row r="639" spans="2:2" ht="12.5" x14ac:dyDescent="0.25">
      <c r="B639" s="16"/>
    </row>
    <row r="640" spans="2:2" ht="12.5" x14ac:dyDescent="0.25">
      <c r="B640" s="16"/>
    </row>
    <row r="641" spans="2:2" ht="12.5" x14ac:dyDescent="0.25">
      <c r="B641" s="16"/>
    </row>
    <row r="642" spans="2:2" ht="12.5" x14ac:dyDescent="0.25">
      <c r="B642" s="16"/>
    </row>
    <row r="643" spans="2:2" ht="12.5" x14ac:dyDescent="0.25">
      <c r="B643" s="16"/>
    </row>
    <row r="644" spans="2:2" ht="12.5" x14ac:dyDescent="0.25">
      <c r="B644" s="16"/>
    </row>
    <row r="645" spans="2:2" ht="12.5" x14ac:dyDescent="0.25">
      <c r="B645" s="16"/>
    </row>
    <row r="646" spans="2:2" ht="12.5" x14ac:dyDescent="0.25">
      <c r="B646" s="16"/>
    </row>
    <row r="647" spans="2:2" ht="12.5" x14ac:dyDescent="0.25">
      <c r="B647" s="16"/>
    </row>
    <row r="648" spans="2:2" ht="12.5" x14ac:dyDescent="0.25">
      <c r="B648" s="16"/>
    </row>
    <row r="649" spans="2:2" ht="12.5" x14ac:dyDescent="0.25">
      <c r="B649" s="16"/>
    </row>
    <row r="650" spans="2:2" ht="12.5" x14ac:dyDescent="0.25">
      <c r="B650" s="16"/>
    </row>
    <row r="651" spans="2:2" ht="12.5" x14ac:dyDescent="0.25">
      <c r="B651" s="16"/>
    </row>
    <row r="652" spans="2:2" ht="12.5" x14ac:dyDescent="0.25">
      <c r="B652" s="16"/>
    </row>
    <row r="653" spans="2:2" ht="12.5" x14ac:dyDescent="0.25">
      <c r="B653" s="16"/>
    </row>
    <row r="654" spans="2:2" ht="12.5" x14ac:dyDescent="0.25">
      <c r="B654" s="16"/>
    </row>
    <row r="655" spans="2:2" ht="12.5" x14ac:dyDescent="0.25">
      <c r="B655" s="16"/>
    </row>
    <row r="656" spans="2:2" ht="12.5" x14ac:dyDescent="0.25">
      <c r="B656" s="16"/>
    </row>
    <row r="657" spans="2:2" ht="12.5" x14ac:dyDescent="0.25">
      <c r="B657" s="16"/>
    </row>
    <row r="658" spans="2:2" ht="12.5" x14ac:dyDescent="0.25">
      <c r="B658" s="16"/>
    </row>
    <row r="659" spans="2:2" ht="12.5" x14ac:dyDescent="0.25">
      <c r="B659" s="16"/>
    </row>
    <row r="660" spans="2:2" ht="12.5" x14ac:dyDescent="0.25">
      <c r="B660" s="16"/>
    </row>
    <row r="661" spans="2:2" ht="12.5" x14ac:dyDescent="0.25">
      <c r="B661" s="16"/>
    </row>
    <row r="662" spans="2:2" ht="12.5" x14ac:dyDescent="0.25">
      <c r="B662" s="16"/>
    </row>
    <row r="663" spans="2:2" ht="12.5" x14ac:dyDescent="0.25">
      <c r="B663" s="16"/>
    </row>
    <row r="664" spans="2:2" ht="12.5" x14ac:dyDescent="0.25">
      <c r="B664" s="16"/>
    </row>
    <row r="665" spans="2:2" ht="12.5" x14ac:dyDescent="0.25">
      <c r="B665" s="16"/>
    </row>
    <row r="666" spans="2:2" ht="12.5" x14ac:dyDescent="0.25">
      <c r="B666" s="16"/>
    </row>
    <row r="667" spans="2:2" ht="12.5" x14ac:dyDescent="0.25">
      <c r="B667" s="16"/>
    </row>
    <row r="668" spans="2:2" ht="12.5" x14ac:dyDescent="0.25">
      <c r="B668" s="16"/>
    </row>
    <row r="669" spans="2:2" ht="12.5" x14ac:dyDescent="0.25">
      <c r="B669" s="16"/>
    </row>
    <row r="670" spans="2:2" ht="12.5" x14ac:dyDescent="0.25">
      <c r="B670" s="16"/>
    </row>
    <row r="671" spans="2:2" ht="12.5" x14ac:dyDescent="0.25">
      <c r="B671" s="16"/>
    </row>
    <row r="672" spans="2:2" ht="12.5" x14ac:dyDescent="0.25">
      <c r="B672" s="16"/>
    </row>
    <row r="673" spans="2:2" ht="12.5" x14ac:dyDescent="0.25">
      <c r="B673" s="16"/>
    </row>
    <row r="674" spans="2:2" ht="12.5" x14ac:dyDescent="0.25">
      <c r="B674" s="16"/>
    </row>
    <row r="675" spans="2:2" ht="12.5" x14ac:dyDescent="0.25">
      <c r="B675" s="16"/>
    </row>
    <row r="676" spans="2:2" ht="12.5" x14ac:dyDescent="0.25">
      <c r="B676" s="16"/>
    </row>
    <row r="677" spans="2:2" ht="12.5" x14ac:dyDescent="0.25">
      <c r="B677" s="16"/>
    </row>
    <row r="678" spans="2:2" ht="12.5" x14ac:dyDescent="0.25">
      <c r="B678" s="16"/>
    </row>
    <row r="679" spans="2:2" ht="12.5" x14ac:dyDescent="0.25">
      <c r="B679" s="16"/>
    </row>
    <row r="680" spans="2:2" ht="12.5" x14ac:dyDescent="0.25">
      <c r="B680" s="16"/>
    </row>
    <row r="681" spans="2:2" ht="12.5" x14ac:dyDescent="0.25">
      <c r="B681" s="16"/>
    </row>
    <row r="682" spans="2:2" ht="12.5" x14ac:dyDescent="0.25">
      <c r="B682" s="16"/>
    </row>
    <row r="683" spans="2:2" ht="12.5" x14ac:dyDescent="0.25">
      <c r="B683" s="16"/>
    </row>
    <row r="684" spans="2:2" ht="12.5" x14ac:dyDescent="0.25">
      <c r="B684" s="16"/>
    </row>
    <row r="685" spans="2:2" ht="12.5" x14ac:dyDescent="0.25">
      <c r="B685" s="16"/>
    </row>
    <row r="686" spans="2:2" ht="12.5" x14ac:dyDescent="0.25">
      <c r="B686" s="16"/>
    </row>
    <row r="687" spans="2:2" ht="12.5" x14ac:dyDescent="0.25">
      <c r="B687" s="16"/>
    </row>
    <row r="688" spans="2:2" ht="12.5" x14ac:dyDescent="0.25">
      <c r="B688" s="16"/>
    </row>
    <row r="689" spans="2:2" ht="12.5" x14ac:dyDescent="0.25">
      <c r="B689" s="16"/>
    </row>
    <row r="690" spans="2:2" ht="12.5" x14ac:dyDescent="0.25">
      <c r="B690" s="16"/>
    </row>
    <row r="691" spans="2:2" ht="12.5" x14ac:dyDescent="0.25">
      <c r="B691" s="16"/>
    </row>
    <row r="692" spans="2:2" ht="12.5" x14ac:dyDescent="0.25">
      <c r="B692" s="16"/>
    </row>
    <row r="693" spans="2:2" ht="12.5" x14ac:dyDescent="0.25">
      <c r="B693" s="16"/>
    </row>
    <row r="694" spans="2:2" ht="12.5" x14ac:dyDescent="0.25">
      <c r="B694" s="16"/>
    </row>
    <row r="695" spans="2:2" ht="12.5" x14ac:dyDescent="0.25">
      <c r="B695" s="16"/>
    </row>
    <row r="696" spans="2:2" ht="12.5" x14ac:dyDescent="0.25">
      <c r="B696" s="16"/>
    </row>
    <row r="697" spans="2:2" ht="12.5" x14ac:dyDescent="0.25">
      <c r="B697" s="16"/>
    </row>
    <row r="698" spans="2:2" ht="12.5" x14ac:dyDescent="0.25">
      <c r="B698" s="16"/>
    </row>
    <row r="699" spans="2:2" ht="12.5" x14ac:dyDescent="0.25">
      <c r="B699" s="16"/>
    </row>
    <row r="700" spans="2:2" ht="12.5" x14ac:dyDescent="0.25">
      <c r="B700" s="16"/>
    </row>
    <row r="701" spans="2:2" ht="12.5" x14ac:dyDescent="0.25">
      <c r="B701" s="16"/>
    </row>
    <row r="702" spans="2:2" ht="12.5" x14ac:dyDescent="0.25">
      <c r="B702" s="16"/>
    </row>
    <row r="703" spans="2:2" ht="12.5" x14ac:dyDescent="0.25">
      <c r="B703" s="16"/>
    </row>
    <row r="704" spans="2:2" ht="12.5" x14ac:dyDescent="0.25">
      <c r="B704" s="16"/>
    </row>
    <row r="705" spans="2:2" ht="12.5" x14ac:dyDescent="0.25">
      <c r="B705" s="16"/>
    </row>
    <row r="706" spans="2:2" ht="12.5" x14ac:dyDescent="0.25">
      <c r="B706" s="16"/>
    </row>
    <row r="707" spans="2:2" ht="12.5" x14ac:dyDescent="0.25">
      <c r="B707" s="16"/>
    </row>
    <row r="708" spans="2:2" ht="12.5" x14ac:dyDescent="0.25">
      <c r="B708" s="16"/>
    </row>
    <row r="709" spans="2:2" ht="12.5" x14ac:dyDescent="0.25">
      <c r="B709" s="16"/>
    </row>
    <row r="710" spans="2:2" ht="12.5" x14ac:dyDescent="0.25">
      <c r="B710" s="16"/>
    </row>
    <row r="711" spans="2:2" ht="12.5" x14ac:dyDescent="0.25">
      <c r="B711" s="16"/>
    </row>
    <row r="712" spans="2:2" ht="12.5" x14ac:dyDescent="0.25">
      <c r="B712" s="16"/>
    </row>
    <row r="713" spans="2:2" ht="12.5" x14ac:dyDescent="0.25">
      <c r="B713" s="16"/>
    </row>
    <row r="714" spans="2:2" ht="12.5" x14ac:dyDescent="0.25">
      <c r="B714" s="16"/>
    </row>
    <row r="715" spans="2:2" ht="12.5" x14ac:dyDescent="0.25">
      <c r="B715" s="16"/>
    </row>
    <row r="716" spans="2:2" ht="12.5" x14ac:dyDescent="0.25">
      <c r="B716" s="16"/>
    </row>
    <row r="717" spans="2:2" ht="12.5" x14ac:dyDescent="0.25">
      <c r="B717" s="16"/>
    </row>
    <row r="718" spans="2:2" ht="12.5" x14ac:dyDescent="0.25">
      <c r="B718" s="16"/>
    </row>
    <row r="719" spans="2:2" ht="12.5" x14ac:dyDescent="0.25">
      <c r="B719" s="16"/>
    </row>
    <row r="720" spans="2:2" ht="12.5" x14ac:dyDescent="0.25">
      <c r="B720" s="16"/>
    </row>
    <row r="721" spans="2:2" ht="12.5" x14ac:dyDescent="0.25">
      <c r="B721" s="16"/>
    </row>
    <row r="722" spans="2:2" ht="12.5" x14ac:dyDescent="0.25">
      <c r="B722" s="16"/>
    </row>
    <row r="723" spans="2:2" ht="12.5" x14ac:dyDescent="0.25">
      <c r="B723" s="16"/>
    </row>
    <row r="724" spans="2:2" ht="12.5" x14ac:dyDescent="0.25">
      <c r="B724" s="16"/>
    </row>
    <row r="725" spans="2:2" ht="12.5" x14ac:dyDescent="0.25">
      <c r="B725" s="16"/>
    </row>
    <row r="726" spans="2:2" ht="12.5" x14ac:dyDescent="0.25">
      <c r="B726" s="16"/>
    </row>
    <row r="727" spans="2:2" ht="12.5" x14ac:dyDescent="0.25">
      <c r="B727" s="16"/>
    </row>
    <row r="728" spans="2:2" ht="12.5" x14ac:dyDescent="0.25">
      <c r="B728" s="16"/>
    </row>
    <row r="729" spans="2:2" ht="12.5" x14ac:dyDescent="0.25">
      <c r="B729" s="16"/>
    </row>
    <row r="730" spans="2:2" ht="12.5" x14ac:dyDescent="0.25">
      <c r="B730" s="16"/>
    </row>
    <row r="731" spans="2:2" ht="12.5" x14ac:dyDescent="0.25">
      <c r="B731" s="16"/>
    </row>
    <row r="732" spans="2:2" ht="12.5" x14ac:dyDescent="0.25">
      <c r="B732" s="16"/>
    </row>
    <row r="733" spans="2:2" ht="12.5" x14ac:dyDescent="0.25">
      <c r="B733" s="16"/>
    </row>
    <row r="734" spans="2:2" ht="12.5" x14ac:dyDescent="0.25">
      <c r="B734" s="16"/>
    </row>
    <row r="735" spans="2:2" ht="12.5" x14ac:dyDescent="0.25">
      <c r="B735" s="16"/>
    </row>
    <row r="736" spans="2:2" ht="12.5" x14ac:dyDescent="0.25">
      <c r="B736" s="16"/>
    </row>
    <row r="737" spans="2:2" ht="12.5" x14ac:dyDescent="0.25">
      <c r="B737" s="16"/>
    </row>
    <row r="738" spans="2:2" ht="12.5" x14ac:dyDescent="0.25">
      <c r="B738" s="16"/>
    </row>
    <row r="739" spans="2:2" ht="12.5" x14ac:dyDescent="0.25">
      <c r="B739" s="16"/>
    </row>
    <row r="740" spans="2:2" ht="12.5" x14ac:dyDescent="0.25">
      <c r="B740" s="16"/>
    </row>
    <row r="741" spans="2:2" ht="12.5" x14ac:dyDescent="0.25">
      <c r="B741" s="16"/>
    </row>
    <row r="742" spans="2:2" ht="12.5" x14ac:dyDescent="0.25">
      <c r="B742" s="16"/>
    </row>
    <row r="743" spans="2:2" ht="12.5" x14ac:dyDescent="0.25">
      <c r="B743" s="16"/>
    </row>
    <row r="744" spans="2:2" ht="12.5" x14ac:dyDescent="0.25">
      <c r="B744" s="16"/>
    </row>
    <row r="745" spans="2:2" ht="12.5" x14ac:dyDescent="0.25">
      <c r="B745" s="16"/>
    </row>
    <row r="746" spans="2:2" ht="12.5" x14ac:dyDescent="0.25">
      <c r="B746" s="16"/>
    </row>
    <row r="747" spans="2:2" ht="12.5" x14ac:dyDescent="0.25">
      <c r="B747" s="16"/>
    </row>
    <row r="748" spans="2:2" ht="12.5" x14ac:dyDescent="0.25">
      <c r="B748" s="16"/>
    </row>
    <row r="749" spans="2:2" ht="12.5" x14ac:dyDescent="0.25">
      <c r="B749" s="16"/>
    </row>
    <row r="750" spans="2:2" ht="12.5" x14ac:dyDescent="0.25">
      <c r="B750" s="16"/>
    </row>
    <row r="751" spans="2:2" ht="12.5" x14ac:dyDescent="0.25">
      <c r="B751" s="16"/>
    </row>
    <row r="752" spans="2:2" ht="12.5" x14ac:dyDescent="0.25">
      <c r="B752" s="16"/>
    </row>
    <row r="753" spans="2:2" ht="12.5" x14ac:dyDescent="0.25">
      <c r="B753" s="16"/>
    </row>
    <row r="754" spans="2:2" ht="12.5" x14ac:dyDescent="0.25">
      <c r="B754" s="16"/>
    </row>
    <row r="755" spans="2:2" ht="12.5" x14ac:dyDescent="0.25">
      <c r="B755" s="16"/>
    </row>
    <row r="756" spans="2:2" ht="12.5" x14ac:dyDescent="0.25">
      <c r="B756" s="16"/>
    </row>
    <row r="757" spans="2:2" ht="12.5" x14ac:dyDescent="0.25">
      <c r="B757" s="16"/>
    </row>
    <row r="758" spans="2:2" ht="12.5" x14ac:dyDescent="0.25">
      <c r="B758" s="16"/>
    </row>
    <row r="759" spans="2:2" ht="12.5" x14ac:dyDescent="0.25">
      <c r="B759" s="16"/>
    </row>
    <row r="760" spans="2:2" ht="12.5" x14ac:dyDescent="0.25">
      <c r="B760" s="16"/>
    </row>
    <row r="761" spans="2:2" ht="12.5" x14ac:dyDescent="0.25">
      <c r="B761" s="16"/>
    </row>
    <row r="762" spans="2:2" ht="12.5" x14ac:dyDescent="0.25">
      <c r="B762" s="16"/>
    </row>
    <row r="763" spans="2:2" ht="12.5" x14ac:dyDescent="0.25">
      <c r="B763" s="16"/>
    </row>
    <row r="764" spans="2:2" ht="12.5" x14ac:dyDescent="0.25">
      <c r="B764" s="16"/>
    </row>
    <row r="765" spans="2:2" ht="12.5" x14ac:dyDescent="0.25">
      <c r="B765" s="16"/>
    </row>
    <row r="766" spans="2:2" ht="12.5" x14ac:dyDescent="0.25">
      <c r="B766" s="16"/>
    </row>
    <row r="767" spans="2:2" ht="12.5" x14ac:dyDescent="0.25">
      <c r="B767" s="16"/>
    </row>
    <row r="768" spans="2:2" ht="12.5" x14ac:dyDescent="0.25">
      <c r="B768" s="16"/>
    </row>
    <row r="769" spans="2:2" ht="12.5" x14ac:dyDescent="0.25">
      <c r="B769" s="16"/>
    </row>
    <row r="770" spans="2:2" ht="12.5" x14ac:dyDescent="0.25">
      <c r="B770" s="16"/>
    </row>
    <row r="771" spans="2:2" ht="12.5" x14ac:dyDescent="0.25">
      <c r="B771" s="16"/>
    </row>
    <row r="772" spans="2:2" ht="12.5" x14ac:dyDescent="0.25">
      <c r="B772" s="16"/>
    </row>
    <row r="773" spans="2:2" ht="12.5" x14ac:dyDescent="0.25">
      <c r="B773" s="16"/>
    </row>
    <row r="774" spans="2:2" ht="12.5" x14ac:dyDescent="0.25">
      <c r="B774" s="16"/>
    </row>
    <row r="775" spans="2:2" ht="12.5" x14ac:dyDescent="0.25">
      <c r="B775" s="16"/>
    </row>
    <row r="776" spans="2:2" ht="12.5" x14ac:dyDescent="0.25">
      <c r="B776" s="16"/>
    </row>
    <row r="777" spans="2:2" ht="12.5" x14ac:dyDescent="0.25">
      <c r="B777" s="16"/>
    </row>
    <row r="778" spans="2:2" ht="12.5" x14ac:dyDescent="0.25">
      <c r="B778" s="16"/>
    </row>
    <row r="779" spans="2:2" ht="12.5" x14ac:dyDescent="0.25">
      <c r="B779" s="16"/>
    </row>
    <row r="780" spans="2:2" ht="12.5" x14ac:dyDescent="0.25">
      <c r="B780" s="16"/>
    </row>
    <row r="781" spans="2:2" ht="12.5" x14ac:dyDescent="0.25">
      <c r="B781" s="16"/>
    </row>
    <row r="782" spans="2:2" ht="12.5" x14ac:dyDescent="0.25">
      <c r="B782" s="16"/>
    </row>
    <row r="783" spans="2:2" ht="12.5" x14ac:dyDescent="0.25">
      <c r="B783" s="16"/>
    </row>
    <row r="784" spans="2:2" ht="12.5" x14ac:dyDescent="0.25">
      <c r="B784" s="16"/>
    </row>
    <row r="785" spans="2:2" ht="12.5" x14ac:dyDescent="0.25">
      <c r="B785" s="16"/>
    </row>
    <row r="786" spans="2:2" ht="12.5" x14ac:dyDescent="0.25">
      <c r="B786" s="16"/>
    </row>
    <row r="787" spans="2:2" ht="12.5" x14ac:dyDescent="0.25">
      <c r="B787" s="16"/>
    </row>
    <row r="788" spans="2:2" ht="12.5" x14ac:dyDescent="0.25">
      <c r="B788" s="16"/>
    </row>
    <row r="789" spans="2:2" ht="12.5" x14ac:dyDescent="0.25">
      <c r="B789" s="16"/>
    </row>
    <row r="790" spans="2:2" ht="12.5" x14ac:dyDescent="0.25">
      <c r="B790" s="16"/>
    </row>
    <row r="791" spans="2:2" ht="12.5" x14ac:dyDescent="0.25">
      <c r="B791" s="16"/>
    </row>
    <row r="792" spans="2:2" ht="12.5" x14ac:dyDescent="0.25">
      <c r="B792" s="16"/>
    </row>
    <row r="793" spans="2:2" ht="12.5" x14ac:dyDescent="0.25">
      <c r="B793" s="16"/>
    </row>
    <row r="794" spans="2:2" ht="12.5" x14ac:dyDescent="0.25">
      <c r="B794" s="16"/>
    </row>
    <row r="795" spans="2:2" ht="12.5" x14ac:dyDescent="0.25">
      <c r="B795" s="16"/>
    </row>
    <row r="796" spans="2:2" ht="12.5" x14ac:dyDescent="0.25">
      <c r="B796" s="16"/>
    </row>
    <row r="797" spans="2:2" ht="12.5" x14ac:dyDescent="0.25">
      <c r="B797" s="16"/>
    </row>
    <row r="798" spans="2:2" ht="12.5" x14ac:dyDescent="0.25">
      <c r="B798" s="16"/>
    </row>
    <row r="799" spans="2:2" ht="12.5" x14ac:dyDescent="0.25">
      <c r="B799" s="16"/>
    </row>
    <row r="800" spans="2:2" ht="12.5" x14ac:dyDescent="0.25">
      <c r="B800" s="16"/>
    </row>
    <row r="801" spans="2:2" ht="12.5" x14ac:dyDescent="0.25">
      <c r="B801" s="16"/>
    </row>
    <row r="802" spans="2:2" ht="12.5" x14ac:dyDescent="0.25">
      <c r="B802" s="16"/>
    </row>
    <row r="803" spans="2:2" ht="12.5" x14ac:dyDescent="0.25">
      <c r="B803" s="16"/>
    </row>
    <row r="804" spans="2:2" ht="12.5" x14ac:dyDescent="0.25">
      <c r="B804" s="16"/>
    </row>
    <row r="805" spans="2:2" ht="12.5" x14ac:dyDescent="0.25">
      <c r="B805" s="16"/>
    </row>
    <row r="806" spans="2:2" ht="12.5" x14ac:dyDescent="0.25">
      <c r="B806" s="16"/>
    </row>
    <row r="807" spans="2:2" ht="12.5" x14ac:dyDescent="0.25">
      <c r="B807" s="16"/>
    </row>
    <row r="808" spans="2:2" ht="12.5" x14ac:dyDescent="0.25">
      <c r="B808" s="16"/>
    </row>
    <row r="809" spans="2:2" ht="12.5" x14ac:dyDescent="0.25">
      <c r="B809" s="16"/>
    </row>
    <row r="810" spans="2:2" ht="12.5" x14ac:dyDescent="0.25">
      <c r="B810" s="16"/>
    </row>
    <row r="811" spans="2:2" ht="12.5" x14ac:dyDescent="0.25">
      <c r="B811" s="16"/>
    </row>
    <row r="812" spans="2:2" ht="12.5" x14ac:dyDescent="0.25">
      <c r="B812" s="16"/>
    </row>
    <row r="813" spans="2:2" ht="12.5" x14ac:dyDescent="0.25">
      <c r="B813" s="16"/>
    </row>
    <row r="814" spans="2:2" ht="12.5" x14ac:dyDescent="0.25">
      <c r="B814" s="16"/>
    </row>
    <row r="815" spans="2:2" ht="12.5" x14ac:dyDescent="0.25">
      <c r="B815" s="16"/>
    </row>
    <row r="816" spans="2:2" ht="12.5" x14ac:dyDescent="0.25">
      <c r="B816" s="16"/>
    </row>
    <row r="817" spans="2:2" ht="12.5" x14ac:dyDescent="0.25">
      <c r="B817" s="16"/>
    </row>
    <row r="818" spans="2:2" ht="12.5" x14ac:dyDescent="0.25">
      <c r="B818" s="16"/>
    </row>
    <row r="819" spans="2:2" ht="12.5" x14ac:dyDescent="0.25">
      <c r="B819" s="16"/>
    </row>
    <row r="820" spans="2:2" ht="12.5" x14ac:dyDescent="0.25">
      <c r="B820" s="16"/>
    </row>
    <row r="821" spans="2:2" ht="12.5" x14ac:dyDescent="0.25">
      <c r="B821" s="16"/>
    </row>
    <row r="822" spans="2:2" ht="12.5" x14ac:dyDescent="0.25">
      <c r="B822" s="16"/>
    </row>
    <row r="823" spans="2:2" ht="12.5" x14ac:dyDescent="0.25">
      <c r="B823" s="16"/>
    </row>
    <row r="824" spans="2:2" ht="12.5" x14ac:dyDescent="0.25">
      <c r="B824" s="16"/>
    </row>
    <row r="825" spans="2:2" ht="12.5" x14ac:dyDescent="0.25">
      <c r="B825" s="16"/>
    </row>
    <row r="826" spans="2:2" ht="12.5" x14ac:dyDescent="0.25">
      <c r="B826" s="16"/>
    </row>
    <row r="827" spans="2:2" ht="12.5" x14ac:dyDescent="0.25">
      <c r="B827" s="16"/>
    </row>
    <row r="828" spans="2:2" ht="12.5" x14ac:dyDescent="0.25">
      <c r="B828" s="16"/>
    </row>
    <row r="829" spans="2:2" ht="12.5" x14ac:dyDescent="0.25">
      <c r="B829" s="16"/>
    </row>
    <row r="830" spans="2:2" ht="12.5" x14ac:dyDescent="0.25">
      <c r="B830" s="16"/>
    </row>
    <row r="831" spans="2:2" ht="12.5" x14ac:dyDescent="0.25">
      <c r="B831" s="16"/>
    </row>
    <row r="832" spans="2:2" ht="12.5" x14ac:dyDescent="0.25">
      <c r="B832" s="16"/>
    </row>
    <row r="833" spans="2:2" ht="12.5" x14ac:dyDescent="0.25">
      <c r="B833" s="16"/>
    </row>
    <row r="834" spans="2:2" ht="12.5" x14ac:dyDescent="0.25">
      <c r="B834" s="16"/>
    </row>
    <row r="835" spans="2:2" ht="12.5" x14ac:dyDescent="0.25">
      <c r="B835" s="16"/>
    </row>
    <row r="836" spans="2:2" ht="12.5" x14ac:dyDescent="0.25">
      <c r="B836" s="16"/>
    </row>
    <row r="837" spans="2:2" ht="12.5" x14ac:dyDescent="0.25">
      <c r="B837" s="16"/>
    </row>
    <row r="838" spans="2:2" ht="12.5" x14ac:dyDescent="0.25">
      <c r="B838" s="16"/>
    </row>
    <row r="839" spans="2:2" ht="12.5" x14ac:dyDescent="0.25">
      <c r="B839" s="16"/>
    </row>
    <row r="840" spans="2:2" ht="12.5" x14ac:dyDescent="0.25">
      <c r="B840" s="16"/>
    </row>
    <row r="841" spans="2:2" ht="12.5" x14ac:dyDescent="0.25">
      <c r="B841" s="16"/>
    </row>
    <row r="842" spans="2:2" ht="12.5" x14ac:dyDescent="0.25">
      <c r="B842" s="16"/>
    </row>
    <row r="843" spans="2:2" ht="12.5" x14ac:dyDescent="0.25">
      <c r="B843" s="16"/>
    </row>
    <row r="844" spans="2:2" ht="12.5" x14ac:dyDescent="0.25">
      <c r="B844" s="16"/>
    </row>
    <row r="845" spans="2:2" ht="12.5" x14ac:dyDescent="0.25">
      <c r="B845" s="16"/>
    </row>
    <row r="846" spans="2:2" ht="12.5" x14ac:dyDescent="0.25">
      <c r="B846" s="16"/>
    </row>
    <row r="847" spans="2:2" ht="12.5" x14ac:dyDescent="0.25">
      <c r="B847" s="16"/>
    </row>
    <row r="848" spans="2:2" ht="12.5" x14ac:dyDescent="0.25">
      <c r="B848" s="16"/>
    </row>
    <row r="849" spans="2:2" ht="12.5" x14ac:dyDescent="0.25">
      <c r="B849" s="16"/>
    </row>
    <row r="850" spans="2:2" ht="12.5" x14ac:dyDescent="0.25">
      <c r="B850" s="16"/>
    </row>
    <row r="851" spans="2:2" ht="12.5" x14ac:dyDescent="0.25">
      <c r="B851" s="16"/>
    </row>
    <row r="852" spans="2:2" ht="12.5" x14ac:dyDescent="0.25">
      <c r="B852" s="16"/>
    </row>
    <row r="853" spans="2:2" ht="12.5" x14ac:dyDescent="0.25">
      <c r="B853" s="16"/>
    </row>
    <row r="854" spans="2:2" ht="12.5" x14ac:dyDescent="0.25">
      <c r="B854" s="16"/>
    </row>
    <row r="855" spans="2:2" ht="12.5" x14ac:dyDescent="0.25">
      <c r="B855" s="16"/>
    </row>
    <row r="856" spans="2:2" ht="12.5" x14ac:dyDescent="0.25">
      <c r="B856" s="16"/>
    </row>
    <row r="857" spans="2:2" ht="12.5" x14ac:dyDescent="0.25">
      <c r="B857" s="16"/>
    </row>
    <row r="858" spans="2:2" ht="12.5" x14ac:dyDescent="0.25">
      <c r="B858" s="16"/>
    </row>
    <row r="859" spans="2:2" ht="12.5" x14ac:dyDescent="0.25">
      <c r="B859" s="16"/>
    </row>
    <row r="860" spans="2:2" ht="12.5" x14ac:dyDescent="0.25">
      <c r="B860" s="16"/>
    </row>
    <row r="861" spans="2:2" ht="12.5" x14ac:dyDescent="0.25">
      <c r="B861" s="16"/>
    </row>
    <row r="862" spans="2:2" ht="12.5" x14ac:dyDescent="0.25">
      <c r="B862" s="16"/>
    </row>
    <row r="863" spans="2:2" ht="12.5" x14ac:dyDescent="0.25">
      <c r="B863" s="16"/>
    </row>
    <row r="864" spans="2:2" ht="12.5" x14ac:dyDescent="0.25">
      <c r="B864" s="16"/>
    </row>
    <row r="865" spans="2:2" ht="12.5" x14ac:dyDescent="0.25">
      <c r="B865" s="16"/>
    </row>
    <row r="866" spans="2:2" ht="12.5" x14ac:dyDescent="0.25">
      <c r="B866" s="16"/>
    </row>
    <row r="867" spans="2:2" ht="12.5" x14ac:dyDescent="0.25">
      <c r="B867" s="16"/>
    </row>
    <row r="868" spans="2:2" ht="12.5" x14ac:dyDescent="0.25">
      <c r="B868" s="16"/>
    </row>
    <row r="869" spans="2:2" ht="12.5" x14ac:dyDescent="0.25">
      <c r="B869" s="16"/>
    </row>
    <row r="870" spans="2:2" ht="12.5" x14ac:dyDescent="0.25">
      <c r="B870" s="16"/>
    </row>
    <row r="871" spans="2:2" ht="12.5" x14ac:dyDescent="0.25">
      <c r="B871" s="16"/>
    </row>
    <row r="872" spans="2:2" ht="12.5" x14ac:dyDescent="0.25">
      <c r="B872" s="16"/>
    </row>
    <row r="873" spans="2:2" ht="12.5" x14ac:dyDescent="0.25">
      <c r="B873" s="16"/>
    </row>
    <row r="874" spans="2:2" ht="12.5" x14ac:dyDescent="0.25">
      <c r="B874" s="16"/>
    </row>
    <row r="875" spans="2:2" ht="12.5" x14ac:dyDescent="0.25">
      <c r="B875" s="16"/>
    </row>
    <row r="876" spans="2:2" ht="12.5" x14ac:dyDescent="0.25">
      <c r="B876" s="16"/>
    </row>
    <row r="877" spans="2:2" ht="12.5" x14ac:dyDescent="0.25">
      <c r="B877" s="16"/>
    </row>
    <row r="878" spans="2:2" ht="12.5" x14ac:dyDescent="0.25">
      <c r="B878" s="16"/>
    </row>
    <row r="879" spans="2:2" ht="12.5" x14ac:dyDescent="0.25">
      <c r="B879" s="16"/>
    </row>
    <row r="880" spans="2:2" ht="12.5" x14ac:dyDescent="0.25">
      <c r="B880" s="16"/>
    </row>
    <row r="881" spans="2:2" ht="12.5" x14ac:dyDescent="0.25">
      <c r="B881" s="16"/>
    </row>
    <row r="882" spans="2:2" ht="12.5" x14ac:dyDescent="0.25">
      <c r="B882" s="16"/>
    </row>
    <row r="883" spans="2:2" ht="12.5" x14ac:dyDescent="0.25">
      <c r="B883" s="16"/>
    </row>
    <row r="884" spans="2:2" ht="12.5" x14ac:dyDescent="0.25">
      <c r="B884" s="16"/>
    </row>
    <row r="885" spans="2:2" ht="12.5" x14ac:dyDescent="0.25">
      <c r="B885" s="16"/>
    </row>
    <row r="886" spans="2:2" ht="12.5" x14ac:dyDescent="0.25">
      <c r="B886" s="16"/>
    </row>
    <row r="887" spans="2:2" ht="12.5" x14ac:dyDescent="0.25">
      <c r="B887" s="16"/>
    </row>
    <row r="888" spans="2:2" ht="12.5" x14ac:dyDescent="0.25">
      <c r="B888" s="16"/>
    </row>
    <row r="889" spans="2:2" ht="12.5" x14ac:dyDescent="0.25">
      <c r="B889" s="16"/>
    </row>
    <row r="890" spans="2:2" ht="12.5" x14ac:dyDescent="0.25">
      <c r="B890" s="16"/>
    </row>
    <row r="891" spans="2:2" ht="12.5" x14ac:dyDescent="0.25">
      <c r="B891" s="16"/>
    </row>
    <row r="892" spans="2:2" ht="12.5" x14ac:dyDescent="0.25">
      <c r="B892" s="16"/>
    </row>
    <row r="893" spans="2:2" ht="12.5" x14ac:dyDescent="0.25">
      <c r="B893" s="16"/>
    </row>
    <row r="894" spans="2:2" ht="12.5" x14ac:dyDescent="0.25">
      <c r="B894" s="16"/>
    </row>
    <row r="895" spans="2:2" ht="12.5" x14ac:dyDescent="0.25">
      <c r="B895" s="16"/>
    </row>
    <row r="896" spans="2:2" ht="12.5" x14ac:dyDescent="0.25">
      <c r="B896" s="16"/>
    </row>
    <row r="897" spans="2:2" ht="12.5" x14ac:dyDescent="0.25">
      <c r="B897" s="16"/>
    </row>
    <row r="898" spans="2:2" ht="12.5" x14ac:dyDescent="0.25">
      <c r="B898" s="16"/>
    </row>
    <row r="899" spans="2:2" ht="12.5" x14ac:dyDescent="0.25">
      <c r="B899" s="16"/>
    </row>
    <row r="900" spans="2:2" ht="12.5" x14ac:dyDescent="0.25">
      <c r="B900" s="16"/>
    </row>
    <row r="901" spans="2:2" ht="12.5" x14ac:dyDescent="0.25">
      <c r="B901" s="16"/>
    </row>
    <row r="902" spans="2:2" ht="12.5" x14ac:dyDescent="0.25">
      <c r="B902" s="16"/>
    </row>
    <row r="903" spans="2:2" ht="12.5" x14ac:dyDescent="0.25">
      <c r="B903" s="16"/>
    </row>
    <row r="904" spans="2:2" ht="12.5" x14ac:dyDescent="0.25">
      <c r="B904" s="16"/>
    </row>
    <row r="905" spans="2:2" ht="12.5" x14ac:dyDescent="0.25">
      <c r="B905" s="16"/>
    </row>
    <row r="906" spans="2:2" ht="12.5" x14ac:dyDescent="0.25">
      <c r="B906" s="16"/>
    </row>
    <row r="907" spans="2:2" ht="12.5" x14ac:dyDescent="0.25">
      <c r="B907" s="16"/>
    </row>
    <row r="908" spans="2:2" ht="12.5" x14ac:dyDescent="0.25">
      <c r="B908" s="16"/>
    </row>
    <row r="909" spans="2:2" ht="12.5" x14ac:dyDescent="0.25">
      <c r="B909" s="16"/>
    </row>
    <row r="910" spans="2:2" ht="12.5" x14ac:dyDescent="0.25">
      <c r="B910" s="16"/>
    </row>
    <row r="911" spans="2:2" ht="12.5" x14ac:dyDescent="0.25">
      <c r="B911" s="16"/>
    </row>
    <row r="912" spans="2:2" ht="12.5" x14ac:dyDescent="0.25">
      <c r="B912" s="16"/>
    </row>
    <row r="913" spans="2:2" ht="12.5" x14ac:dyDescent="0.25">
      <c r="B913" s="16"/>
    </row>
    <row r="914" spans="2:2" ht="12.5" x14ac:dyDescent="0.25">
      <c r="B914" s="16"/>
    </row>
    <row r="915" spans="2:2" ht="12.5" x14ac:dyDescent="0.25">
      <c r="B915" s="16"/>
    </row>
    <row r="916" spans="2:2" ht="12.5" x14ac:dyDescent="0.25">
      <c r="B916" s="16"/>
    </row>
    <row r="917" spans="2:2" ht="12.5" x14ac:dyDescent="0.25">
      <c r="B917" s="16"/>
    </row>
    <row r="918" spans="2:2" ht="12.5" x14ac:dyDescent="0.25">
      <c r="B918" s="16"/>
    </row>
    <row r="919" spans="2:2" ht="12.5" x14ac:dyDescent="0.25">
      <c r="B919" s="16"/>
    </row>
    <row r="920" spans="2:2" ht="12.5" x14ac:dyDescent="0.25">
      <c r="B920" s="16"/>
    </row>
    <row r="921" spans="2:2" ht="12.5" x14ac:dyDescent="0.25">
      <c r="B921" s="16"/>
    </row>
    <row r="922" spans="2:2" ht="12.5" x14ac:dyDescent="0.25">
      <c r="B922" s="16"/>
    </row>
    <row r="923" spans="2:2" ht="12.5" x14ac:dyDescent="0.25">
      <c r="B923" s="16"/>
    </row>
    <row r="924" spans="2:2" ht="12.5" x14ac:dyDescent="0.25">
      <c r="B924" s="16"/>
    </row>
    <row r="925" spans="2:2" ht="12.5" x14ac:dyDescent="0.25">
      <c r="B925" s="16"/>
    </row>
    <row r="926" spans="2:2" ht="12.5" x14ac:dyDescent="0.25">
      <c r="B926" s="16"/>
    </row>
    <row r="927" spans="2:2" ht="12.5" x14ac:dyDescent="0.25">
      <c r="B927" s="16"/>
    </row>
    <row r="928" spans="2:2" ht="12.5" x14ac:dyDescent="0.25">
      <c r="B928" s="16"/>
    </row>
    <row r="929" spans="2:2" ht="12.5" x14ac:dyDescent="0.25">
      <c r="B929" s="16"/>
    </row>
    <row r="930" spans="2:2" ht="12.5" x14ac:dyDescent="0.25">
      <c r="B930" s="16"/>
    </row>
    <row r="931" spans="2:2" ht="12.5" x14ac:dyDescent="0.25">
      <c r="B931" s="16"/>
    </row>
    <row r="932" spans="2:2" ht="12.5" x14ac:dyDescent="0.25">
      <c r="B932" s="16"/>
    </row>
    <row r="933" spans="2:2" ht="12.5" x14ac:dyDescent="0.25">
      <c r="B933" s="16"/>
    </row>
    <row r="934" spans="2:2" ht="12.5" x14ac:dyDescent="0.25">
      <c r="B934" s="16"/>
    </row>
    <row r="935" spans="2:2" ht="12.5" x14ac:dyDescent="0.25">
      <c r="B935" s="16"/>
    </row>
    <row r="936" spans="2:2" ht="12.5" x14ac:dyDescent="0.25">
      <c r="B936" s="16"/>
    </row>
    <row r="937" spans="2:2" ht="12.5" x14ac:dyDescent="0.25">
      <c r="B937" s="16"/>
    </row>
    <row r="938" spans="2:2" ht="12.5" x14ac:dyDescent="0.25">
      <c r="B938" s="16"/>
    </row>
    <row r="939" spans="2:2" ht="12.5" x14ac:dyDescent="0.25">
      <c r="B939" s="16"/>
    </row>
    <row r="940" spans="2:2" ht="12.5" x14ac:dyDescent="0.25">
      <c r="B940" s="16"/>
    </row>
    <row r="941" spans="2:2" ht="12.5" x14ac:dyDescent="0.25">
      <c r="B941" s="16"/>
    </row>
    <row r="942" spans="2:2" ht="12.5" x14ac:dyDescent="0.25">
      <c r="B942" s="16"/>
    </row>
    <row r="943" spans="2:2" ht="12.5" x14ac:dyDescent="0.25">
      <c r="B943" s="16"/>
    </row>
    <row r="944" spans="2:2" ht="12.5" x14ac:dyDescent="0.25">
      <c r="B944" s="16"/>
    </row>
    <row r="945" spans="2:2" ht="12.5" x14ac:dyDescent="0.25">
      <c r="B945" s="16"/>
    </row>
    <row r="946" spans="2:2" ht="12.5" x14ac:dyDescent="0.25">
      <c r="B946" s="16"/>
    </row>
    <row r="947" spans="2:2" ht="12.5" x14ac:dyDescent="0.25">
      <c r="B947" s="16"/>
    </row>
    <row r="948" spans="2:2" ht="12.5" x14ac:dyDescent="0.25">
      <c r="B948" s="16"/>
    </row>
    <row r="949" spans="2:2" ht="12.5" x14ac:dyDescent="0.25">
      <c r="B949" s="16"/>
    </row>
    <row r="950" spans="2:2" ht="12.5" x14ac:dyDescent="0.25">
      <c r="B950" s="16"/>
    </row>
    <row r="951" spans="2:2" ht="12.5" x14ac:dyDescent="0.25">
      <c r="B951" s="16"/>
    </row>
    <row r="952" spans="2:2" ht="12.5" x14ac:dyDescent="0.25">
      <c r="B952" s="16"/>
    </row>
    <row r="953" spans="2:2" ht="12.5" x14ac:dyDescent="0.25">
      <c r="B953" s="16"/>
    </row>
    <row r="954" spans="2:2" ht="12.5" x14ac:dyDescent="0.25">
      <c r="B954" s="16"/>
    </row>
    <row r="955" spans="2:2" ht="12.5" x14ac:dyDescent="0.25">
      <c r="B955" s="16"/>
    </row>
    <row r="956" spans="2:2" ht="12.5" x14ac:dyDescent="0.25">
      <c r="B956" s="16"/>
    </row>
    <row r="957" spans="2:2" ht="12.5" x14ac:dyDescent="0.25">
      <c r="B957" s="16"/>
    </row>
    <row r="958" spans="2:2" ht="12.5" x14ac:dyDescent="0.25">
      <c r="B958" s="16"/>
    </row>
    <row r="959" spans="2:2" ht="12.5" x14ac:dyDescent="0.25">
      <c r="B959" s="16"/>
    </row>
    <row r="960" spans="2:2" ht="12.5" x14ac:dyDescent="0.25">
      <c r="B960" s="16"/>
    </row>
    <row r="961" spans="2:2" ht="12.5" x14ac:dyDescent="0.25">
      <c r="B961" s="16"/>
    </row>
    <row r="962" spans="2:2" ht="12.5" x14ac:dyDescent="0.25">
      <c r="B962" s="16"/>
    </row>
    <row r="963" spans="2:2" ht="12.5" x14ac:dyDescent="0.25">
      <c r="B963" s="16"/>
    </row>
    <row r="964" spans="2:2" ht="12.5" x14ac:dyDescent="0.25">
      <c r="B964" s="16"/>
    </row>
    <row r="965" spans="2:2" ht="12.5" x14ac:dyDescent="0.25">
      <c r="B965" s="16"/>
    </row>
    <row r="966" spans="2:2" ht="12.5" x14ac:dyDescent="0.25">
      <c r="B966" s="16"/>
    </row>
    <row r="967" spans="2:2" ht="12.5" x14ac:dyDescent="0.25">
      <c r="B967" s="16"/>
    </row>
    <row r="968" spans="2:2" ht="12.5" x14ac:dyDescent="0.25">
      <c r="B968" s="16"/>
    </row>
    <row r="969" spans="2:2" ht="12.5" x14ac:dyDescent="0.25">
      <c r="B969" s="16"/>
    </row>
    <row r="970" spans="2:2" ht="12.5" x14ac:dyDescent="0.25">
      <c r="B970" s="16"/>
    </row>
    <row r="971" spans="2:2" ht="12.5" x14ac:dyDescent="0.25">
      <c r="B971" s="16"/>
    </row>
    <row r="972" spans="2:2" ht="12.5" x14ac:dyDescent="0.25">
      <c r="B972" s="16"/>
    </row>
    <row r="973" spans="2:2" ht="12.5" x14ac:dyDescent="0.25">
      <c r="B973" s="16"/>
    </row>
    <row r="974" spans="2:2" ht="12.5" x14ac:dyDescent="0.25">
      <c r="B974" s="16"/>
    </row>
    <row r="975" spans="2:2" ht="12.5" x14ac:dyDescent="0.25">
      <c r="B975" s="16"/>
    </row>
    <row r="976" spans="2:2" ht="12.5" x14ac:dyDescent="0.25">
      <c r="B976" s="16"/>
    </row>
    <row r="977" spans="2:2" ht="12.5" x14ac:dyDescent="0.25">
      <c r="B977" s="16"/>
    </row>
    <row r="978" spans="2:2" ht="12.5" x14ac:dyDescent="0.25">
      <c r="B978" s="16"/>
    </row>
    <row r="979" spans="2:2" ht="12.5" x14ac:dyDescent="0.25">
      <c r="B979" s="16"/>
    </row>
    <row r="980" spans="2:2" ht="12.5" x14ac:dyDescent="0.25">
      <c r="B980" s="16"/>
    </row>
    <row r="981" spans="2:2" ht="12.5" x14ac:dyDescent="0.25">
      <c r="B981" s="16"/>
    </row>
    <row r="982" spans="2:2" ht="12.5" x14ac:dyDescent="0.25">
      <c r="B982" s="16"/>
    </row>
    <row r="983" spans="2:2" ht="12.5" x14ac:dyDescent="0.25">
      <c r="B983" s="16"/>
    </row>
    <row r="984" spans="2:2" ht="12.5" x14ac:dyDescent="0.25">
      <c r="B984" s="16"/>
    </row>
    <row r="985" spans="2:2" ht="12.5" x14ac:dyDescent="0.25">
      <c r="B985" s="16"/>
    </row>
    <row r="986" spans="2:2" ht="12.5" x14ac:dyDescent="0.25">
      <c r="B986" s="16"/>
    </row>
    <row r="987" spans="2:2" ht="12.5" x14ac:dyDescent="0.25">
      <c r="B987" s="16"/>
    </row>
    <row r="988" spans="2:2" ht="12.5" x14ac:dyDescent="0.25">
      <c r="B988" s="16"/>
    </row>
    <row r="989" spans="2:2" ht="12.5" x14ac:dyDescent="0.25">
      <c r="B989" s="16"/>
    </row>
    <row r="990" spans="2:2" ht="12.5" x14ac:dyDescent="0.25">
      <c r="B990" s="16"/>
    </row>
    <row r="991" spans="2:2" ht="12.5" x14ac:dyDescent="0.25">
      <c r="B991" s="16"/>
    </row>
    <row r="992" spans="2:2" ht="12.5" x14ac:dyDescent="0.25">
      <c r="B992" s="16"/>
    </row>
    <row r="993" spans="2:2" ht="12.5" x14ac:dyDescent="0.25">
      <c r="B993" s="16"/>
    </row>
    <row r="994" spans="2:2" ht="12.5" x14ac:dyDescent="0.25">
      <c r="B994" s="16"/>
    </row>
    <row r="995" spans="2:2" ht="12.5" x14ac:dyDescent="0.25">
      <c r="B995" s="16"/>
    </row>
    <row r="996" spans="2:2" ht="12.5" x14ac:dyDescent="0.25">
      <c r="B996" s="16"/>
    </row>
    <row r="997" spans="2:2" ht="12.5" x14ac:dyDescent="0.25">
      <c r="B997" s="16"/>
    </row>
    <row r="998" spans="2:2" ht="12.5" x14ac:dyDescent="0.25">
      <c r="B998" s="16"/>
    </row>
    <row r="999" spans="2:2" ht="12.5" x14ac:dyDescent="0.25">
      <c r="B999" s="16"/>
    </row>
    <row r="1000" spans="2:2" ht="12.5" x14ac:dyDescent="0.25">
      <c r="B1000" s="16"/>
    </row>
    <row r="1001" spans="2:2" ht="12.5" x14ac:dyDescent="0.25">
      <c r="B1001" s="16"/>
    </row>
  </sheetData>
  <autoFilter ref="A1:Z84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Y1000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" width="27.453125" customWidth="1"/>
    <col min="2" max="6" width="15.90625" customWidth="1"/>
    <col min="9" max="9" width="13.08984375" customWidth="1"/>
  </cols>
  <sheetData>
    <row r="1" spans="1:51" x14ac:dyDescent="0.3">
      <c r="A1" s="22" t="str">
        <f ca="1">IFERROR(__xludf.DUMMYFUNCTION("IMPORTRANGE(""https://docs.google.com/spreadsheets/d/1gLpPUzQ6EQrHHuWolLqit33_eZphYiBD3L5nHSJQQTw"",""Cisco!A1:D1000"")"),"Devices")</f>
        <v>Devices</v>
      </c>
      <c r="B1" s="29" t="str">
        <f ca="1">IFERROR(__xludf.DUMMYFUNCTION("""COMPUTED_VALUE"""),"List Price")</f>
        <v>List Price</v>
      </c>
      <c r="C1" s="22" t="str">
        <f ca="1">IFERROR(__xludf.DUMMYFUNCTION("""COMPUTED_VALUE"""),"Giá AM nhập")</f>
        <v>Giá AM nhập</v>
      </c>
      <c r="D1" s="22" t="str">
        <f ca="1">IFERROR(__xludf.DUMMYFUNCTION("""COMPUTED_VALUE"""),"Final Price")</f>
        <v>Final Price</v>
      </c>
      <c r="E1" s="7"/>
      <c r="F1" s="7"/>
      <c r="G1" s="22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</row>
    <row r="2" spans="1:51" ht="15.75" customHeight="1" x14ac:dyDescent="0.25">
      <c r="A2" s="17" t="str">
        <f ca="1">IFERROR(__xludf.DUMMYFUNCTION("""COMPUTED_VALUE"""),"C8200L-1N-4T")</f>
        <v>C8200L-1N-4T</v>
      </c>
      <c r="B2" s="30">
        <f ca="1">IFERROR(__xludf.DUMMYFUNCTION("""COMPUTED_VALUE"""),20055.59)</f>
        <v>20055.59</v>
      </c>
      <c r="C2" s="30">
        <f ca="1">IFERROR(__xludf.DUMMYFUNCTION("""COMPUTED_VALUE"""),18000)</f>
        <v>18000</v>
      </c>
      <c r="D2" s="30">
        <f ca="1">IFERROR(__xludf.DUMMYFUNCTION("""COMPUTED_VALUE"""),18000)</f>
        <v>18000</v>
      </c>
      <c r="G2" s="30"/>
    </row>
    <row r="3" spans="1:51" ht="15.75" customHeight="1" x14ac:dyDescent="0.25">
      <c r="A3" s="17" t="str">
        <f ca="1">IFERROR(__xludf.DUMMYFUNCTION("""COMPUTED_VALUE"""),"C8200-1N-4T")</f>
        <v>C8200-1N-4T</v>
      </c>
      <c r="B3" s="30">
        <f ca="1">IFERROR(__xludf.DUMMYFUNCTION("""COMPUTED_VALUE"""),26751.42)</f>
        <v>26751.42</v>
      </c>
      <c r="C3" s="30">
        <f ca="1">IFERROR(__xludf.DUMMYFUNCTION("""COMPUTED_VALUE"""),15000)</f>
        <v>15000</v>
      </c>
      <c r="D3" s="30">
        <f ca="1">IFERROR(__xludf.DUMMYFUNCTION("""COMPUTED_VALUE"""),15000)</f>
        <v>15000</v>
      </c>
      <c r="G3" s="30"/>
    </row>
    <row r="4" spans="1:51" ht="15.75" customHeight="1" x14ac:dyDescent="0.25">
      <c r="A4" s="17" t="str">
        <f ca="1">IFERROR(__xludf.DUMMYFUNCTION("""COMPUTED_VALUE"""),"C8300-2N2S-4T2X")</f>
        <v>C8300-2N2S-4T2X</v>
      </c>
      <c r="B4" s="30">
        <f ca="1">IFERROR(__xludf.DUMMYFUNCTION("""COMPUTED_VALUE"""),87564.41)</f>
        <v>87564.41</v>
      </c>
      <c r="C4" s="17"/>
      <c r="D4" s="30">
        <f ca="1">IFERROR(__xludf.DUMMYFUNCTION("""COMPUTED_VALUE"""),87564.41)</f>
        <v>87564.41</v>
      </c>
      <c r="G4" s="30"/>
    </row>
    <row r="5" spans="1:51" ht="15.75" customHeight="1" x14ac:dyDescent="0.25">
      <c r="A5" s="17" t="str">
        <f ca="1">IFERROR(__xludf.DUMMYFUNCTION("""COMPUTED_VALUE"""),"C8300-1N1S-4T2X")</f>
        <v>C8300-1N1S-4T2X</v>
      </c>
      <c r="B5" s="30">
        <f ca="1">IFERROR(__xludf.DUMMYFUNCTION("""COMPUTED_VALUE"""),71768.03)</f>
        <v>71768.03</v>
      </c>
      <c r="C5" s="17"/>
      <c r="D5" s="30">
        <f ca="1">IFERROR(__xludf.DUMMYFUNCTION("""COMPUTED_VALUE"""),71768.03)</f>
        <v>71768.03</v>
      </c>
      <c r="G5" s="30"/>
    </row>
    <row r="6" spans="1:51" ht="15.75" customHeight="1" x14ac:dyDescent="0.25">
      <c r="A6" s="17" t="str">
        <f ca="1">IFERROR(__xludf.DUMMYFUNCTION("""COMPUTED_VALUE"""),"C8300-2N2S-6T")</f>
        <v>C8300-2N2S-6T</v>
      </c>
      <c r="B6" s="30">
        <f ca="1">IFERROR(__xludf.DUMMYFUNCTION("""COMPUTED_VALUE"""),46344.92)</f>
        <v>46344.92</v>
      </c>
      <c r="C6" s="17"/>
      <c r="D6" s="30">
        <f ca="1">IFERROR(__xludf.DUMMYFUNCTION("""COMPUTED_VALUE"""),46344.92)</f>
        <v>46344.92</v>
      </c>
      <c r="G6" s="30"/>
    </row>
    <row r="7" spans="1:51" ht="15.75" customHeight="1" x14ac:dyDescent="0.25">
      <c r="A7" s="17" t="str">
        <f ca="1">IFERROR(__xludf.DUMMYFUNCTION("""COMPUTED_VALUE"""),"C8300-1N1S-6T")</f>
        <v>C8300-1N1S-6T</v>
      </c>
      <c r="B7" s="30">
        <f ca="1">IFERROR(__xludf.DUMMYFUNCTION("""COMPUTED_VALUE"""),36965.33)</f>
        <v>36965.33</v>
      </c>
      <c r="C7" s="17"/>
      <c r="D7" s="30">
        <f ca="1">IFERROR(__xludf.DUMMYFUNCTION("""COMPUTED_VALUE"""),36965.33)</f>
        <v>36965.33</v>
      </c>
      <c r="G7" s="30"/>
    </row>
    <row r="8" spans="1:51" ht="15.75" customHeight="1" x14ac:dyDescent="0.25">
      <c r="A8" s="17" t="str">
        <f ca="1">IFERROR(__xludf.DUMMYFUNCTION("""COMPUTED_VALUE"""),"C8500-20X6C")</f>
        <v>C8500-20X6C</v>
      </c>
      <c r="B8" s="30">
        <f ca="1">IFERROR(__xludf.DUMMYFUNCTION("""COMPUTED_VALUE"""),534067.23)</f>
        <v>534067.23</v>
      </c>
      <c r="C8" s="17"/>
      <c r="D8" s="30">
        <f ca="1">IFERROR(__xludf.DUMMYFUNCTION("""COMPUTED_VALUE"""),534067.23)</f>
        <v>534067.23</v>
      </c>
      <c r="G8" s="30"/>
    </row>
    <row r="9" spans="1:51" ht="15.75" customHeight="1" x14ac:dyDescent="0.25">
      <c r="A9" s="17" t="str">
        <f ca="1">IFERROR(__xludf.DUMMYFUNCTION("""COMPUTED_VALUE"""),"C8500-12X4QC")</f>
        <v>C8500-12X4QC</v>
      </c>
      <c r="B9" s="30">
        <f ca="1">IFERROR(__xludf.DUMMYFUNCTION("""COMPUTED_VALUE"""),284449)</f>
        <v>284449</v>
      </c>
      <c r="C9" s="17"/>
      <c r="D9" s="30">
        <f ca="1">IFERROR(__xludf.DUMMYFUNCTION("""COMPUTED_VALUE"""),284449)</f>
        <v>284449</v>
      </c>
      <c r="G9" s="30"/>
    </row>
    <row r="10" spans="1:51" ht="15.75" customHeight="1" x14ac:dyDescent="0.25">
      <c r="A10" s="17" t="str">
        <f ca="1">IFERROR(__xludf.DUMMYFUNCTION("""COMPUTED_VALUE"""),"C8500-12X")</f>
        <v>C8500-12X</v>
      </c>
      <c r="B10" s="30">
        <f ca="1">IFERROR(__xludf.DUMMYFUNCTION("""COMPUTED_VALUE"""),198921.55)</f>
        <v>198921.55</v>
      </c>
      <c r="C10" s="17"/>
      <c r="D10" s="30">
        <f ca="1">IFERROR(__xludf.DUMMYFUNCTION("""COMPUTED_VALUE"""),198921.55)</f>
        <v>198921.55</v>
      </c>
      <c r="G10" s="30"/>
    </row>
    <row r="11" spans="1:51" ht="15.75" customHeight="1" x14ac:dyDescent="0.25">
      <c r="A11" s="17" t="str">
        <f ca="1">IFERROR(__xludf.DUMMYFUNCTION("""COMPUTED_VALUE"""),"C8500L-8S4X")</f>
        <v>C8500L-8S4X</v>
      </c>
      <c r="B11" s="30">
        <f ca="1">IFERROR(__xludf.DUMMYFUNCTION("""COMPUTED_VALUE"""),92549.95)</f>
        <v>92549.95</v>
      </c>
      <c r="C11" s="17"/>
      <c r="D11" s="30">
        <f ca="1">IFERROR(__xludf.DUMMYFUNCTION("""COMPUTED_VALUE"""),92549.95)</f>
        <v>92549.95</v>
      </c>
      <c r="G11" s="30"/>
    </row>
    <row r="12" spans="1:51" ht="15.75" customHeight="1" x14ac:dyDescent="0.25">
      <c r="A12" s="17" t="str">
        <f ca="1">IFERROR(__xludf.DUMMYFUNCTION("""COMPUTED_VALUE"""),"C9200-24T")</f>
        <v>C9200-24T</v>
      </c>
      <c r="B12" s="30">
        <f ca="1">IFERROR(__xludf.DUMMYFUNCTION("""COMPUTED_VALUE"""),10084.98)</f>
        <v>10084.98</v>
      </c>
      <c r="C12" s="17"/>
      <c r="D12" s="30">
        <f ca="1">IFERROR(__xludf.DUMMYFUNCTION("""COMPUTED_VALUE"""),10084.98)</f>
        <v>10084.98</v>
      </c>
      <c r="G12" s="30"/>
    </row>
    <row r="13" spans="1:51" ht="15.75" customHeight="1" x14ac:dyDescent="0.25">
      <c r="A13" s="17" t="str">
        <f ca="1">IFERROR(__xludf.DUMMYFUNCTION("""COMPUTED_VALUE"""),"C9200-24P")</f>
        <v>C9200-24P</v>
      </c>
      <c r="B13" s="30">
        <f ca="1">IFERROR(__xludf.DUMMYFUNCTION("""COMPUTED_VALUE"""),11213.65)</f>
        <v>11213.65</v>
      </c>
      <c r="C13" s="17"/>
      <c r="D13" s="30">
        <f ca="1">IFERROR(__xludf.DUMMYFUNCTION("""COMPUTED_VALUE"""),11213.65)</f>
        <v>11213.65</v>
      </c>
      <c r="G13" s="30"/>
    </row>
    <row r="14" spans="1:51" ht="15.75" customHeight="1" x14ac:dyDescent="0.25">
      <c r="A14" s="17" t="str">
        <f ca="1">IFERROR(__xludf.DUMMYFUNCTION("""COMPUTED_VALUE"""),"C9200-48T")</f>
        <v>C9200-48T</v>
      </c>
      <c r="B14" s="30">
        <f ca="1">IFERROR(__xludf.DUMMYFUNCTION("""COMPUTED_VALUE"""),15922.14)</f>
        <v>15922.14</v>
      </c>
      <c r="C14" s="17"/>
      <c r="D14" s="30">
        <f ca="1">IFERROR(__xludf.DUMMYFUNCTION("""COMPUTED_VALUE"""),15922.14)</f>
        <v>15922.14</v>
      </c>
      <c r="G14" s="30"/>
    </row>
    <row r="15" spans="1:51" ht="15.75" customHeight="1" x14ac:dyDescent="0.25">
      <c r="A15" s="17" t="str">
        <f ca="1">IFERROR(__xludf.DUMMYFUNCTION("""COMPUTED_VALUE"""),"C9200-48P")</f>
        <v>C9200-48P</v>
      </c>
      <c r="B15" s="30">
        <f ca="1">IFERROR(__xludf.DUMMYFUNCTION("""COMPUTED_VALUE"""),20161.2)</f>
        <v>20161.2</v>
      </c>
      <c r="C15" s="17"/>
      <c r="D15" s="30">
        <f ca="1">IFERROR(__xludf.DUMMYFUNCTION("""COMPUTED_VALUE"""),20161.2)</f>
        <v>20161.2</v>
      </c>
      <c r="G15" s="30"/>
    </row>
    <row r="16" spans="1:51" ht="15.75" customHeight="1" x14ac:dyDescent="0.25">
      <c r="A16" s="17" t="str">
        <f ca="1">IFERROR(__xludf.DUMMYFUNCTION("""COMPUTED_VALUE"""),"C9200L-24T-4G")</f>
        <v>C9200L-24T-4G</v>
      </c>
      <c r="B16" s="30">
        <f ca="1">IFERROR(__xludf.DUMMYFUNCTION("""COMPUTED_VALUE"""),6262.27)</f>
        <v>6262.27</v>
      </c>
      <c r="C16" s="17"/>
      <c r="D16" s="30">
        <f ca="1">IFERROR(__xludf.DUMMYFUNCTION("""COMPUTED_VALUE"""),6262.27)</f>
        <v>6262.27</v>
      </c>
      <c r="G16" s="30"/>
    </row>
    <row r="17" spans="1:7" ht="15.75" customHeight="1" x14ac:dyDescent="0.25">
      <c r="A17" s="17" t="str">
        <f ca="1">IFERROR(__xludf.DUMMYFUNCTION("""COMPUTED_VALUE"""),"C9200L-24P-4G")</f>
        <v>C9200L-24P-4G</v>
      </c>
      <c r="B17" s="30">
        <f ca="1">IFERROR(__xludf.DUMMYFUNCTION("""COMPUTED_VALUE"""),7688.05)</f>
        <v>7688.05</v>
      </c>
      <c r="C17" s="17"/>
      <c r="D17" s="30">
        <f ca="1">IFERROR(__xludf.DUMMYFUNCTION("""COMPUTED_VALUE"""),7688.05)</f>
        <v>7688.05</v>
      </c>
      <c r="G17" s="30"/>
    </row>
    <row r="18" spans="1:7" ht="15.75" customHeight="1" x14ac:dyDescent="0.25">
      <c r="A18" s="17" t="str">
        <f ca="1">IFERROR(__xludf.DUMMYFUNCTION("""COMPUTED_VALUE"""),"C9200L-48T-4G")</f>
        <v>C9200L-48T-4G</v>
      </c>
      <c r="B18" s="30">
        <f ca="1">IFERROR(__xludf.DUMMYFUNCTION("""COMPUTED_VALUE"""),11166.4)</f>
        <v>11166.4</v>
      </c>
      <c r="C18" s="17"/>
      <c r="D18" s="30">
        <f ca="1">IFERROR(__xludf.DUMMYFUNCTION("""COMPUTED_VALUE"""),11166.4)</f>
        <v>11166.4</v>
      </c>
      <c r="G18" s="30"/>
    </row>
    <row r="19" spans="1:7" ht="15.75" customHeight="1" x14ac:dyDescent="0.25">
      <c r="A19" s="17" t="str">
        <f ca="1">IFERROR(__xludf.DUMMYFUNCTION("""COMPUTED_VALUE"""),"C9200L-48P-4G")</f>
        <v>C9200L-48P-4G</v>
      </c>
      <c r="B19" s="30">
        <f ca="1">IFERROR(__xludf.DUMMYFUNCTION("""COMPUTED_VALUE"""),15455.34)</f>
        <v>15455.34</v>
      </c>
      <c r="C19" s="17"/>
      <c r="D19" s="30">
        <f ca="1">IFERROR(__xludf.DUMMYFUNCTION("""COMPUTED_VALUE"""),15455.34)</f>
        <v>15455.34</v>
      </c>
      <c r="G19" s="30"/>
    </row>
    <row r="20" spans="1:7" ht="15.75" customHeight="1" x14ac:dyDescent="0.25">
      <c r="A20" s="17" t="str">
        <f ca="1">IFERROR(__xludf.DUMMYFUNCTION("""COMPUTED_VALUE"""),"C9200L-24T-4X")</f>
        <v>C9200L-24T-4X</v>
      </c>
      <c r="B20" s="30">
        <f ca="1">IFERROR(__xludf.DUMMYFUNCTION("""COMPUTED_VALUE"""),8762.44)</f>
        <v>8762.44</v>
      </c>
      <c r="C20" s="17"/>
      <c r="D20" s="30">
        <f ca="1">IFERROR(__xludf.DUMMYFUNCTION("""COMPUTED_VALUE"""),8762.44)</f>
        <v>8762.44</v>
      </c>
      <c r="G20" s="30"/>
    </row>
    <row r="21" spans="1:7" ht="15.75" customHeight="1" x14ac:dyDescent="0.25">
      <c r="A21" s="17" t="str">
        <f ca="1">IFERROR(__xludf.DUMMYFUNCTION("""COMPUTED_VALUE"""),"C9200L-24P-4X")</f>
        <v>C9200L-24P-4X</v>
      </c>
      <c r="B21" s="30">
        <f ca="1">IFERROR(__xludf.DUMMYFUNCTION("""COMPUTED_VALUE"""),10192.33)</f>
        <v>10192.33</v>
      </c>
      <c r="C21" s="17"/>
      <c r="D21" s="30">
        <f ca="1">IFERROR(__xludf.DUMMYFUNCTION("""COMPUTED_VALUE"""),10192.33)</f>
        <v>10192.33</v>
      </c>
      <c r="G21" s="30"/>
    </row>
    <row r="22" spans="1:7" ht="12.5" x14ac:dyDescent="0.25">
      <c r="A22" s="17" t="str">
        <f ca="1">IFERROR(__xludf.DUMMYFUNCTION("""COMPUTED_VALUE"""),"C9200L-48T-4X")</f>
        <v>C9200L-48T-4X</v>
      </c>
      <c r="B22" s="30">
        <f ca="1">IFERROR(__xludf.DUMMYFUNCTION("""COMPUTED_VALUE"""),13666.57)</f>
        <v>13666.57</v>
      </c>
      <c r="C22" s="17"/>
      <c r="D22" s="30">
        <f ca="1">IFERROR(__xludf.DUMMYFUNCTION("""COMPUTED_VALUE"""),13666.57)</f>
        <v>13666.57</v>
      </c>
      <c r="G22" s="30"/>
    </row>
    <row r="23" spans="1:7" ht="12.5" x14ac:dyDescent="0.25">
      <c r="A23" s="17" t="str">
        <f ca="1">IFERROR(__xludf.DUMMYFUNCTION("""COMPUTED_VALUE"""),"C9200L-48P-4X")</f>
        <v>C9200L-48P-4X</v>
      </c>
      <c r="B23" s="30">
        <f ca="1">IFERROR(__xludf.DUMMYFUNCTION("""COMPUTED_VALUE"""),17955.51)</f>
        <v>17955.509999999998</v>
      </c>
      <c r="C23" s="17"/>
      <c r="D23" s="30">
        <f ca="1">IFERROR(__xludf.DUMMYFUNCTION("""COMPUTED_VALUE"""),17955.51)</f>
        <v>17955.509999999998</v>
      </c>
      <c r="G23" s="30"/>
    </row>
    <row r="24" spans="1:7" ht="12.5" x14ac:dyDescent="0.25">
      <c r="A24" s="17" t="str">
        <f ca="1">IFERROR(__xludf.DUMMYFUNCTION("""COMPUTED_VALUE"""),"C9200CX-8P-2X2G")</f>
        <v>C9200CX-8P-2X2G</v>
      </c>
      <c r="B24" s="30">
        <f ca="1">IFERROR(__xludf.DUMMYFUNCTION("""COMPUTED_VALUE"""),5144.72)</f>
        <v>5144.72</v>
      </c>
      <c r="C24" s="17"/>
      <c r="D24" s="30">
        <f ca="1">IFERROR(__xludf.DUMMYFUNCTION("""COMPUTED_VALUE"""),5144.72)</f>
        <v>5144.72</v>
      </c>
      <c r="G24" s="30"/>
    </row>
    <row r="25" spans="1:7" ht="12.5" x14ac:dyDescent="0.25">
      <c r="A25" s="17" t="str">
        <f ca="1">IFERROR(__xludf.DUMMYFUNCTION("""COMPUTED_VALUE"""),"C9200CX-12T-2X2G")</f>
        <v>C9200CX-12T-2X2G</v>
      </c>
      <c r="B25" s="30">
        <f ca="1">IFERROR(__xludf.DUMMYFUNCTION("""COMPUTED_VALUE"""),4714.31)</f>
        <v>4714.3100000000004</v>
      </c>
      <c r="C25" s="17"/>
      <c r="D25" s="30">
        <f ca="1">IFERROR(__xludf.DUMMYFUNCTION("""COMPUTED_VALUE"""),4714.31)</f>
        <v>4714.3100000000004</v>
      </c>
      <c r="G25" s="30"/>
    </row>
    <row r="26" spans="1:7" ht="12.5" x14ac:dyDescent="0.25">
      <c r="A26" s="17" t="str">
        <f ca="1">IFERROR(__xludf.DUMMYFUNCTION("""COMPUTED_VALUE"""),"C9200CX-12P-2X2G")</f>
        <v>C9200CX-12P-2X2G</v>
      </c>
      <c r="B26" s="30">
        <f ca="1">IFERROR(__xludf.DUMMYFUNCTION("""COMPUTED_VALUE"""),5606.95)</f>
        <v>5606.95</v>
      </c>
      <c r="C26" s="17"/>
      <c r="D26" s="30">
        <f ca="1">IFERROR(__xludf.DUMMYFUNCTION("""COMPUTED_VALUE"""),5606.95)</f>
        <v>5606.95</v>
      </c>
      <c r="G26" s="30"/>
    </row>
    <row r="27" spans="1:7" ht="12.5" x14ac:dyDescent="0.25">
      <c r="A27" s="17" t="str">
        <f ca="1">IFERROR(__xludf.DUMMYFUNCTION("""COMPUTED_VALUE"""),"C9300L-24T-4G")</f>
        <v>C9300L-24T-4G</v>
      </c>
      <c r="B27" s="30">
        <f ca="1">IFERROR(__xludf.DUMMYFUNCTION("""COMPUTED_VALUE"""),13274.37)</f>
        <v>13274.37</v>
      </c>
      <c r="C27" s="17"/>
      <c r="D27" s="30">
        <f ca="1">IFERROR(__xludf.DUMMYFUNCTION("""COMPUTED_VALUE"""),13274.37)</f>
        <v>13274.37</v>
      </c>
      <c r="G27" s="30"/>
    </row>
    <row r="28" spans="1:7" ht="12.5" x14ac:dyDescent="0.25">
      <c r="A28" s="17" t="str">
        <f ca="1">IFERROR(__xludf.DUMMYFUNCTION("""COMPUTED_VALUE"""),"C9300L-24P-4G")</f>
        <v>C9300L-24P-4G</v>
      </c>
      <c r="B28" s="30">
        <f ca="1">IFERROR(__xludf.DUMMYFUNCTION("""COMPUTED_VALUE"""),14219.2)</f>
        <v>14219.2</v>
      </c>
      <c r="C28" s="17"/>
      <c r="D28" s="30">
        <f ca="1">IFERROR(__xludf.DUMMYFUNCTION("""COMPUTED_VALUE"""),14219.2)</f>
        <v>14219.2</v>
      </c>
      <c r="G28" s="30"/>
    </row>
    <row r="29" spans="1:7" ht="12.5" x14ac:dyDescent="0.25">
      <c r="A29" s="17" t="str">
        <f ca="1">IFERROR(__xludf.DUMMYFUNCTION("""COMPUTED_VALUE"""),"C9300L-24T-4X")</f>
        <v>C9300L-24T-4X</v>
      </c>
      <c r="B29" s="30">
        <f ca="1">IFERROR(__xludf.DUMMYFUNCTION("""COMPUTED_VALUE"""),16104.69)</f>
        <v>16104.69</v>
      </c>
      <c r="C29" s="17"/>
      <c r="D29" s="30">
        <f ca="1">IFERROR(__xludf.DUMMYFUNCTION("""COMPUTED_VALUE"""),16104.69)</f>
        <v>16104.69</v>
      </c>
      <c r="G29" s="30"/>
    </row>
    <row r="30" spans="1:7" ht="12.5" x14ac:dyDescent="0.25">
      <c r="A30" s="17" t="str">
        <f ca="1">IFERROR(__xludf.DUMMYFUNCTION("""COMPUTED_VALUE"""),"C9300L-24P-4X")</f>
        <v>C9300L-24P-4X</v>
      </c>
      <c r="B30" s="30">
        <f ca="1">IFERROR(__xludf.DUMMYFUNCTION("""COMPUTED_VALUE"""),17045.38)</f>
        <v>17045.38</v>
      </c>
      <c r="C30" s="17"/>
      <c r="D30" s="30">
        <f ca="1">IFERROR(__xludf.DUMMYFUNCTION("""COMPUTED_VALUE"""),17045.38)</f>
        <v>17045.38</v>
      </c>
      <c r="G30" s="30"/>
    </row>
    <row r="31" spans="1:7" ht="12.5" x14ac:dyDescent="0.25">
      <c r="A31" s="17" t="str">
        <f ca="1">IFERROR(__xludf.DUMMYFUNCTION("""COMPUTED_VALUE"""),"C9300L-48T-4G")</f>
        <v>C9300L-48T-4G</v>
      </c>
      <c r="B31" s="30">
        <f ca="1">IFERROR(__xludf.DUMMYFUNCTION("""COMPUTED_VALUE"""),19434.02)</f>
        <v>19434.02</v>
      </c>
      <c r="C31" s="17"/>
      <c r="D31" s="30">
        <f ca="1">IFERROR(__xludf.DUMMYFUNCTION("""COMPUTED_VALUE"""),19434.02)</f>
        <v>19434.02</v>
      </c>
      <c r="G31" s="30"/>
    </row>
    <row r="32" spans="1:7" ht="12.5" x14ac:dyDescent="0.25">
      <c r="A32" s="17" t="str">
        <f ca="1">IFERROR(__xludf.DUMMYFUNCTION("""COMPUTED_VALUE"""),"C9300L-48P-4G")</f>
        <v>C9300L-48P-4G</v>
      </c>
      <c r="B32" s="30">
        <f ca="1">IFERROR(__xludf.DUMMYFUNCTION("""COMPUTED_VALUE"""),22071.94)</f>
        <v>22071.94</v>
      </c>
      <c r="C32" s="17"/>
      <c r="D32" s="30">
        <f ca="1">IFERROR(__xludf.DUMMYFUNCTION("""COMPUTED_VALUE"""),22071.94)</f>
        <v>22071.94</v>
      </c>
      <c r="G32" s="30"/>
    </row>
    <row r="33" spans="1:7" ht="12.5" x14ac:dyDescent="0.25">
      <c r="A33" s="17" t="str">
        <f ca="1">IFERROR(__xludf.DUMMYFUNCTION("""COMPUTED_VALUE"""),"C9300L-48T-4X")</f>
        <v>C9300L-48T-4X</v>
      </c>
      <c r="B33" s="30">
        <f ca="1">IFERROR(__xludf.DUMMYFUNCTION("""COMPUTED_VALUE"""),22260.23)</f>
        <v>22260.23</v>
      </c>
      <c r="C33" s="17"/>
      <c r="D33" s="30">
        <f ca="1">IFERROR(__xludf.DUMMYFUNCTION("""COMPUTED_VALUE"""),22260.23)</f>
        <v>22260.23</v>
      </c>
      <c r="G33" s="30"/>
    </row>
    <row r="34" spans="1:7" ht="12.5" x14ac:dyDescent="0.25">
      <c r="A34" s="17" t="str">
        <f ca="1">IFERROR(__xludf.DUMMYFUNCTION("""COMPUTED_VALUE"""),"C9300L-48P-4X")</f>
        <v>C9300L-48P-4X</v>
      </c>
      <c r="B34" s="30">
        <f ca="1">IFERROR(__xludf.DUMMYFUNCTION("""COMPUTED_VALUE"""),24901.12)</f>
        <v>24901.119999999999</v>
      </c>
      <c r="C34" s="17"/>
      <c r="D34" s="30">
        <f ca="1">IFERROR(__xludf.DUMMYFUNCTION("""COMPUTED_VALUE"""),24901.12)</f>
        <v>24901.119999999999</v>
      </c>
      <c r="G34" s="30"/>
    </row>
    <row r="35" spans="1:7" ht="12.5" x14ac:dyDescent="0.25">
      <c r="A35" s="17" t="str">
        <f ca="1">IFERROR(__xludf.DUMMYFUNCTION("""COMPUTED_VALUE"""),"C9300-24T")</f>
        <v>C9300-24T</v>
      </c>
      <c r="B35" s="30">
        <f ca="1">IFERROR(__xludf.DUMMYFUNCTION("""COMPUTED_VALUE"""),17547.66)</f>
        <v>17547.66</v>
      </c>
      <c r="C35" s="17"/>
      <c r="D35" s="30">
        <f ca="1">IFERROR(__xludf.DUMMYFUNCTION("""COMPUTED_VALUE"""),17547.66)</f>
        <v>17547.66</v>
      </c>
      <c r="G35" s="30"/>
    </row>
    <row r="36" spans="1:7" ht="12.5" x14ac:dyDescent="0.25">
      <c r="A36" s="17" t="str">
        <f ca="1">IFERROR(__xludf.DUMMYFUNCTION("""COMPUTED_VALUE"""),"C9300-24P")</f>
        <v>C9300-24P</v>
      </c>
      <c r="B36" s="30">
        <f ca="1">IFERROR(__xludf.DUMMYFUNCTION("""COMPUTED_VALUE"""),19038.33)</f>
        <v>19038.330000000002</v>
      </c>
      <c r="C36" s="17"/>
      <c r="D36" s="30">
        <f ca="1">IFERROR(__xludf.DUMMYFUNCTION("""COMPUTED_VALUE"""),19038.33)</f>
        <v>19038.330000000002</v>
      </c>
      <c r="G36" s="30"/>
    </row>
    <row r="37" spans="1:7" ht="12.5" x14ac:dyDescent="0.25">
      <c r="A37" s="17" t="str">
        <f ca="1">IFERROR(__xludf.DUMMYFUNCTION("""COMPUTED_VALUE"""),"C9300-24U")</f>
        <v>C9300-24U</v>
      </c>
      <c r="B37" s="30">
        <f ca="1">IFERROR(__xludf.DUMMYFUNCTION("""COMPUTED_VALUE"""),19965.21)</f>
        <v>19965.21</v>
      </c>
      <c r="C37" s="17"/>
      <c r="D37" s="30">
        <f ca="1">IFERROR(__xludf.DUMMYFUNCTION("""COMPUTED_VALUE"""),19965.21)</f>
        <v>19965.21</v>
      </c>
      <c r="G37" s="30"/>
    </row>
    <row r="38" spans="1:7" ht="12.5" x14ac:dyDescent="0.25">
      <c r="A38" s="17" t="str">
        <f ca="1">IFERROR(__xludf.DUMMYFUNCTION("""COMPUTED_VALUE"""),"C9300-24H")</f>
        <v>C9300-24H</v>
      </c>
      <c r="B38" s="30">
        <f ca="1">IFERROR(__xludf.DUMMYFUNCTION("""COMPUTED_VALUE"""),20515.29)</f>
        <v>20515.29</v>
      </c>
      <c r="C38" s="17"/>
      <c r="D38" s="30">
        <f ca="1">IFERROR(__xludf.DUMMYFUNCTION("""COMPUTED_VALUE"""),20515.29)</f>
        <v>20515.29</v>
      </c>
      <c r="G38" s="30"/>
    </row>
    <row r="39" spans="1:7" ht="12.5" x14ac:dyDescent="0.25">
      <c r="A39" s="17" t="str">
        <f ca="1">IFERROR(__xludf.DUMMYFUNCTION("""COMPUTED_VALUE"""),"C9300-24S")</f>
        <v>C9300-24S</v>
      </c>
      <c r="B39" s="30">
        <f ca="1">IFERROR(__xludf.DUMMYFUNCTION("""COMPUTED_VALUE"""),48735.58)</f>
        <v>48735.58</v>
      </c>
      <c r="C39" s="17"/>
      <c r="D39" s="30">
        <f ca="1">IFERROR(__xludf.DUMMYFUNCTION("""COMPUTED_VALUE"""),48735.58)</f>
        <v>48735.58</v>
      </c>
      <c r="G39" s="30"/>
    </row>
    <row r="40" spans="1:7" ht="12.5" x14ac:dyDescent="0.25">
      <c r="A40" s="17" t="str">
        <f ca="1">IFERROR(__xludf.DUMMYFUNCTION("""COMPUTED_VALUE"""),"C9300-24UB")</f>
        <v>C9300-24UB</v>
      </c>
      <c r="B40" s="30">
        <f ca="1">IFERROR(__xludf.DUMMYFUNCTION("""COMPUTED_VALUE"""),24477.78)</f>
        <v>24477.78</v>
      </c>
      <c r="C40" s="17"/>
      <c r="D40" s="30">
        <f ca="1">IFERROR(__xludf.DUMMYFUNCTION("""COMPUTED_VALUE"""),24477.78)</f>
        <v>24477.78</v>
      </c>
      <c r="G40" s="30"/>
    </row>
    <row r="41" spans="1:7" ht="12.5" x14ac:dyDescent="0.25">
      <c r="A41" s="17" t="str">
        <f ca="1">IFERROR(__xludf.DUMMYFUNCTION("""COMPUTED_VALUE"""),"C9300-48T")</f>
        <v>C9300-48T</v>
      </c>
      <c r="B41" s="30">
        <f ca="1">IFERROR(__xludf.DUMMYFUNCTION("""COMPUTED_VALUE"""),25854.11)</f>
        <v>25854.11</v>
      </c>
      <c r="C41" s="17"/>
      <c r="D41" s="30">
        <f ca="1">IFERROR(__xludf.DUMMYFUNCTION("""COMPUTED_VALUE"""),25854.11)</f>
        <v>25854.11</v>
      </c>
      <c r="G41" s="30"/>
    </row>
    <row r="42" spans="1:7" ht="12.5" x14ac:dyDescent="0.25">
      <c r="A42" s="17" t="str">
        <f ca="1">IFERROR(__xludf.DUMMYFUNCTION("""COMPUTED_VALUE"""),"C9300-48P")</f>
        <v>C9300-48P</v>
      </c>
      <c r="B42" s="30">
        <f ca="1">IFERROR(__xludf.DUMMYFUNCTION("""COMPUTED_VALUE"""),28776.34)</f>
        <v>28776.34</v>
      </c>
      <c r="C42" s="17"/>
      <c r="D42" s="30">
        <f ca="1">IFERROR(__xludf.DUMMYFUNCTION("""COMPUTED_VALUE"""),28776.34)</f>
        <v>28776.34</v>
      </c>
      <c r="G42" s="30"/>
    </row>
    <row r="43" spans="1:7" ht="12.5" x14ac:dyDescent="0.25">
      <c r="A43" s="17" t="str">
        <f ca="1">IFERROR(__xludf.DUMMYFUNCTION("""COMPUTED_VALUE"""),"C9300-48U")</f>
        <v>C9300-48U</v>
      </c>
      <c r="B43" s="30">
        <f ca="1">IFERROR(__xludf.DUMMYFUNCTION("""COMPUTED_VALUE"""),30632.82)</f>
        <v>30632.82</v>
      </c>
      <c r="C43" s="17"/>
      <c r="D43" s="30">
        <f ca="1">IFERROR(__xludf.DUMMYFUNCTION("""COMPUTED_VALUE"""),30632.82)</f>
        <v>30632.82</v>
      </c>
      <c r="G43" s="30"/>
    </row>
    <row r="44" spans="1:7" ht="12.5" x14ac:dyDescent="0.25">
      <c r="A44" s="17" t="str">
        <f ca="1">IFERROR(__xludf.DUMMYFUNCTION("""COMPUTED_VALUE"""),"C9300-48H")</f>
        <v>C9300-48H</v>
      </c>
      <c r="B44" s="30">
        <f ca="1">IFERROR(__xludf.DUMMYFUNCTION("""COMPUTED_VALUE"""),31600.93)</f>
        <v>31600.93</v>
      </c>
      <c r="C44" s="17"/>
      <c r="D44" s="30">
        <f ca="1">IFERROR(__xludf.DUMMYFUNCTION("""COMPUTED_VALUE"""),31600.93)</f>
        <v>31600.93</v>
      </c>
      <c r="G44" s="30"/>
    </row>
    <row r="45" spans="1:7" ht="12.5" x14ac:dyDescent="0.25">
      <c r="A45" s="17" t="str">
        <f ca="1">IFERROR(__xludf.DUMMYFUNCTION("""COMPUTED_VALUE"""),"C9300-48S")</f>
        <v>C9300-48S</v>
      </c>
      <c r="B45" s="30">
        <f ca="1">IFERROR(__xludf.DUMMYFUNCTION("""COMPUTED_VALUE"""),55867.65)</f>
        <v>55867.65</v>
      </c>
      <c r="C45" s="17"/>
      <c r="D45" s="30">
        <f ca="1">IFERROR(__xludf.DUMMYFUNCTION("""COMPUTED_VALUE"""),55867.65)</f>
        <v>55867.65</v>
      </c>
      <c r="G45" s="30"/>
    </row>
    <row r="46" spans="1:7" ht="12.5" x14ac:dyDescent="0.25">
      <c r="A46" s="17" t="str">
        <f ca="1">IFERROR(__xludf.DUMMYFUNCTION("""COMPUTED_VALUE"""),"C9300-48UB")</f>
        <v>C9300-48UB</v>
      </c>
      <c r="B46" s="30">
        <f ca="1">IFERROR(__xludf.DUMMYFUNCTION("""COMPUTED_VALUE"""),36714.46)</f>
        <v>36714.46</v>
      </c>
      <c r="C46" s="17"/>
      <c r="D46" s="30">
        <f ca="1">IFERROR(__xludf.DUMMYFUNCTION("""COMPUTED_VALUE"""),36714.46)</f>
        <v>36714.46</v>
      </c>
      <c r="G46" s="30"/>
    </row>
    <row r="47" spans="1:7" ht="12.5" x14ac:dyDescent="0.25">
      <c r="A47" s="17" t="str">
        <f ca="1">IFERROR(__xludf.DUMMYFUNCTION("""COMPUTED_VALUE"""),"C1300-8T-E-2G")</f>
        <v>C1300-8T-E-2G</v>
      </c>
      <c r="B47" s="30">
        <f ca="1">IFERROR(__xludf.DUMMYFUNCTION("""COMPUTED_VALUE"""),466.11)</f>
        <v>466.11</v>
      </c>
      <c r="C47" s="17"/>
      <c r="D47" s="30">
        <f ca="1">IFERROR(__xludf.DUMMYFUNCTION("""COMPUTED_VALUE"""),466.11)</f>
        <v>466.11</v>
      </c>
      <c r="G47" s="30"/>
    </row>
    <row r="48" spans="1:7" ht="12.5" x14ac:dyDescent="0.25">
      <c r="A48" s="17" t="str">
        <f ca="1">IFERROR(__xludf.DUMMYFUNCTION("""COMPUTED_VALUE"""),"C1300-8P-E-2G")</f>
        <v>C1300-8P-E-2G</v>
      </c>
      <c r="B48" s="30">
        <f ca="1">IFERROR(__xludf.DUMMYFUNCTION("""COMPUTED_VALUE"""),576.42)</f>
        <v>576.41999999999996</v>
      </c>
      <c r="C48" s="17"/>
      <c r="D48" s="30">
        <f ca="1">IFERROR(__xludf.DUMMYFUNCTION("""COMPUTED_VALUE"""),576.42)</f>
        <v>576.41999999999996</v>
      </c>
      <c r="G48" s="30"/>
    </row>
    <row r="49" spans="1:7" ht="12.5" x14ac:dyDescent="0.25">
      <c r="A49" s="17" t="str">
        <f ca="1">IFERROR(__xludf.DUMMYFUNCTION("""COMPUTED_VALUE"""),"C1300-8FP-2G")</f>
        <v>C1300-8FP-2G</v>
      </c>
      <c r="B49" s="30">
        <f ca="1">IFERROR(__xludf.DUMMYFUNCTION("""COMPUTED_VALUE"""),765.31)</f>
        <v>765.31</v>
      </c>
      <c r="C49" s="17"/>
      <c r="D49" s="30">
        <f ca="1">IFERROR(__xludf.DUMMYFUNCTION("""COMPUTED_VALUE"""),765.31)</f>
        <v>765.31</v>
      </c>
      <c r="G49" s="30"/>
    </row>
    <row r="50" spans="1:7" ht="12.5" x14ac:dyDescent="0.25">
      <c r="A50" s="17" t="str">
        <f ca="1">IFERROR(__xludf.DUMMYFUNCTION("""COMPUTED_VALUE"""),"C1300-16T-2G")</f>
        <v>C1300-16T-2G</v>
      </c>
      <c r="B50" s="30">
        <f ca="1">IFERROR(__xludf.DUMMYFUNCTION("""COMPUTED_VALUE"""),663.67)</f>
        <v>663.67</v>
      </c>
      <c r="C50" s="17"/>
      <c r="D50" s="30">
        <f ca="1">IFERROR(__xludf.DUMMYFUNCTION("""COMPUTED_VALUE"""),663.67)</f>
        <v>663.67</v>
      </c>
      <c r="G50" s="30"/>
    </row>
    <row r="51" spans="1:7" ht="12.5" x14ac:dyDescent="0.25">
      <c r="A51" s="17" t="str">
        <f ca="1">IFERROR(__xludf.DUMMYFUNCTION("""COMPUTED_VALUE"""),"C1300-16P-2G")</f>
        <v>C1300-16P-2G</v>
      </c>
      <c r="B51" s="30">
        <f ca="1">IFERROR(__xludf.DUMMYFUNCTION("""COMPUTED_VALUE"""),962.86)</f>
        <v>962.86</v>
      </c>
      <c r="C51" s="17"/>
      <c r="D51" s="30">
        <f ca="1">IFERROR(__xludf.DUMMYFUNCTION("""COMPUTED_VALUE"""),962.86)</f>
        <v>962.86</v>
      </c>
      <c r="G51" s="30"/>
    </row>
    <row r="52" spans="1:7" ht="12.5" x14ac:dyDescent="0.25">
      <c r="A52" s="17" t="str">
        <f ca="1">IFERROR(__xludf.DUMMYFUNCTION("""COMPUTED_VALUE"""),"C1300-16FP-2G")</f>
        <v>C1300-16FP-2G</v>
      </c>
      <c r="B52" s="30">
        <f ca="1">IFERROR(__xludf.DUMMYFUNCTION("""COMPUTED_VALUE"""),1364.85)</f>
        <v>1364.85</v>
      </c>
      <c r="C52" s="17"/>
      <c r="D52" s="30">
        <f ca="1">IFERROR(__xludf.DUMMYFUNCTION("""COMPUTED_VALUE"""),1364.85)</f>
        <v>1364.85</v>
      </c>
      <c r="G52" s="30"/>
    </row>
    <row r="53" spans="1:7" ht="12.5" x14ac:dyDescent="0.25">
      <c r="A53" s="17" t="str">
        <f ca="1">IFERROR(__xludf.DUMMYFUNCTION("""COMPUTED_VALUE"""),"C1300-24T-4G")</f>
        <v>C1300-24T-4G</v>
      </c>
      <c r="B53" s="30">
        <f ca="1">IFERROR(__xludf.DUMMYFUNCTION("""COMPUTED_VALUE"""),925.31)</f>
        <v>925.31</v>
      </c>
      <c r="C53" s="17"/>
      <c r="D53" s="30">
        <f ca="1">IFERROR(__xludf.DUMMYFUNCTION("""COMPUTED_VALUE"""),925.31)</f>
        <v>925.31</v>
      </c>
      <c r="G53" s="30"/>
    </row>
    <row r="54" spans="1:7" ht="12.5" x14ac:dyDescent="0.25">
      <c r="A54" s="17" t="str">
        <f ca="1">IFERROR(__xludf.DUMMYFUNCTION("""COMPUTED_VALUE"""),"C1300-24P-4G")</f>
        <v>C1300-24P-4G</v>
      </c>
      <c r="B54" s="30">
        <f ca="1">IFERROR(__xludf.DUMMYFUNCTION("""COMPUTED_VALUE"""),1316.32)</f>
        <v>1316.32</v>
      </c>
      <c r="C54" s="17"/>
      <c r="D54" s="30">
        <f ca="1">IFERROR(__xludf.DUMMYFUNCTION("""COMPUTED_VALUE"""),1316.32)</f>
        <v>1316.32</v>
      </c>
      <c r="G54" s="30"/>
    </row>
    <row r="55" spans="1:7" ht="12.5" x14ac:dyDescent="0.25">
      <c r="A55" s="17" t="str">
        <f ca="1">IFERROR(__xludf.DUMMYFUNCTION("""COMPUTED_VALUE"""),"C1300-24FP-4G")</f>
        <v>C1300-24FP-4G</v>
      </c>
      <c r="B55" s="30">
        <f ca="1">IFERROR(__xludf.DUMMYFUNCTION("""COMPUTED_VALUE"""),1785.82)</f>
        <v>1785.82</v>
      </c>
      <c r="C55" s="17"/>
      <c r="D55" s="30">
        <f ca="1">IFERROR(__xludf.DUMMYFUNCTION("""COMPUTED_VALUE"""),1785.82)</f>
        <v>1785.82</v>
      </c>
      <c r="G55" s="30"/>
    </row>
    <row r="56" spans="1:7" ht="12.5" x14ac:dyDescent="0.25">
      <c r="A56" s="17" t="str">
        <f ca="1">IFERROR(__xludf.DUMMYFUNCTION("""COMPUTED_VALUE"""),"C1300-48T-4G")</f>
        <v>C1300-48T-4G</v>
      </c>
      <c r="B56" s="30">
        <f ca="1">IFERROR(__xludf.DUMMYFUNCTION("""COMPUTED_VALUE"""),1446.81)</f>
        <v>1446.81</v>
      </c>
      <c r="C56" s="17"/>
      <c r="D56" s="30">
        <f ca="1">IFERROR(__xludf.DUMMYFUNCTION("""COMPUTED_VALUE"""),1446.81)</f>
        <v>1446.81</v>
      </c>
      <c r="G56" s="30"/>
    </row>
    <row r="57" spans="1:7" ht="12.5" x14ac:dyDescent="0.25">
      <c r="A57" s="17" t="str">
        <f ca="1">IFERROR(__xludf.DUMMYFUNCTION("""COMPUTED_VALUE"""),"C1300-48P-4G")</f>
        <v>C1300-48P-4G</v>
      </c>
      <c r="B57" s="30">
        <f ca="1">IFERROR(__xludf.DUMMYFUNCTION("""COMPUTED_VALUE"""),2394.09)</f>
        <v>2394.09</v>
      </c>
      <c r="C57" s="17"/>
      <c r="D57" s="30">
        <f ca="1">IFERROR(__xludf.DUMMYFUNCTION("""COMPUTED_VALUE"""),2394.09)</f>
        <v>2394.09</v>
      </c>
      <c r="G57" s="30"/>
    </row>
    <row r="58" spans="1:7" ht="12.5" x14ac:dyDescent="0.25">
      <c r="A58" s="17" t="str">
        <f ca="1">IFERROR(__xludf.DUMMYFUNCTION("""COMPUTED_VALUE"""),"C1300-48FP-4G")</f>
        <v>C1300-48FP-4G</v>
      </c>
      <c r="B58" s="30">
        <f ca="1">IFERROR(__xludf.DUMMYFUNCTION("""COMPUTED_VALUE"""),2990.63)</f>
        <v>2990.63</v>
      </c>
      <c r="C58" s="17"/>
      <c r="D58" s="30">
        <f ca="1">IFERROR(__xludf.DUMMYFUNCTION("""COMPUTED_VALUE"""),2990.63)</f>
        <v>2990.63</v>
      </c>
      <c r="G58" s="30"/>
    </row>
    <row r="59" spans="1:7" ht="12.5" x14ac:dyDescent="0.25">
      <c r="A59" s="17" t="str">
        <f ca="1">IFERROR(__xludf.DUMMYFUNCTION("""COMPUTED_VALUE"""),"C1300-16P-4X")</f>
        <v>C1300-16P-4X</v>
      </c>
      <c r="B59" s="30">
        <f ca="1">IFERROR(__xludf.DUMMYFUNCTION("""COMPUTED_VALUE"""),1047.05)</f>
        <v>1047.05</v>
      </c>
      <c r="C59" s="17"/>
      <c r="D59" s="30">
        <f ca="1">IFERROR(__xludf.DUMMYFUNCTION("""COMPUTED_VALUE"""),1047.05)</f>
        <v>1047.05</v>
      </c>
      <c r="G59" s="30"/>
    </row>
    <row r="60" spans="1:7" ht="12.5" x14ac:dyDescent="0.25">
      <c r="A60" s="17" t="str">
        <f ca="1">IFERROR(__xludf.DUMMYFUNCTION("""COMPUTED_VALUE"""),"C1300-24T-4X")</f>
        <v>C1300-24T-4X</v>
      </c>
      <c r="B60" s="30">
        <f ca="1">IFERROR(__xludf.DUMMYFUNCTION("""COMPUTED_VALUE"""),1403.2)</f>
        <v>1403.2</v>
      </c>
      <c r="C60" s="17"/>
      <c r="D60" s="30">
        <f ca="1">IFERROR(__xludf.DUMMYFUNCTION("""COMPUTED_VALUE"""),1403.2)</f>
        <v>1403.2</v>
      </c>
      <c r="G60" s="30"/>
    </row>
    <row r="61" spans="1:7" ht="12.5" x14ac:dyDescent="0.25">
      <c r="A61" s="17" t="str">
        <f ca="1">IFERROR(__xludf.DUMMYFUNCTION("""COMPUTED_VALUE"""),"C1300-24P-4X")</f>
        <v>C1300-24P-4X</v>
      </c>
      <c r="B61" s="30">
        <f ca="1">IFERROR(__xludf.DUMMYFUNCTION("""COMPUTED_VALUE"""),1674.32)</f>
        <v>1674.32</v>
      </c>
      <c r="C61" s="17"/>
      <c r="D61" s="30">
        <f ca="1">IFERROR(__xludf.DUMMYFUNCTION("""COMPUTED_VALUE"""),1674.32)</f>
        <v>1674.32</v>
      </c>
      <c r="G61" s="30"/>
    </row>
    <row r="62" spans="1:7" ht="12.5" x14ac:dyDescent="0.25">
      <c r="A62" s="17" t="str">
        <f ca="1">IFERROR(__xludf.DUMMYFUNCTION("""COMPUTED_VALUE"""),"C1300-24FP-4X")</f>
        <v>C1300-24FP-4X</v>
      </c>
      <c r="B62" s="30">
        <f ca="1">IFERROR(__xludf.DUMMYFUNCTION("""COMPUTED_VALUE"""),2278.26)</f>
        <v>2278.2600000000002</v>
      </c>
      <c r="C62" s="17"/>
      <c r="D62" s="30">
        <f ca="1">IFERROR(__xludf.DUMMYFUNCTION("""COMPUTED_VALUE"""),2278.26)</f>
        <v>2278.2600000000002</v>
      </c>
      <c r="G62" s="30"/>
    </row>
    <row r="63" spans="1:7" ht="12.5" x14ac:dyDescent="0.25">
      <c r="A63" s="17" t="str">
        <f ca="1">IFERROR(__xludf.DUMMYFUNCTION("""COMPUTED_VALUE"""),"C1300-48T-4X")</f>
        <v>C1300-48T-4X</v>
      </c>
      <c r="B63" s="30">
        <f ca="1">IFERROR(__xludf.DUMMYFUNCTION("""COMPUTED_VALUE"""),2202.72)</f>
        <v>2202.7199999999998</v>
      </c>
      <c r="C63" s="17"/>
      <c r="D63" s="30">
        <f ca="1">IFERROR(__xludf.DUMMYFUNCTION("""COMPUTED_VALUE"""),2202.72)</f>
        <v>2202.7199999999998</v>
      </c>
      <c r="G63" s="30"/>
    </row>
    <row r="64" spans="1:7" ht="12.5" x14ac:dyDescent="0.25">
      <c r="A64" s="17" t="str">
        <f ca="1">IFERROR(__xludf.DUMMYFUNCTION("""COMPUTED_VALUE"""),"C1300-48P-4X")</f>
        <v>C1300-48P-4X</v>
      </c>
      <c r="B64" s="30">
        <f ca="1">IFERROR(__xludf.DUMMYFUNCTION("""COMPUTED_VALUE"""),2733.04)</f>
        <v>2733.04</v>
      </c>
      <c r="C64" s="17"/>
      <c r="D64" s="30">
        <f ca="1">IFERROR(__xludf.DUMMYFUNCTION("""COMPUTED_VALUE"""),2733.04)</f>
        <v>2733.04</v>
      </c>
      <c r="G64" s="30"/>
    </row>
    <row r="65" spans="1:7" ht="12.5" x14ac:dyDescent="0.25">
      <c r="A65" s="17" t="str">
        <f ca="1">IFERROR(__xludf.DUMMYFUNCTION("""COMPUTED_VALUE"""),"C1300-48FP-4X")</f>
        <v>C1300-48FP-4X</v>
      </c>
      <c r="B65" s="30">
        <f ca="1">IFERROR(__xludf.DUMMYFUNCTION("""COMPUTED_VALUE"""),3526.47)</f>
        <v>3526.47</v>
      </c>
      <c r="C65" s="17"/>
      <c r="D65" s="30">
        <f ca="1">IFERROR(__xludf.DUMMYFUNCTION("""COMPUTED_VALUE"""),3526.47)</f>
        <v>3526.47</v>
      </c>
      <c r="G65" s="30"/>
    </row>
    <row r="66" spans="1:7" ht="12.5" x14ac:dyDescent="0.25">
      <c r="A66" s="17" t="str">
        <f ca="1">IFERROR(__xludf.DUMMYFUNCTION("""COMPUTED_VALUE"""),"C1300-12XT-2X")</f>
        <v>C1300-12XT-2X</v>
      </c>
      <c r="B66" s="30">
        <f ca="1">IFERROR(__xludf.DUMMYFUNCTION("""COMPUTED_VALUE"""),2418.18)</f>
        <v>2418.1799999999998</v>
      </c>
      <c r="C66" s="17"/>
      <c r="D66" s="30">
        <f ca="1">IFERROR(__xludf.DUMMYFUNCTION("""COMPUTED_VALUE"""),2418.18)</f>
        <v>2418.1799999999998</v>
      </c>
      <c r="G66" s="30"/>
    </row>
    <row r="67" spans="1:7" ht="12.5" x14ac:dyDescent="0.25">
      <c r="A67" s="17" t="str">
        <f ca="1">IFERROR(__xludf.DUMMYFUNCTION("""COMPUTED_VALUE"""),"C1300-12XS")</f>
        <v>C1300-12XS</v>
      </c>
      <c r="B67" s="30">
        <f ca="1">IFERROR(__xludf.DUMMYFUNCTION("""COMPUTED_VALUE"""),2462.89)</f>
        <v>2462.89</v>
      </c>
      <c r="C67" s="17"/>
      <c r="D67" s="30">
        <f ca="1">IFERROR(__xludf.DUMMYFUNCTION("""COMPUTED_VALUE"""),2462.89)</f>
        <v>2462.89</v>
      </c>
      <c r="G67" s="30"/>
    </row>
    <row r="68" spans="1:7" ht="12.5" x14ac:dyDescent="0.25">
      <c r="A68" s="17" t="str">
        <f ca="1">IFERROR(__xludf.DUMMYFUNCTION("""COMPUTED_VALUE"""),"C1300-16XTS")</f>
        <v>C1300-16XTS</v>
      </c>
      <c r="B68" s="30">
        <f ca="1">IFERROR(__xludf.DUMMYFUNCTION("""COMPUTED_VALUE"""),3849.34)</f>
        <v>3849.34</v>
      </c>
      <c r="C68" s="17"/>
      <c r="D68" s="30">
        <f ca="1">IFERROR(__xludf.DUMMYFUNCTION("""COMPUTED_VALUE"""),3849.34)</f>
        <v>3849.34</v>
      </c>
      <c r="G68" s="30"/>
    </row>
    <row r="69" spans="1:7" ht="12.5" x14ac:dyDescent="0.25">
      <c r="A69" s="17" t="str">
        <f ca="1">IFERROR(__xludf.DUMMYFUNCTION("""COMPUTED_VALUE"""),"C1300-24XS")</f>
        <v>C1300-24XS</v>
      </c>
      <c r="B69" s="30">
        <f ca="1">IFERROR(__xludf.DUMMYFUNCTION("""COMPUTED_VALUE"""),3983.44)</f>
        <v>3983.44</v>
      </c>
      <c r="C69" s="17"/>
      <c r="D69" s="30">
        <f ca="1">IFERROR(__xludf.DUMMYFUNCTION("""COMPUTED_VALUE"""),3983.44)</f>
        <v>3983.44</v>
      </c>
      <c r="G69" s="30"/>
    </row>
    <row r="70" spans="1:7" ht="12.5" x14ac:dyDescent="0.25">
      <c r="A70" s="17" t="str">
        <f ca="1">IFERROR(__xludf.DUMMYFUNCTION("""COMPUTED_VALUE"""),"C1300-24XT")</f>
        <v>C1300-24XT</v>
      </c>
      <c r="B70" s="30">
        <f ca="1">IFERROR(__xludf.DUMMYFUNCTION("""COMPUTED_VALUE"""),5118.44)</f>
        <v>5118.4399999999996</v>
      </c>
      <c r="C70" s="17"/>
      <c r="D70" s="30">
        <f ca="1">IFERROR(__xludf.DUMMYFUNCTION("""COMPUTED_VALUE"""),5118.44)</f>
        <v>5118.4399999999996</v>
      </c>
      <c r="G70" s="30"/>
    </row>
    <row r="71" spans="1:7" ht="12.5" x14ac:dyDescent="0.25">
      <c r="A71" s="17" t="str">
        <f ca="1">IFERROR(__xludf.DUMMYFUNCTION("""COMPUTED_VALUE"""),"C1300-24XTS")</f>
        <v>C1300-24XTS</v>
      </c>
      <c r="B71" s="30">
        <f ca="1">IFERROR(__xludf.DUMMYFUNCTION("""COMPUTED_VALUE"""),4937.7)</f>
        <v>4937.7</v>
      </c>
      <c r="C71" s="17"/>
      <c r="D71" s="30">
        <f ca="1">IFERROR(__xludf.DUMMYFUNCTION("""COMPUTED_VALUE"""),4937.7)</f>
        <v>4937.7</v>
      </c>
      <c r="G71" s="30"/>
    </row>
    <row r="72" spans="1:7" ht="12.5" x14ac:dyDescent="0.25">
      <c r="A72" s="17" t="str">
        <f ca="1">IFERROR(__xludf.DUMMYFUNCTION("""COMPUTED_VALUE"""),"C1300X-24T-4X")</f>
        <v>C1300X-24T-4X</v>
      </c>
      <c r="B72" s="30">
        <f ca="1">IFERROR(__xludf.DUMMYFUNCTION("""COMPUTED_VALUE"""),1187.92)</f>
        <v>1187.92</v>
      </c>
      <c r="C72" s="17"/>
      <c r="D72" s="30">
        <f ca="1">IFERROR(__xludf.DUMMYFUNCTION("""COMPUTED_VALUE"""),1187.92)</f>
        <v>1187.92</v>
      </c>
      <c r="G72" s="30"/>
    </row>
    <row r="73" spans="1:7" ht="12.5" x14ac:dyDescent="0.25">
      <c r="A73" s="17" t="str">
        <f ca="1">IFERROR(__xludf.DUMMYFUNCTION("""COMPUTED_VALUE"""),"C1300X-48T-4X")</f>
        <v>C1300X-48T-4X</v>
      </c>
      <c r="B73" s="30">
        <f ca="1">IFERROR(__xludf.DUMMYFUNCTION("""COMPUTED_VALUE"""),1723.05)</f>
        <v>1723.05</v>
      </c>
      <c r="C73" s="17"/>
      <c r="D73" s="30">
        <f ca="1">IFERROR(__xludf.DUMMYFUNCTION("""COMPUTED_VALUE"""),1723.05)</f>
        <v>1723.05</v>
      </c>
      <c r="G73" s="30"/>
    </row>
    <row r="74" spans="1:7" ht="12.5" x14ac:dyDescent="0.25">
      <c r="A74" s="17" t="str">
        <f ca="1">IFERROR(__xludf.DUMMYFUNCTION("""COMPUTED_VALUE"""),"C1300X-24P-4X")</f>
        <v>C1300X-24P-4X</v>
      </c>
      <c r="B74" s="30">
        <f ca="1">IFERROR(__xludf.DUMMYFUNCTION("""COMPUTED_VALUE"""),1925.65)</f>
        <v>1925.65</v>
      </c>
      <c r="C74" s="17"/>
      <c r="D74" s="30">
        <f ca="1">IFERROR(__xludf.DUMMYFUNCTION("""COMPUTED_VALUE"""),1925.65)</f>
        <v>1925.65</v>
      </c>
      <c r="G74" s="30"/>
    </row>
    <row r="75" spans="1:7" ht="12.5" x14ac:dyDescent="0.25">
      <c r="A75" s="17" t="str">
        <f ca="1">IFERROR(__xludf.DUMMYFUNCTION("""COMPUTED_VALUE"""),"C1300X-48P-4X")</f>
        <v>C1300X-48P-4X</v>
      </c>
      <c r="B75" s="30">
        <f ca="1">IFERROR(__xludf.DUMMYFUNCTION("""COMPUTED_VALUE"""),2982.58)</f>
        <v>2982.58</v>
      </c>
      <c r="C75" s="17"/>
      <c r="D75" s="30">
        <f ca="1">IFERROR(__xludf.DUMMYFUNCTION("""COMPUTED_VALUE"""),2982.58)</f>
        <v>2982.58</v>
      </c>
      <c r="G75" s="30"/>
    </row>
    <row r="76" spans="1:7" ht="12.5" x14ac:dyDescent="0.25">
      <c r="A76" s="17" t="str">
        <f ca="1">IFERROR(__xludf.DUMMYFUNCTION("""COMPUTED_VALUE"""),"C9500-32C")</f>
        <v>C9500-32C</v>
      </c>
      <c r="B76" s="30">
        <f ca="1">IFERROR(__xludf.DUMMYFUNCTION("""COMPUTED_VALUE"""),85280.32)</f>
        <v>85280.320000000007</v>
      </c>
      <c r="C76" s="17"/>
      <c r="D76" s="30">
        <f ca="1">IFERROR(__xludf.DUMMYFUNCTION("""COMPUTED_VALUE"""),85280.32)</f>
        <v>85280.320000000007</v>
      </c>
      <c r="G76" s="30"/>
    </row>
    <row r="77" spans="1:7" ht="12.5" x14ac:dyDescent="0.25">
      <c r="A77" s="17" t="str">
        <f ca="1">IFERROR(__xludf.DUMMYFUNCTION("""COMPUTED_VALUE"""),"C9500-32QC")</f>
        <v>C9500-32QC</v>
      </c>
      <c r="B77" s="30">
        <f ca="1">IFERROR(__xludf.DUMMYFUNCTION("""COMPUTED_VALUE"""),76987.18)</f>
        <v>76987.179999999993</v>
      </c>
      <c r="C77" s="17"/>
      <c r="D77" s="30">
        <f ca="1">IFERROR(__xludf.DUMMYFUNCTION("""COMPUTED_VALUE"""),76987.18)</f>
        <v>76987.179999999993</v>
      </c>
      <c r="G77" s="30"/>
    </row>
    <row r="78" spans="1:7" ht="12.5" x14ac:dyDescent="0.25">
      <c r="A78" s="17" t="str">
        <f ca="1">IFERROR(__xludf.DUMMYFUNCTION("""COMPUTED_VALUE"""),"C9500-48Y4C")</f>
        <v>C9500-48Y4C</v>
      </c>
      <c r="B78" s="30">
        <f ca="1">IFERROR(__xludf.DUMMYFUNCTION("""COMPUTED_VALUE"""),65076.01)</f>
        <v>65076.01</v>
      </c>
      <c r="C78" s="17"/>
      <c r="D78" s="30">
        <f ca="1">IFERROR(__xludf.DUMMYFUNCTION("""COMPUTED_VALUE"""),65076.01)</f>
        <v>65076.01</v>
      </c>
      <c r="G78" s="30"/>
    </row>
    <row r="79" spans="1:7" ht="12.5" x14ac:dyDescent="0.25">
      <c r="A79" s="17" t="str">
        <f ca="1">IFERROR(__xludf.DUMMYFUNCTION("""COMPUTED_VALUE"""),"C9500-24Y4C")</f>
        <v>C9500-24Y4C</v>
      </c>
      <c r="B79" s="30">
        <f ca="1">IFERROR(__xludf.DUMMYFUNCTION("""COMPUTED_VALUE"""),54433.3)</f>
        <v>54433.3</v>
      </c>
      <c r="C79" s="17"/>
      <c r="D79" s="30">
        <f ca="1">IFERROR(__xludf.DUMMYFUNCTION("""COMPUTED_VALUE"""),54433.3)</f>
        <v>54433.3</v>
      </c>
      <c r="G79" s="30"/>
    </row>
    <row r="80" spans="1:7" ht="12.5" x14ac:dyDescent="0.25">
      <c r="A80" s="17" t="str">
        <f ca="1">IFERROR(__xludf.DUMMYFUNCTION("""COMPUTED_VALUE"""),"C9500X-28C8D")</f>
        <v>C9500X-28C8D</v>
      </c>
      <c r="B80" s="30">
        <f ca="1">IFERROR(__xludf.DUMMYFUNCTION("""COMPUTED_VALUE"""),166221.42)</f>
        <v>166221.42000000001</v>
      </c>
      <c r="C80" s="17"/>
      <c r="D80" s="30">
        <f ca="1">IFERROR(__xludf.DUMMYFUNCTION("""COMPUTED_VALUE"""),166221.42)</f>
        <v>166221.42000000001</v>
      </c>
      <c r="G80" s="30"/>
    </row>
    <row r="81" spans="1:7" ht="12.5" x14ac:dyDescent="0.25">
      <c r="A81" s="17" t="str">
        <f ca="1">IFERROR(__xludf.DUMMYFUNCTION("""COMPUTED_VALUE"""),"C9500X-60L4D")</f>
        <v>C9500X-60L4D</v>
      </c>
      <c r="B81" s="30">
        <f ca="1">IFERROR(__xludf.DUMMYFUNCTION("""COMPUTED_VALUE"""),127832.66)</f>
        <v>127832.66</v>
      </c>
      <c r="C81" s="17"/>
      <c r="D81" s="30">
        <f ca="1">IFERROR(__xludf.DUMMYFUNCTION("""COMPUTED_VALUE"""),127832.66)</f>
        <v>127832.66</v>
      </c>
      <c r="G81" s="30"/>
    </row>
    <row r="82" spans="1:7" ht="12.5" x14ac:dyDescent="0.25">
      <c r="A82" s="17" t="str">
        <f ca="1">IFERROR(__xludf.DUMMYFUNCTION("""COMPUTED_VALUE"""),"APIC-CLUSTERG5")</f>
        <v>APIC-CLUSTERG5</v>
      </c>
      <c r="B82" s="30">
        <f ca="1">IFERROR(__xludf.DUMMYFUNCTION("""COMPUTED_VALUE"""),161856.78)</f>
        <v>161856.78</v>
      </c>
      <c r="C82" s="17"/>
      <c r="D82" s="30">
        <f ca="1">IFERROR(__xludf.DUMMYFUNCTION("""COMPUTED_VALUE"""),161856.78)</f>
        <v>161856.78</v>
      </c>
      <c r="G82" s="30"/>
    </row>
    <row r="83" spans="1:7" ht="12.5" x14ac:dyDescent="0.25">
      <c r="A83" s="17" t="str">
        <f ca="1">IFERROR(__xludf.DUMMYFUNCTION("""COMPUTED_VALUE"""),"N9K-C9504")</f>
        <v>N9K-C9504</v>
      </c>
      <c r="B83" s="30">
        <f ca="1">IFERROR(__xludf.DUMMYFUNCTION("""COMPUTED_VALUE"""),361526.13)</f>
        <v>361526.13</v>
      </c>
      <c r="C83" s="17"/>
      <c r="D83" s="30">
        <f ca="1">IFERROR(__xludf.DUMMYFUNCTION("""COMPUTED_VALUE"""),361526.13)</f>
        <v>361526.13</v>
      </c>
      <c r="G83" s="30"/>
    </row>
    <row r="84" spans="1:7" ht="12.5" x14ac:dyDescent="0.25">
      <c r="A84" s="17" t="str">
        <f ca="1">IFERROR(__xludf.DUMMYFUNCTION("""COMPUTED_VALUE"""),"N9K-X9736C-FX3=")</f>
        <v>N9K-X9736C-FX3=</v>
      </c>
      <c r="B84" s="30">
        <f ca="1">IFERROR(__xludf.DUMMYFUNCTION("""COMPUTED_VALUE"""),56066.35)</f>
        <v>56066.35</v>
      </c>
      <c r="C84" s="17"/>
      <c r="D84" s="30">
        <f ca="1">IFERROR(__xludf.DUMMYFUNCTION("""COMPUTED_VALUE"""),56066.35)</f>
        <v>56066.35</v>
      </c>
      <c r="G84" s="30"/>
    </row>
    <row r="85" spans="1:7" ht="12.5" x14ac:dyDescent="0.25">
      <c r="A85" s="17" t="str">
        <f ca="1">IFERROR(__xludf.DUMMYFUNCTION("""COMPUTED_VALUE"""),"N9K-C93600CD-GX")</f>
        <v>N9K-C93600CD-GX</v>
      </c>
      <c r="B85" s="30">
        <f ca="1">IFERROR(__xludf.DUMMYFUNCTION("""COMPUTED_VALUE"""),118659.89)</f>
        <v>118659.89</v>
      </c>
      <c r="C85" s="17"/>
      <c r="D85" s="30">
        <f ca="1">IFERROR(__xludf.DUMMYFUNCTION("""COMPUTED_VALUE"""),118659.89)</f>
        <v>118659.89</v>
      </c>
      <c r="G85" s="30"/>
    </row>
    <row r="86" spans="1:7" ht="12.5" x14ac:dyDescent="0.25">
      <c r="A86" s="17" t="str">
        <f ca="1">IFERROR(__xludf.DUMMYFUNCTION("""COMPUTED_VALUE"""),"N9K-C93180YC-FX3")</f>
        <v>N9K-C93180YC-FX3</v>
      </c>
      <c r="B86" s="30">
        <f ca="1">IFERROR(__xludf.DUMMYFUNCTION("""COMPUTED_VALUE"""),69697.92)</f>
        <v>69697.919999999998</v>
      </c>
      <c r="C86" s="17"/>
      <c r="D86" s="30">
        <f ca="1">IFERROR(__xludf.DUMMYFUNCTION("""COMPUTED_VALUE"""),69697.92)</f>
        <v>69697.919999999998</v>
      </c>
      <c r="G86" s="30"/>
    </row>
    <row r="87" spans="1:7" ht="12.5" x14ac:dyDescent="0.25">
      <c r="A87" s="17" t="str">
        <f ca="1">IFERROR(__xludf.DUMMYFUNCTION("""COMPUTED_VALUE"""),"N9K-C9348GC-FX3")</f>
        <v>N9K-C9348GC-FX3</v>
      </c>
      <c r="B87" s="30">
        <f ca="1">IFERROR(__xludf.DUMMYFUNCTION("""COMPUTED_VALUE"""),30084.92)</f>
        <v>30084.92</v>
      </c>
      <c r="C87" s="17"/>
      <c r="D87" s="30">
        <f ca="1">IFERROR(__xludf.DUMMYFUNCTION("""COMPUTED_VALUE"""),30084.92)</f>
        <v>30084.92</v>
      </c>
      <c r="G87" s="30"/>
    </row>
    <row r="88" spans="1:7" ht="12.5" x14ac:dyDescent="0.25">
      <c r="A88" s="17" t="str">
        <f ca="1">IFERROR(__xludf.DUMMYFUNCTION("""COMPUTED_VALUE"""),"QSFP-100G-LR-S=")</f>
        <v>QSFP-100G-LR-S=</v>
      </c>
      <c r="B88" s="30">
        <f ca="1">IFERROR(__xludf.DUMMYFUNCTION("""COMPUTED_VALUE"""),4130.83)</f>
        <v>4130.83</v>
      </c>
      <c r="C88" s="17"/>
      <c r="D88" s="30">
        <f ca="1">IFERROR(__xludf.DUMMYFUNCTION("""COMPUTED_VALUE"""),4130.83)</f>
        <v>4130.83</v>
      </c>
      <c r="G88" s="30"/>
    </row>
    <row r="89" spans="1:7" ht="12.5" x14ac:dyDescent="0.25">
      <c r="A89" s="17" t="str">
        <f ca="1">IFERROR(__xludf.DUMMYFUNCTION("""COMPUTED_VALUE"""),"C1161X-8P")</f>
        <v>C1161X-8P</v>
      </c>
      <c r="B89" s="30">
        <f ca="1">IFERROR(__xludf.DUMMYFUNCTION("""COMPUTED_VALUE"""),10544.1899999999)</f>
        <v>10544.1899999999</v>
      </c>
      <c r="C89" s="17"/>
      <c r="D89" s="30">
        <f ca="1">IFERROR(__xludf.DUMMYFUNCTION("""COMPUTED_VALUE"""),10544.1899999999)</f>
        <v>10544.1899999999</v>
      </c>
      <c r="G89" s="30"/>
    </row>
    <row r="90" spans="1:7" ht="12.5" x14ac:dyDescent="0.25">
      <c r="A90" s="17" t="str">
        <f ca="1">IFERROR(__xludf.DUMMYFUNCTION("""COMPUTED_VALUE"""),"C1127-8PLTEP")</f>
        <v>C1127-8PLTEP</v>
      </c>
      <c r="B90" s="30">
        <f ca="1">IFERROR(__xludf.DUMMYFUNCTION("""COMPUTED_VALUE"""),9119.72)</f>
        <v>9119.7199999999993</v>
      </c>
      <c r="C90" s="17"/>
      <c r="D90" s="30">
        <f ca="1">IFERROR(__xludf.DUMMYFUNCTION("""COMPUTED_VALUE"""),9119.72)</f>
        <v>9119.7199999999993</v>
      </c>
      <c r="G90" s="30"/>
    </row>
    <row r="91" spans="1:7" ht="12.5" x14ac:dyDescent="0.25">
      <c r="A91" s="17" t="str">
        <f ca="1">IFERROR(__xludf.DUMMYFUNCTION("""COMPUTED_VALUE"""),"C1117-4P")</f>
        <v>C1117-4P</v>
      </c>
      <c r="B91" s="30">
        <f ca="1">IFERROR(__xludf.DUMMYFUNCTION("""COMPUTED_VALUE"""),8670.43999999999)</f>
        <v>8670.4399999999896</v>
      </c>
      <c r="C91" s="17"/>
      <c r="D91" s="30">
        <f ca="1">IFERROR(__xludf.DUMMYFUNCTION("""COMPUTED_VALUE"""),8670.43999999999)</f>
        <v>8670.4399999999896</v>
      </c>
      <c r="G91" s="30"/>
    </row>
    <row r="92" spans="1:7" ht="12.5" x14ac:dyDescent="0.25">
      <c r="A92" s="17" t="str">
        <f ca="1">IFERROR(__xludf.DUMMYFUNCTION("""COMPUTED_VALUE"""),"C1109-4PLTE2P")</f>
        <v>C1109-4PLTE2P</v>
      </c>
      <c r="B92" s="30">
        <f ca="1">IFERROR(__xludf.DUMMYFUNCTION("""COMPUTED_VALUE"""),9255.74)</f>
        <v>9255.74</v>
      </c>
      <c r="C92" s="17"/>
      <c r="D92" s="30">
        <f ca="1">IFERROR(__xludf.DUMMYFUNCTION("""COMPUTED_VALUE"""),9255.74)</f>
        <v>9255.74</v>
      </c>
      <c r="G92" s="30"/>
    </row>
    <row r="93" spans="1:7" ht="12.5" x14ac:dyDescent="0.25">
      <c r="A93" s="17" t="str">
        <f ca="1">IFERROR(__xludf.DUMMYFUNCTION("""COMPUTED_VALUE"""),"C1161-8P")</f>
        <v>C1161-8P</v>
      </c>
      <c r="B93" s="30">
        <f ca="1">IFERROR(__xludf.DUMMYFUNCTION("""COMPUTED_VALUE"""),9295.63)</f>
        <v>9295.6299999999992</v>
      </c>
      <c r="C93" s="17"/>
      <c r="D93" s="30">
        <f ca="1">IFERROR(__xludf.DUMMYFUNCTION("""COMPUTED_VALUE"""),9295.63)</f>
        <v>9295.6299999999992</v>
      </c>
      <c r="G93" s="30"/>
    </row>
    <row r="94" spans="1:7" ht="12.5" x14ac:dyDescent="0.25">
      <c r="A94" s="17" t="str">
        <f ca="1">IFERROR(__xludf.DUMMYFUNCTION("""COMPUTED_VALUE"""),"C1131-8PWS")</f>
        <v>C1131-8PWS</v>
      </c>
      <c r="B94" s="30">
        <f ca="1">IFERROR(__xludf.DUMMYFUNCTION("""COMPUTED_VALUE"""),9167.72)</f>
        <v>9167.7199999999993</v>
      </c>
      <c r="C94" s="17"/>
      <c r="D94" s="30">
        <f ca="1">IFERROR(__xludf.DUMMYFUNCTION("""COMPUTED_VALUE"""),9167.72)</f>
        <v>9167.7199999999993</v>
      </c>
      <c r="G94" s="30"/>
    </row>
    <row r="95" spans="1:7" ht="12.5" x14ac:dyDescent="0.25">
      <c r="A95" s="17" t="str">
        <f ca="1">IFERROR(__xludf.DUMMYFUNCTION("""COMPUTED_VALUE"""),"C1131X-8PWS")</f>
        <v>C1131X-8PWS</v>
      </c>
      <c r="B95" s="30">
        <f ca="1">IFERROR(__xludf.DUMMYFUNCTION("""COMPUTED_VALUE"""),9409.5)</f>
        <v>9409.5</v>
      </c>
      <c r="C95" s="17"/>
      <c r="D95" s="30">
        <f ca="1">IFERROR(__xludf.DUMMYFUNCTION("""COMPUTED_VALUE"""),9409.5)</f>
        <v>9409.5</v>
      </c>
      <c r="G95" s="30"/>
    </row>
    <row r="96" spans="1:7" ht="12.5" x14ac:dyDescent="0.25">
      <c r="A96" s="17" t="str">
        <f ca="1">IFERROR(__xludf.DUMMYFUNCTION("""COMPUTED_VALUE"""),"C1121-4P")</f>
        <v>C1121-4P</v>
      </c>
      <c r="B96" s="30">
        <f ca="1">IFERROR(__xludf.DUMMYFUNCTION("""COMPUTED_VALUE"""),8116.29999999999)</f>
        <v>8116.2999999999902</v>
      </c>
      <c r="C96" s="17"/>
      <c r="D96" s="30">
        <f ca="1">IFERROR(__xludf.DUMMYFUNCTION("""COMPUTED_VALUE"""),8116.29999999999)</f>
        <v>8116.2999999999902</v>
      </c>
      <c r="G96" s="30"/>
    </row>
    <row r="97" spans="1:7" ht="12.5" x14ac:dyDescent="0.25">
      <c r="A97" s="17" t="str">
        <f ca="1">IFERROR(__xludf.DUMMYFUNCTION("""COMPUTED_VALUE"""),"C1121-8P")</f>
        <v>C1121-8P</v>
      </c>
      <c r="B97" s="30">
        <f ca="1">IFERROR(__xludf.DUMMYFUNCTION("""COMPUTED_VALUE"""),8446.06)</f>
        <v>8446.06</v>
      </c>
      <c r="C97" s="17"/>
      <c r="D97" s="30">
        <f ca="1">IFERROR(__xludf.DUMMYFUNCTION("""COMPUTED_VALUE"""),8446.06)</f>
        <v>8446.06</v>
      </c>
      <c r="G97" s="30"/>
    </row>
    <row r="98" spans="1:7" ht="12.5" x14ac:dyDescent="0.25">
      <c r="A98" s="17" t="str">
        <f ca="1">IFERROR(__xludf.DUMMYFUNCTION("""COMPUTED_VALUE"""),"C1116-4P")</f>
        <v>C1116-4P</v>
      </c>
      <c r="B98" s="30">
        <f ca="1">IFERROR(__xludf.DUMMYFUNCTION("""COMPUTED_VALUE"""),8670.43999999999)</f>
        <v>8670.4399999999896</v>
      </c>
      <c r="C98" s="17"/>
      <c r="D98" s="30">
        <f ca="1">IFERROR(__xludf.DUMMYFUNCTION("""COMPUTED_VALUE"""),8670.43999999999)</f>
        <v>8670.4399999999896</v>
      </c>
      <c r="G98" s="30"/>
    </row>
    <row r="99" spans="1:7" ht="12.5" x14ac:dyDescent="0.25">
      <c r="A99" s="17" t="str">
        <f ca="1">IFERROR(__xludf.DUMMYFUNCTION("""COMPUTED_VALUE"""),"C1112-8P")</f>
        <v>C1112-8P</v>
      </c>
      <c r="B99" s="30">
        <f ca="1">IFERROR(__xludf.DUMMYFUNCTION("""COMPUTED_VALUE"""),9786.58)</f>
        <v>9786.58</v>
      </c>
      <c r="C99" s="17"/>
      <c r="D99" s="30">
        <f ca="1">IFERROR(__xludf.DUMMYFUNCTION("""COMPUTED_VALUE"""),9786.58)</f>
        <v>9786.58</v>
      </c>
      <c r="G99" s="30"/>
    </row>
    <row r="100" spans="1:7" ht="12.5" x14ac:dyDescent="0.25">
      <c r="A100" s="17" t="str">
        <f ca="1">IFERROR(__xludf.DUMMYFUNCTION("""COMPUTED_VALUE"""),"C8355-G2 (Default Routing)")</f>
        <v>C8355-G2 (Default Routing)</v>
      </c>
      <c r="B100" s="30">
        <f ca="1">IFERROR(__xludf.DUMMYFUNCTION("""COMPUTED_VALUE"""),26043.76)</f>
        <v>26043.759999999998</v>
      </c>
      <c r="C100" s="17"/>
      <c r="D100" s="30">
        <f ca="1">IFERROR(__xludf.DUMMYFUNCTION("""COMPUTED_VALUE"""),26043.76)</f>
        <v>26043.759999999998</v>
      </c>
      <c r="G100" s="30"/>
    </row>
    <row r="101" spans="1:7" ht="12.5" x14ac:dyDescent="0.25">
      <c r="A101" s="17" t="str">
        <f ca="1">IFERROR(__xludf.DUMMYFUNCTION("""COMPUTED_VALUE"""),"C8355-G2 (Adv Routing)")</f>
        <v>C8355-G2 (Adv Routing)</v>
      </c>
      <c r="B101" s="30">
        <f ca="1">IFERROR(__xludf.DUMMYFUNCTION("""COMPUTED_VALUE"""),36123.7599999999)</f>
        <v>36123.7599999999</v>
      </c>
      <c r="C101" s="17"/>
      <c r="D101" s="30">
        <f ca="1">IFERROR(__xludf.DUMMYFUNCTION("""COMPUTED_VALUE"""),36123.7599999999)</f>
        <v>36123.7599999999</v>
      </c>
      <c r="G101" s="30"/>
    </row>
    <row r="102" spans="1:7" ht="12.5" x14ac:dyDescent="0.25">
      <c r="A102" s="17" t="str">
        <f ca="1">IFERROR(__xludf.DUMMYFUNCTION("""COMPUTED_VALUE"""),"C8355-G2 (SDWAN)")</f>
        <v>C8355-G2 (SDWAN)</v>
      </c>
      <c r="B102" s="30">
        <f ca="1">IFERROR(__xludf.DUMMYFUNCTION("""COMPUTED_VALUE"""),40227.7599999999)</f>
        <v>40227.7599999999</v>
      </c>
      <c r="C102" s="17"/>
      <c r="D102" s="30">
        <f ca="1">IFERROR(__xludf.DUMMYFUNCTION("""COMPUTED_VALUE"""),40227.7599999999)</f>
        <v>40227.7599999999</v>
      </c>
      <c r="G102" s="30"/>
    </row>
    <row r="103" spans="1:7" ht="12.5" x14ac:dyDescent="0.25">
      <c r="A103" s="17" t="str">
        <f ca="1">IFERROR(__xludf.DUMMYFUNCTION("""COMPUTED_VALUE"""),"C8355-G2 (Full Adds On)")</f>
        <v>C8355-G2 (Full Adds On)</v>
      </c>
      <c r="B103" s="30">
        <f ca="1">IFERROR(__xludf.DUMMYFUNCTION("""COMPUTED_VALUE"""),42063.7599999999)</f>
        <v>42063.7599999999</v>
      </c>
      <c r="C103" s="17"/>
      <c r="D103" s="30">
        <f ca="1">IFERROR(__xludf.DUMMYFUNCTION("""COMPUTED_VALUE"""),42063.7599999999)</f>
        <v>42063.7599999999</v>
      </c>
      <c r="G103" s="30"/>
    </row>
    <row r="104" spans="1:7" ht="12.5" x14ac:dyDescent="0.25">
      <c r="A104" s="17" t="str">
        <f ca="1">IFERROR(__xludf.DUMMYFUNCTION("""COMPUTED_VALUE"""),"C8375-E-G2 (Default Routing)")</f>
        <v>C8375-E-G2 (Default Routing)</v>
      </c>
      <c r="B104" s="30">
        <f ca="1">IFERROR(__xludf.DUMMYFUNCTION("""COMPUTED_VALUE"""),44396.56)</f>
        <v>44396.56</v>
      </c>
      <c r="C104" s="17"/>
      <c r="D104" s="30">
        <f ca="1">IFERROR(__xludf.DUMMYFUNCTION("""COMPUTED_VALUE"""),44396.56)</f>
        <v>44396.56</v>
      </c>
      <c r="G104" s="30"/>
    </row>
    <row r="105" spans="1:7" ht="12.5" x14ac:dyDescent="0.25">
      <c r="A105" s="17" t="str">
        <f ca="1">IFERROR(__xludf.DUMMYFUNCTION("""COMPUTED_VALUE"""),"C8375-E-G2 (Adv Routing)")</f>
        <v>C8375-E-G2 (Adv Routing)</v>
      </c>
      <c r="B105" s="30">
        <f ca="1">IFERROR(__xludf.DUMMYFUNCTION("""COMPUTED_VALUE"""),54476.56)</f>
        <v>54476.56</v>
      </c>
      <c r="C105" s="17"/>
      <c r="D105" s="30">
        <f ca="1">IFERROR(__xludf.DUMMYFUNCTION("""COMPUTED_VALUE"""),54476.56)</f>
        <v>54476.56</v>
      </c>
      <c r="G105" s="30"/>
    </row>
    <row r="106" spans="1:7" ht="12.5" x14ac:dyDescent="0.25">
      <c r="A106" s="17" t="str">
        <f ca="1">IFERROR(__xludf.DUMMYFUNCTION("""COMPUTED_VALUE"""),"C8375-E-G2 (SDWAN)")</f>
        <v>C8375-E-G2 (SDWAN)</v>
      </c>
      <c r="B106" s="30">
        <f ca="1">IFERROR(__xludf.DUMMYFUNCTION("""COMPUTED_VALUE"""),58580.56)</f>
        <v>58580.56</v>
      </c>
      <c r="C106" s="17"/>
      <c r="D106" s="30">
        <f ca="1">IFERROR(__xludf.DUMMYFUNCTION("""COMPUTED_VALUE"""),58580.56)</f>
        <v>58580.56</v>
      </c>
      <c r="G106" s="30"/>
    </row>
    <row r="107" spans="1:7" ht="12.5" x14ac:dyDescent="0.25">
      <c r="A107" s="17" t="str">
        <f ca="1">IFERROR(__xludf.DUMMYFUNCTION("""COMPUTED_VALUE"""),"C8375-E-G2 (Full Adds On)")</f>
        <v>C8375-E-G2 (Full Adds On)</v>
      </c>
      <c r="B107" s="30">
        <f ca="1">IFERROR(__xludf.DUMMYFUNCTION("""COMPUTED_VALUE"""),60416.56)</f>
        <v>60416.56</v>
      </c>
      <c r="C107" s="17"/>
      <c r="D107" s="30">
        <f ca="1">IFERROR(__xludf.DUMMYFUNCTION("""COMPUTED_VALUE"""),60416.56)</f>
        <v>60416.56</v>
      </c>
      <c r="G107" s="30"/>
    </row>
    <row r="108" spans="1:7" ht="12.5" x14ac:dyDescent="0.25">
      <c r="A108" s="17" t="str">
        <f ca="1">IFERROR(__xludf.DUMMYFUNCTION("""COMPUTED_VALUE"""),"C8550-G2 (Default Routing)")</f>
        <v>C8550-G2 (Default Routing)</v>
      </c>
      <c r="B108" s="30">
        <f ca="1">IFERROR(__xludf.DUMMYFUNCTION("""COMPUTED_VALUE"""),182038.62)</f>
        <v>182038.62</v>
      </c>
      <c r="C108" s="17"/>
      <c r="D108" s="30">
        <f ca="1">IFERROR(__xludf.DUMMYFUNCTION("""COMPUTED_VALUE"""),182038.62)</f>
        <v>182038.62</v>
      </c>
      <c r="G108" s="30"/>
    </row>
    <row r="109" spans="1:7" ht="12.5" x14ac:dyDescent="0.25">
      <c r="A109" s="17" t="str">
        <f ca="1">IFERROR(__xludf.DUMMYFUNCTION("""COMPUTED_VALUE"""),"C8550-G2 (Adv Routing)")</f>
        <v>C8550-G2 (Adv Routing)</v>
      </c>
      <c r="B109" s="30">
        <f ca="1">IFERROR(__xludf.DUMMYFUNCTION("""COMPUTED_VALUE"""),215638.62)</f>
        <v>215638.62</v>
      </c>
      <c r="C109" s="17"/>
      <c r="D109" s="30">
        <f ca="1">IFERROR(__xludf.DUMMYFUNCTION("""COMPUTED_VALUE"""),215638.62)</f>
        <v>215638.62</v>
      </c>
      <c r="G109" s="30"/>
    </row>
    <row r="110" spans="1:7" ht="12.5" x14ac:dyDescent="0.25">
      <c r="A110" s="17" t="str">
        <f ca="1">IFERROR(__xludf.DUMMYFUNCTION("""COMPUTED_VALUE"""),"C8550-G2 (SDWAN)")</f>
        <v>C8550-G2 (SDWAN)</v>
      </c>
      <c r="B110" s="30">
        <f ca="1">IFERROR(__xludf.DUMMYFUNCTION("""COMPUTED_VALUE"""),237226.62)</f>
        <v>237226.62</v>
      </c>
      <c r="C110" s="17"/>
      <c r="D110" s="30">
        <f ca="1">IFERROR(__xludf.DUMMYFUNCTION("""COMPUTED_VALUE"""),237226.62)</f>
        <v>237226.62</v>
      </c>
      <c r="G110" s="30"/>
    </row>
    <row r="111" spans="1:7" ht="12.5" x14ac:dyDescent="0.25">
      <c r="A111" s="17" t="str">
        <f ca="1">IFERROR(__xludf.DUMMYFUNCTION("""COMPUTED_VALUE"""),"C8570-G2 (Default Routing)")</f>
        <v>C8570-G2 (Default Routing)</v>
      </c>
      <c r="B111" s="30">
        <f ca="1">IFERROR(__xludf.DUMMYFUNCTION("""COMPUTED_VALUE"""),254910.54)</f>
        <v>254910.54</v>
      </c>
      <c r="C111" s="17"/>
      <c r="D111" s="30">
        <f ca="1">IFERROR(__xludf.DUMMYFUNCTION("""COMPUTED_VALUE"""),254910.54)</f>
        <v>254910.54</v>
      </c>
      <c r="G111" s="30"/>
    </row>
    <row r="112" spans="1:7" ht="12.5" x14ac:dyDescent="0.25">
      <c r="A112" s="17" t="str">
        <f ca="1">IFERROR(__xludf.DUMMYFUNCTION("""COMPUTED_VALUE"""),"C8570-G2 (Adv Routing)")</f>
        <v>C8570-G2 (Adv Routing)</v>
      </c>
      <c r="B112" s="30">
        <f ca="1">IFERROR(__xludf.DUMMYFUNCTION("""COMPUTED_VALUE"""),288510.54)</f>
        <v>288510.53999999998</v>
      </c>
      <c r="C112" s="17"/>
      <c r="D112" s="30">
        <f ca="1">IFERROR(__xludf.DUMMYFUNCTION("""COMPUTED_VALUE"""),288510.54)</f>
        <v>288510.53999999998</v>
      </c>
      <c r="G112" s="30"/>
    </row>
    <row r="113" spans="1:7" ht="12.5" x14ac:dyDescent="0.25">
      <c r="A113" s="17" t="str">
        <f ca="1">IFERROR(__xludf.DUMMYFUNCTION("""COMPUTED_VALUE"""),"C8570-G2 (SDWAN)")</f>
        <v>C8570-G2 (SDWAN)</v>
      </c>
      <c r="B113" s="30">
        <f ca="1">IFERROR(__xludf.DUMMYFUNCTION("""COMPUTED_VALUE"""),310098.54)</f>
        <v>310098.53999999998</v>
      </c>
      <c r="C113" s="17"/>
      <c r="D113" s="30">
        <f ca="1">IFERROR(__xludf.DUMMYFUNCTION("""COMPUTED_VALUE"""),310098.54)</f>
        <v>310098.53999999998</v>
      </c>
      <c r="G113" s="30"/>
    </row>
    <row r="114" spans="1:7" ht="12.5" x14ac:dyDescent="0.25">
      <c r="A114" s="17" t="str">
        <f ca="1">IFERROR(__xludf.DUMMYFUNCTION("""COMPUTED_VALUE"""),"C8455-G2 (Default Routing)")</f>
        <v>C8455-G2 (Default Routing)</v>
      </c>
      <c r="B114" s="30">
        <f ca="1">IFERROR(__xludf.DUMMYFUNCTION("""COMPUTED_VALUE"""),60581.28)</f>
        <v>60581.279999999999</v>
      </c>
      <c r="C114" s="17"/>
      <c r="D114" s="30">
        <f ca="1">IFERROR(__xludf.DUMMYFUNCTION("""COMPUTED_VALUE"""),60581.28)</f>
        <v>60581.279999999999</v>
      </c>
      <c r="G114" s="30"/>
    </row>
    <row r="115" spans="1:7" ht="12.5" x14ac:dyDescent="0.25">
      <c r="A115" s="17" t="str">
        <f ca="1">IFERROR(__xludf.DUMMYFUNCTION("""COMPUTED_VALUE"""),"C8455-G2 (Adv Routing)")</f>
        <v>C8455-G2 (Adv Routing)</v>
      </c>
      <c r="B115" s="30">
        <f ca="1">IFERROR(__xludf.DUMMYFUNCTION("""COMPUTED_VALUE"""),94181.28)</f>
        <v>94181.28</v>
      </c>
      <c r="C115" s="17"/>
      <c r="D115" s="30">
        <f ca="1">IFERROR(__xludf.DUMMYFUNCTION("""COMPUTED_VALUE"""),94181.28)</f>
        <v>94181.28</v>
      </c>
      <c r="G115" s="30"/>
    </row>
    <row r="116" spans="1:7" ht="12.5" x14ac:dyDescent="0.25">
      <c r="A116" s="17" t="str">
        <f ca="1">IFERROR(__xludf.DUMMYFUNCTION("""COMPUTED_VALUE"""),"C8455-G2 (SDWAN)")</f>
        <v>C8455-G2 (SDWAN)</v>
      </c>
      <c r="B116" s="30">
        <f ca="1">IFERROR(__xludf.DUMMYFUNCTION("""COMPUTED_VALUE"""),115769.28)</f>
        <v>115769.28</v>
      </c>
      <c r="C116" s="17"/>
      <c r="D116" s="30">
        <f ca="1">IFERROR(__xludf.DUMMYFUNCTION("""COMPUTED_VALUE"""),115769.28)</f>
        <v>115769.28</v>
      </c>
      <c r="G116" s="30"/>
    </row>
    <row r="117" spans="1:7" ht="12.5" x14ac:dyDescent="0.25">
      <c r="A117" s="17" t="str">
        <f ca="1">IFERROR(__xludf.DUMMYFUNCTION("""COMPUTED_VALUE"""),"C8455-G2 (Full Adds On)")</f>
        <v>C8455-G2 (Full Adds On)</v>
      </c>
      <c r="B117" s="30">
        <f ca="1">IFERROR(__xludf.DUMMYFUNCTION("""COMPUTED_VALUE"""),119441.28)</f>
        <v>119441.28</v>
      </c>
      <c r="C117" s="17"/>
      <c r="D117" s="30">
        <f ca="1">IFERROR(__xludf.DUMMYFUNCTION("""COMPUTED_VALUE"""),119441.28)</f>
        <v>119441.28</v>
      </c>
      <c r="G117" s="30"/>
    </row>
    <row r="118" spans="1:7" ht="12.5" x14ac:dyDescent="0.25">
      <c r="A118" s="17" t="str">
        <f ca="1">IFERROR(__xludf.DUMMYFUNCTION("""COMPUTED_VALUE"""),"C8475-G2 (Default Routing)")</f>
        <v>C8475-G2 (Default Routing)</v>
      </c>
      <c r="B118" s="30">
        <f ca="1">IFERROR(__xludf.DUMMYFUNCTION("""COMPUTED_VALUE"""),109166.7)</f>
        <v>109166.7</v>
      </c>
      <c r="C118" s="17"/>
      <c r="D118" s="30">
        <f ca="1">IFERROR(__xludf.DUMMYFUNCTION("""COMPUTED_VALUE"""),109166.7)</f>
        <v>109166.7</v>
      </c>
      <c r="G118" s="30"/>
    </row>
    <row r="119" spans="1:7" ht="12.5" x14ac:dyDescent="0.25">
      <c r="A119" s="17" t="str">
        <f ca="1">IFERROR(__xludf.DUMMYFUNCTION("""COMPUTED_VALUE"""),"C8475-G2 (Adv Routing)")</f>
        <v>C8475-G2 (Adv Routing)</v>
      </c>
      <c r="B119" s="30">
        <f ca="1">IFERROR(__xludf.DUMMYFUNCTION("""COMPUTED_VALUE"""),142766.7)</f>
        <v>142766.70000000001</v>
      </c>
      <c r="C119" s="17"/>
      <c r="D119" s="30">
        <f ca="1">IFERROR(__xludf.DUMMYFUNCTION("""COMPUTED_VALUE"""),142766.7)</f>
        <v>142766.70000000001</v>
      </c>
      <c r="G119" s="30"/>
    </row>
    <row r="120" spans="1:7" ht="12.5" x14ac:dyDescent="0.25">
      <c r="A120" s="17" t="str">
        <f ca="1">IFERROR(__xludf.DUMMYFUNCTION("""COMPUTED_VALUE"""),"C8475-G2 (SDWAN)")</f>
        <v>C8475-G2 (SDWAN)</v>
      </c>
      <c r="B120" s="30">
        <f ca="1">IFERROR(__xludf.DUMMYFUNCTION("""COMPUTED_VALUE"""),164354.7)</f>
        <v>164354.70000000001</v>
      </c>
      <c r="C120" s="17"/>
      <c r="D120" s="30">
        <f ca="1">IFERROR(__xludf.DUMMYFUNCTION("""COMPUTED_VALUE"""),164354.7)</f>
        <v>164354.70000000001</v>
      </c>
      <c r="G120" s="30"/>
    </row>
    <row r="121" spans="1:7" ht="12.5" x14ac:dyDescent="0.25">
      <c r="A121" s="17" t="str">
        <f ca="1">IFERROR(__xludf.DUMMYFUNCTION("""COMPUTED_VALUE"""),"C8475-G2 (Full Adds On)")</f>
        <v>C8475-G2 (Full Adds On)</v>
      </c>
      <c r="B121" s="30">
        <f ca="1">IFERROR(__xludf.DUMMYFUNCTION("""COMPUTED_VALUE"""),168026.7)</f>
        <v>168026.7</v>
      </c>
      <c r="C121" s="17"/>
      <c r="D121" s="30">
        <f ca="1">IFERROR(__xludf.DUMMYFUNCTION("""COMPUTED_VALUE"""),168026.7)</f>
        <v>168026.7</v>
      </c>
      <c r="G121" s="30"/>
    </row>
    <row r="122" spans="1:7" ht="12.5" x14ac:dyDescent="0.25">
      <c r="A122" s="17" t="str">
        <f ca="1">IFERROR(__xludf.DUMMYFUNCTION("""COMPUTED_VALUE"""),"C8235-E-G2 (Default Routing)")</f>
        <v>C8235-E-G2 (Default Routing)</v>
      </c>
      <c r="B122" s="30">
        <f ca="1">IFERROR(__xludf.DUMMYFUNCTION("""COMPUTED_VALUE"""),13967.14)</f>
        <v>13967.14</v>
      </c>
      <c r="C122" s="17"/>
      <c r="D122" s="30">
        <f ca="1">IFERROR(__xludf.DUMMYFUNCTION("""COMPUTED_VALUE"""),13967.14)</f>
        <v>13967.14</v>
      </c>
      <c r="G122" s="30"/>
    </row>
    <row r="123" spans="1:7" ht="12.5" x14ac:dyDescent="0.25">
      <c r="A123" s="17" t="str">
        <f ca="1">IFERROR(__xludf.DUMMYFUNCTION("""COMPUTED_VALUE"""),"C8235-E-G2 (Adv Routing)")</f>
        <v>C8235-E-G2 (Adv Routing)</v>
      </c>
      <c r="B123" s="30">
        <f ca="1">IFERROR(__xludf.DUMMYFUNCTION("""COMPUTED_VALUE"""),17999.14)</f>
        <v>17999.14</v>
      </c>
      <c r="C123" s="17"/>
      <c r="D123" s="30">
        <f ca="1">IFERROR(__xludf.DUMMYFUNCTION("""COMPUTED_VALUE"""),17999.14)</f>
        <v>17999.14</v>
      </c>
      <c r="G123" s="30"/>
    </row>
    <row r="124" spans="1:7" ht="12.5" x14ac:dyDescent="0.25">
      <c r="A124" s="17" t="str">
        <f ca="1">IFERROR(__xludf.DUMMYFUNCTION("""COMPUTED_VALUE"""),"C8235-E-G2 (SDWAN)")</f>
        <v>C8235-E-G2 (SDWAN)</v>
      </c>
      <c r="B124" s="30">
        <f ca="1">IFERROR(__xludf.DUMMYFUNCTION("""COMPUTED_VALUE"""),18647.14)</f>
        <v>18647.14</v>
      </c>
      <c r="C124" s="17"/>
      <c r="D124" s="30">
        <f ca="1">IFERROR(__xludf.DUMMYFUNCTION("""COMPUTED_VALUE"""),18647.14)</f>
        <v>18647.14</v>
      </c>
      <c r="G124" s="30"/>
    </row>
    <row r="125" spans="1:7" ht="12.5" x14ac:dyDescent="0.25">
      <c r="A125" s="17" t="str">
        <f ca="1">IFERROR(__xludf.DUMMYFUNCTION("""COMPUTED_VALUE"""),"C8235-E-G2 (Full Adds On)")</f>
        <v>C8235-E-G2 (Full Adds On)</v>
      </c>
      <c r="B125" s="30">
        <f ca="1">IFERROR(__xludf.DUMMYFUNCTION("""COMPUTED_VALUE"""),19295.14)</f>
        <v>19295.14</v>
      </c>
      <c r="C125" s="17"/>
      <c r="D125" s="30">
        <f ca="1">IFERROR(__xludf.DUMMYFUNCTION("""COMPUTED_VALUE"""),19295.14)</f>
        <v>19295.14</v>
      </c>
      <c r="G125" s="30"/>
    </row>
    <row r="126" spans="1:7" ht="12.5" x14ac:dyDescent="0.25">
      <c r="A126" s="17" t="str">
        <f ca="1">IFERROR(__xludf.DUMMYFUNCTION("""COMPUTED_VALUE"""),"C8231-E-G2 (Default Routing)")</f>
        <v>C8231-E-G2 (Default Routing)</v>
      </c>
      <c r="B126" s="30">
        <f ca="1">IFERROR(__xludf.DUMMYFUNCTION("""COMPUTED_VALUE"""),11093.35)</f>
        <v>11093.35</v>
      </c>
      <c r="C126" s="17"/>
      <c r="D126" s="30">
        <f ca="1">IFERROR(__xludf.DUMMYFUNCTION("""COMPUTED_VALUE"""),11093.35)</f>
        <v>11093.35</v>
      </c>
      <c r="G126" s="30"/>
    </row>
    <row r="127" spans="1:7" ht="12.5" x14ac:dyDescent="0.25">
      <c r="A127" s="17" t="str">
        <f ca="1">IFERROR(__xludf.DUMMYFUNCTION("""COMPUTED_VALUE"""),"C8231-E-G2 (Adv Routing)")</f>
        <v>C8231-E-G2 (Adv Routing)</v>
      </c>
      <c r="B127" s="30">
        <f ca="1">IFERROR(__xludf.DUMMYFUNCTION("""COMPUTED_VALUE"""),15125.35)</f>
        <v>15125.35</v>
      </c>
      <c r="C127" s="17"/>
      <c r="D127" s="30">
        <f ca="1">IFERROR(__xludf.DUMMYFUNCTION("""COMPUTED_VALUE"""),15125.35)</f>
        <v>15125.35</v>
      </c>
      <c r="G127" s="30"/>
    </row>
    <row r="128" spans="1:7" ht="12.5" x14ac:dyDescent="0.25">
      <c r="A128" s="17" t="str">
        <f ca="1">IFERROR(__xludf.DUMMYFUNCTION("""COMPUTED_VALUE"""),"C8231-E-G2 (SDWAN)")</f>
        <v>C8231-E-G2 (SDWAN)</v>
      </c>
      <c r="B128" s="30">
        <f ca="1">IFERROR(__xludf.DUMMYFUNCTION("""COMPUTED_VALUE"""),15773.35)</f>
        <v>15773.35</v>
      </c>
      <c r="C128" s="17"/>
      <c r="D128" s="30">
        <f ca="1">IFERROR(__xludf.DUMMYFUNCTION("""COMPUTED_VALUE"""),15773.35)</f>
        <v>15773.35</v>
      </c>
      <c r="G128" s="30"/>
    </row>
    <row r="129" spans="1:7" ht="12.5" x14ac:dyDescent="0.25">
      <c r="A129" s="17" t="str">
        <f ca="1">IFERROR(__xludf.DUMMYFUNCTION("""COMPUTED_VALUE"""),"C8231-E-G2 (Full Adds On)")</f>
        <v>C8231-E-G2 (Full Adds On)</v>
      </c>
      <c r="B129" s="30">
        <f ca="1">IFERROR(__xludf.DUMMYFUNCTION("""COMPUTED_VALUE"""),16421.35)</f>
        <v>16421.349999999999</v>
      </c>
      <c r="C129" s="17"/>
      <c r="D129" s="30">
        <f ca="1">IFERROR(__xludf.DUMMYFUNCTION("""COMPUTED_VALUE"""),16421.35)</f>
        <v>16421.349999999999</v>
      </c>
      <c r="G129" s="30"/>
    </row>
    <row r="130" spans="1:7" ht="12.5" x14ac:dyDescent="0.25">
      <c r="A130" s="17" t="str">
        <f ca="1">IFERROR(__xludf.DUMMYFUNCTION("""COMPUTED_VALUE"""),"C8235-G2 (Default Routing)")</f>
        <v>C8235-G2 (Default Routing)</v>
      </c>
      <c r="B130" s="30">
        <f ca="1">IFERROR(__xludf.DUMMYFUNCTION("""COMPUTED_VALUE"""),11149.27)</f>
        <v>11149.27</v>
      </c>
      <c r="C130" s="17"/>
      <c r="D130" s="30">
        <f ca="1">IFERROR(__xludf.DUMMYFUNCTION("""COMPUTED_VALUE"""),11149.27)</f>
        <v>11149.27</v>
      </c>
      <c r="G130" s="30"/>
    </row>
    <row r="131" spans="1:7" ht="12.5" x14ac:dyDescent="0.25">
      <c r="A131" s="17" t="str">
        <f ca="1">IFERROR(__xludf.DUMMYFUNCTION("""COMPUTED_VALUE"""),"C8235-G2 (Adv Routing)")</f>
        <v>C8235-G2 (Adv Routing)</v>
      </c>
      <c r="B131" s="30">
        <f ca="1">IFERROR(__xludf.DUMMYFUNCTION("""COMPUTED_VALUE"""),15181.27)</f>
        <v>15181.27</v>
      </c>
      <c r="C131" s="17"/>
      <c r="D131" s="30">
        <f ca="1">IFERROR(__xludf.DUMMYFUNCTION("""COMPUTED_VALUE"""),15181.27)</f>
        <v>15181.27</v>
      </c>
      <c r="G131" s="30"/>
    </row>
    <row r="132" spans="1:7" ht="12.5" x14ac:dyDescent="0.25">
      <c r="A132" s="17" t="str">
        <f ca="1">IFERROR(__xludf.DUMMYFUNCTION("""COMPUTED_VALUE"""),"C8235-G2 (SDWAN)")</f>
        <v>C8235-G2 (SDWAN)</v>
      </c>
      <c r="B132" s="30">
        <f ca="1">IFERROR(__xludf.DUMMYFUNCTION("""COMPUTED_VALUE"""),15829.27)</f>
        <v>15829.27</v>
      </c>
      <c r="C132" s="17"/>
      <c r="D132" s="30">
        <f ca="1">IFERROR(__xludf.DUMMYFUNCTION("""COMPUTED_VALUE"""),15829.27)</f>
        <v>15829.27</v>
      </c>
      <c r="G132" s="30"/>
    </row>
    <row r="133" spans="1:7" ht="12.5" x14ac:dyDescent="0.25">
      <c r="A133" s="17" t="str">
        <f ca="1">IFERROR(__xludf.DUMMYFUNCTION("""COMPUTED_VALUE"""),"C8235-G2 (Full Adds On)")</f>
        <v>C8235-G2 (Full Adds On)</v>
      </c>
      <c r="B133" s="30">
        <f ca="1">IFERROR(__xludf.DUMMYFUNCTION("""COMPUTED_VALUE"""),16477.27)</f>
        <v>16477.27</v>
      </c>
      <c r="C133" s="17"/>
      <c r="D133" s="30">
        <f ca="1">IFERROR(__xludf.DUMMYFUNCTION("""COMPUTED_VALUE"""),16477.27)</f>
        <v>16477.27</v>
      </c>
      <c r="G133" s="30"/>
    </row>
    <row r="134" spans="1:7" ht="12.5" x14ac:dyDescent="0.25">
      <c r="A134" s="17" t="str">
        <f ca="1">IFERROR(__xludf.DUMMYFUNCTION("""COMPUTED_VALUE"""),"C8231-G2 (Default Routing)")</f>
        <v>C8231-G2 (Default Routing)</v>
      </c>
      <c r="B134" s="30">
        <f ca="1">IFERROR(__xludf.DUMMYFUNCTION("""COMPUTED_VALUE"""),6976.88)</f>
        <v>6976.88</v>
      </c>
      <c r="C134" s="17"/>
      <c r="D134" s="30">
        <f ca="1">IFERROR(__xludf.DUMMYFUNCTION("""COMPUTED_VALUE"""),6976.88)</f>
        <v>6976.88</v>
      </c>
      <c r="G134" s="30"/>
    </row>
    <row r="135" spans="1:7" ht="12.5" x14ac:dyDescent="0.25">
      <c r="A135" s="17" t="str">
        <f ca="1">IFERROR(__xludf.DUMMYFUNCTION("""COMPUTED_VALUE"""),"C8231-G2 (Adv Routing)")</f>
        <v>C8231-G2 (Adv Routing)</v>
      </c>
      <c r="B135" s="30">
        <f ca="1">IFERROR(__xludf.DUMMYFUNCTION("""COMPUTED_VALUE"""),11008.88)</f>
        <v>11008.88</v>
      </c>
      <c r="C135" s="17"/>
      <c r="D135" s="30">
        <f ca="1">IFERROR(__xludf.DUMMYFUNCTION("""COMPUTED_VALUE"""),11008.88)</f>
        <v>11008.88</v>
      </c>
      <c r="G135" s="30"/>
    </row>
    <row r="136" spans="1:7" ht="12.5" x14ac:dyDescent="0.25">
      <c r="A136" s="17" t="str">
        <f ca="1">IFERROR(__xludf.DUMMYFUNCTION("""COMPUTED_VALUE"""),"C8231-G2 (SDWAN)")</f>
        <v>C8231-G2 (SDWAN)</v>
      </c>
      <c r="B136" s="30">
        <f ca="1">IFERROR(__xludf.DUMMYFUNCTION("""COMPUTED_VALUE"""),11656.88)</f>
        <v>11656.88</v>
      </c>
      <c r="C136" s="17"/>
      <c r="D136" s="30">
        <f ca="1">IFERROR(__xludf.DUMMYFUNCTION("""COMPUTED_VALUE"""),11656.88)</f>
        <v>11656.88</v>
      </c>
      <c r="G136" s="30"/>
    </row>
    <row r="137" spans="1:7" ht="12.5" x14ac:dyDescent="0.25">
      <c r="A137" s="17" t="str">
        <f ca="1">IFERROR(__xludf.DUMMYFUNCTION("""COMPUTED_VALUE"""),"C8231-G2 (Full Adds On)")</f>
        <v>C8231-G2 (Full Adds On)</v>
      </c>
      <c r="B137" s="30">
        <f ca="1">IFERROR(__xludf.DUMMYFUNCTION("""COMPUTED_VALUE"""),12304.88)</f>
        <v>12304.88</v>
      </c>
      <c r="C137" s="17"/>
      <c r="D137" s="30">
        <f ca="1">IFERROR(__xludf.DUMMYFUNCTION("""COMPUTED_VALUE"""),12304.88)</f>
        <v>12304.88</v>
      </c>
      <c r="G137" s="30"/>
    </row>
    <row r="138" spans="1:7" ht="12.5" x14ac:dyDescent="0.25">
      <c r="A138" s="17" t="str">
        <f ca="1">IFERROR(__xludf.DUMMYFUNCTION("""COMPUTED_VALUE"""),"C8130-G2 (Default Routing)")</f>
        <v>C8130-G2 (Default Routing)</v>
      </c>
      <c r="B138" s="30">
        <f ca="1">IFERROR(__xludf.DUMMYFUNCTION("""COMPUTED_VALUE"""),2222.15)</f>
        <v>2222.15</v>
      </c>
      <c r="C138" s="17"/>
      <c r="D138" s="30">
        <f ca="1">IFERROR(__xludf.DUMMYFUNCTION("""COMPUTED_VALUE"""),2222.15)</f>
        <v>2222.15</v>
      </c>
      <c r="G138" s="30"/>
    </row>
    <row r="139" spans="1:7" ht="12.5" x14ac:dyDescent="0.25">
      <c r="A139" s="17" t="str">
        <f ca="1">IFERROR(__xludf.DUMMYFUNCTION("""COMPUTED_VALUE"""),"C8130-G2 (Adv Routing)")</f>
        <v>C8130-G2 (Adv Routing)</v>
      </c>
      <c r="B139" s="30">
        <f ca="1">IFERROR(__xludf.DUMMYFUNCTION("""COMPUTED_VALUE"""),3902.15)</f>
        <v>3902.15</v>
      </c>
      <c r="C139" s="17"/>
      <c r="D139" s="30">
        <f ca="1">IFERROR(__xludf.DUMMYFUNCTION("""COMPUTED_VALUE"""),3902.15)</f>
        <v>3902.15</v>
      </c>
      <c r="G139" s="30"/>
    </row>
    <row r="140" spans="1:7" ht="12.5" x14ac:dyDescent="0.25">
      <c r="A140" s="17" t="str">
        <f ca="1">IFERROR(__xludf.DUMMYFUNCTION("""COMPUTED_VALUE"""),"C8131-G2 (Default Routing)")</f>
        <v>C8131-G2 (Default Routing)</v>
      </c>
      <c r="B140" s="30">
        <f ca="1">IFERROR(__xludf.DUMMYFUNCTION("""COMPUTED_VALUE"""),2688.89)</f>
        <v>2688.89</v>
      </c>
      <c r="C140" s="17"/>
      <c r="D140" s="30">
        <f ca="1">IFERROR(__xludf.DUMMYFUNCTION("""COMPUTED_VALUE"""),2688.89)</f>
        <v>2688.89</v>
      </c>
      <c r="G140" s="30"/>
    </row>
    <row r="141" spans="1:7" ht="12.5" x14ac:dyDescent="0.25">
      <c r="A141" s="17" t="str">
        <f ca="1">IFERROR(__xludf.DUMMYFUNCTION("""COMPUTED_VALUE"""),"C8131-G2 (Adv Routing)")</f>
        <v>C8131-G2 (Adv Routing)</v>
      </c>
      <c r="B141" s="30">
        <f ca="1">IFERROR(__xludf.DUMMYFUNCTION("""COMPUTED_VALUE"""),4368.88999999999)</f>
        <v>4368.8899999999903</v>
      </c>
      <c r="C141" s="17"/>
      <c r="D141" s="30">
        <f ca="1">IFERROR(__xludf.DUMMYFUNCTION("""COMPUTED_VALUE"""),4368.88999999999)</f>
        <v>4368.8899999999903</v>
      </c>
      <c r="G141" s="30"/>
    </row>
    <row r="142" spans="1:7" ht="12.5" x14ac:dyDescent="0.25">
      <c r="A142" s="17" t="str">
        <f ca="1">IFERROR(__xludf.DUMMYFUNCTION("""COMPUTED_VALUE"""),"C8131-G2 (SDWAN)")</f>
        <v>C8131-G2 (SDWAN)</v>
      </c>
      <c r="B142" s="30">
        <f ca="1">IFERROR(__xludf.DUMMYFUNCTION("""COMPUTED_VALUE"""),4704.88999999999)</f>
        <v>4704.8899999999903</v>
      </c>
      <c r="C142" s="17"/>
      <c r="D142" s="30">
        <f ca="1">IFERROR(__xludf.DUMMYFUNCTION("""COMPUTED_VALUE"""),4704.88999999999)</f>
        <v>4704.8899999999903</v>
      </c>
      <c r="G142" s="30"/>
    </row>
    <row r="143" spans="1:7" ht="12.5" x14ac:dyDescent="0.25">
      <c r="A143" s="17" t="str">
        <f ca="1">IFERROR(__xludf.DUMMYFUNCTION("""COMPUTED_VALUE"""),"C8131-G2 (Full Adds On)")</f>
        <v>C8131-G2 (Full Adds On)</v>
      </c>
      <c r="B143" s="30">
        <f ca="1">IFERROR(__xludf.DUMMYFUNCTION("""COMPUTED_VALUE"""),5028.88999999999)</f>
        <v>5028.8899999999903</v>
      </c>
      <c r="C143" s="17"/>
      <c r="D143" s="30">
        <f ca="1">IFERROR(__xludf.DUMMYFUNCTION("""COMPUTED_VALUE"""),5028.88999999999)</f>
        <v>5028.8899999999903</v>
      </c>
      <c r="G143" s="30"/>
    </row>
    <row r="144" spans="1:7" ht="12.5" x14ac:dyDescent="0.25">
      <c r="A144" s="17" t="str">
        <f ca="1">IFERROR(__xludf.DUMMYFUNCTION("""COMPUTED_VALUE"""),"C8140-G2 (Default Routing)")</f>
        <v>C8140-G2 (Default Routing)</v>
      </c>
      <c r="B144" s="30">
        <f ca="1">IFERROR(__xludf.DUMMYFUNCTION("""COMPUTED_VALUE"""),2692.95)</f>
        <v>2692.95</v>
      </c>
      <c r="C144" s="17"/>
      <c r="D144" s="30">
        <f ca="1">IFERROR(__xludf.DUMMYFUNCTION("""COMPUTED_VALUE"""),2692.95)</f>
        <v>2692.95</v>
      </c>
      <c r="G144" s="30"/>
    </row>
    <row r="145" spans="1:7" ht="12.5" x14ac:dyDescent="0.25">
      <c r="A145" s="17" t="str">
        <f ca="1">IFERROR(__xludf.DUMMYFUNCTION("""COMPUTED_VALUE"""),"C8140-G2 (Adv Routing)")</f>
        <v>C8140-G2 (Adv Routing)</v>
      </c>
      <c r="B145" s="30">
        <f ca="1">IFERROR(__xludf.DUMMYFUNCTION("""COMPUTED_VALUE"""),4372.95)</f>
        <v>4372.95</v>
      </c>
      <c r="C145" s="17"/>
      <c r="D145" s="30">
        <f ca="1">IFERROR(__xludf.DUMMYFUNCTION("""COMPUTED_VALUE"""),4372.95)</f>
        <v>4372.95</v>
      </c>
      <c r="G145" s="30"/>
    </row>
    <row r="146" spans="1:7" ht="12.5" x14ac:dyDescent="0.25">
      <c r="A146" s="17" t="str">
        <f ca="1">IFERROR(__xludf.DUMMYFUNCTION("""COMPUTED_VALUE"""),"C8151-G2 (Default Routing)")</f>
        <v>C8151-G2 (Default Routing)</v>
      </c>
      <c r="B146" s="30">
        <f ca="1">IFERROR(__xludf.DUMMYFUNCTION("""COMPUTED_VALUE"""),3477.61)</f>
        <v>3477.61</v>
      </c>
      <c r="C146" s="17"/>
      <c r="D146" s="30">
        <f ca="1">IFERROR(__xludf.DUMMYFUNCTION("""COMPUTED_VALUE"""),3477.61)</f>
        <v>3477.61</v>
      </c>
      <c r="G146" s="30"/>
    </row>
    <row r="147" spans="1:7" ht="12.5" x14ac:dyDescent="0.25">
      <c r="A147" s="17" t="str">
        <f ca="1">IFERROR(__xludf.DUMMYFUNCTION("""COMPUTED_VALUE"""),"C8151-G2 (Adv Routing)")</f>
        <v>C8151-G2 (Adv Routing)</v>
      </c>
      <c r="B147" s="30">
        <f ca="1">IFERROR(__xludf.DUMMYFUNCTION("""COMPUTED_VALUE"""),5157.61)</f>
        <v>5157.6099999999997</v>
      </c>
      <c r="C147" s="17"/>
      <c r="D147" s="30">
        <f ca="1">IFERROR(__xludf.DUMMYFUNCTION("""COMPUTED_VALUE"""),5157.61)</f>
        <v>5157.6099999999997</v>
      </c>
      <c r="G147" s="30"/>
    </row>
    <row r="148" spans="1:7" ht="12.5" x14ac:dyDescent="0.25">
      <c r="A148" s="17" t="str">
        <f ca="1">IFERROR(__xludf.DUMMYFUNCTION("""COMPUTED_VALUE"""),"C8151-G2 (SDWAN)")</f>
        <v>C8151-G2 (SDWAN)</v>
      </c>
      <c r="B148" s="30">
        <f ca="1">IFERROR(__xludf.DUMMYFUNCTION("""COMPUTED_VALUE"""),5493.61)</f>
        <v>5493.61</v>
      </c>
      <c r="C148" s="17"/>
      <c r="D148" s="30">
        <f ca="1">IFERROR(__xludf.DUMMYFUNCTION("""COMPUTED_VALUE"""),5493.61)</f>
        <v>5493.61</v>
      </c>
      <c r="G148" s="30"/>
    </row>
    <row r="149" spans="1:7" ht="12.5" x14ac:dyDescent="0.25">
      <c r="A149" s="17" t="str">
        <f ca="1">IFERROR(__xludf.DUMMYFUNCTION("""COMPUTED_VALUE"""),"C8151-G2 (Full Adds On)")</f>
        <v>C8151-G2 (Full Adds On)</v>
      </c>
      <c r="B149" s="30">
        <f ca="1">IFERROR(__xludf.DUMMYFUNCTION("""COMPUTED_VALUE"""),5817.61)</f>
        <v>5817.61</v>
      </c>
      <c r="C149" s="17"/>
      <c r="D149" s="30">
        <f ca="1">IFERROR(__xludf.DUMMYFUNCTION("""COMPUTED_VALUE"""),5817.61)</f>
        <v>5817.61</v>
      </c>
      <c r="G149" s="30"/>
    </row>
    <row r="150" spans="1:7" ht="12.5" x14ac:dyDescent="0.25">
      <c r="A150" s="17" t="str">
        <f ca="1">IFERROR(__xludf.DUMMYFUNCTION("""COMPUTED_VALUE"""),"C8161-G2 (Default Routing)")</f>
        <v>C8161-G2 (Default Routing)</v>
      </c>
      <c r="B150" s="30">
        <f ca="1">IFERROR(__xludf.DUMMYFUNCTION("""COMPUTED_VALUE"""),4101.2)</f>
        <v>4101.2</v>
      </c>
      <c r="C150" s="17"/>
      <c r="D150" s="30">
        <f ca="1">IFERROR(__xludf.DUMMYFUNCTION("""COMPUTED_VALUE"""),4101.2)</f>
        <v>4101.2</v>
      </c>
      <c r="G150" s="30"/>
    </row>
    <row r="151" spans="1:7" ht="12.5" x14ac:dyDescent="0.25">
      <c r="A151" s="17" t="str">
        <f ca="1">IFERROR(__xludf.DUMMYFUNCTION("""COMPUTED_VALUE"""),"C8161-G2 (Adv Routing)")</f>
        <v>C8161-G2 (Adv Routing)</v>
      </c>
      <c r="B151" s="30">
        <f ca="1">IFERROR(__xludf.DUMMYFUNCTION("""COMPUTED_VALUE"""),5781.2)</f>
        <v>5781.2</v>
      </c>
      <c r="C151" s="17"/>
      <c r="D151" s="30">
        <f ca="1">IFERROR(__xludf.DUMMYFUNCTION("""COMPUTED_VALUE"""),5781.2)</f>
        <v>5781.2</v>
      </c>
      <c r="G151" s="30"/>
    </row>
    <row r="152" spans="1:7" ht="12.5" x14ac:dyDescent="0.25">
      <c r="A152" s="17" t="str">
        <f ca="1">IFERROR(__xludf.DUMMYFUNCTION("""COMPUTED_VALUE"""),"C8161-G2 (SDWAN)")</f>
        <v>C8161-G2 (SDWAN)</v>
      </c>
      <c r="B152" s="30">
        <f ca="1">IFERROR(__xludf.DUMMYFUNCTION("""COMPUTED_VALUE"""),6117.2)</f>
        <v>6117.2</v>
      </c>
      <c r="C152" s="17"/>
      <c r="D152" s="30">
        <f ca="1">IFERROR(__xludf.DUMMYFUNCTION("""COMPUTED_VALUE"""),6117.2)</f>
        <v>6117.2</v>
      </c>
      <c r="G152" s="30"/>
    </row>
    <row r="153" spans="1:7" ht="12.5" x14ac:dyDescent="0.25">
      <c r="A153" s="17" t="str">
        <f ca="1">IFERROR(__xludf.DUMMYFUNCTION("""COMPUTED_VALUE"""),"C8161-G2 (Full Adds On)")</f>
        <v>C8161-G2 (Full Adds On)</v>
      </c>
      <c r="B153" s="30">
        <f ca="1">IFERROR(__xludf.DUMMYFUNCTION("""COMPUTED_VALUE"""),6441.2)</f>
        <v>6441.2</v>
      </c>
      <c r="C153" s="17"/>
      <c r="D153" s="30">
        <f ca="1">IFERROR(__xludf.DUMMYFUNCTION("""COMPUTED_VALUE"""),6441.2)</f>
        <v>6441.2</v>
      </c>
      <c r="G153" s="30"/>
    </row>
    <row r="154" spans="1:7" ht="12.5" x14ac:dyDescent="0.25">
      <c r="A154" s="17" t="str">
        <f ca="1">IFERROR(__xludf.DUMMYFUNCTION("""COMPUTED_VALUE"""),"100GQSFP-LR4-4=")</f>
        <v>100GQSFP-LR4-4=</v>
      </c>
      <c r="B154" s="30">
        <f ca="1">IFERROR(__xludf.DUMMYFUNCTION("""COMPUTED_VALUE"""),36510.54)</f>
        <v>36510.54</v>
      </c>
      <c r="C154" s="17"/>
      <c r="D154" s="30">
        <f ca="1">IFERROR(__xludf.DUMMYFUNCTION("""COMPUTED_VALUE"""),36510.54)</f>
        <v>36510.54</v>
      </c>
      <c r="G154" s="30"/>
    </row>
    <row r="155" spans="1:7" ht="12.5" x14ac:dyDescent="0.25">
      <c r="A155" s="17" t="str">
        <f ca="1">IFERROR(__xludf.DUMMYFUNCTION("""COMPUTED_VALUE"""),"QSFP-100G-ER4L-S=")</f>
        <v>QSFP-100G-ER4L-S=</v>
      </c>
      <c r="B155" s="30">
        <f ca="1">IFERROR(__xludf.DUMMYFUNCTION("""COMPUTED_VALUE"""),91270.27)</f>
        <v>91270.27</v>
      </c>
      <c r="C155" s="17"/>
      <c r="D155" s="30">
        <f ca="1">IFERROR(__xludf.DUMMYFUNCTION("""COMPUTED_VALUE"""),91270.27)</f>
        <v>91270.27</v>
      </c>
      <c r="G155" s="30"/>
    </row>
    <row r="156" spans="1:7" ht="12.5" x14ac:dyDescent="0.25">
      <c r="A156" s="17" t="str">
        <f ca="1">IFERROR(__xludf.DUMMYFUNCTION("""COMPUTED_VALUE"""),"QSFP-100G-ZR4-S=")</f>
        <v>QSFP-100G-ZR4-S=</v>
      </c>
      <c r="B156" s="30">
        <f ca="1">IFERROR(__xludf.DUMMYFUNCTION("""COMPUTED_VALUE"""),36190)</f>
        <v>36190</v>
      </c>
      <c r="C156" s="17"/>
      <c r="D156" s="30">
        <f ca="1">IFERROR(__xludf.DUMMYFUNCTION("""COMPUTED_VALUE"""),36190)</f>
        <v>36190</v>
      </c>
      <c r="G156" s="30"/>
    </row>
    <row r="157" spans="1:7" ht="12.5" x14ac:dyDescent="0.25">
      <c r="A157" s="17" t="str">
        <f ca="1">IFERROR(__xludf.DUMMYFUNCTION("""COMPUTED_VALUE"""),"SFP-10G-SR=")</f>
        <v>SFP-10G-SR=</v>
      </c>
      <c r="B157" s="30">
        <f ca="1">IFERROR(__xludf.DUMMYFUNCTION("""COMPUTED_VALUE"""),1210.94)</f>
        <v>1210.94</v>
      </c>
      <c r="C157" s="17"/>
      <c r="D157" s="30">
        <f ca="1">IFERROR(__xludf.DUMMYFUNCTION("""COMPUTED_VALUE"""),1210.94)</f>
        <v>1210.94</v>
      </c>
      <c r="G157" s="30"/>
    </row>
    <row r="158" spans="1:7" ht="12.5" x14ac:dyDescent="0.25">
      <c r="A158" s="17" t="str">
        <f ca="1">IFERROR(__xludf.DUMMYFUNCTION("""COMPUTED_VALUE"""),"SFP-10G-LR=")</f>
        <v>SFP-10G-LR=</v>
      </c>
      <c r="B158" s="30">
        <f ca="1">IFERROR(__xludf.DUMMYFUNCTION("""COMPUTED_VALUE"""),4861.99)</f>
        <v>4861.99</v>
      </c>
      <c r="C158" s="17"/>
      <c r="D158" s="30">
        <f ca="1">IFERROR(__xludf.DUMMYFUNCTION("""COMPUTED_VALUE"""),4861.99)</f>
        <v>4861.99</v>
      </c>
      <c r="G158" s="30"/>
    </row>
    <row r="159" spans="1:7" ht="12.5" x14ac:dyDescent="0.25">
      <c r="A159" s="17" t="str">
        <f ca="1">IFERROR(__xludf.DUMMYFUNCTION("""COMPUTED_VALUE"""),"SFP-10G-ER=")</f>
        <v>SFP-10G-ER=</v>
      </c>
      <c r="B159" s="30">
        <f ca="1">IFERROR(__xludf.DUMMYFUNCTION("""COMPUTED_VALUE"""),12170.18)</f>
        <v>12170.18</v>
      </c>
      <c r="C159" s="17"/>
      <c r="D159" s="30">
        <f ca="1">IFERROR(__xludf.DUMMYFUNCTION("""COMPUTED_VALUE"""),12170.18)</f>
        <v>12170.18</v>
      </c>
      <c r="G159" s="30"/>
    </row>
    <row r="160" spans="1:7" ht="12.5" x14ac:dyDescent="0.25">
      <c r="A160" s="17" t="str">
        <f ca="1">IFERROR(__xludf.DUMMYFUNCTION("""COMPUTED_VALUE"""),"SFP-10G-ZR=")</f>
        <v>SFP-10G-ZR=</v>
      </c>
      <c r="B160" s="30">
        <f ca="1">IFERROR(__xludf.DUMMYFUNCTION("""COMPUTED_VALUE"""),19472.29)</f>
        <v>19472.29</v>
      </c>
      <c r="C160" s="17"/>
      <c r="D160" s="30">
        <f ca="1">IFERROR(__xludf.DUMMYFUNCTION("""COMPUTED_VALUE"""),19472.29)</f>
        <v>19472.29</v>
      </c>
      <c r="G160" s="30"/>
    </row>
    <row r="161" spans="1:7" ht="12.5" x14ac:dyDescent="0.25">
      <c r="A161" s="17" t="str">
        <f ca="1">IFERROR(__xludf.DUMMYFUNCTION("""COMPUTED_VALUE"""),"GLC-LH-SMD=")</f>
        <v>GLC-LH-SMD=</v>
      </c>
      <c r="B161" s="30">
        <f ca="1">IFERROR(__xludf.DUMMYFUNCTION("""COMPUTED_VALUE"""),1210.94)</f>
        <v>1210.94</v>
      </c>
      <c r="C161" s="17"/>
      <c r="D161" s="30">
        <f ca="1">IFERROR(__xludf.DUMMYFUNCTION("""COMPUTED_VALUE"""),1210.94)</f>
        <v>1210.94</v>
      </c>
      <c r="G161" s="30"/>
    </row>
    <row r="162" spans="1:7" ht="12.5" x14ac:dyDescent="0.25">
      <c r="A162" s="17" t="str">
        <f ca="1">IFERROR(__xludf.DUMMYFUNCTION("""COMPUTED_VALUE"""),"GLC-EX-SMD=")</f>
        <v>GLC-EX-SMD=</v>
      </c>
      <c r="B162" s="30">
        <f ca="1">IFERROR(__xludf.DUMMYFUNCTION("""COMPUTED_VALUE"""),2427.96)</f>
        <v>2427.96</v>
      </c>
      <c r="C162" s="17"/>
      <c r="D162" s="30">
        <f ca="1">IFERROR(__xludf.DUMMYFUNCTION("""COMPUTED_VALUE"""),2427.96)</f>
        <v>2427.96</v>
      </c>
      <c r="G162" s="30"/>
    </row>
    <row r="163" spans="1:7" ht="12.5" x14ac:dyDescent="0.25">
      <c r="A163" s="17" t="str">
        <f ca="1">IFERROR(__xludf.DUMMYFUNCTION("""COMPUTED_VALUE"""),"GLC-ZX-SMD=")</f>
        <v>GLC-ZX-SMD=</v>
      </c>
      <c r="B163" s="30">
        <f ca="1">IFERROR(__xludf.DUMMYFUNCTION("""COMPUTED_VALUE"""),4861.99)</f>
        <v>4861.99</v>
      </c>
      <c r="C163" s="17"/>
      <c r="D163" s="30">
        <f ca="1">IFERROR(__xludf.DUMMYFUNCTION("""COMPUTED_VALUE"""),4861.99)</f>
        <v>4861.99</v>
      </c>
      <c r="G163" s="30"/>
    </row>
    <row r="164" spans="1:7" ht="12.5" x14ac:dyDescent="0.25">
      <c r="A164" s="17" t="str">
        <f ca="1">IFERROR(__xludf.DUMMYFUNCTION("""COMPUTED_VALUE"""),"GLC-TE=")</f>
        <v>GLC-TE=</v>
      </c>
      <c r="B164" s="30">
        <f ca="1">IFERROR(__xludf.DUMMYFUNCTION("""COMPUTED_VALUE"""),547.66)</f>
        <v>547.66</v>
      </c>
      <c r="C164" s="17"/>
      <c r="D164" s="30">
        <f ca="1">IFERROR(__xludf.DUMMYFUNCTION("""COMPUTED_VALUE"""),547.66)</f>
        <v>547.66</v>
      </c>
      <c r="G164" s="30"/>
    </row>
    <row r="165" spans="1:7" ht="12.5" x14ac:dyDescent="0.25">
      <c r="A165" s="17" t="str">
        <f ca="1">IFERROR(__xludf.DUMMYFUNCTION("""COMPUTED_VALUE"""),"SFP-10G-SR-S=")</f>
        <v>SFP-10G-SR-S=</v>
      </c>
      <c r="B165" s="30">
        <f ca="1">IFERROR(__xludf.DUMMYFUNCTION("""COMPUTED_VALUE"""),851.91)</f>
        <v>851.91</v>
      </c>
      <c r="C165" s="17"/>
      <c r="D165" s="30">
        <f ca="1">IFERROR(__xludf.DUMMYFUNCTION("""COMPUTED_VALUE"""),851.91)</f>
        <v>851.91</v>
      </c>
      <c r="G165" s="30"/>
    </row>
    <row r="166" spans="1:7" ht="12.5" x14ac:dyDescent="0.25">
      <c r="A166" s="17" t="str">
        <f ca="1">IFERROR(__xludf.DUMMYFUNCTION("""COMPUTED_VALUE"""),"SFP-10G-LR-S=")</f>
        <v>SFP-10G-LR-S=</v>
      </c>
      <c r="B166" s="30">
        <f ca="1">IFERROR(__xludf.DUMMYFUNCTION("""COMPUTED_VALUE"""),2434.04)</f>
        <v>2434.04</v>
      </c>
      <c r="C166" s="17"/>
      <c r="D166" s="30">
        <f ca="1">IFERROR(__xludf.DUMMYFUNCTION("""COMPUTED_VALUE"""),2434.04)</f>
        <v>2434.04</v>
      </c>
      <c r="G166" s="30"/>
    </row>
    <row r="167" spans="1:7" ht="12.5" x14ac:dyDescent="0.25">
      <c r="A167" s="17" t="str">
        <f ca="1">IFERROR(__xludf.DUMMYFUNCTION("""COMPUTED_VALUE"""),"SFP-10G-ER-S=")</f>
        <v>SFP-10G-ER-S=</v>
      </c>
      <c r="B167" s="30">
        <f ca="1">IFERROR(__xludf.DUMMYFUNCTION("""COMPUTED_VALUE"""),9614.44)</f>
        <v>9614.44</v>
      </c>
      <c r="C167" s="17"/>
      <c r="D167" s="30">
        <f ca="1">IFERROR(__xludf.DUMMYFUNCTION("""COMPUTED_VALUE"""),9614.44)</f>
        <v>9614.44</v>
      </c>
      <c r="G167" s="30"/>
    </row>
    <row r="168" spans="1:7" ht="12.5" x14ac:dyDescent="0.25">
      <c r="A168" s="17" t="str">
        <f ca="1">IFERROR(__xludf.DUMMYFUNCTION("""COMPUTED_VALUE"""),"SFP-10G-ZR-S=")</f>
        <v>SFP-10G-ZR-S=</v>
      </c>
      <c r="B168" s="30">
        <f ca="1">IFERROR(__xludf.DUMMYFUNCTION("""COMPUTED_VALUE"""),13265.5)</f>
        <v>13265.5</v>
      </c>
      <c r="C168" s="17"/>
      <c r="D168" s="30">
        <f ca="1">IFERROR(__xludf.DUMMYFUNCTION("""COMPUTED_VALUE"""),13265.5)</f>
        <v>13265.5</v>
      </c>
      <c r="G168" s="30"/>
    </row>
    <row r="169" spans="1:7" ht="12.5" x14ac:dyDescent="0.25">
      <c r="A169" s="17" t="str">
        <f ca="1">IFERROR(__xludf.DUMMYFUNCTION("""COMPUTED_VALUE"""),"GLC-SX-MMD=")</f>
        <v>GLC-SX-MMD=</v>
      </c>
      <c r="B169" s="30">
        <f ca="1">IFERROR(__xludf.DUMMYFUNCTION("""COMPUTED_VALUE"""),608.51)</f>
        <v>608.51</v>
      </c>
      <c r="C169" s="17"/>
      <c r="D169" s="30">
        <f ca="1">IFERROR(__xludf.DUMMYFUNCTION("""COMPUTED_VALUE"""),608.51)</f>
        <v>608.51</v>
      </c>
      <c r="G169" s="30"/>
    </row>
    <row r="170" spans="1:7" ht="12.5" x14ac:dyDescent="0.25">
      <c r="A170" s="17" t="str">
        <f ca="1">IFERROR(__xludf.DUMMYFUNCTION("""COMPUTED_VALUE"""),"C9136I")</f>
        <v>C9136I</v>
      </c>
      <c r="B170" s="30">
        <f ca="1">IFERROR(__xludf.DUMMYFUNCTION("""COMPUTED_VALUE"""),5585.79)</f>
        <v>5585.79</v>
      </c>
      <c r="C170" s="17"/>
      <c r="D170" s="30">
        <f ca="1">IFERROR(__xludf.DUMMYFUNCTION("""COMPUTED_VALUE"""),5585.79)</f>
        <v>5585.79</v>
      </c>
      <c r="G170" s="30"/>
    </row>
    <row r="171" spans="1:7" ht="12.5" x14ac:dyDescent="0.25">
      <c r="A171" s="17" t="str">
        <f ca="1">IFERROR(__xludf.DUMMYFUNCTION("""COMPUTED_VALUE"""),"CW9162I")</f>
        <v>CW9162I</v>
      </c>
      <c r="B171" s="30">
        <f ca="1">IFERROR(__xludf.DUMMYFUNCTION("""COMPUTED_VALUE"""),3076.63)</f>
        <v>3076.63</v>
      </c>
      <c r="C171" s="17"/>
      <c r="D171" s="30">
        <f ca="1">IFERROR(__xludf.DUMMYFUNCTION("""COMPUTED_VALUE"""),3076.63)</f>
        <v>3076.63</v>
      </c>
      <c r="G171" s="30"/>
    </row>
    <row r="172" spans="1:7" ht="12.5" x14ac:dyDescent="0.25">
      <c r="A172" s="17" t="str">
        <f ca="1">IFERROR(__xludf.DUMMYFUNCTION("""COMPUTED_VALUE"""),"CW9164I")</f>
        <v>CW9164I</v>
      </c>
      <c r="B172" s="30">
        <f ca="1">IFERROR(__xludf.DUMMYFUNCTION("""COMPUTED_VALUE"""),4438.98)</f>
        <v>4438.9799999999996</v>
      </c>
      <c r="C172" s="17"/>
      <c r="D172" s="30">
        <f ca="1">IFERROR(__xludf.DUMMYFUNCTION("""COMPUTED_VALUE"""),4438.98)</f>
        <v>4438.9799999999996</v>
      </c>
      <c r="G172" s="30"/>
    </row>
    <row r="173" spans="1:7" ht="12.5" x14ac:dyDescent="0.25">
      <c r="A173" s="17" t="str">
        <f ca="1">IFERROR(__xludf.DUMMYFUNCTION("""COMPUTED_VALUE"""),"CW9166I")</f>
        <v>CW9166I</v>
      </c>
      <c r="B173" s="30">
        <f ca="1">IFERROR(__xludf.DUMMYFUNCTION("""COMPUTED_VALUE"""),4870.07)</f>
        <v>4870.07</v>
      </c>
      <c r="C173" s="17"/>
      <c r="D173" s="30">
        <f ca="1">IFERROR(__xludf.DUMMYFUNCTION("""COMPUTED_VALUE"""),4870.07)</f>
        <v>4870.07</v>
      </c>
      <c r="G173" s="30"/>
    </row>
    <row r="174" spans="1:7" ht="12.5" x14ac:dyDescent="0.25">
      <c r="A174" s="17" t="str">
        <f ca="1">IFERROR(__xludf.DUMMYFUNCTION("""COMPUTED_VALUE"""),"CW9166D1")</f>
        <v>CW9166D1</v>
      </c>
      <c r="B174" s="30">
        <f ca="1">IFERROR(__xludf.DUMMYFUNCTION("""COMPUTED_VALUE"""),5301.15)</f>
        <v>5301.15</v>
      </c>
      <c r="C174" s="17"/>
      <c r="D174" s="30">
        <f ca="1">IFERROR(__xludf.DUMMYFUNCTION("""COMPUTED_VALUE"""),5301.15)</f>
        <v>5301.15</v>
      </c>
      <c r="G174" s="30"/>
    </row>
    <row r="175" spans="1:7" ht="12.5" x14ac:dyDescent="0.25">
      <c r="A175" s="17" t="str">
        <f ca="1">IFERROR(__xludf.DUMMYFUNCTION("""COMPUTED_VALUE"""),"CW9172I")</f>
        <v>CW9172I</v>
      </c>
      <c r="B175" s="30">
        <f ca="1">IFERROR(__xludf.DUMMYFUNCTION("""COMPUTED_VALUE"""),3173.83)</f>
        <v>3173.83</v>
      </c>
      <c r="C175" s="17"/>
      <c r="D175" s="30">
        <f ca="1">IFERROR(__xludf.DUMMYFUNCTION("""COMPUTED_VALUE"""),3173.83)</f>
        <v>3173.83</v>
      </c>
      <c r="G175" s="30"/>
    </row>
    <row r="176" spans="1:7" ht="12.5" x14ac:dyDescent="0.25">
      <c r="A176" s="17" t="str">
        <f ca="1">IFERROR(__xludf.DUMMYFUNCTION("""COMPUTED_VALUE"""),"CW9172H")</f>
        <v>CW9172H</v>
      </c>
      <c r="B176" s="30">
        <f ca="1">IFERROR(__xludf.DUMMYFUNCTION("""COMPUTED_VALUE"""),2870.81)</f>
        <v>2870.81</v>
      </c>
      <c r="C176" s="17"/>
      <c r="D176" s="30">
        <f ca="1">IFERROR(__xludf.DUMMYFUNCTION("""COMPUTED_VALUE"""),2870.81)</f>
        <v>2870.81</v>
      </c>
      <c r="G176" s="30"/>
    </row>
    <row r="177" spans="1:7" ht="12.5" x14ac:dyDescent="0.25">
      <c r="A177" s="17" t="str">
        <f ca="1">IFERROR(__xludf.DUMMYFUNCTION("""COMPUTED_VALUE"""),"CW9176I")</f>
        <v>CW9176I</v>
      </c>
      <c r="B177" s="30">
        <f ca="1">IFERROR(__xludf.DUMMYFUNCTION("""COMPUTED_VALUE"""),4982.70999999999)</f>
        <v>4982.70999999999</v>
      </c>
      <c r="C177" s="17"/>
      <c r="D177" s="30">
        <f ca="1">IFERROR(__xludf.DUMMYFUNCTION("""COMPUTED_VALUE"""),4982.70999999999)</f>
        <v>4982.70999999999</v>
      </c>
      <c r="G177" s="30"/>
    </row>
    <row r="178" spans="1:7" ht="12.5" x14ac:dyDescent="0.25">
      <c r="A178" s="17" t="str">
        <f ca="1">IFERROR(__xludf.DUMMYFUNCTION("""COMPUTED_VALUE"""),"CW9176D1")</f>
        <v>CW9176D1</v>
      </c>
      <c r="B178" s="30">
        <f ca="1">IFERROR(__xludf.DUMMYFUNCTION("""COMPUTED_VALUE"""),5437.05)</f>
        <v>5437.05</v>
      </c>
      <c r="C178" s="17"/>
      <c r="D178" s="30">
        <f ca="1">IFERROR(__xludf.DUMMYFUNCTION("""COMPUTED_VALUE"""),5437.05)</f>
        <v>5437.05</v>
      </c>
      <c r="G178" s="30"/>
    </row>
    <row r="179" spans="1:7" ht="12.5" x14ac:dyDescent="0.25">
      <c r="A179" s="17" t="str">
        <f ca="1">IFERROR(__xludf.DUMMYFUNCTION("""COMPUTED_VALUE"""),"CW9178I")</f>
        <v>CW9178I</v>
      </c>
      <c r="B179" s="30">
        <f ca="1">IFERROR(__xludf.DUMMYFUNCTION("""COMPUTED_VALUE"""),5737.19)</f>
        <v>5737.19</v>
      </c>
      <c r="C179" s="17"/>
      <c r="D179" s="30">
        <f ca="1">IFERROR(__xludf.DUMMYFUNCTION("""COMPUTED_VALUE"""),5737.19)</f>
        <v>5737.19</v>
      </c>
      <c r="G179" s="30"/>
    </row>
    <row r="180" spans="1:7" ht="12.5" x14ac:dyDescent="0.25">
      <c r="A180" s="17" t="str">
        <f ca="1">IFERROR(__xludf.DUMMYFUNCTION("""COMPUTED_VALUE"""),"C9124AXI")</f>
        <v>C9124AXI</v>
      </c>
      <c r="B180" s="30">
        <f ca="1">IFERROR(__xludf.DUMMYFUNCTION("""COMPUTED_VALUE"""),6120.74)</f>
        <v>6120.74</v>
      </c>
      <c r="C180" s="17"/>
      <c r="D180" s="30">
        <f ca="1">IFERROR(__xludf.DUMMYFUNCTION("""COMPUTED_VALUE"""),6120.74)</f>
        <v>6120.74</v>
      </c>
      <c r="G180" s="30"/>
    </row>
    <row r="181" spans="1:7" ht="12.5" x14ac:dyDescent="0.25">
      <c r="A181" s="17" t="str">
        <f ca="1">IFERROR(__xludf.DUMMYFUNCTION("""COMPUTED_VALUE"""),"C9124AXD")</f>
        <v>C9124AXD</v>
      </c>
      <c r="B181" s="30">
        <f ca="1">IFERROR(__xludf.DUMMYFUNCTION("""COMPUTED_VALUE"""),6448.46999999999)</f>
        <v>6448.4699999999903</v>
      </c>
      <c r="C181" s="17"/>
      <c r="D181" s="30">
        <f ca="1">IFERROR(__xludf.DUMMYFUNCTION("""COMPUTED_VALUE"""),6448.46999999999)</f>
        <v>6448.4699999999903</v>
      </c>
      <c r="G181" s="30"/>
    </row>
    <row r="182" spans="1:7" ht="12.5" x14ac:dyDescent="0.25">
      <c r="A182" s="17" t="str">
        <f ca="1">IFERROR(__xludf.DUMMYFUNCTION("""COMPUTED_VALUE"""),"C9124AXE")</f>
        <v>C9124AXE</v>
      </c>
      <c r="B182" s="30">
        <f ca="1">IFERROR(__xludf.DUMMYFUNCTION("""COMPUTED_VALUE"""),6448.46999999999)</f>
        <v>6448.4699999999903</v>
      </c>
      <c r="C182" s="17"/>
      <c r="D182" s="30">
        <f ca="1">IFERROR(__xludf.DUMMYFUNCTION("""COMPUTED_VALUE"""),6448.46999999999)</f>
        <v>6448.4699999999903</v>
      </c>
      <c r="G182" s="30"/>
    </row>
    <row r="183" spans="1:7" ht="12.5" x14ac:dyDescent="0.25">
      <c r="A183" s="17" t="str">
        <f ca="1">IFERROR(__xludf.DUMMYFUNCTION("""COMPUTED_VALUE"""),"CW9163E")</f>
        <v>CW9163E</v>
      </c>
      <c r="B183" s="30">
        <f ca="1">IFERROR(__xludf.DUMMYFUNCTION("""COMPUTED_VALUE"""),5659.86)</f>
        <v>5659.86</v>
      </c>
      <c r="C183" s="17"/>
      <c r="D183" s="30">
        <f ca="1">IFERROR(__xludf.DUMMYFUNCTION("""COMPUTED_VALUE"""),5659.86)</f>
        <v>5659.86</v>
      </c>
      <c r="G183" s="30"/>
    </row>
    <row r="184" spans="1:7" ht="12.5" x14ac:dyDescent="0.25">
      <c r="A184" s="17"/>
      <c r="B184" s="17"/>
      <c r="C184" s="30" t="str">
        <f ca="1">IFERROR(__xludf.DUMMYFUNCTION("""COMPUTED_VALUE"""),"")</f>
        <v/>
      </c>
      <c r="D184" s="17"/>
      <c r="G184" s="30"/>
    </row>
    <row r="185" spans="1:7" ht="12.5" x14ac:dyDescent="0.25">
      <c r="A185" s="17"/>
      <c r="B185" s="17"/>
      <c r="C185" s="30" t="str">
        <f ca="1">IFERROR(__xludf.DUMMYFUNCTION("""COMPUTED_VALUE"""),"")</f>
        <v/>
      </c>
      <c r="D185" s="17"/>
      <c r="G185" s="30"/>
    </row>
    <row r="186" spans="1:7" ht="12.5" x14ac:dyDescent="0.25">
      <c r="A186" s="17"/>
      <c r="B186" s="17"/>
      <c r="C186" s="30" t="str">
        <f ca="1">IFERROR(__xludf.DUMMYFUNCTION("""COMPUTED_VALUE"""),"")</f>
        <v/>
      </c>
      <c r="D186" s="17"/>
      <c r="G186" s="30"/>
    </row>
    <row r="187" spans="1:7" ht="12.5" x14ac:dyDescent="0.25">
      <c r="A187" s="17"/>
      <c r="B187" s="17"/>
      <c r="C187" s="30" t="str">
        <f ca="1">IFERROR(__xludf.DUMMYFUNCTION("""COMPUTED_VALUE"""),"")</f>
        <v/>
      </c>
      <c r="D187" s="17"/>
      <c r="G187" s="30"/>
    </row>
    <row r="188" spans="1:7" ht="12.5" x14ac:dyDescent="0.25">
      <c r="A188" s="17"/>
      <c r="B188" s="17"/>
      <c r="C188" s="30" t="str">
        <f ca="1">IFERROR(__xludf.DUMMYFUNCTION("""COMPUTED_VALUE"""),"")</f>
        <v/>
      </c>
      <c r="D188" s="17"/>
      <c r="G188" s="30"/>
    </row>
    <row r="189" spans="1:7" ht="12.5" x14ac:dyDescent="0.25">
      <c r="A189" s="17"/>
      <c r="B189" s="17"/>
      <c r="C189" s="30" t="str">
        <f ca="1">IFERROR(__xludf.DUMMYFUNCTION("""COMPUTED_VALUE"""),"")</f>
        <v/>
      </c>
      <c r="D189" s="17"/>
      <c r="G189" s="30"/>
    </row>
    <row r="190" spans="1:7" ht="12.5" x14ac:dyDescent="0.25">
      <c r="A190" s="17"/>
      <c r="B190" s="17"/>
      <c r="C190" s="30" t="str">
        <f ca="1">IFERROR(__xludf.DUMMYFUNCTION("""COMPUTED_VALUE"""),"")</f>
        <v/>
      </c>
      <c r="D190" s="17"/>
      <c r="G190" s="30"/>
    </row>
    <row r="191" spans="1:7" ht="12.5" x14ac:dyDescent="0.25">
      <c r="A191" s="17"/>
      <c r="B191" s="17"/>
      <c r="C191" s="30" t="str">
        <f ca="1">IFERROR(__xludf.DUMMYFUNCTION("""COMPUTED_VALUE"""),"")</f>
        <v/>
      </c>
      <c r="D191" s="17"/>
      <c r="G191" s="30"/>
    </row>
    <row r="192" spans="1:7" ht="12.5" x14ac:dyDescent="0.25">
      <c r="A192" s="17"/>
      <c r="B192" s="17"/>
      <c r="C192" s="30" t="str">
        <f ca="1">IFERROR(__xludf.DUMMYFUNCTION("""COMPUTED_VALUE"""),"")</f>
        <v/>
      </c>
      <c r="D192" s="17"/>
      <c r="G192" s="30"/>
    </row>
    <row r="193" spans="1:7" ht="12.5" x14ac:dyDescent="0.25">
      <c r="A193" s="17"/>
      <c r="B193" s="17"/>
      <c r="C193" s="30" t="str">
        <f ca="1">IFERROR(__xludf.DUMMYFUNCTION("""COMPUTED_VALUE"""),"")</f>
        <v/>
      </c>
      <c r="D193" s="17"/>
      <c r="G193" s="30"/>
    </row>
    <row r="194" spans="1:7" ht="12.5" x14ac:dyDescent="0.25">
      <c r="A194" s="17"/>
      <c r="B194" s="17"/>
      <c r="C194" s="30" t="str">
        <f ca="1">IFERROR(__xludf.DUMMYFUNCTION("""COMPUTED_VALUE"""),"")</f>
        <v/>
      </c>
      <c r="D194" s="17"/>
      <c r="G194" s="30"/>
    </row>
    <row r="195" spans="1:7" ht="12.5" x14ac:dyDescent="0.25">
      <c r="A195" s="17"/>
      <c r="B195" s="17"/>
      <c r="C195" s="30" t="str">
        <f ca="1">IFERROR(__xludf.DUMMYFUNCTION("""COMPUTED_VALUE"""),"")</f>
        <v/>
      </c>
      <c r="D195" s="17"/>
      <c r="G195" s="30"/>
    </row>
    <row r="196" spans="1:7" ht="12.5" x14ac:dyDescent="0.25">
      <c r="A196" s="17"/>
      <c r="B196" s="17"/>
      <c r="C196" s="30" t="str">
        <f ca="1">IFERROR(__xludf.DUMMYFUNCTION("""COMPUTED_VALUE"""),"")</f>
        <v/>
      </c>
      <c r="D196" s="17"/>
      <c r="G196" s="30"/>
    </row>
    <row r="197" spans="1:7" ht="12.5" x14ac:dyDescent="0.25">
      <c r="A197" s="17"/>
      <c r="B197" s="17"/>
      <c r="C197" s="30" t="str">
        <f ca="1">IFERROR(__xludf.DUMMYFUNCTION("""COMPUTED_VALUE"""),"")</f>
        <v/>
      </c>
      <c r="D197" s="17"/>
      <c r="G197" s="30"/>
    </row>
    <row r="198" spans="1:7" ht="12.5" x14ac:dyDescent="0.25">
      <c r="A198" s="17"/>
      <c r="B198" s="17"/>
      <c r="C198" s="30" t="str">
        <f ca="1">IFERROR(__xludf.DUMMYFUNCTION("""COMPUTED_VALUE"""),"")</f>
        <v/>
      </c>
      <c r="D198" s="17"/>
      <c r="G198" s="30"/>
    </row>
    <row r="199" spans="1:7" ht="12.5" x14ac:dyDescent="0.25">
      <c r="A199" s="17"/>
      <c r="B199" s="17"/>
      <c r="C199" s="30" t="str">
        <f ca="1">IFERROR(__xludf.DUMMYFUNCTION("""COMPUTED_VALUE"""),"")</f>
        <v/>
      </c>
      <c r="D199" s="17"/>
      <c r="G199" s="30"/>
    </row>
    <row r="200" spans="1:7" ht="12.5" x14ac:dyDescent="0.25">
      <c r="A200" s="17"/>
      <c r="B200" s="17"/>
      <c r="C200" s="30" t="str">
        <f ca="1">IFERROR(__xludf.DUMMYFUNCTION("""COMPUTED_VALUE"""),"")</f>
        <v/>
      </c>
      <c r="D200" s="17"/>
      <c r="G200" s="30"/>
    </row>
    <row r="201" spans="1:7" ht="12.5" x14ac:dyDescent="0.25">
      <c r="A201" s="17"/>
      <c r="B201" s="17"/>
      <c r="C201" s="30" t="str">
        <f ca="1">IFERROR(__xludf.DUMMYFUNCTION("""COMPUTED_VALUE"""),"")</f>
        <v/>
      </c>
      <c r="D201" s="17"/>
      <c r="G201" s="30"/>
    </row>
    <row r="202" spans="1:7" ht="12.5" x14ac:dyDescent="0.25">
      <c r="A202" s="17"/>
      <c r="B202" s="17"/>
      <c r="C202" s="30" t="str">
        <f ca="1">IFERROR(__xludf.DUMMYFUNCTION("""COMPUTED_VALUE"""),"")</f>
        <v/>
      </c>
      <c r="D202" s="17"/>
      <c r="G202" s="30"/>
    </row>
    <row r="203" spans="1:7" ht="12.5" x14ac:dyDescent="0.25">
      <c r="A203" s="17"/>
      <c r="B203" s="17"/>
      <c r="C203" s="30" t="str">
        <f ca="1">IFERROR(__xludf.DUMMYFUNCTION("""COMPUTED_VALUE"""),"")</f>
        <v/>
      </c>
      <c r="D203" s="17"/>
      <c r="G203" s="30"/>
    </row>
    <row r="204" spans="1:7" ht="12.5" x14ac:dyDescent="0.25">
      <c r="A204" s="17"/>
      <c r="B204" s="17"/>
      <c r="C204" s="30" t="str">
        <f ca="1">IFERROR(__xludf.DUMMYFUNCTION("""COMPUTED_VALUE"""),"")</f>
        <v/>
      </c>
      <c r="D204" s="17"/>
      <c r="G204" s="30"/>
    </row>
    <row r="205" spans="1:7" ht="12.5" x14ac:dyDescent="0.25">
      <c r="A205" s="17"/>
      <c r="B205" s="17"/>
      <c r="C205" s="30" t="str">
        <f ca="1">IFERROR(__xludf.DUMMYFUNCTION("""COMPUTED_VALUE"""),"")</f>
        <v/>
      </c>
      <c r="D205" s="17"/>
      <c r="G205" s="30"/>
    </row>
    <row r="206" spans="1:7" ht="12.5" x14ac:dyDescent="0.25">
      <c r="A206" s="17"/>
      <c r="B206" s="17"/>
      <c r="C206" s="30" t="str">
        <f ca="1">IFERROR(__xludf.DUMMYFUNCTION("""COMPUTED_VALUE"""),"")</f>
        <v/>
      </c>
      <c r="D206" s="17"/>
      <c r="G206" s="30"/>
    </row>
    <row r="207" spans="1:7" ht="12.5" x14ac:dyDescent="0.25">
      <c r="A207" s="17"/>
      <c r="B207" s="17"/>
      <c r="C207" s="30" t="str">
        <f ca="1">IFERROR(__xludf.DUMMYFUNCTION("""COMPUTED_VALUE"""),"")</f>
        <v/>
      </c>
      <c r="D207" s="17"/>
      <c r="G207" s="30"/>
    </row>
    <row r="208" spans="1:7" ht="12.5" x14ac:dyDescent="0.25">
      <c r="A208" s="17"/>
      <c r="B208" s="17"/>
      <c r="C208" s="30" t="str">
        <f ca="1">IFERROR(__xludf.DUMMYFUNCTION("""COMPUTED_VALUE"""),"")</f>
        <v/>
      </c>
      <c r="D208" s="17"/>
      <c r="G208" s="30"/>
    </row>
    <row r="209" spans="1:7" ht="12.5" x14ac:dyDescent="0.25">
      <c r="A209" s="17"/>
      <c r="B209" s="17"/>
      <c r="C209" s="30" t="str">
        <f ca="1">IFERROR(__xludf.DUMMYFUNCTION("""COMPUTED_VALUE"""),"")</f>
        <v/>
      </c>
      <c r="D209" s="17"/>
      <c r="G209" s="30"/>
    </row>
    <row r="210" spans="1:7" ht="12.5" x14ac:dyDescent="0.25">
      <c r="A210" s="17"/>
      <c r="B210" s="17"/>
      <c r="C210" s="30" t="str">
        <f ca="1">IFERROR(__xludf.DUMMYFUNCTION("""COMPUTED_VALUE"""),"")</f>
        <v/>
      </c>
      <c r="D210" s="17"/>
      <c r="G210" s="30"/>
    </row>
    <row r="211" spans="1:7" ht="12.5" x14ac:dyDescent="0.25">
      <c r="A211" s="17"/>
      <c r="B211" s="17"/>
      <c r="C211" s="30" t="str">
        <f ca="1">IFERROR(__xludf.DUMMYFUNCTION("""COMPUTED_VALUE"""),"")</f>
        <v/>
      </c>
      <c r="D211" s="17"/>
      <c r="G211" s="30"/>
    </row>
    <row r="212" spans="1:7" ht="12.5" x14ac:dyDescent="0.25">
      <c r="A212" s="17"/>
      <c r="B212" s="17"/>
      <c r="C212" s="30" t="str">
        <f ca="1">IFERROR(__xludf.DUMMYFUNCTION("""COMPUTED_VALUE"""),"")</f>
        <v/>
      </c>
      <c r="D212" s="17"/>
      <c r="G212" s="30"/>
    </row>
    <row r="213" spans="1:7" ht="12.5" x14ac:dyDescent="0.25">
      <c r="A213" s="17"/>
      <c r="B213" s="17"/>
      <c r="C213" s="30" t="str">
        <f ca="1">IFERROR(__xludf.DUMMYFUNCTION("""COMPUTED_VALUE"""),"")</f>
        <v/>
      </c>
      <c r="D213" s="17"/>
      <c r="G213" s="30"/>
    </row>
    <row r="214" spans="1:7" ht="12.5" x14ac:dyDescent="0.25">
      <c r="A214" s="17"/>
      <c r="B214" s="17"/>
      <c r="C214" s="30" t="str">
        <f ca="1">IFERROR(__xludf.DUMMYFUNCTION("""COMPUTED_VALUE"""),"")</f>
        <v/>
      </c>
      <c r="D214" s="17"/>
      <c r="G214" s="30"/>
    </row>
    <row r="215" spans="1:7" ht="12.5" x14ac:dyDescent="0.25">
      <c r="A215" s="17"/>
      <c r="B215" s="17"/>
      <c r="C215" s="30" t="str">
        <f ca="1">IFERROR(__xludf.DUMMYFUNCTION("""COMPUTED_VALUE"""),"")</f>
        <v/>
      </c>
      <c r="D215" s="17"/>
      <c r="G215" s="30"/>
    </row>
    <row r="216" spans="1:7" ht="12.5" x14ac:dyDescent="0.25">
      <c r="A216" s="17"/>
      <c r="B216" s="17"/>
      <c r="C216" s="30" t="str">
        <f ca="1">IFERROR(__xludf.DUMMYFUNCTION("""COMPUTED_VALUE"""),"")</f>
        <v/>
      </c>
      <c r="D216" s="17"/>
      <c r="G216" s="30"/>
    </row>
    <row r="217" spans="1:7" ht="12.5" x14ac:dyDescent="0.25">
      <c r="A217" s="17"/>
      <c r="B217" s="17"/>
      <c r="C217" s="30" t="str">
        <f ca="1">IFERROR(__xludf.DUMMYFUNCTION("""COMPUTED_VALUE"""),"")</f>
        <v/>
      </c>
      <c r="D217" s="17"/>
      <c r="G217" s="30"/>
    </row>
    <row r="218" spans="1:7" ht="12.5" x14ac:dyDescent="0.25">
      <c r="A218" s="17"/>
      <c r="B218" s="17"/>
      <c r="C218" s="30" t="str">
        <f ca="1">IFERROR(__xludf.DUMMYFUNCTION("""COMPUTED_VALUE"""),"")</f>
        <v/>
      </c>
      <c r="D218" s="17"/>
      <c r="G218" s="30"/>
    </row>
    <row r="219" spans="1:7" ht="12.5" x14ac:dyDescent="0.25">
      <c r="A219" s="17"/>
      <c r="B219" s="17"/>
      <c r="C219" s="30" t="str">
        <f ca="1">IFERROR(__xludf.DUMMYFUNCTION("""COMPUTED_VALUE"""),"")</f>
        <v/>
      </c>
      <c r="D219" s="17"/>
      <c r="G219" s="30"/>
    </row>
    <row r="220" spans="1:7" ht="12.5" x14ac:dyDescent="0.25">
      <c r="A220" s="17"/>
      <c r="B220" s="17"/>
      <c r="C220" s="30" t="str">
        <f ca="1">IFERROR(__xludf.DUMMYFUNCTION("""COMPUTED_VALUE"""),"")</f>
        <v/>
      </c>
      <c r="D220" s="17"/>
      <c r="G220" s="30"/>
    </row>
    <row r="221" spans="1:7" ht="12.5" x14ac:dyDescent="0.25">
      <c r="A221" s="17"/>
      <c r="B221" s="17"/>
      <c r="C221" s="30" t="str">
        <f ca="1">IFERROR(__xludf.DUMMYFUNCTION("""COMPUTED_VALUE"""),"")</f>
        <v/>
      </c>
      <c r="D221" s="17"/>
      <c r="G221" s="30"/>
    </row>
    <row r="222" spans="1:7" ht="12.5" x14ac:dyDescent="0.25">
      <c r="A222" s="17"/>
      <c r="B222" s="17"/>
      <c r="C222" s="30" t="str">
        <f ca="1">IFERROR(__xludf.DUMMYFUNCTION("""COMPUTED_VALUE"""),"")</f>
        <v/>
      </c>
      <c r="D222" s="17"/>
      <c r="G222" s="30"/>
    </row>
    <row r="223" spans="1:7" ht="12.5" x14ac:dyDescent="0.25">
      <c r="A223" s="17"/>
      <c r="B223" s="17"/>
      <c r="C223" s="30" t="str">
        <f ca="1">IFERROR(__xludf.DUMMYFUNCTION("""COMPUTED_VALUE"""),"")</f>
        <v/>
      </c>
      <c r="D223" s="17"/>
      <c r="G223" s="30"/>
    </row>
    <row r="224" spans="1:7" ht="12.5" x14ac:dyDescent="0.25">
      <c r="A224" s="17"/>
      <c r="B224" s="17"/>
      <c r="C224" s="30" t="str">
        <f ca="1">IFERROR(__xludf.DUMMYFUNCTION("""COMPUTED_VALUE"""),"")</f>
        <v/>
      </c>
      <c r="D224" s="17"/>
      <c r="G224" s="30"/>
    </row>
    <row r="225" spans="1:7" ht="12.5" x14ac:dyDescent="0.25">
      <c r="A225" s="17"/>
      <c r="B225" s="17"/>
      <c r="C225" s="30" t="str">
        <f ca="1">IFERROR(__xludf.DUMMYFUNCTION("""COMPUTED_VALUE"""),"")</f>
        <v/>
      </c>
      <c r="D225" s="17"/>
      <c r="G225" s="30"/>
    </row>
    <row r="226" spans="1:7" ht="12.5" x14ac:dyDescent="0.25">
      <c r="A226" s="17"/>
      <c r="B226" s="17"/>
      <c r="C226" s="30" t="str">
        <f ca="1">IFERROR(__xludf.DUMMYFUNCTION("""COMPUTED_VALUE"""),"")</f>
        <v/>
      </c>
      <c r="D226" s="17"/>
      <c r="G226" s="30"/>
    </row>
    <row r="227" spans="1:7" ht="12.5" x14ac:dyDescent="0.25">
      <c r="A227" s="17"/>
      <c r="B227" s="17"/>
      <c r="C227" s="30" t="str">
        <f ca="1">IFERROR(__xludf.DUMMYFUNCTION("""COMPUTED_VALUE"""),"")</f>
        <v/>
      </c>
      <c r="D227" s="17"/>
      <c r="G227" s="30"/>
    </row>
    <row r="228" spans="1:7" ht="12.5" x14ac:dyDescent="0.25">
      <c r="A228" s="17"/>
      <c r="B228" s="17"/>
      <c r="C228" s="30" t="str">
        <f ca="1">IFERROR(__xludf.DUMMYFUNCTION("""COMPUTED_VALUE"""),"")</f>
        <v/>
      </c>
      <c r="D228" s="17"/>
      <c r="G228" s="30"/>
    </row>
    <row r="229" spans="1:7" ht="12.5" x14ac:dyDescent="0.25">
      <c r="A229" s="17"/>
      <c r="B229" s="17"/>
      <c r="C229" s="30" t="str">
        <f ca="1">IFERROR(__xludf.DUMMYFUNCTION("""COMPUTED_VALUE"""),"")</f>
        <v/>
      </c>
      <c r="D229" s="17"/>
      <c r="G229" s="30"/>
    </row>
    <row r="230" spans="1:7" ht="12.5" x14ac:dyDescent="0.25">
      <c r="A230" s="17"/>
      <c r="B230" s="17"/>
      <c r="C230" s="30" t="str">
        <f ca="1">IFERROR(__xludf.DUMMYFUNCTION("""COMPUTED_VALUE"""),"")</f>
        <v/>
      </c>
      <c r="D230" s="17"/>
      <c r="G230" s="30"/>
    </row>
    <row r="231" spans="1:7" ht="12.5" x14ac:dyDescent="0.25">
      <c r="A231" s="17"/>
      <c r="B231" s="17"/>
      <c r="C231" s="30" t="str">
        <f ca="1">IFERROR(__xludf.DUMMYFUNCTION("""COMPUTED_VALUE"""),"")</f>
        <v/>
      </c>
      <c r="D231" s="17"/>
      <c r="G231" s="30"/>
    </row>
    <row r="232" spans="1:7" ht="12.5" x14ac:dyDescent="0.25">
      <c r="A232" s="17"/>
      <c r="B232" s="17"/>
      <c r="C232" s="30" t="str">
        <f ca="1">IFERROR(__xludf.DUMMYFUNCTION("""COMPUTED_VALUE"""),"")</f>
        <v/>
      </c>
      <c r="D232" s="17"/>
      <c r="G232" s="30"/>
    </row>
    <row r="233" spans="1:7" ht="12.5" x14ac:dyDescent="0.25">
      <c r="A233" s="17"/>
      <c r="B233" s="17"/>
      <c r="C233" s="30" t="str">
        <f ca="1">IFERROR(__xludf.DUMMYFUNCTION("""COMPUTED_VALUE"""),"")</f>
        <v/>
      </c>
      <c r="D233" s="17"/>
      <c r="G233" s="30"/>
    </row>
    <row r="234" spans="1:7" ht="12.5" x14ac:dyDescent="0.25">
      <c r="A234" s="17"/>
      <c r="B234" s="17"/>
      <c r="C234" s="30" t="str">
        <f ca="1">IFERROR(__xludf.DUMMYFUNCTION("""COMPUTED_VALUE"""),"")</f>
        <v/>
      </c>
      <c r="D234" s="17"/>
      <c r="G234" s="30"/>
    </row>
    <row r="235" spans="1:7" ht="12.5" x14ac:dyDescent="0.25">
      <c r="A235" s="17"/>
      <c r="B235" s="17"/>
      <c r="C235" s="30" t="str">
        <f ca="1">IFERROR(__xludf.DUMMYFUNCTION("""COMPUTED_VALUE"""),"")</f>
        <v/>
      </c>
      <c r="D235" s="17"/>
      <c r="G235" s="30"/>
    </row>
    <row r="236" spans="1:7" ht="12.5" x14ac:dyDescent="0.25">
      <c r="A236" s="17"/>
      <c r="B236" s="17"/>
      <c r="C236" s="30" t="str">
        <f ca="1">IFERROR(__xludf.DUMMYFUNCTION("""COMPUTED_VALUE"""),"")</f>
        <v/>
      </c>
      <c r="D236" s="17"/>
      <c r="G236" s="30"/>
    </row>
    <row r="237" spans="1:7" ht="12.5" x14ac:dyDescent="0.25">
      <c r="A237" s="17"/>
      <c r="B237" s="17"/>
      <c r="C237" s="30" t="str">
        <f ca="1">IFERROR(__xludf.DUMMYFUNCTION("""COMPUTED_VALUE"""),"")</f>
        <v/>
      </c>
      <c r="D237" s="17"/>
      <c r="G237" s="30"/>
    </row>
    <row r="238" spans="1:7" ht="12.5" x14ac:dyDescent="0.25">
      <c r="A238" s="17"/>
      <c r="B238" s="17"/>
      <c r="C238" s="30" t="str">
        <f ca="1">IFERROR(__xludf.DUMMYFUNCTION("""COMPUTED_VALUE"""),"")</f>
        <v/>
      </c>
      <c r="D238" s="17"/>
      <c r="G238" s="30"/>
    </row>
    <row r="239" spans="1:7" ht="12.5" x14ac:dyDescent="0.25">
      <c r="A239" s="17"/>
      <c r="B239" s="17"/>
      <c r="C239" s="30" t="str">
        <f ca="1">IFERROR(__xludf.DUMMYFUNCTION("""COMPUTED_VALUE"""),"")</f>
        <v/>
      </c>
      <c r="D239" s="17"/>
      <c r="G239" s="30"/>
    </row>
    <row r="240" spans="1:7" ht="12.5" x14ac:dyDescent="0.25">
      <c r="A240" s="17"/>
      <c r="B240" s="17"/>
      <c r="C240" s="30" t="str">
        <f ca="1">IFERROR(__xludf.DUMMYFUNCTION("""COMPUTED_VALUE"""),"")</f>
        <v/>
      </c>
      <c r="D240" s="17"/>
      <c r="G240" s="30"/>
    </row>
    <row r="241" spans="1:7" ht="12.5" x14ac:dyDescent="0.25">
      <c r="A241" s="17"/>
      <c r="B241" s="17"/>
      <c r="C241" s="30" t="str">
        <f ca="1">IFERROR(__xludf.DUMMYFUNCTION("""COMPUTED_VALUE"""),"")</f>
        <v/>
      </c>
      <c r="D241" s="17"/>
      <c r="G241" s="30"/>
    </row>
    <row r="242" spans="1:7" ht="12.5" x14ac:dyDescent="0.25">
      <c r="A242" s="17"/>
      <c r="B242" s="17"/>
      <c r="C242" s="30" t="str">
        <f ca="1">IFERROR(__xludf.DUMMYFUNCTION("""COMPUTED_VALUE"""),"")</f>
        <v/>
      </c>
      <c r="D242" s="17"/>
      <c r="G242" s="30"/>
    </row>
    <row r="243" spans="1:7" ht="12.5" x14ac:dyDescent="0.25">
      <c r="A243" s="17"/>
      <c r="B243" s="17"/>
      <c r="C243" s="30" t="str">
        <f ca="1">IFERROR(__xludf.DUMMYFUNCTION("""COMPUTED_VALUE"""),"")</f>
        <v/>
      </c>
      <c r="D243" s="17"/>
      <c r="G243" s="30"/>
    </row>
    <row r="244" spans="1:7" ht="12.5" x14ac:dyDescent="0.25">
      <c r="A244" s="17"/>
      <c r="B244" s="17"/>
      <c r="C244" s="30" t="str">
        <f ca="1">IFERROR(__xludf.DUMMYFUNCTION("""COMPUTED_VALUE"""),"")</f>
        <v/>
      </c>
      <c r="D244" s="17"/>
      <c r="G244" s="30"/>
    </row>
    <row r="245" spans="1:7" ht="12.5" x14ac:dyDescent="0.25">
      <c r="A245" s="17"/>
      <c r="B245" s="17"/>
      <c r="C245" s="30" t="str">
        <f ca="1">IFERROR(__xludf.DUMMYFUNCTION("""COMPUTED_VALUE"""),"")</f>
        <v/>
      </c>
      <c r="D245" s="17"/>
      <c r="G245" s="30"/>
    </row>
    <row r="246" spans="1:7" ht="12.5" x14ac:dyDescent="0.25">
      <c r="A246" s="17"/>
      <c r="B246" s="17"/>
      <c r="C246" s="30" t="str">
        <f ca="1">IFERROR(__xludf.DUMMYFUNCTION("""COMPUTED_VALUE"""),"")</f>
        <v/>
      </c>
      <c r="D246" s="17"/>
      <c r="G246" s="30"/>
    </row>
    <row r="247" spans="1:7" ht="12.5" x14ac:dyDescent="0.25">
      <c r="A247" s="17"/>
      <c r="B247" s="17"/>
      <c r="C247" s="30" t="str">
        <f ca="1">IFERROR(__xludf.DUMMYFUNCTION("""COMPUTED_VALUE"""),"")</f>
        <v/>
      </c>
      <c r="D247" s="17"/>
      <c r="G247" s="30"/>
    </row>
    <row r="248" spans="1:7" ht="12.5" x14ac:dyDescent="0.25">
      <c r="A248" s="17"/>
      <c r="B248" s="17"/>
      <c r="C248" s="30" t="str">
        <f ca="1">IFERROR(__xludf.DUMMYFUNCTION("""COMPUTED_VALUE"""),"")</f>
        <v/>
      </c>
      <c r="D248" s="17"/>
      <c r="G248" s="30"/>
    </row>
    <row r="249" spans="1:7" ht="12.5" x14ac:dyDescent="0.25">
      <c r="A249" s="17"/>
      <c r="B249" s="17"/>
      <c r="C249" s="30" t="str">
        <f ca="1">IFERROR(__xludf.DUMMYFUNCTION("""COMPUTED_VALUE"""),"")</f>
        <v/>
      </c>
      <c r="D249" s="17"/>
      <c r="G249" s="30"/>
    </row>
    <row r="250" spans="1:7" ht="12.5" x14ac:dyDescent="0.25">
      <c r="A250" s="17"/>
      <c r="B250" s="17"/>
      <c r="C250" s="30" t="str">
        <f ca="1">IFERROR(__xludf.DUMMYFUNCTION("""COMPUTED_VALUE"""),"")</f>
        <v/>
      </c>
      <c r="D250" s="17"/>
      <c r="G250" s="30"/>
    </row>
    <row r="251" spans="1:7" ht="12.5" x14ac:dyDescent="0.25">
      <c r="A251" s="17"/>
      <c r="B251" s="17"/>
      <c r="C251" s="30" t="str">
        <f ca="1">IFERROR(__xludf.DUMMYFUNCTION("""COMPUTED_VALUE"""),"")</f>
        <v/>
      </c>
      <c r="D251" s="17"/>
      <c r="G251" s="30"/>
    </row>
    <row r="252" spans="1:7" ht="12.5" x14ac:dyDescent="0.25">
      <c r="A252" s="17"/>
      <c r="B252" s="17"/>
      <c r="C252" s="30" t="str">
        <f ca="1">IFERROR(__xludf.DUMMYFUNCTION("""COMPUTED_VALUE"""),"")</f>
        <v/>
      </c>
      <c r="D252" s="17"/>
      <c r="G252" s="30"/>
    </row>
    <row r="253" spans="1:7" ht="12.5" x14ac:dyDescent="0.25">
      <c r="A253" s="17"/>
      <c r="B253" s="17"/>
      <c r="C253" s="30" t="str">
        <f ca="1">IFERROR(__xludf.DUMMYFUNCTION("""COMPUTED_VALUE"""),"")</f>
        <v/>
      </c>
      <c r="D253" s="17"/>
      <c r="G253" s="30"/>
    </row>
    <row r="254" spans="1:7" ht="12.5" x14ac:dyDescent="0.25">
      <c r="A254" s="17"/>
      <c r="B254" s="17"/>
      <c r="C254" s="30" t="str">
        <f ca="1">IFERROR(__xludf.DUMMYFUNCTION("""COMPUTED_VALUE"""),"")</f>
        <v/>
      </c>
      <c r="D254" s="17"/>
      <c r="G254" s="30"/>
    </row>
    <row r="255" spans="1:7" ht="12.5" x14ac:dyDescent="0.25">
      <c r="A255" s="17"/>
      <c r="B255" s="17"/>
      <c r="C255" s="30" t="str">
        <f ca="1">IFERROR(__xludf.DUMMYFUNCTION("""COMPUTED_VALUE"""),"")</f>
        <v/>
      </c>
      <c r="D255" s="17"/>
      <c r="G255" s="30"/>
    </row>
    <row r="256" spans="1:7" ht="12.5" x14ac:dyDescent="0.25">
      <c r="A256" s="17"/>
      <c r="B256" s="17"/>
      <c r="C256" s="30" t="str">
        <f ca="1">IFERROR(__xludf.DUMMYFUNCTION("""COMPUTED_VALUE"""),"")</f>
        <v/>
      </c>
      <c r="D256" s="17"/>
      <c r="G256" s="30"/>
    </row>
    <row r="257" spans="1:7" ht="12.5" x14ac:dyDescent="0.25">
      <c r="A257" s="17"/>
      <c r="B257" s="17"/>
      <c r="C257" s="30" t="str">
        <f ca="1">IFERROR(__xludf.DUMMYFUNCTION("""COMPUTED_VALUE"""),"")</f>
        <v/>
      </c>
      <c r="D257" s="17"/>
      <c r="G257" s="30"/>
    </row>
    <row r="258" spans="1:7" ht="12.5" x14ac:dyDescent="0.25">
      <c r="A258" s="17"/>
      <c r="B258" s="17"/>
      <c r="C258" s="30" t="str">
        <f ca="1">IFERROR(__xludf.DUMMYFUNCTION("""COMPUTED_VALUE"""),"")</f>
        <v/>
      </c>
      <c r="D258" s="17"/>
      <c r="G258" s="30"/>
    </row>
    <row r="259" spans="1:7" ht="12.5" x14ac:dyDescent="0.25">
      <c r="A259" s="17"/>
      <c r="B259" s="17"/>
      <c r="C259" s="30" t="str">
        <f ca="1">IFERROR(__xludf.DUMMYFUNCTION("""COMPUTED_VALUE"""),"")</f>
        <v/>
      </c>
      <c r="D259" s="17"/>
      <c r="G259" s="30"/>
    </row>
    <row r="260" spans="1:7" ht="12.5" x14ac:dyDescent="0.25">
      <c r="A260" s="17"/>
      <c r="B260" s="17"/>
      <c r="C260" s="30" t="str">
        <f ca="1">IFERROR(__xludf.DUMMYFUNCTION("""COMPUTED_VALUE"""),"")</f>
        <v/>
      </c>
      <c r="D260" s="17"/>
      <c r="G260" s="30"/>
    </row>
    <row r="261" spans="1:7" ht="12.5" x14ac:dyDescent="0.25">
      <c r="A261" s="17"/>
      <c r="B261" s="17"/>
      <c r="C261" s="30" t="str">
        <f ca="1">IFERROR(__xludf.DUMMYFUNCTION("""COMPUTED_VALUE"""),"")</f>
        <v/>
      </c>
      <c r="D261" s="17"/>
      <c r="G261" s="30"/>
    </row>
    <row r="262" spans="1:7" ht="12.5" x14ac:dyDescent="0.25">
      <c r="A262" s="17"/>
      <c r="B262" s="17"/>
      <c r="C262" s="30" t="str">
        <f ca="1">IFERROR(__xludf.DUMMYFUNCTION("""COMPUTED_VALUE"""),"")</f>
        <v/>
      </c>
      <c r="D262" s="17"/>
      <c r="G262" s="30"/>
    </row>
    <row r="263" spans="1:7" ht="12.5" x14ac:dyDescent="0.25">
      <c r="A263" s="17"/>
      <c r="B263" s="17"/>
      <c r="C263" s="30" t="str">
        <f ca="1">IFERROR(__xludf.DUMMYFUNCTION("""COMPUTED_VALUE"""),"")</f>
        <v/>
      </c>
      <c r="D263" s="17"/>
      <c r="G263" s="30"/>
    </row>
    <row r="264" spans="1:7" ht="12.5" x14ac:dyDescent="0.25">
      <c r="A264" s="17"/>
      <c r="B264" s="17"/>
      <c r="C264" s="30" t="str">
        <f ca="1">IFERROR(__xludf.DUMMYFUNCTION("""COMPUTED_VALUE"""),"")</f>
        <v/>
      </c>
      <c r="D264" s="17"/>
      <c r="G264" s="30"/>
    </row>
    <row r="265" spans="1:7" ht="12.5" x14ac:dyDescent="0.25">
      <c r="A265" s="17"/>
      <c r="B265" s="17"/>
      <c r="C265" s="30" t="str">
        <f ca="1">IFERROR(__xludf.DUMMYFUNCTION("""COMPUTED_VALUE"""),"")</f>
        <v/>
      </c>
      <c r="D265" s="17"/>
      <c r="G265" s="30"/>
    </row>
    <row r="266" spans="1:7" ht="12.5" x14ac:dyDescent="0.25">
      <c r="A266" s="17"/>
      <c r="B266" s="17"/>
      <c r="C266" s="30" t="str">
        <f ca="1">IFERROR(__xludf.DUMMYFUNCTION("""COMPUTED_VALUE"""),"")</f>
        <v/>
      </c>
      <c r="D266" s="17"/>
      <c r="G266" s="30"/>
    </row>
    <row r="267" spans="1:7" ht="12.5" x14ac:dyDescent="0.25">
      <c r="A267" s="17"/>
      <c r="B267" s="17"/>
      <c r="C267" s="30" t="str">
        <f ca="1">IFERROR(__xludf.DUMMYFUNCTION("""COMPUTED_VALUE"""),"")</f>
        <v/>
      </c>
      <c r="D267" s="17"/>
      <c r="G267" s="30"/>
    </row>
    <row r="268" spans="1:7" ht="12.5" x14ac:dyDescent="0.25">
      <c r="A268" s="17"/>
      <c r="B268" s="17"/>
      <c r="C268" s="30" t="str">
        <f ca="1">IFERROR(__xludf.DUMMYFUNCTION("""COMPUTED_VALUE"""),"")</f>
        <v/>
      </c>
      <c r="D268" s="17"/>
      <c r="G268" s="30"/>
    </row>
    <row r="269" spans="1:7" ht="12.5" x14ac:dyDescent="0.25">
      <c r="A269" s="17"/>
      <c r="B269" s="17"/>
      <c r="C269" s="30" t="str">
        <f ca="1">IFERROR(__xludf.DUMMYFUNCTION("""COMPUTED_VALUE"""),"")</f>
        <v/>
      </c>
      <c r="D269" s="17"/>
      <c r="G269" s="30"/>
    </row>
    <row r="270" spans="1:7" ht="12.5" x14ac:dyDescent="0.25">
      <c r="A270" s="17"/>
      <c r="B270" s="17"/>
      <c r="C270" s="30" t="str">
        <f ca="1">IFERROR(__xludf.DUMMYFUNCTION("""COMPUTED_VALUE"""),"")</f>
        <v/>
      </c>
      <c r="D270" s="17"/>
      <c r="G270" s="30"/>
    </row>
    <row r="271" spans="1:7" ht="12.5" x14ac:dyDescent="0.25">
      <c r="A271" s="17"/>
      <c r="B271" s="17"/>
      <c r="C271" s="30" t="str">
        <f ca="1">IFERROR(__xludf.DUMMYFUNCTION("""COMPUTED_VALUE"""),"")</f>
        <v/>
      </c>
      <c r="D271" s="17"/>
      <c r="G271" s="30"/>
    </row>
    <row r="272" spans="1:7" ht="12.5" x14ac:dyDescent="0.25">
      <c r="A272" s="17"/>
      <c r="B272" s="17"/>
      <c r="C272" s="30" t="str">
        <f ca="1">IFERROR(__xludf.DUMMYFUNCTION("""COMPUTED_VALUE"""),"")</f>
        <v/>
      </c>
      <c r="D272" s="17"/>
      <c r="G272" s="30"/>
    </row>
    <row r="273" spans="1:7" ht="12.5" x14ac:dyDescent="0.25">
      <c r="A273" s="17"/>
      <c r="B273" s="17"/>
      <c r="C273" s="30" t="str">
        <f ca="1">IFERROR(__xludf.DUMMYFUNCTION("""COMPUTED_VALUE"""),"")</f>
        <v/>
      </c>
      <c r="D273" s="17"/>
      <c r="G273" s="30"/>
    </row>
    <row r="274" spans="1:7" ht="12.5" x14ac:dyDescent="0.25">
      <c r="A274" s="17"/>
      <c r="B274" s="17"/>
      <c r="C274" s="30" t="str">
        <f ca="1">IFERROR(__xludf.DUMMYFUNCTION("""COMPUTED_VALUE"""),"")</f>
        <v/>
      </c>
      <c r="D274" s="17"/>
      <c r="G274" s="30"/>
    </row>
    <row r="275" spans="1:7" ht="12.5" x14ac:dyDescent="0.25">
      <c r="A275" s="17"/>
      <c r="B275" s="17"/>
      <c r="C275" s="30" t="str">
        <f ca="1">IFERROR(__xludf.DUMMYFUNCTION("""COMPUTED_VALUE"""),"")</f>
        <v/>
      </c>
      <c r="D275" s="17"/>
      <c r="G275" s="30"/>
    </row>
    <row r="276" spans="1:7" ht="12.5" x14ac:dyDescent="0.25">
      <c r="A276" s="17"/>
      <c r="B276" s="17"/>
      <c r="C276" s="30" t="str">
        <f ca="1">IFERROR(__xludf.DUMMYFUNCTION("""COMPUTED_VALUE"""),"")</f>
        <v/>
      </c>
      <c r="D276" s="17"/>
      <c r="G276" s="30"/>
    </row>
    <row r="277" spans="1:7" ht="12.5" x14ac:dyDescent="0.25">
      <c r="A277" s="17"/>
      <c r="B277" s="17"/>
      <c r="C277" s="30" t="str">
        <f ca="1">IFERROR(__xludf.DUMMYFUNCTION("""COMPUTED_VALUE"""),"")</f>
        <v/>
      </c>
      <c r="D277" s="17"/>
      <c r="G277" s="30"/>
    </row>
    <row r="278" spans="1:7" ht="12.5" x14ac:dyDescent="0.25">
      <c r="A278" s="17"/>
      <c r="B278" s="17"/>
      <c r="C278" s="30" t="str">
        <f ca="1">IFERROR(__xludf.DUMMYFUNCTION("""COMPUTED_VALUE"""),"")</f>
        <v/>
      </c>
      <c r="D278" s="17"/>
      <c r="G278" s="30"/>
    </row>
    <row r="279" spans="1:7" ht="12.5" x14ac:dyDescent="0.25">
      <c r="A279" s="17"/>
      <c r="B279" s="17"/>
      <c r="C279" s="30" t="str">
        <f ca="1">IFERROR(__xludf.DUMMYFUNCTION("""COMPUTED_VALUE"""),"")</f>
        <v/>
      </c>
      <c r="D279" s="17"/>
      <c r="G279" s="30"/>
    </row>
    <row r="280" spans="1:7" ht="12.5" x14ac:dyDescent="0.25">
      <c r="A280" s="17"/>
      <c r="B280" s="17"/>
      <c r="C280" s="30" t="str">
        <f ca="1">IFERROR(__xludf.DUMMYFUNCTION("""COMPUTED_VALUE"""),"")</f>
        <v/>
      </c>
      <c r="D280" s="17"/>
      <c r="G280" s="30"/>
    </row>
    <row r="281" spans="1:7" ht="12.5" x14ac:dyDescent="0.25">
      <c r="A281" s="17"/>
      <c r="B281" s="17"/>
      <c r="C281" s="30" t="str">
        <f ca="1">IFERROR(__xludf.DUMMYFUNCTION("""COMPUTED_VALUE"""),"")</f>
        <v/>
      </c>
      <c r="D281" s="17"/>
      <c r="G281" s="30"/>
    </row>
    <row r="282" spans="1:7" ht="12.5" x14ac:dyDescent="0.25">
      <c r="A282" s="17"/>
      <c r="B282" s="17"/>
      <c r="C282" s="30" t="str">
        <f ca="1">IFERROR(__xludf.DUMMYFUNCTION("""COMPUTED_VALUE"""),"")</f>
        <v/>
      </c>
      <c r="D282" s="17"/>
      <c r="G282" s="30"/>
    </row>
    <row r="283" spans="1:7" ht="12.5" x14ac:dyDescent="0.25">
      <c r="A283" s="17"/>
      <c r="B283" s="17"/>
      <c r="C283" s="30" t="str">
        <f ca="1">IFERROR(__xludf.DUMMYFUNCTION("""COMPUTED_VALUE"""),"")</f>
        <v/>
      </c>
      <c r="D283" s="17"/>
      <c r="G283" s="30"/>
    </row>
    <row r="284" spans="1:7" ht="12.5" x14ac:dyDescent="0.25">
      <c r="A284" s="17"/>
      <c r="B284" s="17"/>
      <c r="C284" s="30" t="str">
        <f ca="1">IFERROR(__xludf.DUMMYFUNCTION("""COMPUTED_VALUE"""),"")</f>
        <v/>
      </c>
      <c r="D284" s="17"/>
      <c r="G284" s="30"/>
    </row>
    <row r="285" spans="1:7" ht="12.5" x14ac:dyDescent="0.25">
      <c r="A285" s="17"/>
      <c r="B285" s="17"/>
      <c r="C285" s="30" t="str">
        <f ca="1">IFERROR(__xludf.DUMMYFUNCTION("""COMPUTED_VALUE"""),"")</f>
        <v/>
      </c>
      <c r="D285" s="17"/>
      <c r="G285" s="30"/>
    </row>
    <row r="286" spans="1:7" ht="12.5" x14ac:dyDescent="0.25">
      <c r="A286" s="17"/>
      <c r="B286" s="17"/>
      <c r="C286" s="30" t="str">
        <f ca="1">IFERROR(__xludf.DUMMYFUNCTION("""COMPUTED_VALUE"""),"")</f>
        <v/>
      </c>
      <c r="D286" s="17"/>
      <c r="G286" s="30"/>
    </row>
    <row r="287" spans="1:7" ht="12.5" x14ac:dyDescent="0.25">
      <c r="A287" s="17"/>
      <c r="B287" s="17"/>
      <c r="C287" s="30" t="str">
        <f ca="1">IFERROR(__xludf.DUMMYFUNCTION("""COMPUTED_VALUE"""),"")</f>
        <v/>
      </c>
      <c r="D287" s="17"/>
      <c r="G287" s="30"/>
    </row>
    <row r="288" spans="1:7" ht="12.5" x14ac:dyDescent="0.25">
      <c r="A288" s="17"/>
      <c r="B288" s="17"/>
      <c r="C288" s="30" t="str">
        <f ca="1">IFERROR(__xludf.DUMMYFUNCTION("""COMPUTED_VALUE"""),"")</f>
        <v/>
      </c>
      <c r="D288" s="17"/>
      <c r="G288" s="30"/>
    </row>
    <row r="289" spans="1:7" ht="12.5" x14ac:dyDescent="0.25">
      <c r="A289" s="17"/>
      <c r="B289" s="17"/>
      <c r="C289" s="30" t="str">
        <f ca="1">IFERROR(__xludf.DUMMYFUNCTION("""COMPUTED_VALUE"""),"")</f>
        <v/>
      </c>
      <c r="D289" s="17"/>
      <c r="G289" s="30"/>
    </row>
    <row r="290" spans="1:7" ht="12.5" x14ac:dyDescent="0.25">
      <c r="A290" s="17"/>
      <c r="B290" s="17"/>
      <c r="C290" s="30" t="str">
        <f ca="1">IFERROR(__xludf.DUMMYFUNCTION("""COMPUTED_VALUE"""),"")</f>
        <v/>
      </c>
      <c r="D290" s="17"/>
      <c r="G290" s="30"/>
    </row>
    <row r="291" spans="1:7" ht="12.5" x14ac:dyDescent="0.25">
      <c r="A291" s="17"/>
      <c r="B291" s="17"/>
      <c r="C291" s="30" t="str">
        <f ca="1">IFERROR(__xludf.DUMMYFUNCTION("""COMPUTED_VALUE"""),"")</f>
        <v/>
      </c>
      <c r="D291" s="17"/>
      <c r="G291" s="30"/>
    </row>
    <row r="292" spans="1:7" ht="12.5" x14ac:dyDescent="0.25">
      <c r="A292" s="17"/>
      <c r="B292" s="17"/>
      <c r="C292" s="30" t="str">
        <f ca="1">IFERROR(__xludf.DUMMYFUNCTION("""COMPUTED_VALUE"""),"")</f>
        <v/>
      </c>
      <c r="D292" s="17"/>
      <c r="G292" s="30"/>
    </row>
    <row r="293" spans="1:7" ht="12.5" x14ac:dyDescent="0.25">
      <c r="A293" s="17"/>
      <c r="B293" s="17"/>
      <c r="C293" s="30" t="str">
        <f ca="1">IFERROR(__xludf.DUMMYFUNCTION("""COMPUTED_VALUE"""),"")</f>
        <v/>
      </c>
      <c r="D293" s="17"/>
      <c r="G293" s="30"/>
    </row>
    <row r="294" spans="1:7" ht="12.5" x14ac:dyDescent="0.25">
      <c r="A294" s="17"/>
      <c r="B294" s="17"/>
      <c r="C294" s="30" t="str">
        <f ca="1">IFERROR(__xludf.DUMMYFUNCTION("""COMPUTED_VALUE"""),"")</f>
        <v/>
      </c>
      <c r="D294" s="17"/>
      <c r="G294" s="30"/>
    </row>
    <row r="295" spans="1:7" ht="12.5" x14ac:dyDescent="0.25">
      <c r="A295" s="17"/>
      <c r="B295" s="17"/>
      <c r="C295" s="30" t="str">
        <f ca="1">IFERROR(__xludf.DUMMYFUNCTION("""COMPUTED_VALUE"""),"")</f>
        <v/>
      </c>
      <c r="D295" s="17"/>
      <c r="G295" s="30"/>
    </row>
    <row r="296" spans="1:7" ht="12.5" x14ac:dyDescent="0.25">
      <c r="A296" s="17"/>
      <c r="B296" s="17"/>
      <c r="C296" s="30" t="str">
        <f ca="1">IFERROR(__xludf.DUMMYFUNCTION("""COMPUTED_VALUE"""),"")</f>
        <v/>
      </c>
      <c r="D296" s="17"/>
      <c r="G296" s="30"/>
    </row>
    <row r="297" spans="1:7" ht="12.5" x14ac:dyDescent="0.25">
      <c r="A297" s="17"/>
      <c r="B297" s="17"/>
      <c r="C297" s="30" t="str">
        <f ca="1">IFERROR(__xludf.DUMMYFUNCTION("""COMPUTED_VALUE"""),"")</f>
        <v/>
      </c>
      <c r="D297" s="17"/>
      <c r="G297" s="30"/>
    </row>
    <row r="298" spans="1:7" ht="12.5" x14ac:dyDescent="0.25">
      <c r="A298" s="17"/>
      <c r="B298" s="17"/>
      <c r="C298" s="30" t="str">
        <f ca="1">IFERROR(__xludf.DUMMYFUNCTION("""COMPUTED_VALUE"""),"")</f>
        <v/>
      </c>
      <c r="D298" s="17"/>
      <c r="G298" s="30"/>
    </row>
    <row r="299" spans="1:7" ht="12.5" x14ac:dyDescent="0.25">
      <c r="A299" s="17"/>
      <c r="B299" s="17"/>
      <c r="C299" s="30" t="str">
        <f ca="1">IFERROR(__xludf.DUMMYFUNCTION("""COMPUTED_VALUE"""),"")</f>
        <v/>
      </c>
      <c r="D299" s="17"/>
      <c r="G299" s="30"/>
    </row>
    <row r="300" spans="1:7" ht="12.5" x14ac:dyDescent="0.25">
      <c r="A300" s="17"/>
      <c r="B300" s="17"/>
      <c r="C300" s="30" t="str">
        <f ca="1">IFERROR(__xludf.DUMMYFUNCTION("""COMPUTED_VALUE"""),"")</f>
        <v/>
      </c>
      <c r="D300" s="17"/>
      <c r="G300" s="30"/>
    </row>
    <row r="301" spans="1:7" ht="12.5" x14ac:dyDescent="0.25">
      <c r="A301" s="17"/>
      <c r="B301" s="17"/>
      <c r="C301" s="30" t="str">
        <f ca="1">IFERROR(__xludf.DUMMYFUNCTION("""COMPUTED_VALUE"""),"")</f>
        <v/>
      </c>
      <c r="D301" s="17"/>
      <c r="G301" s="30"/>
    </row>
    <row r="302" spans="1:7" ht="12.5" x14ac:dyDescent="0.25">
      <c r="A302" s="17"/>
      <c r="B302" s="17"/>
      <c r="C302" s="30" t="str">
        <f ca="1">IFERROR(__xludf.DUMMYFUNCTION("""COMPUTED_VALUE"""),"")</f>
        <v/>
      </c>
      <c r="D302" s="17"/>
      <c r="G302" s="30"/>
    </row>
    <row r="303" spans="1:7" ht="12.5" x14ac:dyDescent="0.25">
      <c r="A303" s="17"/>
      <c r="B303" s="17"/>
      <c r="C303" s="30" t="str">
        <f ca="1">IFERROR(__xludf.DUMMYFUNCTION("""COMPUTED_VALUE"""),"")</f>
        <v/>
      </c>
      <c r="D303" s="17"/>
      <c r="G303" s="30"/>
    </row>
    <row r="304" spans="1:7" ht="12.5" x14ac:dyDescent="0.25">
      <c r="A304" s="17"/>
      <c r="B304" s="17"/>
      <c r="C304" s="30" t="str">
        <f ca="1">IFERROR(__xludf.DUMMYFUNCTION("""COMPUTED_VALUE"""),"")</f>
        <v/>
      </c>
      <c r="D304" s="17"/>
      <c r="G304" s="30"/>
    </row>
    <row r="305" spans="1:7" ht="12.5" x14ac:dyDescent="0.25">
      <c r="A305" s="17"/>
      <c r="B305" s="17"/>
      <c r="C305" s="30" t="str">
        <f ca="1">IFERROR(__xludf.DUMMYFUNCTION("""COMPUTED_VALUE"""),"")</f>
        <v/>
      </c>
      <c r="D305" s="17"/>
      <c r="G305" s="30"/>
    </row>
    <row r="306" spans="1:7" ht="12.5" x14ac:dyDescent="0.25">
      <c r="A306" s="17"/>
      <c r="B306" s="17"/>
      <c r="C306" s="30" t="str">
        <f ca="1">IFERROR(__xludf.DUMMYFUNCTION("""COMPUTED_VALUE"""),"")</f>
        <v/>
      </c>
      <c r="D306" s="17"/>
      <c r="G306" s="30"/>
    </row>
    <row r="307" spans="1:7" ht="12.5" x14ac:dyDescent="0.25">
      <c r="A307" s="17"/>
      <c r="B307" s="17"/>
      <c r="C307" s="30" t="str">
        <f ca="1">IFERROR(__xludf.DUMMYFUNCTION("""COMPUTED_VALUE"""),"")</f>
        <v/>
      </c>
      <c r="D307" s="17"/>
      <c r="G307" s="30"/>
    </row>
    <row r="308" spans="1:7" ht="12.5" x14ac:dyDescent="0.25">
      <c r="A308" s="17"/>
      <c r="B308" s="17"/>
      <c r="C308" s="30" t="str">
        <f ca="1">IFERROR(__xludf.DUMMYFUNCTION("""COMPUTED_VALUE"""),"")</f>
        <v/>
      </c>
      <c r="D308" s="17"/>
      <c r="G308" s="30"/>
    </row>
    <row r="309" spans="1:7" ht="12.5" x14ac:dyDescent="0.25">
      <c r="A309" s="17"/>
      <c r="B309" s="17"/>
      <c r="C309" s="30" t="str">
        <f ca="1">IFERROR(__xludf.DUMMYFUNCTION("""COMPUTED_VALUE"""),"")</f>
        <v/>
      </c>
      <c r="D309" s="17"/>
      <c r="G309" s="30"/>
    </row>
    <row r="310" spans="1:7" ht="12.5" x14ac:dyDescent="0.25">
      <c r="A310" s="17"/>
      <c r="B310" s="17"/>
      <c r="C310" s="30" t="str">
        <f ca="1">IFERROR(__xludf.DUMMYFUNCTION("""COMPUTED_VALUE"""),"")</f>
        <v/>
      </c>
      <c r="D310" s="17"/>
      <c r="G310" s="30"/>
    </row>
    <row r="311" spans="1:7" ht="12.5" x14ac:dyDescent="0.25">
      <c r="A311" s="17"/>
      <c r="B311" s="17"/>
      <c r="C311" s="30" t="str">
        <f ca="1">IFERROR(__xludf.DUMMYFUNCTION("""COMPUTED_VALUE"""),"")</f>
        <v/>
      </c>
      <c r="D311" s="17"/>
      <c r="G311" s="30"/>
    </row>
    <row r="312" spans="1:7" ht="12.5" x14ac:dyDescent="0.25">
      <c r="A312" s="17"/>
      <c r="B312" s="17"/>
      <c r="C312" s="30" t="str">
        <f ca="1">IFERROR(__xludf.DUMMYFUNCTION("""COMPUTED_VALUE"""),"")</f>
        <v/>
      </c>
      <c r="D312" s="17"/>
      <c r="G312" s="30"/>
    </row>
    <row r="313" spans="1:7" ht="12.5" x14ac:dyDescent="0.25">
      <c r="A313" s="17"/>
      <c r="B313" s="17"/>
      <c r="C313" s="30" t="str">
        <f ca="1">IFERROR(__xludf.DUMMYFUNCTION("""COMPUTED_VALUE"""),"")</f>
        <v/>
      </c>
      <c r="D313" s="17"/>
      <c r="G313" s="30"/>
    </row>
    <row r="314" spans="1:7" ht="12.5" x14ac:dyDescent="0.25">
      <c r="A314" s="17"/>
      <c r="B314" s="17"/>
      <c r="C314" s="30" t="str">
        <f ca="1">IFERROR(__xludf.DUMMYFUNCTION("""COMPUTED_VALUE"""),"")</f>
        <v/>
      </c>
      <c r="D314" s="17"/>
      <c r="G314" s="30"/>
    </row>
    <row r="315" spans="1:7" ht="12.5" x14ac:dyDescent="0.25">
      <c r="A315" s="17"/>
      <c r="B315" s="17"/>
      <c r="C315" s="30" t="str">
        <f ca="1">IFERROR(__xludf.DUMMYFUNCTION("""COMPUTED_VALUE"""),"")</f>
        <v/>
      </c>
      <c r="D315" s="17"/>
      <c r="G315" s="30"/>
    </row>
    <row r="316" spans="1:7" ht="12.5" x14ac:dyDescent="0.25">
      <c r="A316" s="17"/>
      <c r="B316" s="17"/>
      <c r="C316" s="30" t="str">
        <f ca="1">IFERROR(__xludf.DUMMYFUNCTION("""COMPUTED_VALUE"""),"")</f>
        <v/>
      </c>
      <c r="D316" s="17"/>
      <c r="G316" s="30"/>
    </row>
    <row r="317" spans="1:7" ht="12.5" x14ac:dyDescent="0.25">
      <c r="A317" s="17"/>
      <c r="B317" s="17"/>
      <c r="C317" s="30" t="str">
        <f ca="1">IFERROR(__xludf.DUMMYFUNCTION("""COMPUTED_VALUE"""),"")</f>
        <v/>
      </c>
      <c r="D317" s="17"/>
      <c r="G317" s="30"/>
    </row>
    <row r="318" spans="1:7" ht="12.5" x14ac:dyDescent="0.25">
      <c r="A318" s="17"/>
      <c r="B318" s="17"/>
      <c r="C318" s="30" t="str">
        <f ca="1">IFERROR(__xludf.DUMMYFUNCTION("""COMPUTED_VALUE"""),"")</f>
        <v/>
      </c>
      <c r="D318" s="17"/>
      <c r="G318" s="30"/>
    </row>
    <row r="319" spans="1:7" ht="12.5" x14ac:dyDescent="0.25">
      <c r="A319" s="17"/>
      <c r="B319" s="17"/>
      <c r="C319" s="30" t="str">
        <f ca="1">IFERROR(__xludf.DUMMYFUNCTION("""COMPUTED_VALUE"""),"")</f>
        <v/>
      </c>
      <c r="D319" s="17"/>
      <c r="G319" s="30"/>
    </row>
    <row r="320" spans="1:7" ht="12.5" x14ac:dyDescent="0.25">
      <c r="A320" s="17"/>
      <c r="B320" s="17"/>
      <c r="C320" s="30" t="str">
        <f ca="1">IFERROR(__xludf.DUMMYFUNCTION("""COMPUTED_VALUE"""),"")</f>
        <v/>
      </c>
      <c r="D320" s="17"/>
      <c r="G320" s="30"/>
    </row>
    <row r="321" spans="1:7" ht="12.5" x14ac:dyDescent="0.25">
      <c r="A321" s="17"/>
      <c r="B321" s="17"/>
      <c r="C321" s="30" t="str">
        <f ca="1">IFERROR(__xludf.DUMMYFUNCTION("""COMPUTED_VALUE"""),"")</f>
        <v/>
      </c>
      <c r="D321" s="17"/>
      <c r="G321" s="30"/>
    </row>
    <row r="322" spans="1:7" ht="12.5" x14ac:dyDescent="0.25">
      <c r="A322" s="17"/>
      <c r="B322" s="17"/>
      <c r="C322" s="30" t="str">
        <f ca="1">IFERROR(__xludf.DUMMYFUNCTION("""COMPUTED_VALUE"""),"")</f>
        <v/>
      </c>
      <c r="D322" s="17"/>
      <c r="G322" s="30"/>
    </row>
    <row r="323" spans="1:7" ht="12.5" x14ac:dyDescent="0.25">
      <c r="A323" s="17"/>
      <c r="B323" s="17"/>
      <c r="C323" s="30" t="str">
        <f ca="1">IFERROR(__xludf.DUMMYFUNCTION("""COMPUTED_VALUE"""),"")</f>
        <v/>
      </c>
      <c r="D323" s="17"/>
      <c r="G323" s="30"/>
    </row>
    <row r="324" spans="1:7" ht="12.5" x14ac:dyDescent="0.25">
      <c r="A324" s="17"/>
      <c r="B324" s="17"/>
      <c r="C324" s="30" t="str">
        <f ca="1">IFERROR(__xludf.DUMMYFUNCTION("""COMPUTED_VALUE"""),"")</f>
        <v/>
      </c>
      <c r="D324" s="17"/>
      <c r="G324" s="30"/>
    </row>
    <row r="325" spans="1:7" ht="12.5" x14ac:dyDescent="0.25">
      <c r="A325" s="17"/>
      <c r="B325" s="17"/>
      <c r="C325" s="30" t="str">
        <f ca="1">IFERROR(__xludf.DUMMYFUNCTION("""COMPUTED_VALUE"""),"")</f>
        <v/>
      </c>
      <c r="D325" s="17"/>
      <c r="G325" s="30"/>
    </row>
    <row r="326" spans="1:7" ht="12.5" x14ac:dyDescent="0.25">
      <c r="A326" s="17"/>
      <c r="B326" s="17"/>
      <c r="C326" s="30" t="str">
        <f ca="1">IFERROR(__xludf.DUMMYFUNCTION("""COMPUTED_VALUE"""),"")</f>
        <v/>
      </c>
      <c r="D326" s="17"/>
      <c r="G326" s="30"/>
    </row>
    <row r="327" spans="1:7" ht="12.5" x14ac:dyDescent="0.25">
      <c r="A327" s="17"/>
      <c r="B327" s="17"/>
      <c r="C327" s="30" t="str">
        <f ca="1">IFERROR(__xludf.DUMMYFUNCTION("""COMPUTED_VALUE"""),"")</f>
        <v/>
      </c>
      <c r="D327" s="17"/>
      <c r="G327" s="30"/>
    </row>
    <row r="328" spans="1:7" ht="12.5" x14ac:dyDescent="0.25">
      <c r="A328" s="17"/>
      <c r="B328" s="17"/>
      <c r="C328" s="30" t="str">
        <f ca="1">IFERROR(__xludf.DUMMYFUNCTION("""COMPUTED_VALUE"""),"")</f>
        <v/>
      </c>
      <c r="D328" s="17"/>
      <c r="G328" s="30"/>
    </row>
    <row r="329" spans="1:7" ht="12.5" x14ac:dyDescent="0.25">
      <c r="A329" s="17"/>
      <c r="B329" s="17"/>
      <c r="C329" s="30" t="str">
        <f ca="1">IFERROR(__xludf.DUMMYFUNCTION("""COMPUTED_VALUE"""),"")</f>
        <v/>
      </c>
      <c r="D329" s="17"/>
      <c r="G329" s="30"/>
    </row>
    <row r="330" spans="1:7" ht="12.5" x14ac:dyDescent="0.25">
      <c r="A330" s="17"/>
      <c r="B330" s="17"/>
      <c r="C330" s="30" t="str">
        <f ca="1">IFERROR(__xludf.DUMMYFUNCTION("""COMPUTED_VALUE"""),"")</f>
        <v/>
      </c>
      <c r="D330" s="17"/>
      <c r="G330" s="30"/>
    </row>
    <row r="331" spans="1:7" ht="12.5" x14ac:dyDescent="0.25">
      <c r="A331" s="17"/>
      <c r="B331" s="17"/>
      <c r="C331" s="30" t="str">
        <f ca="1">IFERROR(__xludf.DUMMYFUNCTION("""COMPUTED_VALUE"""),"")</f>
        <v/>
      </c>
      <c r="D331" s="17"/>
      <c r="G331" s="30"/>
    </row>
    <row r="332" spans="1:7" ht="12.5" x14ac:dyDescent="0.25">
      <c r="A332" s="17"/>
      <c r="B332" s="17"/>
      <c r="C332" s="30" t="str">
        <f ca="1">IFERROR(__xludf.DUMMYFUNCTION("""COMPUTED_VALUE"""),"")</f>
        <v/>
      </c>
      <c r="D332" s="17"/>
      <c r="G332" s="30"/>
    </row>
    <row r="333" spans="1:7" ht="12.5" x14ac:dyDescent="0.25">
      <c r="A333" s="17"/>
      <c r="B333" s="17"/>
      <c r="C333" s="30" t="str">
        <f ca="1">IFERROR(__xludf.DUMMYFUNCTION("""COMPUTED_VALUE"""),"")</f>
        <v/>
      </c>
      <c r="D333" s="17"/>
      <c r="G333" s="30"/>
    </row>
    <row r="334" spans="1:7" ht="12.5" x14ac:dyDescent="0.25">
      <c r="A334" s="17"/>
      <c r="B334" s="17"/>
      <c r="C334" s="30" t="str">
        <f ca="1">IFERROR(__xludf.DUMMYFUNCTION("""COMPUTED_VALUE"""),"")</f>
        <v/>
      </c>
      <c r="D334" s="17"/>
      <c r="G334" s="30"/>
    </row>
    <row r="335" spans="1:7" ht="12.5" x14ac:dyDescent="0.25">
      <c r="A335" s="17"/>
      <c r="B335" s="17"/>
      <c r="C335" s="30" t="str">
        <f ca="1">IFERROR(__xludf.DUMMYFUNCTION("""COMPUTED_VALUE"""),"")</f>
        <v/>
      </c>
      <c r="D335" s="17"/>
      <c r="G335" s="30"/>
    </row>
    <row r="336" spans="1:7" ht="12.5" x14ac:dyDescent="0.25">
      <c r="A336" s="17"/>
      <c r="B336" s="17"/>
      <c r="C336" s="30" t="str">
        <f ca="1">IFERROR(__xludf.DUMMYFUNCTION("""COMPUTED_VALUE"""),"")</f>
        <v/>
      </c>
      <c r="D336" s="17"/>
      <c r="G336" s="30"/>
    </row>
    <row r="337" spans="1:7" ht="12.5" x14ac:dyDescent="0.25">
      <c r="A337" s="17"/>
      <c r="B337" s="17"/>
      <c r="C337" s="30" t="str">
        <f ca="1">IFERROR(__xludf.DUMMYFUNCTION("""COMPUTED_VALUE"""),"")</f>
        <v/>
      </c>
      <c r="D337" s="17"/>
      <c r="G337" s="30"/>
    </row>
    <row r="338" spans="1:7" ht="12.5" x14ac:dyDescent="0.25">
      <c r="A338" s="17"/>
      <c r="B338" s="17"/>
      <c r="C338" s="30" t="str">
        <f ca="1">IFERROR(__xludf.DUMMYFUNCTION("""COMPUTED_VALUE"""),"")</f>
        <v/>
      </c>
      <c r="D338" s="17"/>
      <c r="G338" s="30"/>
    </row>
    <row r="339" spans="1:7" ht="12.5" x14ac:dyDescent="0.25">
      <c r="A339" s="17"/>
      <c r="B339" s="17"/>
      <c r="C339" s="30" t="str">
        <f ca="1">IFERROR(__xludf.DUMMYFUNCTION("""COMPUTED_VALUE"""),"")</f>
        <v/>
      </c>
      <c r="D339" s="17"/>
      <c r="G339" s="30"/>
    </row>
    <row r="340" spans="1:7" ht="12.5" x14ac:dyDescent="0.25">
      <c r="A340" s="17"/>
      <c r="B340" s="17"/>
      <c r="C340" s="30" t="str">
        <f ca="1">IFERROR(__xludf.DUMMYFUNCTION("""COMPUTED_VALUE"""),"")</f>
        <v/>
      </c>
      <c r="D340" s="17"/>
      <c r="G340" s="30"/>
    </row>
    <row r="341" spans="1:7" ht="12.5" x14ac:dyDescent="0.25">
      <c r="A341" s="17"/>
      <c r="B341" s="17"/>
      <c r="C341" s="30" t="str">
        <f ca="1">IFERROR(__xludf.DUMMYFUNCTION("""COMPUTED_VALUE"""),"")</f>
        <v/>
      </c>
      <c r="D341" s="17"/>
      <c r="G341" s="30"/>
    </row>
    <row r="342" spans="1:7" ht="12.5" x14ac:dyDescent="0.25">
      <c r="A342" s="17"/>
      <c r="B342" s="17"/>
      <c r="C342" s="30" t="str">
        <f ca="1">IFERROR(__xludf.DUMMYFUNCTION("""COMPUTED_VALUE"""),"")</f>
        <v/>
      </c>
      <c r="D342" s="17"/>
      <c r="G342" s="30"/>
    </row>
    <row r="343" spans="1:7" ht="12.5" x14ac:dyDescent="0.25">
      <c r="A343" s="17"/>
      <c r="B343" s="17"/>
      <c r="C343" s="30" t="str">
        <f ca="1">IFERROR(__xludf.DUMMYFUNCTION("""COMPUTED_VALUE"""),"")</f>
        <v/>
      </c>
      <c r="D343" s="17"/>
      <c r="G343" s="30"/>
    </row>
    <row r="344" spans="1:7" ht="12.5" x14ac:dyDescent="0.25">
      <c r="A344" s="17"/>
      <c r="B344" s="17"/>
      <c r="C344" s="30" t="str">
        <f ca="1">IFERROR(__xludf.DUMMYFUNCTION("""COMPUTED_VALUE"""),"")</f>
        <v/>
      </c>
      <c r="D344" s="17"/>
      <c r="G344" s="30"/>
    </row>
    <row r="345" spans="1:7" ht="12.5" x14ac:dyDescent="0.25">
      <c r="A345" s="17"/>
      <c r="B345" s="17"/>
      <c r="C345" s="30" t="str">
        <f ca="1">IFERROR(__xludf.DUMMYFUNCTION("""COMPUTED_VALUE"""),"")</f>
        <v/>
      </c>
      <c r="D345" s="17"/>
      <c r="G345" s="30"/>
    </row>
    <row r="346" spans="1:7" ht="12.5" x14ac:dyDescent="0.25">
      <c r="A346" s="17"/>
      <c r="B346" s="17"/>
      <c r="C346" s="30" t="str">
        <f ca="1">IFERROR(__xludf.DUMMYFUNCTION("""COMPUTED_VALUE"""),"")</f>
        <v/>
      </c>
      <c r="D346" s="17"/>
      <c r="G346" s="30"/>
    </row>
    <row r="347" spans="1:7" ht="12.5" x14ac:dyDescent="0.25">
      <c r="A347" s="17"/>
      <c r="B347" s="17"/>
      <c r="C347" s="30" t="str">
        <f ca="1">IFERROR(__xludf.DUMMYFUNCTION("""COMPUTED_VALUE"""),"")</f>
        <v/>
      </c>
      <c r="D347" s="17"/>
      <c r="G347" s="30"/>
    </row>
    <row r="348" spans="1:7" ht="12.5" x14ac:dyDescent="0.25">
      <c r="A348" s="17"/>
      <c r="B348" s="17"/>
      <c r="C348" s="30" t="str">
        <f ca="1">IFERROR(__xludf.DUMMYFUNCTION("""COMPUTED_VALUE"""),"")</f>
        <v/>
      </c>
      <c r="D348" s="17"/>
      <c r="G348" s="30"/>
    </row>
    <row r="349" spans="1:7" ht="12.5" x14ac:dyDescent="0.25">
      <c r="A349" s="17"/>
      <c r="B349" s="17"/>
      <c r="C349" s="30" t="str">
        <f ca="1">IFERROR(__xludf.DUMMYFUNCTION("""COMPUTED_VALUE"""),"")</f>
        <v/>
      </c>
      <c r="D349" s="17"/>
      <c r="G349" s="30"/>
    </row>
    <row r="350" spans="1:7" ht="12.5" x14ac:dyDescent="0.25">
      <c r="A350" s="17"/>
      <c r="B350" s="17"/>
      <c r="C350" s="30" t="str">
        <f ca="1">IFERROR(__xludf.DUMMYFUNCTION("""COMPUTED_VALUE"""),"")</f>
        <v/>
      </c>
      <c r="D350" s="17"/>
      <c r="G350" s="30"/>
    </row>
    <row r="351" spans="1:7" ht="12.5" x14ac:dyDescent="0.25">
      <c r="A351" s="17"/>
      <c r="B351" s="17"/>
      <c r="C351" s="30" t="str">
        <f ca="1">IFERROR(__xludf.DUMMYFUNCTION("""COMPUTED_VALUE"""),"")</f>
        <v/>
      </c>
      <c r="D351" s="17"/>
      <c r="G351" s="30"/>
    </row>
    <row r="352" spans="1:7" ht="12.5" x14ac:dyDescent="0.25">
      <c r="A352" s="17"/>
      <c r="B352" s="17"/>
      <c r="C352" s="30" t="str">
        <f ca="1">IFERROR(__xludf.DUMMYFUNCTION("""COMPUTED_VALUE"""),"")</f>
        <v/>
      </c>
      <c r="D352" s="17"/>
      <c r="G352" s="30"/>
    </row>
    <row r="353" spans="1:7" ht="12.5" x14ac:dyDescent="0.25">
      <c r="A353" s="17"/>
      <c r="B353" s="17"/>
      <c r="C353" s="30" t="str">
        <f ca="1">IFERROR(__xludf.DUMMYFUNCTION("""COMPUTED_VALUE"""),"")</f>
        <v/>
      </c>
      <c r="D353" s="17"/>
      <c r="G353" s="30"/>
    </row>
    <row r="354" spans="1:7" ht="12.5" x14ac:dyDescent="0.25">
      <c r="A354" s="17"/>
      <c r="B354" s="17"/>
      <c r="C354" s="30" t="str">
        <f ca="1">IFERROR(__xludf.DUMMYFUNCTION("""COMPUTED_VALUE"""),"")</f>
        <v/>
      </c>
      <c r="D354" s="17"/>
      <c r="G354" s="30"/>
    </row>
    <row r="355" spans="1:7" ht="12.5" x14ac:dyDescent="0.25">
      <c r="A355" s="17"/>
      <c r="B355" s="17"/>
      <c r="C355" s="30" t="str">
        <f ca="1">IFERROR(__xludf.DUMMYFUNCTION("""COMPUTED_VALUE"""),"")</f>
        <v/>
      </c>
      <c r="D355" s="17"/>
      <c r="G355" s="30"/>
    </row>
    <row r="356" spans="1:7" ht="12.5" x14ac:dyDescent="0.25">
      <c r="A356" s="17"/>
      <c r="B356" s="17"/>
      <c r="C356" s="30" t="str">
        <f ca="1">IFERROR(__xludf.DUMMYFUNCTION("""COMPUTED_VALUE"""),"")</f>
        <v/>
      </c>
      <c r="D356" s="17"/>
      <c r="G356" s="30"/>
    </row>
    <row r="357" spans="1:7" ht="12.5" x14ac:dyDescent="0.25">
      <c r="A357" s="17"/>
      <c r="B357" s="17"/>
      <c r="C357" s="30" t="str">
        <f ca="1">IFERROR(__xludf.DUMMYFUNCTION("""COMPUTED_VALUE"""),"")</f>
        <v/>
      </c>
      <c r="D357" s="17"/>
      <c r="G357" s="30"/>
    </row>
    <row r="358" spans="1:7" ht="12.5" x14ac:dyDescent="0.25">
      <c r="A358" s="17"/>
      <c r="B358" s="17"/>
      <c r="C358" s="30" t="str">
        <f ca="1">IFERROR(__xludf.DUMMYFUNCTION("""COMPUTED_VALUE"""),"")</f>
        <v/>
      </c>
      <c r="D358" s="17"/>
      <c r="G358" s="30"/>
    </row>
    <row r="359" spans="1:7" ht="12.5" x14ac:dyDescent="0.25">
      <c r="A359" s="17"/>
      <c r="B359" s="17"/>
      <c r="C359" s="30" t="str">
        <f ca="1">IFERROR(__xludf.DUMMYFUNCTION("""COMPUTED_VALUE"""),"")</f>
        <v/>
      </c>
      <c r="D359" s="17"/>
      <c r="G359" s="30"/>
    </row>
    <row r="360" spans="1:7" ht="12.5" x14ac:dyDescent="0.25">
      <c r="A360" s="17"/>
      <c r="B360" s="17"/>
      <c r="C360" s="30" t="str">
        <f ca="1">IFERROR(__xludf.DUMMYFUNCTION("""COMPUTED_VALUE"""),"")</f>
        <v/>
      </c>
      <c r="D360" s="17"/>
      <c r="G360" s="30"/>
    </row>
    <row r="361" spans="1:7" ht="12.5" x14ac:dyDescent="0.25">
      <c r="A361" s="17"/>
      <c r="B361" s="17"/>
      <c r="C361" s="30" t="str">
        <f ca="1">IFERROR(__xludf.DUMMYFUNCTION("""COMPUTED_VALUE"""),"")</f>
        <v/>
      </c>
      <c r="D361" s="17"/>
      <c r="G361" s="30"/>
    </row>
    <row r="362" spans="1:7" ht="12.5" x14ac:dyDescent="0.25">
      <c r="A362" s="17"/>
      <c r="B362" s="17"/>
      <c r="C362" s="30" t="str">
        <f ca="1">IFERROR(__xludf.DUMMYFUNCTION("""COMPUTED_VALUE"""),"")</f>
        <v/>
      </c>
      <c r="D362" s="17"/>
      <c r="G362" s="30"/>
    </row>
    <row r="363" spans="1:7" ht="12.5" x14ac:dyDescent="0.25">
      <c r="A363" s="17"/>
      <c r="B363" s="17"/>
      <c r="C363" s="30" t="str">
        <f ca="1">IFERROR(__xludf.DUMMYFUNCTION("""COMPUTED_VALUE"""),"")</f>
        <v/>
      </c>
      <c r="D363" s="17"/>
      <c r="G363" s="30"/>
    </row>
    <row r="364" spans="1:7" ht="12.5" x14ac:dyDescent="0.25">
      <c r="A364" s="17"/>
      <c r="B364" s="17"/>
      <c r="C364" s="30" t="str">
        <f ca="1">IFERROR(__xludf.DUMMYFUNCTION("""COMPUTED_VALUE"""),"")</f>
        <v/>
      </c>
      <c r="D364" s="17"/>
      <c r="G364" s="30"/>
    </row>
    <row r="365" spans="1:7" ht="12.5" x14ac:dyDescent="0.25">
      <c r="A365" s="17"/>
      <c r="B365" s="17"/>
      <c r="C365" s="30" t="str">
        <f ca="1">IFERROR(__xludf.DUMMYFUNCTION("""COMPUTED_VALUE"""),"")</f>
        <v/>
      </c>
      <c r="D365" s="17"/>
      <c r="G365" s="30"/>
    </row>
    <row r="366" spans="1:7" ht="12.5" x14ac:dyDescent="0.25">
      <c r="A366" s="17"/>
      <c r="B366" s="17"/>
      <c r="C366" s="30" t="str">
        <f ca="1">IFERROR(__xludf.DUMMYFUNCTION("""COMPUTED_VALUE"""),"")</f>
        <v/>
      </c>
      <c r="D366" s="17"/>
      <c r="G366" s="30"/>
    </row>
    <row r="367" spans="1:7" ht="12.5" x14ac:dyDescent="0.25">
      <c r="A367" s="17"/>
      <c r="B367" s="17"/>
      <c r="C367" s="30" t="str">
        <f ca="1">IFERROR(__xludf.DUMMYFUNCTION("""COMPUTED_VALUE"""),"")</f>
        <v/>
      </c>
      <c r="D367" s="17"/>
      <c r="G367" s="30"/>
    </row>
    <row r="368" spans="1:7" ht="12.5" x14ac:dyDescent="0.25">
      <c r="A368" s="17"/>
      <c r="B368" s="17"/>
      <c r="C368" s="30" t="str">
        <f ca="1">IFERROR(__xludf.DUMMYFUNCTION("""COMPUTED_VALUE"""),"")</f>
        <v/>
      </c>
      <c r="D368" s="17"/>
      <c r="G368" s="30"/>
    </row>
    <row r="369" spans="1:7" ht="12.5" x14ac:dyDescent="0.25">
      <c r="A369" s="17"/>
      <c r="B369" s="17"/>
      <c r="C369" s="30" t="str">
        <f ca="1">IFERROR(__xludf.DUMMYFUNCTION("""COMPUTED_VALUE"""),"")</f>
        <v/>
      </c>
      <c r="D369" s="17"/>
      <c r="G369" s="30"/>
    </row>
    <row r="370" spans="1:7" ht="12.5" x14ac:dyDescent="0.25">
      <c r="A370" s="17"/>
      <c r="B370" s="17"/>
      <c r="C370" s="30" t="str">
        <f ca="1">IFERROR(__xludf.DUMMYFUNCTION("""COMPUTED_VALUE"""),"")</f>
        <v/>
      </c>
      <c r="D370" s="17"/>
      <c r="G370" s="30"/>
    </row>
    <row r="371" spans="1:7" ht="12.5" x14ac:dyDescent="0.25">
      <c r="A371" s="17"/>
      <c r="B371" s="17"/>
      <c r="C371" s="30" t="str">
        <f ca="1">IFERROR(__xludf.DUMMYFUNCTION("""COMPUTED_VALUE"""),"")</f>
        <v/>
      </c>
      <c r="D371" s="17"/>
      <c r="G371" s="30"/>
    </row>
    <row r="372" spans="1:7" ht="12.5" x14ac:dyDescent="0.25">
      <c r="A372" s="17"/>
      <c r="B372" s="17"/>
      <c r="C372" s="30" t="str">
        <f ca="1">IFERROR(__xludf.DUMMYFUNCTION("""COMPUTED_VALUE"""),"")</f>
        <v/>
      </c>
      <c r="D372" s="17"/>
      <c r="G372" s="30"/>
    </row>
    <row r="373" spans="1:7" ht="12.5" x14ac:dyDescent="0.25">
      <c r="A373" s="17"/>
      <c r="B373" s="17"/>
      <c r="C373" s="30" t="str">
        <f ca="1">IFERROR(__xludf.DUMMYFUNCTION("""COMPUTED_VALUE"""),"")</f>
        <v/>
      </c>
      <c r="D373" s="17"/>
      <c r="G373" s="30"/>
    </row>
    <row r="374" spans="1:7" ht="12.5" x14ac:dyDescent="0.25">
      <c r="A374" s="17"/>
      <c r="B374" s="17"/>
      <c r="C374" s="30" t="str">
        <f ca="1">IFERROR(__xludf.DUMMYFUNCTION("""COMPUTED_VALUE"""),"")</f>
        <v/>
      </c>
      <c r="D374" s="17"/>
      <c r="G374" s="30"/>
    </row>
    <row r="375" spans="1:7" ht="12.5" x14ac:dyDescent="0.25">
      <c r="A375" s="17"/>
      <c r="B375" s="17"/>
      <c r="C375" s="30" t="str">
        <f ca="1">IFERROR(__xludf.DUMMYFUNCTION("""COMPUTED_VALUE"""),"")</f>
        <v/>
      </c>
      <c r="D375" s="17"/>
      <c r="G375" s="30"/>
    </row>
    <row r="376" spans="1:7" ht="12.5" x14ac:dyDescent="0.25">
      <c r="A376" s="17"/>
      <c r="B376" s="17"/>
      <c r="C376" s="30" t="str">
        <f ca="1">IFERROR(__xludf.DUMMYFUNCTION("""COMPUTED_VALUE"""),"")</f>
        <v/>
      </c>
      <c r="D376" s="17"/>
      <c r="G376" s="30"/>
    </row>
    <row r="377" spans="1:7" ht="12.5" x14ac:dyDescent="0.25">
      <c r="A377" s="17"/>
      <c r="B377" s="17"/>
      <c r="C377" s="30" t="str">
        <f ca="1">IFERROR(__xludf.DUMMYFUNCTION("""COMPUTED_VALUE"""),"")</f>
        <v/>
      </c>
      <c r="D377" s="17"/>
      <c r="G377" s="30"/>
    </row>
    <row r="378" spans="1:7" ht="12.5" x14ac:dyDescent="0.25">
      <c r="A378" s="17"/>
      <c r="B378" s="17"/>
      <c r="C378" s="30" t="str">
        <f ca="1">IFERROR(__xludf.DUMMYFUNCTION("""COMPUTED_VALUE"""),"")</f>
        <v/>
      </c>
      <c r="D378" s="17"/>
      <c r="G378" s="30"/>
    </row>
    <row r="379" spans="1:7" ht="12.5" x14ac:dyDescent="0.25">
      <c r="A379" s="17"/>
      <c r="B379" s="17"/>
      <c r="C379" s="30" t="str">
        <f ca="1">IFERROR(__xludf.DUMMYFUNCTION("""COMPUTED_VALUE"""),"")</f>
        <v/>
      </c>
      <c r="D379" s="17"/>
      <c r="G379" s="30"/>
    </row>
    <row r="380" spans="1:7" ht="12.5" x14ac:dyDescent="0.25">
      <c r="A380" s="17"/>
      <c r="B380" s="17"/>
      <c r="C380" s="30" t="str">
        <f ca="1">IFERROR(__xludf.DUMMYFUNCTION("""COMPUTED_VALUE"""),"")</f>
        <v/>
      </c>
      <c r="D380" s="17"/>
      <c r="G380" s="30"/>
    </row>
    <row r="381" spans="1:7" ht="12.5" x14ac:dyDescent="0.25">
      <c r="A381" s="17"/>
      <c r="B381" s="17"/>
      <c r="C381" s="30" t="str">
        <f ca="1">IFERROR(__xludf.DUMMYFUNCTION("""COMPUTED_VALUE"""),"")</f>
        <v/>
      </c>
      <c r="D381" s="17"/>
      <c r="G381" s="30"/>
    </row>
    <row r="382" spans="1:7" ht="12.5" x14ac:dyDescent="0.25">
      <c r="A382" s="17"/>
      <c r="B382" s="17"/>
      <c r="C382" s="30" t="str">
        <f ca="1">IFERROR(__xludf.DUMMYFUNCTION("""COMPUTED_VALUE"""),"")</f>
        <v/>
      </c>
      <c r="D382" s="17"/>
      <c r="G382" s="30"/>
    </row>
    <row r="383" spans="1:7" ht="12.5" x14ac:dyDescent="0.25">
      <c r="A383" s="17"/>
      <c r="B383" s="17"/>
      <c r="C383" s="30" t="str">
        <f ca="1">IFERROR(__xludf.DUMMYFUNCTION("""COMPUTED_VALUE"""),"")</f>
        <v/>
      </c>
      <c r="D383" s="17"/>
      <c r="G383" s="30"/>
    </row>
    <row r="384" spans="1:7" ht="12.5" x14ac:dyDescent="0.25">
      <c r="A384" s="17"/>
      <c r="B384" s="17"/>
      <c r="C384" s="30" t="str">
        <f ca="1">IFERROR(__xludf.DUMMYFUNCTION("""COMPUTED_VALUE"""),"")</f>
        <v/>
      </c>
      <c r="D384" s="17"/>
      <c r="G384" s="30"/>
    </row>
    <row r="385" spans="1:7" ht="12.5" x14ac:dyDescent="0.25">
      <c r="A385" s="17"/>
      <c r="B385" s="17"/>
      <c r="C385" s="30" t="str">
        <f ca="1">IFERROR(__xludf.DUMMYFUNCTION("""COMPUTED_VALUE"""),"")</f>
        <v/>
      </c>
      <c r="D385" s="17"/>
      <c r="G385" s="30"/>
    </row>
    <row r="386" spans="1:7" ht="12.5" x14ac:dyDescent="0.25">
      <c r="A386" s="17"/>
      <c r="B386" s="17"/>
      <c r="C386" s="30" t="str">
        <f ca="1">IFERROR(__xludf.DUMMYFUNCTION("""COMPUTED_VALUE"""),"")</f>
        <v/>
      </c>
      <c r="D386" s="17"/>
      <c r="G386" s="30"/>
    </row>
    <row r="387" spans="1:7" ht="12.5" x14ac:dyDescent="0.25">
      <c r="A387" s="17"/>
      <c r="B387" s="17"/>
      <c r="C387" s="30" t="str">
        <f ca="1">IFERROR(__xludf.DUMMYFUNCTION("""COMPUTED_VALUE"""),"")</f>
        <v/>
      </c>
      <c r="D387" s="17"/>
      <c r="G387" s="30"/>
    </row>
    <row r="388" spans="1:7" ht="12.5" x14ac:dyDescent="0.25">
      <c r="A388" s="17"/>
      <c r="B388" s="17"/>
      <c r="C388" s="30" t="str">
        <f ca="1">IFERROR(__xludf.DUMMYFUNCTION("""COMPUTED_VALUE"""),"")</f>
        <v/>
      </c>
      <c r="D388" s="17"/>
      <c r="G388" s="30"/>
    </row>
    <row r="389" spans="1:7" ht="12.5" x14ac:dyDescent="0.25">
      <c r="A389" s="17"/>
      <c r="B389" s="17"/>
      <c r="C389" s="30" t="str">
        <f ca="1">IFERROR(__xludf.DUMMYFUNCTION("""COMPUTED_VALUE"""),"")</f>
        <v/>
      </c>
      <c r="D389" s="17"/>
      <c r="G389" s="30"/>
    </row>
    <row r="390" spans="1:7" ht="12.5" x14ac:dyDescent="0.25">
      <c r="A390" s="17"/>
      <c r="B390" s="17"/>
      <c r="C390" s="30" t="str">
        <f ca="1">IFERROR(__xludf.DUMMYFUNCTION("""COMPUTED_VALUE"""),"")</f>
        <v/>
      </c>
      <c r="D390" s="17"/>
      <c r="G390" s="30"/>
    </row>
    <row r="391" spans="1:7" ht="12.5" x14ac:dyDescent="0.25">
      <c r="A391" s="17"/>
      <c r="B391" s="17"/>
      <c r="C391" s="30" t="str">
        <f ca="1">IFERROR(__xludf.DUMMYFUNCTION("""COMPUTED_VALUE"""),"")</f>
        <v/>
      </c>
      <c r="D391" s="17"/>
      <c r="G391" s="30"/>
    </row>
    <row r="392" spans="1:7" ht="12.5" x14ac:dyDescent="0.25">
      <c r="A392" s="17"/>
      <c r="B392" s="17"/>
      <c r="C392" s="30" t="str">
        <f ca="1">IFERROR(__xludf.DUMMYFUNCTION("""COMPUTED_VALUE"""),"")</f>
        <v/>
      </c>
      <c r="D392" s="17"/>
      <c r="G392" s="30"/>
    </row>
    <row r="393" spans="1:7" ht="12.5" x14ac:dyDescent="0.25">
      <c r="A393" s="17"/>
      <c r="B393" s="17"/>
      <c r="C393" s="30" t="str">
        <f ca="1">IFERROR(__xludf.DUMMYFUNCTION("""COMPUTED_VALUE"""),"")</f>
        <v/>
      </c>
      <c r="D393" s="17"/>
      <c r="G393" s="30"/>
    </row>
    <row r="394" spans="1:7" ht="12.5" x14ac:dyDescent="0.25">
      <c r="A394" s="17"/>
      <c r="B394" s="17"/>
      <c r="C394" s="30" t="str">
        <f ca="1">IFERROR(__xludf.DUMMYFUNCTION("""COMPUTED_VALUE"""),"")</f>
        <v/>
      </c>
      <c r="D394" s="17"/>
      <c r="G394" s="30"/>
    </row>
    <row r="395" spans="1:7" ht="12.5" x14ac:dyDescent="0.25">
      <c r="A395" s="17"/>
      <c r="B395" s="17"/>
      <c r="C395" s="30" t="str">
        <f ca="1">IFERROR(__xludf.DUMMYFUNCTION("""COMPUTED_VALUE"""),"")</f>
        <v/>
      </c>
      <c r="D395" s="17"/>
      <c r="G395" s="30"/>
    </row>
    <row r="396" spans="1:7" ht="12.5" x14ac:dyDescent="0.25">
      <c r="A396" s="17"/>
      <c r="B396" s="17"/>
      <c r="C396" s="30" t="str">
        <f ca="1">IFERROR(__xludf.DUMMYFUNCTION("""COMPUTED_VALUE"""),"")</f>
        <v/>
      </c>
      <c r="D396" s="17"/>
      <c r="G396" s="30"/>
    </row>
    <row r="397" spans="1:7" ht="12.5" x14ac:dyDescent="0.25">
      <c r="A397" s="17"/>
      <c r="B397" s="17"/>
      <c r="C397" s="30" t="str">
        <f ca="1">IFERROR(__xludf.DUMMYFUNCTION("""COMPUTED_VALUE"""),"")</f>
        <v/>
      </c>
      <c r="D397" s="17"/>
      <c r="G397" s="30"/>
    </row>
    <row r="398" spans="1:7" ht="12.5" x14ac:dyDescent="0.25">
      <c r="A398" s="17"/>
      <c r="B398" s="17"/>
      <c r="C398" s="30" t="str">
        <f ca="1">IFERROR(__xludf.DUMMYFUNCTION("""COMPUTED_VALUE"""),"")</f>
        <v/>
      </c>
      <c r="D398" s="17"/>
      <c r="G398" s="30"/>
    </row>
    <row r="399" spans="1:7" ht="12.5" x14ac:dyDescent="0.25">
      <c r="A399" s="17"/>
      <c r="B399" s="17"/>
      <c r="C399" s="30" t="str">
        <f ca="1">IFERROR(__xludf.DUMMYFUNCTION("""COMPUTED_VALUE"""),"")</f>
        <v/>
      </c>
      <c r="D399" s="17"/>
      <c r="G399" s="30"/>
    </row>
    <row r="400" spans="1:7" ht="12.5" x14ac:dyDescent="0.25">
      <c r="A400" s="17"/>
      <c r="B400" s="17"/>
      <c r="C400" s="30" t="str">
        <f ca="1">IFERROR(__xludf.DUMMYFUNCTION("""COMPUTED_VALUE"""),"")</f>
        <v/>
      </c>
      <c r="D400" s="17"/>
      <c r="G400" s="30"/>
    </row>
    <row r="401" spans="1:7" ht="12.5" x14ac:dyDescent="0.25">
      <c r="A401" s="17"/>
      <c r="B401" s="17"/>
      <c r="C401" s="30" t="str">
        <f ca="1">IFERROR(__xludf.DUMMYFUNCTION("""COMPUTED_VALUE"""),"")</f>
        <v/>
      </c>
      <c r="D401" s="17"/>
      <c r="G401" s="30"/>
    </row>
    <row r="402" spans="1:7" ht="12.5" x14ac:dyDescent="0.25">
      <c r="A402" s="17"/>
      <c r="B402" s="17"/>
      <c r="C402" s="30" t="str">
        <f ca="1">IFERROR(__xludf.DUMMYFUNCTION("""COMPUTED_VALUE"""),"")</f>
        <v/>
      </c>
      <c r="D402" s="17"/>
      <c r="G402" s="30"/>
    </row>
    <row r="403" spans="1:7" ht="12.5" x14ac:dyDescent="0.25">
      <c r="A403" s="17"/>
      <c r="B403" s="17"/>
      <c r="C403" s="30" t="str">
        <f ca="1">IFERROR(__xludf.DUMMYFUNCTION("""COMPUTED_VALUE"""),"")</f>
        <v/>
      </c>
      <c r="D403" s="17"/>
      <c r="G403" s="30"/>
    </row>
    <row r="404" spans="1:7" ht="12.5" x14ac:dyDescent="0.25">
      <c r="A404" s="17"/>
      <c r="B404" s="17"/>
      <c r="C404" s="30" t="str">
        <f ca="1">IFERROR(__xludf.DUMMYFUNCTION("""COMPUTED_VALUE"""),"")</f>
        <v/>
      </c>
      <c r="D404" s="17"/>
      <c r="G404" s="30"/>
    </row>
    <row r="405" spans="1:7" ht="12.5" x14ac:dyDescent="0.25">
      <c r="A405" s="17"/>
      <c r="B405" s="17"/>
      <c r="C405" s="30" t="str">
        <f ca="1">IFERROR(__xludf.DUMMYFUNCTION("""COMPUTED_VALUE"""),"")</f>
        <v/>
      </c>
      <c r="D405" s="17"/>
      <c r="G405" s="30"/>
    </row>
    <row r="406" spans="1:7" ht="12.5" x14ac:dyDescent="0.25">
      <c r="A406" s="17"/>
      <c r="B406" s="17"/>
      <c r="C406" s="30" t="str">
        <f ca="1">IFERROR(__xludf.DUMMYFUNCTION("""COMPUTED_VALUE"""),"")</f>
        <v/>
      </c>
      <c r="D406" s="17"/>
      <c r="G406" s="30"/>
    </row>
    <row r="407" spans="1:7" ht="12.5" x14ac:dyDescent="0.25">
      <c r="A407" s="17"/>
      <c r="B407" s="17"/>
      <c r="C407" s="30" t="str">
        <f ca="1">IFERROR(__xludf.DUMMYFUNCTION("""COMPUTED_VALUE"""),"")</f>
        <v/>
      </c>
      <c r="D407" s="17"/>
      <c r="G407" s="30"/>
    </row>
    <row r="408" spans="1:7" ht="12.5" x14ac:dyDescent="0.25">
      <c r="A408" s="17"/>
      <c r="B408" s="17"/>
      <c r="C408" s="30" t="str">
        <f ca="1">IFERROR(__xludf.DUMMYFUNCTION("""COMPUTED_VALUE"""),"")</f>
        <v/>
      </c>
      <c r="D408" s="17"/>
      <c r="G408" s="30"/>
    </row>
    <row r="409" spans="1:7" ht="12.5" x14ac:dyDescent="0.25">
      <c r="A409" s="17"/>
      <c r="B409" s="17"/>
      <c r="C409" s="30" t="str">
        <f ca="1">IFERROR(__xludf.DUMMYFUNCTION("""COMPUTED_VALUE"""),"")</f>
        <v/>
      </c>
      <c r="D409" s="17"/>
      <c r="G409" s="30"/>
    </row>
    <row r="410" spans="1:7" ht="12.5" x14ac:dyDescent="0.25">
      <c r="A410" s="17"/>
      <c r="B410" s="17"/>
      <c r="C410" s="30" t="str">
        <f ca="1">IFERROR(__xludf.DUMMYFUNCTION("""COMPUTED_VALUE"""),"")</f>
        <v/>
      </c>
      <c r="D410" s="17"/>
      <c r="G410" s="30"/>
    </row>
    <row r="411" spans="1:7" ht="12.5" x14ac:dyDescent="0.25">
      <c r="A411" s="17"/>
      <c r="B411" s="17"/>
      <c r="C411" s="30" t="str">
        <f ca="1">IFERROR(__xludf.DUMMYFUNCTION("""COMPUTED_VALUE"""),"")</f>
        <v/>
      </c>
      <c r="D411" s="17"/>
      <c r="G411" s="30"/>
    </row>
    <row r="412" spans="1:7" ht="12.5" x14ac:dyDescent="0.25">
      <c r="A412" s="17"/>
      <c r="B412" s="17"/>
      <c r="C412" s="30" t="str">
        <f ca="1">IFERROR(__xludf.DUMMYFUNCTION("""COMPUTED_VALUE"""),"")</f>
        <v/>
      </c>
      <c r="D412" s="17"/>
      <c r="G412" s="30"/>
    </row>
    <row r="413" spans="1:7" ht="12.5" x14ac:dyDescent="0.25">
      <c r="A413" s="17"/>
      <c r="B413" s="17"/>
      <c r="C413" s="30" t="str">
        <f ca="1">IFERROR(__xludf.DUMMYFUNCTION("""COMPUTED_VALUE"""),"")</f>
        <v/>
      </c>
      <c r="D413" s="17"/>
      <c r="G413" s="30"/>
    </row>
    <row r="414" spans="1:7" ht="12.5" x14ac:dyDescent="0.25">
      <c r="A414" s="17"/>
      <c r="B414" s="17"/>
      <c r="C414" s="30" t="str">
        <f ca="1">IFERROR(__xludf.DUMMYFUNCTION("""COMPUTED_VALUE"""),"")</f>
        <v/>
      </c>
      <c r="D414" s="17"/>
      <c r="G414" s="30"/>
    </row>
    <row r="415" spans="1:7" ht="12.5" x14ac:dyDescent="0.25">
      <c r="A415" s="17"/>
      <c r="B415" s="17"/>
      <c r="C415" s="30" t="str">
        <f ca="1">IFERROR(__xludf.DUMMYFUNCTION("""COMPUTED_VALUE"""),"")</f>
        <v/>
      </c>
      <c r="D415" s="17"/>
      <c r="G415" s="30"/>
    </row>
    <row r="416" spans="1:7" ht="12.5" x14ac:dyDescent="0.25">
      <c r="A416" s="17"/>
      <c r="B416" s="17"/>
      <c r="C416" s="30" t="str">
        <f ca="1">IFERROR(__xludf.DUMMYFUNCTION("""COMPUTED_VALUE"""),"")</f>
        <v/>
      </c>
      <c r="D416" s="17"/>
      <c r="G416" s="30"/>
    </row>
    <row r="417" spans="1:7" ht="12.5" x14ac:dyDescent="0.25">
      <c r="A417" s="17"/>
      <c r="B417" s="17"/>
      <c r="C417" s="30" t="str">
        <f ca="1">IFERROR(__xludf.DUMMYFUNCTION("""COMPUTED_VALUE"""),"")</f>
        <v/>
      </c>
      <c r="D417" s="17"/>
      <c r="G417" s="30"/>
    </row>
    <row r="418" spans="1:7" ht="12.5" x14ac:dyDescent="0.25">
      <c r="A418" s="17"/>
      <c r="B418" s="17"/>
      <c r="C418" s="30" t="str">
        <f ca="1">IFERROR(__xludf.DUMMYFUNCTION("""COMPUTED_VALUE"""),"")</f>
        <v/>
      </c>
      <c r="D418" s="17"/>
      <c r="G418" s="30"/>
    </row>
    <row r="419" spans="1:7" ht="12.5" x14ac:dyDescent="0.25">
      <c r="A419" s="17"/>
      <c r="B419" s="17"/>
      <c r="C419" s="30" t="str">
        <f ca="1">IFERROR(__xludf.DUMMYFUNCTION("""COMPUTED_VALUE"""),"")</f>
        <v/>
      </c>
      <c r="D419" s="17"/>
      <c r="G419" s="30"/>
    </row>
    <row r="420" spans="1:7" ht="12.5" x14ac:dyDescent="0.25">
      <c r="A420" s="17"/>
      <c r="B420" s="17"/>
      <c r="C420" s="30" t="str">
        <f ca="1">IFERROR(__xludf.DUMMYFUNCTION("""COMPUTED_VALUE"""),"")</f>
        <v/>
      </c>
      <c r="D420" s="17"/>
      <c r="G420" s="30"/>
    </row>
    <row r="421" spans="1:7" ht="12.5" x14ac:dyDescent="0.25">
      <c r="A421" s="17"/>
      <c r="B421" s="17"/>
      <c r="C421" s="30" t="str">
        <f ca="1">IFERROR(__xludf.DUMMYFUNCTION("""COMPUTED_VALUE"""),"")</f>
        <v/>
      </c>
      <c r="D421" s="17"/>
      <c r="G421" s="30"/>
    </row>
    <row r="422" spans="1:7" ht="12.5" x14ac:dyDescent="0.25">
      <c r="A422" s="17"/>
      <c r="B422" s="17"/>
      <c r="C422" s="30" t="str">
        <f ca="1">IFERROR(__xludf.DUMMYFUNCTION("""COMPUTED_VALUE"""),"")</f>
        <v/>
      </c>
      <c r="D422" s="17"/>
      <c r="G422" s="30"/>
    </row>
    <row r="423" spans="1:7" ht="12.5" x14ac:dyDescent="0.25">
      <c r="A423" s="17"/>
      <c r="B423" s="17"/>
      <c r="C423" s="30" t="str">
        <f ca="1">IFERROR(__xludf.DUMMYFUNCTION("""COMPUTED_VALUE"""),"")</f>
        <v/>
      </c>
      <c r="D423" s="17"/>
      <c r="G423" s="30"/>
    </row>
    <row r="424" spans="1:7" ht="12.5" x14ac:dyDescent="0.25">
      <c r="A424" s="17"/>
      <c r="B424" s="17"/>
      <c r="C424" s="30" t="str">
        <f ca="1">IFERROR(__xludf.DUMMYFUNCTION("""COMPUTED_VALUE"""),"")</f>
        <v/>
      </c>
      <c r="D424" s="17"/>
      <c r="G424" s="30"/>
    </row>
    <row r="425" spans="1:7" ht="12.5" x14ac:dyDescent="0.25">
      <c r="A425" s="17"/>
      <c r="B425" s="17"/>
      <c r="C425" s="30" t="str">
        <f ca="1">IFERROR(__xludf.DUMMYFUNCTION("""COMPUTED_VALUE"""),"")</f>
        <v/>
      </c>
      <c r="D425" s="17"/>
      <c r="G425" s="30"/>
    </row>
    <row r="426" spans="1:7" ht="12.5" x14ac:dyDescent="0.25">
      <c r="A426" s="17"/>
      <c r="B426" s="17"/>
      <c r="C426" s="30" t="str">
        <f ca="1">IFERROR(__xludf.DUMMYFUNCTION("""COMPUTED_VALUE"""),"")</f>
        <v/>
      </c>
      <c r="D426" s="17"/>
      <c r="G426" s="30"/>
    </row>
    <row r="427" spans="1:7" ht="12.5" x14ac:dyDescent="0.25">
      <c r="A427" s="17"/>
      <c r="B427" s="17"/>
      <c r="C427" s="30" t="str">
        <f ca="1">IFERROR(__xludf.DUMMYFUNCTION("""COMPUTED_VALUE"""),"")</f>
        <v/>
      </c>
      <c r="D427" s="17"/>
      <c r="G427" s="30"/>
    </row>
    <row r="428" spans="1:7" ht="12.5" x14ac:dyDescent="0.25">
      <c r="A428" s="17"/>
      <c r="B428" s="17"/>
      <c r="C428" s="30" t="str">
        <f ca="1">IFERROR(__xludf.DUMMYFUNCTION("""COMPUTED_VALUE"""),"")</f>
        <v/>
      </c>
      <c r="D428" s="17"/>
      <c r="G428" s="30"/>
    </row>
    <row r="429" spans="1:7" ht="12.5" x14ac:dyDescent="0.25">
      <c r="A429" s="17"/>
      <c r="B429" s="17"/>
      <c r="C429" s="30" t="str">
        <f ca="1">IFERROR(__xludf.DUMMYFUNCTION("""COMPUTED_VALUE"""),"")</f>
        <v/>
      </c>
      <c r="D429" s="17"/>
      <c r="G429" s="30"/>
    </row>
    <row r="430" spans="1:7" ht="12.5" x14ac:dyDescent="0.25">
      <c r="A430" s="17"/>
      <c r="B430" s="17"/>
      <c r="C430" s="30" t="str">
        <f ca="1">IFERROR(__xludf.DUMMYFUNCTION("""COMPUTED_VALUE"""),"")</f>
        <v/>
      </c>
      <c r="D430" s="17"/>
      <c r="G430" s="30"/>
    </row>
    <row r="431" spans="1:7" ht="12.5" x14ac:dyDescent="0.25">
      <c r="A431" s="17"/>
      <c r="B431" s="17"/>
      <c r="C431" s="30" t="str">
        <f ca="1">IFERROR(__xludf.DUMMYFUNCTION("""COMPUTED_VALUE"""),"")</f>
        <v/>
      </c>
      <c r="D431" s="17"/>
      <c r="G431" s="30"/>
    </row>
    <row r="432" spans="1:7" ht="12.5" x14ac:dyDescent="0.25">
      <c r="A432" s="17"/>
      <c r="B432" s="17"/>
      <c r="C432" s="30" t="str">
        <f ca="1">IFERROR(__xludf.DUMMYFUNCTION("""COMPUTED_VALUE"""),"")</f>
        <v/>
      </c>
      <c r="D432" s="17"/>
      <c r="G432" s="30"/>
    </row>
    <row r="433" spans="1:7" ht="12.5" x14ac:dyDescent="0.25">
      <c r="A433" s="17"/>
      <c r="B433" s="17"/>
      <c r="C433" s="30" t="str">
        <f ca="1">IFERROR(__xludf.DUMMYFUNCTION("""COMPUTED_VALUE"""),"")</f>
        <v/>
      </c>
      <c r="D433" s="17"/>
      <c r="G433" s="30"/>
    </row>
    <row r="434" spans="1:7" ht="12.5" x14ac:dyDescent="0.25">
      <c r="A434" s="17"/>
      <c r="B434" s="17"/>
      <c r="C434" s="30" t="str">
        <f ca="1">IFERROR(__xludf.DUMMYFUNCTION("""COMPUTED_VALUE"""),"")</f>
        <v/>
      </c>
      <c r="D434" s="17"/>
      <c r="G434" s="30"/>
    </row>
    <row r="435" spans="1:7" ht="12.5" x14ac:dyDescent="0.25">
      <c r="A435" s="17"/>
      <c r="B435" s="17"/>
      <c r="C435" s="30" t="str">
        <f ca="1">IFERROR(__xludf.DUMMYFUNCTION("""COMPUTED_VALUE"""),"")</f>
        <v/>
      </c>
      <c r="D435" s="17"/>
      <c r="G435" s="30"/>
    </row>
    <row r="436" spans="1:7" ht="12.5" x14ac:dyDescent="0.25">
      <c r="A436" s="17"/>
      <c r="B436" s="17"/>
      <c r="C436" s="30" t="str">
        <f ca="1">IFERROR(__xludf.DUMMYFUNCTION("""COMPUTED_VALUE"""),"")</f>
        <v/>
      </c>
      <c r="D436" s="17"/>
      <c r="G436" s="30"/>
    </row>
    <row r="437" spans="1:7" ht="12.5" x14ac:dyDescent="0.25">
      <c r="A437" s="17"/>
      <c r="B437" s="17"/>
      <c r="C437" s="30" t="str">
        <f ca="1">IFERROR(__xludf.DUMMYFUNCTION("""COMPUTED_VALUE"""),"")</f>
        <v/>
      </c>
      <c r="D437" s="17"/>
      <c r="G437" s="30"/>
    </row>
    <row r="438" spans="1:7" ht="12.5" x14ac:dyDescent="0.25">
      <c r="A438" s="17"/>
      <c r="B438" s="17"/>
      <c r="C438" s="30" t="str">
        <f ca="1">IFERROR(__xludf.DUMMYFUNCTION("""COMPUTED_VALUE"""),"")</f>
        <v/>
      </c>
      <c r="D438" s="17"/>
      <c r="G438" s="30"/>
    </row>
    <row r="439" spans="1:7" ht="12.5" x14ac:dyDescent="0.25">
      <c r="A439" s="17"/>
      <c r="B439" s="17"/>
      <c r="C439" s="30" t="str">
        <f ca="1">IFERROR(__xludf.DUMMYFUNCTION("""COMPUTED_VALUE"""),"")</f>
        <v/>
      </c>
      <c r="D439" s="17"/>
      <c r="G439" s="30"/>
    </row>
    <row r="440" spans="1:7" ht="12.5" x14ac:dyDescent="0.25">
      <c r="A440" s="17"/>
      <c r="B440" s="17"/>
      <c r="C440" s="30" t="str">
        <f ca="1">IFERROR(__xludf.DUMMYFUNCTION("""COMPUTED_VALUE"""),"")</f>
        <v/>
      </c>
      <c r="D440" s="17"/>
      <c r="G440" s="30"/>
    </row>
    <row r="441" spans="1:7" ht="12.5" x14ac:dyDescent="0.25">
      <c r="A441" s="17"/>
      <c r="B441" s="17"/>
      <c r="C441" s="30" t="str">
        <f ca="1">IFERROR(__xludf.DUMMYFUNCTION("""COMPUTED_VALUE"""),"")</f>
        <v/>
      </c>
      <c r="D441" s="17"/>
      <c r="G441" s="30"/>
    </row>
    <row r="442" spans="1:7" ht="12.5" x14ac:dyDescent="0.25">
      <c r="A442" s="17"/>
      <c r="B442" s="17"/>
      <c r="C442" s="30" t="str">
        <f ca="1">IFERROR(__xludf.DUMMYFUNCTION("""COMPUTED_VALUE"""),"")</f>
        <v/>
      </c>
      <c r="D442" s="17"/>
      <c r="G442" s="30"/>
    </row>
    <row r="443" spans="1:7" ht="12.5" x14ac:dyDescent="0.25">
      <c r="A443" s="17"/>
      <c r="B443" s="17"/>
      <c r="C443" s="30" t="str">
        <f ca="1">IFERROR(__xludf.DUMMYFUNCTION("""COMPUTED_VALUE"""),"")</f>
        <v/>
      </c>
      <c r="D443" s="17"/>
      <c r="G443" s="30"/>
    </row>
    <row r="444" spans="1:7" ht="12.5" x14ac:dyDescent="0.25">
      <c r="A444" s="17"/>
      <c r="B444" s="17"/>
      <c r="C444" s="30" t="str">
        <f ca="1">IFERROR(__xludf.DUMMYFUNCTION("""COMPUTED_VALUE"""),"")</f>
        <v/>
      </c>
      <c r="D444" s="17"/>
      <c r="G444" s="30"/>
    </row>
    <row r="445" spans="1:7" ht="12.5" x14ac:dyDescent="0.25">
      <c r="A445" s="17"/>
      <c r="B445" s="17"/>
      <c r="C445" s="30" t="str">
        <f ca="1">IFERROR(__xludf.DUMMYFUNCTION("""COMPUTED_VALUE"""),"")</f>
        <v/>
      </c>
      <c r="D445" s="17"/>
      <c r="G445" s="30"/>
    </row>
    <row r="446" spans="1:7" ht="12.5" x14ac:dyDescent="0.25">
      <c r="A446" s="17"/>
      <c r="B446" s="17"/>
      <c r="C446" s="30" t="str">
        <f ca="1">IFERROR(__xludf.DUMMYFUNCTION("""COMPUTED_VALUE"""),"")</f>
        <v/>
      </c>
      <c r="D446" s="17"/>
      <c r="G446" s="30"/>
    </row>
    <row r="447" spans="1:7" ht="12.5" x14ac:dyDescent="0.25">
      <c r="A447" s="17"/>
      <c r="B447" s="17"/>
      <c r="C447" s="30" t="str">
        <f ca="1">IFERROR(__xludf.DUMMYFUNCTION("""COMPUTED_VALUE"""),"")</f>
        <v/>
      </c>
      <c r="D447" s="17"/>
      <c r="G447" s="30"/>
    </row>
    <row r="448" spans="1:7" ht="12.5" x14ac:dyDescent="0.25">
      <c r="A448" s="17"/>
      <c r="B448" s="17"/>
      <c r="C448" s="30" t="str">
        <f ca="1">IFERROR(__xludf.DUMMYFUNCTION("""COMPUTED_VALUE"""),"")</f>
        <v/>
      </c>
      <c r="D448" s="17"/>
      <c r="G448" s="30"/>
    </row>
    <row r="449" spans="1:7" ht="12.5" x14ac:dyDescent="0.25">
      <c r="A449" s="17"/>
      <c r="B449" s="17"/>
      <c r="C449" s="30" t="str">
        <f ca="1">IFERROR(__xludf.DUMMYFUNCTION("""COMPUTED_VALUE"""),"")</f>
        <v/>
      </c>
      <c r="D449" s="17"/>
      <c r="G449" s="30"/>
    </row>
    <row r="450" spans="1:7" ht="12.5" x14ac:dyDescent="0.25">
      <c r="A450" s="17"/>
      <c r="B450" s="17"/>
      <c r="C450" s="30" t="str">
        <f ca="1">IFERROR(__xludf.DUMMYFUNCTION("""COMPUTED_VALUE"""),"")</f>
        <v/>
      </c>
      <c r="D450" s="17"/>
      <c r="G450" s="30"/>
    </row>
    <row r="451" spans="1:7" ht="12.5" x14ac:dyDescent="0.25">
      <c r="A451" s="17"/>
      <c r="B451" s="17"/>
      <c r="C451" s="30" t="str">
        <f ca="1">IFERROR(__xludf.DUMMYFUNCTION("""COMPUTED_VALUE"""),"")</f>
        <v/>
      </c>
      <c r="D451" s="17"/>
      <c r="G451" s="30"/>
    </row>
    <row r="452" spans="1:7" ht="12.5" x14ac:dyDescent="0.25">
      <c r="A452" s="17"/>
      <c r="B452" s="17"/>
      <c r="C452" s="30" t="str">
        <f ca="1">IFERROR(__xludf.DUMMYFUNCTION("""COMPUTED_VALUE"""),"")</f>
        <v/>
      </c>
      <c r="D452" s="17"/>
      <c r="G452" s="30"/>
    </row>
    <row r="453" spans="1:7" ht="12.5" x14ac:dyDescent="0.25">
      <c r="A453" s="17"/>
      <c r="B453" s="17"/>
      <c r="C453" s="30" t="str">
        <f ca="1">IFERROR(__xludf.DUMMYFUNCTION("""COMPUTED_VALUE"""),"")</f>
        <v/>
      </c>
      <c r="D453" s="17"/>
      <c r="G453" s="30"/>
    </row>
    <row r="454" spans="1:7" ht="12.5" x14ac:dyDescent="0.25">
      <c r="A454" s="17"/>
      <c r="B454" s="17"/>
      <c r="C454" s="30" t="str">
        <f ca="1">IFERROR(__xludf.DUMMYFUNCTION("""COMPUTED_VALUE"""),"")</f>
        <v/>
      </c>
      <c r="D454" s="17"/>
      <c r="G454" s="30"/>
    </row>
    <row r="455" spans="1:7" ht="12.5" x14ac:dyDescent="0.25">
      <c r="A455" s="17"/>
      <c r="B455" s="17"/>
      <c r="C455" s="30" t="str">
        <f ca="1">IFERROR(__xludf.DUMMYFUNCTION("""COMPUTED_VALUE"""),"")</f>
        <v/>
      </c>
      <c r="D455" s="17"/>
      <c r="G455" s="30"/>
    </row>
    <row r="456" spans="1:7" ht="12.5" x14ac:dyDescent="0.25">
      <c r="A456" s="17"/>
      <c r="B456" s="17"/>
      <c r="C456" s="30" t="str">
        <f ca="1">IFERROR(__xludf.DUMMYFUNCTION("""COMPUTED_VALUE"""),"")</f>
        <v/>
      </c>
      <c r="D456" s="17"/>
      <c r="G456" s="30"/>
    </row>
    <row r="457" spans="1:7" ht="12.5" x14ac:dyDescent="0.25">
      <c r="A457" s="17"/>
      <c r="B457" s="17"/>
      <c r="C457" s="30" t="str">
        <f ca="1">IFERROR(__xludf.DUMMYFUNCTION("""COMPUTED_VALUE"""),"")</f>
        <v/>
      </c>
      <c r="D457" s="17"/>
      <c r="G457" s="30"/>
    </row>
    <row r="458" spans="1:7" ht="12.5" x14ac:dyDescent="0.25">
      <c r="A458" s="17"/>
      <c r="B458" s="17"/>
      <c r="C458" s="30" t="str">
        <f ca="1">IFERROR(__xludf.DUMMYFUNCTION("""COMPUTED_VALUE"""),"")</f>
        <v/>
      </c>
      <c r="D458" s="17"/>
      <c r="G458" s="30"/>
    </row>
    <row r="459" spans="1:7" ht="12.5" x14ac:dyDescent="0.25">
      <c r="A459" s="17"/>
      <c r="B459" s="17"/>
      <c r="C459" s="30" t="str">
        <f ca="1">IFERROR(__xludf.DUMMYFUNCTION("""COMPUTED_VALUE"""),"")</f>
        <v/>
      </c>
      <c r="D459" s="17"/>
      <c r="G459" s="30"/>
    </row>
    <row r="460" spans="1:7" ht="12.5" x14ac:dyDescent="0.25">
      <c r="A460" s="17"/>
      <c r="B460" s="17"/>
      <c r="C460" s="30" t="str">
        <f ca="1">IFERROR(__xludf.DUMMYFUNCTION("""COMPUTED_VALUE"""),"")</f>
        <v/>
      </c>
      <c r="D460" s="17"/>
      <c r="G460" s="30"/>
    </row>
    <row r="461" spans="1:7" ht="12.5" x14ac:dyDescent="0.25">
      <c r="A461" s="17"/>
      <c r="B461" s="17"/>
      <c r="C461" s="30" t="str">
        <f ca="1">IFERROR(__xludf.DUMMYFUNCTION("""COMPUTED_VALUE"""),"")</f>
        <v/>
      </c>
      <c r="D461" s="17"/>
      <c r="G461" s="30"/>
    </row>
    <row r="462" spans="1:7" ht="12.5" x14ac:dyDescent="0.25">
      <c r="A462" s="17"/>
      <c r="B462" s="17"/>
      <c r="C462" s="30" t="str">
        <f ca="1">IFERROR(__xludf.DUMMYFUNCTION("""COMPUTED_VALUE"""),"")</f>
        <v/>
      </c>
      <c r="D462" s="17"/>
      <c r="G462" s="30"/>
    </row>
    <row r="463" spans="1:7" ht="12.5" x14ac:dyDescent="0.25">
      <c r="A463" s="17"/>
      <c r="B463" s="17"/>
      <c r="C463" s="30" t="str">
        <f ca="1">IFERROR(__xludf.DUMMYFUNCTION("""COMPUTED_VALUE"""),"")</f>
        <v/>
      </c>
      <c r="D463" s="17"/>
      <c r="G463" s="30"/>
    </row>
    <row r="464" spans="1:7" ht="12.5" x14ac:dyDescent="0.25">
      <c r="A464" s="17"/>
      <c r="B464" s="17"/>
      <c r="C464" s="30" t="str">
        <f ca="1">IFERROR(__xludf.DUMMYFUNCTION("""COMPUTED_VALUE"""),"")</f>
        <v/>
      </c>
      <c r="D464" s="17"/>
      <c r="G464" s="30"/>
    </row>
    <row r="465" spans="1:7" ht="12.5" x14ac:dyDescent="0.25">
      <c r="A465" s="17"/>
      <c r="B465" s="17"/>
      <c r="C465" s="30" t="str">
        <f ca="1">IFERROR(__xludf.DUMMYFUNCTION("""COMPUTED_VALUE"""),"")</f>
        <v/>
      </c>
      <c r="D465" s="17"/>
      <c r="G465" s="30"/>
    </row>
    <row r="466" spans="1:7" ht="12.5" x14ac:dyDescent="0.25">
      <c r="A466" s="17"/>
      <c r="B466" s="17"/>
      <c r="C466" s="30" t="str">
        <f ca="1">IFERROR(__xludf.DUMMYFUNCTION("""COMPUTED_VALUE"""),"")</f>
        <v/>
      </c>
      <c r="D466" s="17"/>
      <c r="G466" s="30"/>
    </row>
    <row r="467" spans="1:7" ht="12.5" x14ac:dyDescent="0.25">
      <c r="A467" s="17"/>
      <c r="B467" s="17"/>
      <c r="C467" s="30" t="str">
        <f ca="1">IFERROR(__xludf.DUMMYFUNCTION("""COMPUTED_VALUE"""),"")</f>
        <v/>
      </c>
      <c r="D467" s="17"/>
      <c r="G467" s="30"/>
    </row>
    <row r="468" spans="1:7" ht="12.5" x14ac:dyDescent="0.25">
      <c r="A468" s="17"/>
      <c r="B468" s="17"/>
      <c r="C468" s="30" t="str">
        <f ca="1">IFERROR(__xludf.DUMMYFUNCTION("""COMPUTED_VALUE"""),"")</f>
        <v/>
      </c>
      <c r="D468" s="17"/>
      <c r="G468" s="30"/>
    </row>
    <row r="469" spans="1:7" ht="12.5" x14ac:dyDescent="0.25">
      <c r="A469" s="17"/>
      <c r="B469" s="17"/>
      <c r="C469" s="30" t="str">
        <f ca="1">IFERROR(__xludf.DUMMYFUNCTION("""COMPUTED_VALUE"""),"")</f>
        <v/>
      </c>
      <c r="D469" s="17"/>
      <c r="G469" s="30"/>
    </row>
    <row r="470" spans="1:7" ht="12.5" x14ac:dyDescent="0.25">
      <c r="A470" s="17"/>
      <c r="B470" s="17"/>
      <c r="C470" s="30" t="str">
        <f ca="1">IFERROR(__xludf.DUMMYFUNCTION("""COMPUTED_VALUE"""),"")</f>
        <v/>
      </c>
      <c r="D470" s="17"/>
      <c r="G470" s="30"/>
    </row>
    <row r="471" spans="1:7" ht="12.5" x14ac:dyDescent="0.25">
      <c r="A471" s="17"/>
      <c r="B471" s="17"/>
      <c r="C471" s="30" t="str">
        <f ca="1">IFERROR(__xludf.DUMMYFUNCTION("""COMPUTED_VALUE"""),"")</f>
        <v/>
      </c>
      <c r="D471" s="17"/>
      <c r="G471" s="30"/>
    </row>
    <row r="472" spans="1:7" ht="12.5" x14ac:dyDescent="0.25">
      <c r="A472" s="17"/>
      <c r="B472" s="17"/>
      <c r="C472" s="30" t="str">
        <f ca="1">IFERROR(__xludf.DUMMYFUNCTION("""COMPUTED_VALUE"""),"")</f>
        <v/>
      </c>
      <c r="D472" s="17"/>
      <c r="G472" s="30"/>
    </row>
    <row r="473" spans="1:7" ht="12.5" x14ac:dyDescent="0.25">
      <c r="A473" s="17"/>
      <c r="B473" s="17"/>
      <c r="C473" s="30" t="str">
        <f ca="1">IFERROR(__xludf.DUMMYFUNCTION("""COMPUTED_VALUE"""),"")</f>
        <v/>
      </c>
      <c r="D473" s="17"/>
      <c r="G473" s="30"/>
    </row>
    <row r="474" spans="1:7" ht="12.5" x14ac:dyDescent="0.25">
      <c r="A474" s="17"/>
      <c r="B474" s="17"/>
      <c r="C474" s="30" t="str">
        <f ca="1">IFERROR(__xludf.DUMMYFUNCTION("""COMPUTED_VALUE"""),"")</f>
        <v/>
      </c>
      <c r="D474" s="17"/>
      <c r="G474" s="30"/>
    </row>
    <row r="475" spans="1:7" ht="12.5" x14ac:dyDescent="0.25">
      <c r="A475" s="17"/>
      <c r="B475" s="17"/>
      <c r="C475" s="30" t="str">
        <f ca="1">IFERROR(__xludf.DUMMYFUNCTION("""COMPUTED_VALUE"""),"")</f>
        <v/>
      </c>
      <c r="D475" s="17"/>
      <c r="G475" s="30"/>
    </row>
    <row r="476" spans="1:7" ht="12.5" x14ac:dyDescent="0.25">
      <c r="A476" s="17"/>
      <c r="B476" s="17"/>
      <c r="C476" s="30" t="str">
        <f ca="1">IFERROR(__xludf.DUMMYFUNCTION("""COMPUTED_VALUE"""),"")</f>
        <v/>
      </c>
      <c r="D476" s="17"/>
      <c r="G476" s="30"/>
    </row>
    <row r="477" spans="1:7" ht="12.5" x14ac:dyDescent="0.25">
      <c r="A477" s="17"/>
      <c r="B477" s="17"/>
      <c r="C477" s="30" t="str">
        <f ca="1">IFERROR(__xludf.DUMMYFUNCTION("""COMPUTED_VALUE"""),"")</f>
        <v/>
      </c>
      <c r="D477" s="17"/>
      <c r="G477" s="30"/>
    </row>
    <row r="478" spans="1:7" ht="12.5" x14ac:dyDescent="0.25">
      <c r="A478" s="17"/>
      <c r="B478" s="17"/>
      <c r="C478" s="30" t="str">
        <f ca="1">IFERROR(__xludf.DUMMYFUNCTION("""COMPUTED_VALUE"""),"")</f>
        <v/>
      </c>
      <c r="D478" s="17"/>
      <c r="G478" s="30"/>
    </row>
    <row r="479" spans="1:7" ht="12.5" x14ac:dyDescent="0.25">
      <c r="A479" s="17"/>
      <c r="B479" s="17"/>
      <c r="C479" s="30" t="str">
        <f ca="1">IFERROR(__xludf.DUMMYFUNCTION("""COMPUTED_VALUE"""),"")</f>
        <v/>
      </c>
      <c r="D479" s="17"/>
      <c r="G479" s="30"/>
    </row>
    <row r="480" spans="1:7" ht="12.5" x14ac:dyDescent="0.25">
      <c r="A480" s="17"/>
      <c r="B480" s="17"/>
      <c r="C480" s="30" t="str">
        <f ca="1">IFERROR(__xludf.DUMMYFUNCTION("""COMPUTED_VALUE"""),"")</f>
        <v/>
      </c>
      <c r="D480" s="17"/>
      <c r="G480" s="30"/>
    </row>
    <row r="481" spans="1:7" ht="12.5" x14ac:dyDescent="0.25">
      <c r="A481" s="17"/>
      <c r="B481" s="17"/>
      <c r="C481" s="30" t="str">
        <f ca="1">IFERROR(__xludf.DUMMYFUNCTION("""COMPUTED_VALUE"""),"")</f>
        <v/>
      </c>
      <c r="D481" s="17"/>
      <c r="G481" s="30"/>
    </row>
    <row r="482" spans="1:7" ht="12.5" x14ac:dyDescent="0.25">
      <c r="A482" s="17"/>
      <c r="B482" s="17"/>
      <c r="C482" s="30" t="str">
        <f ca="1">IFERROR(__xludf.DUMMYFUNCTION("""COMPUTED_VALUE"""),"")</f>
        <v/>
      </c>
      <c r="D482" s="17"/>
      <c r="G482" s="30"/>
    </row>
    <row r="483" spans="1:7" ht="12.5" x14ac:dyDescent="0.25">
      <c r="A483" s="17"/>
      <c r="B483" s="17"/>
      <c r="C483" s="30" t="str">
        <f ca="1">IFERROR(__xludf.DUMMYFUNCTION("""COMPUTED_VALUE"""),"")</f>
        <v/>
      </c>
      <c r="D483" s="17"/>
      <c r="G483" s="30"/>
    </row>
    <row r="484" spans="1:7" ht="12.5" x14ac:dyDescent="0.25">
      <c r="A484" s="17"/>
      <c r="B484" s="17"/>
      <c r="C484" s="30" t="str">
        <f ca="1">IFERROR(__xludf.DUMMYFUNCTION("""COMPUTED_VALUE"""),"")</f>
        <v/>
      </c>
      <c r="D484" s="17"/>
      <c r="G484" s="30"/>
    </row>
    <row r="485" spans="1:7" ht="12.5" x14ac:dyDescent="0.25">
      <c r="A485" s="17"/>
      <c r="B485" s="17"/>
      <c r="C485" s="30" t="str">
        <f ca="1">IFERROR(__xludf.DUMMYFUNCTION("""COMPUTED_VALUE"""),"")</f>
        <v/>
      </c>
      <c r="D485" s="17"/>
      <c r="G485" s="30"/>
    </row>
    <row r="486" spans="1:7" ht="12.5" x14ac:dyDescent="0.25">
      <c r="A486" s="17"/>
      <c r="B486" s="17"/>
      <c r="C486" s="30" t="str">
        <f ca="1">IFERROR(__xludf.DUMMYFUNCTION("""COMPUTED_VALUE"""),"")</f>
        <v/>
      </c>
      <c r="D486" s="17"/>
      <c r="G486" s="30"/>
    </row>
    <row r="487" spans="1:7" ht="12.5" x14ac:dyDescent="0.25">
      <c r="A487" s="17"/>
      <c r="B487" s="17"/>
      <c r="C487" s="30" t="str">
        <f ca="1">IFERROR(__xludf.DUMMYFUNCTION("""COMPUTED_VALUE"""),"")</f>
        <v/>
      </c>
      <c r="D487" s="17"/>
      <c r="G487" s="30"/>
    </row>
    <row r="488" spans="1:7" ht="12.5" x14ac:dyDescent="0.25">
      <c r="A488" s="17"/>
      <c r="B488" s="17"/>
      <c r="C488" s="30" t="str">
        <f ca="1">IFERROR(__xludf.DUMMYFUNCTION("""COMPUTED_VALUE"""),"")</f>
        <v/>
      </c>
      <c r="D488" s="17"/>
      <c r="G488" s="30"/>
    </row>
    <row r="489" spans="1:7" ht="12.5" x14ac:dyDescent="0.25">
      <c r="A489" s="17"/>
      <c r="B489" s="17"/>
      <c r="C489" s="30" t="str">
        <f ca="1">IFERROR(__xludf.DUMMYFUNCTION("""COMPUTED_VALUE"""),"")</f>
        <v/>
      </c>
      <c r="D489" s="17"/>
      <c r="G489" s="30"/>
    </row>
    <row r="490" spans="1:7" ht="12.5" x14ac:dyDescent="0.25">
      <c r="A490" s="17"/>
      <c r="B490" s="17"/>
      <c r="C490" s="30" t="str">
        <f ca="1">IFERROR(__xludf.DUMMYFUNCTION("""COMPUTED_VALUE"""),"")</f>
        <v/>
      </c>
      <c r="D490" s="17"/>
      <c r="G490" s="30"/>
    </row>
    <row r="491" spans="1:7" ht="12.5" x14ac:dyDescent="0.25">
      <c r="A491" s="17"/>
      <c r="B491" s="17"/>
      <c r="C491" s="30" t="str">
        <f ca="1">IFERROR(__xludf.DUMMYFUNCTION("""COMPUTED_VALUE"""),"")</f>
        <v/>
      </c>
      <c r="D491" s="17"/>
      <c r="G491" s="30"/>
    </row>
    <row r="492" spans="1:7" ht="12.5" x14ac:dyDescent="0.25">
      <c r="A492" s="17"/>
      <c r="B492" s="17"/>
      <c r="C492" s="30" t="str">
        <f ca="1">IFERROR(__xludf.DUMMYFUNCTION("""COMPUTED_VALUE"""),"")</f>
        <v/>
      </c>
      <c r="D492" s="17"/>
      <c r="G492" s="30"/>
    </row>
    <row r="493" spans="1:7" ht="12.5" x14ac:dyDescent="0.25">
      <c r="A493" s="17"/>
      <c r="B493" s="17"/>
      <c r="C493" s="30" t="str">
        <f ca="1">IFERROR(__xludf.DUMMYFUNCTION("""COMPUTED_VALUE"""),"")</f>
        <v/>
      </c>
      <c r="D493" s="17"/>
      <c r="G493" s="30"/>
    </row>
    <row r="494" spans="1:7" ht="12.5" x14ac:dyDescent="0.25">
      <c r="A494" s="17"/>
      <c r="B494" s="17"/>
      <c r="C494" s="30" t="str">
        <f ca="1">IFERROR(__xludf.DUMMYFUNCTION("""COMPUTED_VALUE"""),"")</f>
        <v/>
      </c>
      <c r="D494" s="17"/>
      <c r="G494" s="30"/>
    </row>
    <row r="495" spans="1:7" ht="12.5" x14ac:dyDescent="0.25">
      <c r="A495" s="17"/>
      <c r="B495" s="17"/>
      <c r="C495" s="30" t="str">
        <f ca="1">IFERROR(__xludf.DUMMYFUNCTION("""COMPUTED_VALUE"""),"")</f>
        <v/>
      </c>
      <c r="D495" s="17"/>
      <c r="G495" s="30"/>
    </row>
    <row r="496" spans="1:7" ht="12.5" x14ac:dyDescent="0.25">
      <c r="A496" s="17"/>
      <c r="B496" s="17"/>
      <c r="C496" s="30" t="str">
        <f ca="1">IFERROR(__xludf.DUMMYFUNCTION("""COMPUTED_VALUE"""),"")</f>
        <v/>
      </c>
      <c r="D496" s="17"/>
      <c r="G496" s="30"/>
    </row>
    <row r="497" spans="1:7" ht="12.5" x14ac:dyDescent="0.25">
      <c r="A497" s="17"/>
      <c r="B497" s="17"/>
      <c r="C497" s="30" t="str">
        <f ca="1">IFERROR(__xludf.DUMMYFUNCTION("""COMPUTED_VALUE"""),"")</f>
        <v/>
      </c>
      <c r="D497" s="17"/>
      <c r="G497" s="30"/>
    </row>
    <row r="498" spans="1:7" ht="12.5" x14ac:dyDescent="0.25">
      <c r="A498" s="17"/>
      <c r="B498" s="17"/>
      <c r="C498" s="30" t="str">
        <f ca="1">IFERROR(__xludf.DUMMYFUNCTION("""COMPUTED_VALUE"""),"")</f>
        <v/>
      </c>
      <c r="D498" s="17"/>
      <c r="G498" s="30"/>
    </row>
    <row r="499" spans="1:7" ht="12.5" x14ac:dyDescent="0.25">
      <c r="A499" s="17"/>
      <c r="B499" s="17"/>
      <c r="C499" s="30" t="str">
        <f ca="1">IFERROR(__xludf.DUMMYFUNCTION("""COMPUTED_VALUE"""),"")</f>
        <v/>
      </c>
      <c r="D499" s="17"/>
      <c r="G499" s="30"/>
    </row>
    <row r="500" spans="1:7" ht="12.5" x14ac:dyDescent="0.25">
      <c r="A500" s="17"/>
      <c r="B500" s="17"/>
      <c r="C500" s="30" t="str">
        <f ca="1">IFERROR(__xludf.DUMMYFUNCTION("""COMPUTED_VALUE"""),"")</f>
        <v/>
      </c>
      <c r="D500" s="17"/>
      <c r="G500" s="30"/>
    </row>
    <row r="501" spans="1:7" ht="12.5" x14ac:dyDescent="0.25">
      <c r="A501" s="17"/>
      <c r="B501" s="17"/>
      <c r="C501" s="30" t="str">
        <f ca="1">IFERROR(__xludf.DUMMYFUNCTION("""COMPUTED_VALUE"""),"")</f>
        <v/>
      </c>
      <c r="D501" s="17"/>
      <c r="G501" s="30"/>
    </row>
    <row r="502" spans="1:7" ht="12.5" x14ac:dyDescent="0.25">
      <c r="A502" s="17"/>
      <c r="B502" s="17"/>
      <c r="C502" s="30" t="str">
        <f ca="1">IFERROR(__xludf.DUMMYFUNCTION("""COMPUTED_VALUE"""),"")</f>
        <v/>
      </c>
      <c r="D502" s="17"/>
      <c r="G502" s="30"/>
    </row>
    <row r="503" spans="1:7" ht="12.5" x14ac:dyDescent="0.25">
      <c r="A503" s="17"/>
      <c r="B503" s="17"/>
      <c r="C503" s="30" t="str">
        <f ca="1">IFERROR(__xludf.DUMMYFUNCTION("""COMPUTED_VALUE"""),"")</f>
        <v/>
      </c>
      <c r="D503" s="17"/>
      <c r="G503" s="30"/>
    </row>
    <row r="504" spans="1:7" ht="12.5" x14ac:dyDescent="0.25">
      <c r="A504" s="17"/>
      <c r="B504" s="17"/>
      <c r="C504" s="30" t="str">
        <f ca="1">IFERROR(__xludf.DUMMYFUNCTION("""COMPUTED_VALUE"""),"")</f>
        <v/>
      </c>
      <c r="D504" s="17"/>
      <c r="G504" s="30"/>
    </row>
    <row r="505" spans="1:7" ht="12.5" x14ac:dyDescent="0.25">
      <c r="A505" s="17"/>
      <c r="B505" s="17"/>
      <c r="C505" s="30" t="str">
        <f ca="1">IFERROR(__xludf.DUMMYFUNCTION("""COMPUTED_VALUE"""),"")</f>
        <v/>
      </c>
      <c r="D505" s="17"/>
      <c r="G505" s="30"/>
    </row>
    <row r="506" spans="1:7" ht="12.5" x14ac:dyDescent="0.25">
      <c r="A506" s="17"/>
      <c r="B506" s="17"/>
      <c r="C506" s="30" t="str">
        <f ca="1">IFERROR(__xludf.DUMMYFUNCTION("""COMPUTED_VALUE"""),"")</f>
        <v/>
      </c>
      <c r="D506" s="17"/>
      <c r="G506" s="30"/>
    </row>
    <row r="507" spans="1:7" ht="12.5" x14ac:dyDescent="0.25">
      <c r="A507" s="17"/>
      <c r="B507" s="17"/>
      <c r="C507" s="30" t="str">
        <f ca="1">IFERROR(__xludf.DUMMYFUNCTION("""COMPUTED_VALUE"""),"")</f>
        <v/>
      </c>
      <c r="D507" s="17"/>
      <c r="G507" s="30"/>
    </row>
    <row r="508" spans="1:7" ht="12.5" x14ac:dyDescent="0.25">
      <c r="A508" s="17"/>
      <c r="B508" s="17"/>
      <c r="C508" s="30" t="str">
        <f ca="1">IFERROR(__xludf.DUMMYFUNCTION("""COMPUTED_VALUE"""),"")</f>
        <v/>
      </c>
      <c r="D508" s="17"/>
      <c r="G508" s="30"/>
    </row>
    <row r="509" spans="1:7" ht="12.5" x14ac:dyDescent="0.25">
      <c r="A509" s="17"/>
      <c r="B509" s="17"/>
      <c r="C509" s="30" t="str">
        <f ca="1">IFERROR(__xludf.DUMMYFUNCTION("""COMPUTED_VALUE"""),"")</f>
        <v/>
      </c>
      <c r="D509" s="17"/>
      <c r="G509" s="30"/>
    </row>
    <row r="510" spans="1:7" ht="12.5" x14ac:dyDescent="0.25">
      <c r="A510" s="17"/>
      <c r="B510" s="17"/>
      <c r="C510" s="30" t="str">
        <f ca="1">IFERROR(__xludf.DUMMYFUNCTION("""COMPUTED_VALUE"""),"")</f>
        <v/>
      </c>
      <c r="D510" s="17"/>
      <c r="G510" s="30"/>
    </row>
    <row r="511" spans="1:7" ht="12.5" x14ac:dyDescent="0.25">
      <c r="A511" s="17"/>
      <c r="B511" s="17"/>
      <c r="C511" s="30" t="str">
        <f ca="1">IFERROR(__xludf.DUMMYFUNCTION("""COMPUTED_VALUE"""),"")</f>
        <v/>
      </c>
      <c r="D511" s="17"/>
      <c r="G511" s="30"/>
    </row>
    <row r="512" spans="1:7" ht="12.5" x14ac:dyDescent="0.25">
      <c r="A512" s="17"/>
      <c r="B512" s="17"/>
      <c r="C512" s="30" t="str">
        <f ca="1">IFERROR(__xludf.DUMMYFUNCTION("""COMPUTED_VALUE"""),"")</f>
        <v/>
      </c>
      <c r="D512" s="17"/>
      <c r="G512" s="30"/>
    </row>
    <row r="513" spans="1:7" ht="12.5" x14ac:dyDescent="0.25">
      <c r="A513" s="17"/>
      <c r="B513" s="17"/>
      <c r="C513" s="30" t="str">
        <f ca="1">IFERROR(__xludf.DUMMYFUNCTION("""COMPUTED_VALUE"""),"")</f>
        <v/>
      </c>
      <c r="D513" s="17"/>
      <c r="G513" s="30"/>
    </row>
    <row r="514" spans="1:7" ht="12.5" x14ac:dyDescent="0.25">
      <c r="A514" s="17"/>
      <c r="B514" s="17"/>
      <c r="C514" s="30" t="str">
        <f ca="1">IFERROR(__xludf.DUMMYFUNCTION("""COMPUTED_VALUE"""),"")</f>
        <v/>
      </c>
      <c r="D514" s="17"/>
      <c r="G514" s="30"/>
    </row>
    <row r="515" spans="1:7" ht="12.5" x14ac:dyDescent="0.25">
      <c r="A515" s="17"/>
      <c r="B515" s="17"/>
      <c r="C515" s="30" t="str">
        <f ca="1">IFERROR(__xludf.DUMMYFUNCTION("""COMPUTED_VALUE"""),"")</f>
        <v/>
      </c>
      <c r="D515" s="17"/>
      <c r="G515" s="30"/>
    </row>
    <row r="516" spans="1:7" ht="12.5" x14ac:dyDescent="0.25">
      <c r="A516" s="17"/>
      <c r="B516" s="17"/>
      <c r="C516" s="30" t="str">
        <f ca="1">IFERROR(__xludf.DUMMYFUNCTION("""COMPUTED_VALUE"""),"")</f>
        <v/>
      </c>
      <c r="D516" s="17"/>
      <c r="G516" s="30"/>
    </row>
    <row r="517" spans="1:7" ht="12.5" x14ac:dyDescent="0.25">
      <c r="A517" s="17"/>
      <c r="B517" s="17"/>
      <c r="C517" s="30" t="str">
        <f ca="1">IFERROR(__xludf.DUMMYFUNCTION("""COMPUTED_VALUE"""),"")</f>
        <v/>
      </c>
      <c r="D517" s="17"/>
      <c r="G517" s="30"/>
    </row>
    <row r="518" spans="1:7" ht="12.5" x14ac:dyDescent="0.25">
      <c r="A518" s="17"/>
      <c r="B518" s="17"/>
      <c r="C518" s="30" t="str">
        <f ca="1">IFERROR(__xludf.DUMMYFUNCTION("""COMPUTED_VALUE"""),"")</f>
        <v/>
      </c>
      <c r="D518" s="17"/>
      <c r="G518" s="30"/>
    </row>
    <row r="519" spans="1:7" ht="12.5" x14ac:dyDescent="0.25">
      <c r="A519" s="17"/>
      <c r="B519" s="17"/>
      <c r="C519" s="30" t="str">
        <f ca="1">IFERROR(__xludf.DUMMYFUNCTION("""COMPUTED_VALUE"""),"")</f>
        <v/>
      </c>
      <c r="D519" s="17"/>
      <c r="G519" s="30"/>
    </row>
    <row r="520" spans="1:7" ht="12.5" x14ac:dyDescent="0.25">
      <c r="A520" s="17"/>
      <c r="B520" s="17"/>
      <c r="C520" s="30" t="str">
        <f ca="1">IFERROR(__xludf.DUMMYFUNCTION("""COMPUTED_VALUE"""),"")</f>
        <v/>
      </c>
      <c r="D520" s="17"/>
      <c r="G520" s="30"/>
    </row>
    <row r="521" spans="1:7" ht="12.5" x14ac:dyDescent="0.25">
      <c r="A521" s="17"/>
      <c r="B521" s="17"/>
      <c r="C521" s="30" t="str">
        <f ca="1">IFERROR(__xludf.DUMMYFUNCTION("""COMPUTED_VALUE"""),"")</f>
        <v/>
      </c>
      <c r="D521" s="17"/>
      <c r="G521" s="30"/>
    </row>
    <row r="522" spans="1:7" ht="12.5" x14ac:dyDescent="0.25">
      <c r="A522" s="17"/>
      <c r="B522" s="17"/>
      <c r="C522" s="30" t="str">
        <f ca="1">IFERROR(__xludf.DUMMYFUNCTION("""COMPUTED_VALUE"""),"")</f>
        <v/>
      </c>
      <c r="D522" s="17"/>
      <c r="G522" s="30"/>
    </row>
    <row r="523" spans="1:7" ht="12.5" x14ac:dyDescent="0.25">
      <c r="A523" s="17"/>
      <c r="B523" s="17"/>
      <c r="C523" s="30" t="str">
        <f ca="1">IFERROR(__xludf.DUMMYFUNCTION("""COMPUTED_VALUE"""),"")</f>
        <v/>
      </c>
      <c r="D523" s="17"/>
      <c r="G523" s="30"/>
    </row>
    <row r="524" spans="1:7" ht="12.5" x14ac:dyDescent="0.25">
      <c r="A524" s="17"/>
      <c r="B524" s="17"/>
      <c r="C524" s="30" t="str">
        <f ca="1">IFERROR(__xludf.DUMMYFUNCTION("""COMPUTED_VALUE"""),"")</f>
        <v/>
      </c>
      <c r="D524" s="17"/>
      <c r="G524" s="30"/>
    </row>
    <row r="525" spans="1:7" ht="12.5" x14ac:dyDescent="0.25">
      <c r="A525" s="17"/>
      <c r="B525" s="17"/>
      <c r="C525" s="30" t="str">
        <f ca="1">IFERROR(__xludf.DUMMYFUNCTION("""COMPUTED_VALUE"""),"")</f>
        <v/>
      </c>
      <c r="D525" s="17"/>
      <c r="G525" s="30"/>
    </row>
    <row r="526" spans="1:7" ht="12.5" x14ac:dyDescent="0.25">
      <c r="A526" s="17"/>
      <c r="B526" s="17"/>
      <c r="C526" s="30" t="str">
        <f ca="1">IFERROR(__xludf.DUMMYFUNCTION("""COMPUTED_VALUE"""),"")</f>
        <v/>
      </c>
      <c r="D526" s="17"/>
      <c r="G526" s="30"/>
    </row>
    <row r="527" spans="1:7" ht="12.5" x14ac:dyDescent="0.25">
      <c r="A527" s="17"/>
      <c r="B527" s="17"/>
      <c r="C527" s="30" t="str">
        <f ca="1">IFERROR(__xludf.DUMMYFUNCTION("""COMPUTED_VALUE"""),"")</f>
        <v/>
      </c>
      <c r="D527" s="17"/>
      <c r="G527" s="30"/>
    </row>
    <row r="528" spans="1:7" ht="12.5" x14ac:dyDescent="0.25">
      <c r="A528" s="17"/>
      <c r="B528" s="17"/>
      <c r="C528" s="30" t="str">
        <f ca="1">IFERROR(__xludf.DUMMYFUNCTION("""COMPUTED_VALUE"""),"")</f>
        <v/>
      </c>
      <c r="D528" s="17"/>
      <c r="G528" s="30"/>
    </row>
    <row r="529" spans="1:7" ht="12.5" x14ac:dyDescent="0.25">
      <c r="A529" s="17"/>
      <c r="B529" s="17"/>
      <c r="C529" s="30" t="str">
        <f ca="1">IFERROR(__xludf.DUMMYFUNCTION("""COMPUTED_VALUE"""),"")</f>
        <v/>
      </c>
      <c r="D529" s="17"/>
      <c r="G529" s="30"/>
    </row>
    <row r="530" spans="1:7" ht="12.5" x14ac:dyDescent="0.25">
      <c r="A530" s="17"/>
      <c r="B530" s="17"/>
      <c r="C530" s="30" t="str">
        <f ca="1">IFERROR(__xludf.DUMMYFUNCTION("""COMPUTED_VALUE"""),"")</f>
        <v/>
      </c>
      <c r="D530" s="17"/>
      <c r="G530" s="30"/>
    </row>
    <row r="531" spans="1:7" ht="12.5" x14ac:dyDescent="0.25">
      <c r="A531" s="17"/>
      <c r="B531" s="17"/>
      <c r="C531" s="30" t="str">
        <f ca="1">IFERROR(__xludf.DUMMYFUNCTION("""COMPUTED_VALUE"""),"")</f>
        <v/>
      </c>
      <c r="D531" s="17"/>
      <c r="G531" s="30"/>
    </row>
    <row r="532" spans="1:7" ht="12.5" x14ac:dyDescent="0.25">
      <c r="A532" s="17"/>
      <c r="B532" s="17"/>
      <c r="C532" s="30" t="str">
        <f ca="1">IFERROR(__xludf.DUMMYFUNCTION("""COMPUTED_VALUE"""),"")</f>
        <v/>
      </c>
      <c r="D532" s="17"/>
      <c r="G532" s="30"/>
    </row>
    <row r="533" spans="1:7" ht="12.5" x14ac:dyDescent="0.25">
      <c r="A533" s="17"/>
      <c r="B533" s="17"/>
      <c r="C533" s="30" t="str">
        <f ca="1">IFERROR(__xludf.DUMMYFUNCTION("""COMPUTED_VALUE"""),"")</f>
        <v/>
      </c>
      <c r="D533" s="17"/>
      <c r="G533" s="30"/>
    </row>
    <row r="534" spans="1:7" ht="12.5" x14ac:dyDescent="0.25">
      <c r="A534" s="17"/>
      <c r="B534" s="17"/>
      <c r="C534" s="30" t="str">
        <f ca="1">IFERROR(__xludf.DUMMYFUNCTION("""COMPUTED_VALUE"""),"")</f>
        <v/>
      </c>
      <c r="D534" s="17"/>
      <c r="G534" s="30"/>
    </row>
    <row r="535" spans="1:7" ht="12.5" x14ac:dyDescent="0.25">
      <c r="A535" s="17"/>
      <c r="B535" s="17"/>
      <c r="C535" s="30" t="str">
        <f ca="1">IFERROR(__xludf.DUMMYFUNCTION("""COMPUTED_VALUE"""),"")</f>
        <v/>
      </c>
      <c r="D535" s="17"/>
      <c r="G535" s="30"/>
    </row>
    <row r="536" spans="1:7" ht="12.5" x14ac:dyDescent="0.25">
      <c r="A536" s="17"/>
      <c r="B536" s="17"/>
      <c r="C536" s="30" t="str">
        <f ca="1">IFERROR(__xludf.DUMMYFUNCTION("""COMPUTED_VALUE"""),"")</f>
        <v/>
      </c>
      <c r="D536" s="17"/>
      <c r="G536" s="30"/>
    </row>
    <row r="537" spans="1:7" ht="12.5" x14ac:dyDescent="0.25">
      <c r="A537" s="17"/>
      <c r="B537" s="17"/>
      <c r="C537" s="30" t="str">
        <f ca="1">IFERROR(__xludf.DUMMYFUNCTION("""COMPUTED_VALUE"""),"")</f>
        <v/>
      </c>
      <c r="D537" s="17"/>
      <c r="G537" s="30"/>
    </row>
    <row r="538" spans="1:7" ht="12.5" x14ac:dyDescent="0.25">
      <c r="A538" s="17"/>
      <c r="B538" s="17"/>
      <c r="C538" s="30" t="str">
        <f ca="1">IFERROR(__xludf.DUMMYFUNCTION("""COMPUTED_VALUE"""),"")</f>
        <v/>
      </c>
      <c r="D538" s="17"/>
      <c r="G538" s="30"/>
    </row>
    <row r="539" spans="1:7" ht="12.5" x14ac:dyDescent="0.25">
      <c r="A539" s="17"/>
      <c r="B539" s="17"/>
      <c r="C539" s="30" t="str">
        <f ca="1">IFERROR(__xludf.DUMMYFUNCTION("""COMPUTED_VALUE"""),"")</f>
        <v/>
      </c>
      <c r="D539" s="17"/>
      <c r="G539" s="30"/>
    </row>
    <row r="540" spans="1:7" ht="12.5" x14ac:dyDescent="0.25">
      <c r="A540" s="17"/>
      <c r="B540" s="17"/>
      <c r="C540" s="30" t="str">
        <f ca="1">IFERROR(__xludf.DUMMYFUNCTION("""COMPUTED_VALUE"""),"")</f>
        <v/>
      </c>
      <c r="D540" s="17"/>
      <c r="G540" s="30"/>
    </row>
    <row r="541" spans="1:7" ht="12.5" x14ac:dyDescent="0.25">
      <c r="A541" s="17"/>
      <c r="B541" s="17"/>
      <c r="C541" s="30" t="str">
        <f ca="1">IFERROR(__xludf.DUMMYFUNCTION("""COMPUTED_VALUE"""),"")</f>
        <v/>
      </c>
      <c r="D541" s="17"/>
      <c r="G541" s="30"/>
    </row>
    <row r="542" spans="1:7" ht="12.5" x14ac:dyDescent="0.25">
      <c r="A542" s="17"/>
      <c r="B542" s="17"/>
      <c r="C542" s="30" t="str">
        <f ca="1">IFERROR(__xludf.DUMMYFUNCTION("""COMPUTED_VALUE"""),"")</f>
        <v/>
      </c>
      <c r="D542" s="17"/>
      <c r="G542" s="30"/>
    </row>
    <row r="543" spans="1:7" ht="12.5" x14ac:dyDescent="0.25">
      <c r="A543" s="17"/>
      <c r="B543" s="17"/>
      <c r="C543" s="30" t="str">
        <f ca="1">IFERROR(__xludf.DUMMYFUNCTION("""COMPUTED_VALUE"""),"")</f>
        <v/>
      </c>
      <c r="D543" s="17"/>
      <c r="G543" s="30"/>
    </row>
    <row r="544" spans="1:7" ht="12.5" x14ac:dyDescent="0.25">
      <c r="A544" s="17"/>
      <c r="B544" s="17"/>
      <c r="C544" s="30" t="str">
        <f ca="1">IFERROR(__xludf.DUMMYFUNCTION("""COMPUTED_VALUE"""),"")</f>
        <v/>
      </c>
      <c r="D544" s="17"/>
      <c r="G544" s="30"/>
    </row>
    <row r="545" spans="1:7" ht="12.5" x14ac:dyDescent="0.25">
      <c r="A545" s="17"/>
      <c r="B545" s="17"/>
      <c r="C545" s="30" t="str">
        <f ca="1">IFERROR(__xludf.DUMMYFUNCTION("""COMPUTED_VALUE"""),"")</f>
        <v/>
      </c>
      <c r="D545" s="17"/>
      <c r="G545" s="30"/>
    </row>
    <row r="546" spans="1:7" ht="12.5" x14ac:dyDescent="0.25">
      <c r="A546" s="17"/>
      <c r="B546" s="17"/>
      <c r="C546" s="30" t="str">
        <f ca="1">IFERROR(__xludf.DUMMYFUNCTION("""COMPUTED_VALUE"""),"")</f>
        <v/>
      </c>
      <c r="D546" s="17"/>
      <c r="G546" s="30"/>
    </row>
    <row r="547" spans="1:7" ht="12.5" x14ac:dyDescent="0.25">
      <c r="A547" s="17"/>
      <c r="B547" s="17"/>
      <c r="C547" s="30" t="str">
        <f ca="1">IFERROR(__xludf.DUMMYFUNCTION("""COMPUTED_VALUE"""),"")</f>
        <v/>
      </c>
      <c r="D547" s="17"/>
      <c r="G547" s="30"/>
    </row>
    <row r="548" spans="1:7" ht="12.5" x14ac:dyDescent="0.25">
      <c r="A548" s="17"/>
      <c r="B548" s="17"/>
      <c r="C548" s="30" t="str">
        <f ca="1">IFERROR(__xludf.DUMMYFUNCTION("""COMPUTED_VALUE"""),"")</f>
        <v/>
      </c>
      <c r="D548" s="17"/>
      <c r="G548" s="30"/>
    </row>
    <row r="549" spans="1:7" ht="12.5" x14ac:dyDescent="0.25">
      <c r="A549" s="17"/>
      <c r="B549" s="17"/>
      <c r="C549" s="30" t="str">
        <f ca="1">IFERROR(__xludf.DUMMYFUNCTION("""COMPUTED_VALUE"""),"")</f>
        <v/>
      </c>
      <c r="D549" s="17"/>
      <c r="G549" s="30"/>
    </row>
    <row r="550" spans="1:7" ht="12.5" x14ac:dyDescent="0.25">
      <c r="A550" s="17"/>
      <c r="B550" s="17"/>
      <c r="C550" s="30" t="str">
        <f ca="1">IFERROR(__xludf.DUMMYFUNCTION("""COMPUTED_VALUE"""),"")</f>
        <v/>
      </c>
      <c r="D550" s="17"/>
      <c r="G550" s="30"/>
    </row>
    <row r="551" spans="1:7" ht="12.5" x14ac:dyDescent="0.25">
      <c r="A551" s="17"/>
      <c r="B551" s="17"/>
      <c r="C551" s="30" t="str">
        <f ca="1">IFERROR(__xludf.DUMMYFUNCTION("""COMPUTED_VALUE"""),"")</f>
        <v/>
      </c>
      <c r="D551" s="17"/>
      <c r="G551" s="30"/>
    </row>
    <row r="552" spans="1:7" ht="12.5" x14ac:dyDescent="0.25">
      <c r="A552" s="17"/>
      <c r="B552" s="17"/>
      <c r="C552" s="30" t="str">
        <f ca="1">IFERROR(__xludf.DUMMYFUNCTION("""COMPUTED_VALUE"""),"")</f>
        <v/>
      </c>
      <c r="D552" s="17"/>
      <c r="G552" s="30"/>
    </row>
    <row r="553" spans="1:7" ht="12.5" x14ac:dyDescent="0.25">
      <c r="A553" s="17"/>
      <c r="B553" s="17"/>
      <c r="C553" s="30" t="str">
        <f ca="1">IFERROR(__xludf.DUMMYFUNCTION("""COMPUTED_VALUE"""),"")</f>
        <v/>
      </c>
      <c r="D553" s="17"/>
      <c r="G553" s="30"/>
    </row>
    <row r="554" spans="1:7" ht="12.5" x14ac:dyDescent="0.25">
      <c r="A554" s="17"/>
      <c r="B554" s="17"/>
      <c r="C554" s="30" t="str">
        <f ca="1">IFERROR(__xludf.DUMMYFUNCTION("""COMPUTED_VALUE"""),"")</f>
        <v/>
      </c>
      <c r="D554" s="17"/>
      <c r="G554" s="30"/>
    </row>
    <row r="555" spans="1:7" ht="12.5" x14ac:dyDescent="0.25">
      <c r="A555" s="17"/>
      <c r="B555" s="17"/>
      <c r="C555" s="30" t="str">
        <f ca="1">IFERROR(__xludf.DUMMYFUNCTION("""COMPUTED_VALUE"""),"")</f>
        <v/>
      </c>
      <c r="D555" s="17"/>
      <c r="G555" s="30"/>
    </row>
    <row r="556" spans="1:7" ht="12.5" x14ac:dyDescent="0.25">
      <c r="A556" s="17"/>
      <c r="B556" s="17"/>
      <c r="C556" s="30" t="str">
        <f ca="1">IFERROR(__xludf.DUMMYFUNCTION("""COMPUTED_VALUE"""),"")</f>
        <v/>
      </c>
      <c r="D556" s="17"/>
      <c r="G556" s="30"/>
    </row>
    <row r="557" spans="1:7" ht="12.5" x14ac:dyDescent="0.25">
      <c r="A557" s="17"/>
      <c r="B557" s="17"/>
      <c r="C557" s="30" t="str">
        <f ca="1">IFERROR(__xludf.DUMMYFUNCTION("""COMPUTED_VALUE"""),"")</f>
        <v/>
      </c>
      <c r="D557" s="17"/>
      <c r="G557" s="30"/>
    </row>
    <row r="558" spans="1:7" ht="12.5" x14ac:dyDescent="0.25">
      <c r="A558" s="17"/>
      <c r="B558" s="17"/>
      <c r="C558" s="30" t="str">
        <f ca="1">IFERROR(__xludf.DUMMYFUNCTION("""COMPUTED_VALUE"""),"")</f>
        <v/>
      </c>
      <c r="D558" s="17"/>
      <c r="G558" s="30"/>
    </row>
    <row r="559" spans="1:7" ht="12.5" x14ac:dyDescent="0.25">
      <c r="A559" s="17"/>
      <c r="B559" s="17"/>
      <c r="C559" s="30" t="str">
        <f ca="1">IFERROR(__xludf.DUMMYFUNCTION("""COMPUTED_VALUE"""),"")</f>
        <v/>
      </c>
      <c r="D559" s="17"/>
      <c r="G559" s="30"/>
    </row>
    <row r="560" spans="1:7" ht="12.5" x14ac:dyDescent="0.25">
      <c r="A560" s="17"/>
      <c r="B560" s="17"/>
      <c r="C560" s="30" t="str">
        <f ca="1">IFERROR(__xludf.DUMMYFUNCTION("""COMPUTED_VALUE"""),"")</f>
        <v/>
      </c>
      <c r="D560" s="17"/>
      <c r="G560" s="30"/>
    </row>
    <row r="561" spans="1:7" ht="12.5" x14ac:dyDescent="0.25">
      <c r="A561" s="17"/>
      <c r="B561" s="17"/>
      <c r="C561" s="30" t="str">
        <f ca="1">IFERROR(__xludf.DUMMYFUNCTION("""COMPUTED_VALUE"""),"")</f>
        <v/>
      </c>
      <c r="D561" s="17"/>
      <c r="G561" s="30"/>
    </row>
    <row r="562" spans="1:7" ht="12.5" x14ac:dyDescent="0.25">
      <c r="A562" s="17"/>
      <c r="B562" s="17"/>
      <c r="C562" s="30" t="str">
        <f ca="1">IFERROR(__xludf.DUMMYFUNCTION("""COMPUTED_VALUE"""),"")</f>
        <v/>
      </c>
      <c r="D562" s="17"/>
      <c r="G562" s="30"/>
    </row>
    <row r="563" spans="1:7" ht="12.5" x14ac:dyDescent="0.25">
      <c r="A563" s="17"/>
      <c r="B563" s="17"/>
      <c r="C563" s="30" t="str">
        <f ca="1">IFERROR(__xludf.DUMMYFUNCTION("""COMPUTED_VALUE"""),"")</f>
        <v/>
      </c>
      <c r="D563" s="17"/>
      <c r="G563" s="30"/>
    </row>
    <row r="564" spans="1:7" ht="12.5" x14ac:dyDescent="0.25">
      <c r="A564" s="17"/>
      <c r="B564" s="17"/>
      <c r="C564" s="30" t="str">
        <f ca="1">IFERROR(__xludf.DUMMYFUNCTION("""COMPUTED_VALUE"""),"")</f>
        <v/>
      </c>
      <c r="D564" s="17"/>
      <c r="G564" s="30"/>
    </row>
    <row r="565" spans="1:7" ht="12.5" x14ac:dyDescent="0.25">
      <c r="A565" s="17"/>
      <c r="B565" s="17"/>
      <c r="C565" s="30" t="str">
        <f ca="1">IFERROR(__xludf.DUMMYFUNCTION("""COMPUTED_VALUE"""),"")</f>
        <v/>
      </c>
      <c r="D565" s="17"/>
      <c r="G565" s="30"/>
    </row>
    <row r="566" spans="1:7" ht="12.5" x14ac:dyDescent="0.25">
      <c r="A566" s="17"/>
      <c r="B566" s="17"/>
      <c r="C566" s="30" t="str">
        <f ca="1">IFERROR(__xludf.DUMMYFUNCTION("""COMPUTED_VALUE"""),"")</f>
        <v/>
      </c>
      <c r="D566" s="17"/>
      <c r="G566" s="30"/>
    </row>
    <row r="567" spans="1:7" ht="12.5" x14ac:dyDescent="0.25">
      <c r="A567" s="17"/>
      <c r="B567" s="17"/>
      <c r="C567" s="30" t="str">
        <f ca="1">IFERROR(__xludf.DUMMYFUNCTION("""COMPUTED_VALUE"""),"")</f>
        <v/>
      </c>
      <c r="D567" s="17"/>
      <c r="G567" s="30"/>
    </row>
    <row r="568" spans="1:7" ht="12.5" x14ac:dyDescent="0.25">
      <c r="A568" s="17"/>
      <c r="B568" s="17"/>
      <c r="C568" s="30" t="str">
        <f ca="1">IFERROR(__xludf.DUMMYFUNCTION("""COMPUTED_VALUE"""),"")</f>
        <v/>
      </c>
      <c r="D568" s="17"/>
      <c r="G568" s="30"/>
    </row>
    <row r="569" spans="1:7" ht="12.5" x14ac:dyDescent="0.25">
      <c r="A569" s="17"/>
      <c r="B569" s="17"/>
      <c r="C569" s="30" t="str">
        <f ca="1">IFERROR(__xludf.DUMMYFUNCTION("""COMPUTED_VALUE"""),"")</f>
        <v/>
      </c>
      <c r="D569" s="17"/>
      <c r="G569" s="30"/>
    </row>
    <row r="570" spans="1:7" ht="12.5" x14ac:dyDescent="0.25">
      <c r="A570" s="17"/>
      <c r="B570" s="17"/>
      <c r="C570" s="30" t="str">
        <f ca="1">IFERROR(__xludf.DUMMYFUNCTION("""COMPUTED_VALUE"""),"")</f>
        <v/>
      </c>
      <c r="D570" s="17"/>
      <c r="G570" s="30"/>
    </row>
    <row r="571" spans="1:7" ht="12.5" x14ac:dyDescent="0.25">
      <c r="A571" s="17"/>
      <c r="B571" s="17"/>
      <c r="C571" s="30" t="str">
        <f ca="1">IFERROR(__xludf.DUMMYFUNCTION("""COMPUTED_VALUE"""),"")</f>
        <v/>
      </c>
      <c r="D571" s="17"/>
      <c r="G571" s="30"/>
    </row>
    <row r="572" spans="1:7" ht="12.5" x14ac:dyDescent="0.25">
      <c r="A572" s="17"/>
      <c r="B572" s="17"/>
      <c r="C572" s="30" t="str">
        <f ca="1">IFERROR(__xludf.DUMMYFUNCTION("""COMPUTED_VALUE"""),"")</f>
        <v/>
      </c>
      <c r="D572" s="17"/>
      <c r="G572" s="30"/>
    </row>
    <row r="573" spans="1:7" ht="12.5" x14ac:dyDescent="0.25">
      <c r="A573" s="17"/>
      <c r="B573" s="17"/>
      <c r="C573" s="30" t="str">
        <f ca="1">IFERROR(__xludf.DUMMYFUNCTION("""COMPUTED_VALUE"""),"")</f>
        <v/>
      </c>
      <c r="D573" s="17"/>
      <c r="G573" s="30"/>
    </row>
    <row r="574" spans="1:7" ht="12.5" x14ac:dyDescent="0.25">
      <c r="A574" s="17"/>
      <c r="B574" s="17"/>
      <c r="C574" s="30" t="str">
        <f ca="1">IFERROR(__xludf.DUMMYFUNCTION("""COMPUTED_VALUE"""),"")</f>
        <v/>
      </c>
      <c r="D574" s="17"/>
      <c r="G574" s="30"/>
    </row>
    <row r="575" spans="1:7" ht="12.5" x14ac:dyDescent="0.25">
      <c r="A575" s="17"/>
      <c r="B575" s="17"/>
      <c r="C575" s="30" t="str">
        <f ca="1">IFERROR(__xludf.DUMMYFUNCTION("""COMPUTED_VALUE"""),"")</f>
        <v/>
      </c>
      <c r="D575" s="17"/>
      <c r="G575" s="30"/>
    </row>
    <row r="576" spans="1:7" ht="12.5" x14ac:dyDescent="0.25">
      <c r="A576" s="17"/>
      <c r="B576" s="17"/>
      <c r="C576" s="30" t="str">
        <f ca="1">IFERROR(__xludf.DUMMYFUNCTION("""COMPUTED_VALUE"""),"")</f>
        <v/>
      </c>
      <c r="D576" s="17"/>
      <c r="G576" s="30"/>
    </row>
    <row r="577" spans="1:7" ht="12.5" x14ac:dyDescent="0.25">
      <c r="A577" s="17"/>
      <c r="B577" s="17"/>
      <c r="C577" s="30" t="str">
        <f ca="1">IFERROR(__xludf.DUMMYFUNCTION("""COMPUTED_VALUE"""),"")</f>
        <v/>
      </c>
      <c r="D577" s="17"/>
      <c r="G577" s="30"/>
    </row>
    <row r="578" spans="1:7" ht="12.5" x14ac:dyDescent="0.25">
      <c r="A578" s="17"/>
      <c r="B578" s="17"/>
      <c r="C578" s="30" t="str">
        <f ca="1">IFERROR(__xludf.DUMMYFUNCTION("""COMPUTED_VALUE"""),"")</f>
        <v/>
      </c>
      <c r="D578" s="17"/>
      <c r="G578" s="30"/>
    </row>
    <row r="579" spans="1:7" ht="12.5" x14ac:dyDescent="0.25">
      <c r="A579" s="17"/>
      <c r="B579" s="17"/>
      <c r="C579" s="30" t="str">
        <f ca="1">IFERROR(__xludf.DUMMYFUNCTION("""COMPUTED_VALUE"""),"")</f>
        <v/>
      </c>
      <c r="D579" s="17"/>
      <c r="G579" s="30"/>
    </row>
    <row r="580" spans="1:7" ht="12.5" x14ac:dyDescent="0.25">
      <c r="A580" s="17"/>
      <c r="B580" s="17"/>
      <c r="C580" s="30" t="str">
        <f ca="1">IFERROR(__xludf.DUMMYFUNCTION("""COMPUTED_VALUE"""),"")</f>
        <v/>
      </c>
      <c r="D580" s="17"/>
      <c r="G580" s="30"/>
    </row>
    <row r="581" spans="1:7" ht="12.5" x14ac:dyDescent="0.25">
      <c r="A581" s="17"/>
      <c r="B581" s="17"/>
      <c r="C581" s="30" t="str">
        <f ca="1">IFERROR(__xludf.DUMMYFUNCTION("""COMPUTED_VALUE"""),"")</f>
        <v/>
      </c>
      <c r="D581" s="17"/>
      <c r="G581" s="30"/>
    </row>
    <row r="582" spans="1:7" ht="12.5" x14ac:dyDescent="0.25">
      <c r="A582" s="17"/>
      <c r="B582" s="17"/>
      <c r="C582" s="30" t="str">
        <f ca="1">IFERROR(__xludf.DUMMYFUNCTION("""COMPUTED_VALUE"""),"")</f>
        <v/>
      </c>
      <c r="D582" s="17"/>
      <c r="G582" s="30"/>
    </row>
    <row r="583" spans="1:7" ht="12.5" x14ac:dyDescent="0.25">
      <c r="A583" s="17"/>
      <c r="B583" s="17"/>
      <c r="C583" s="30" t="str">
        <f ca="1">IFERROR(__xludf.DUMMYFUNCTION("""COMPUTED_VALUE"""),"")</f>
        <v/>
      </c>
      <c r="D583" s="17"/>
      <c r="G583" s="30"/>
    </row>
    <row r="584" spans="1:7" ht="12.5" x14ac:dyDescent="0.25">
      <c r="A584" s="17"/>
      <c r="B584" s="17"/>
      <c r="C584" s="30" t="str">
        <f ca="1">IFERROR(__xludf.DUMMYFUNCTION("""COMPUTED_VALUE"""),"")</f>
        <v/>
      </c>
      <c r="D584" s="17"/>
      <c r="G584" s="30"/>
    </row>
    <row r="585" spans="1:7" ht="12.5" x14ac:dyDescent="0.25">
      <c r="A585" s="17"/>
      <c r="B585" s="17"/>
      <c r="C585" s="30" t="str">
        <f ca="1">IFERROR(__xludf.DUMMYFUNCTION("""COMPUTED_VALUE"""),"")</f>
        <v/>
      </c>
      <c r="D585" s="17"/>
      <c r="G585" s="30"/>
    </row>
    <row r="586" spans="1:7" ht="12.5" x14ac:dyDescent="0.25">
      <c r="A586" s="17"/>
      <c r="B586" s="17"/>
      <c r="C586" s="30" t="str">
        <f ca="1">IFERROR(__xludf.DUMMYFUNCTION("""COMPUTED_VALUE"""),"")</f>
        <v/>
      </c>
      <c r="D586" s="17"/>
      <c r="G586" s="30"/>
    </row>
    <row r="587" spans="1:7" ht="12.5" x14ac:dyDescent="0.25">
      <c r="A587" s="17"/>
      <c r="B587" s="17"/>
      <c r="C587" s="30" t="str">
        <f ca="1">IFERROR(__xludf.DUMMYFUNCTION("""COMPUTED_VALUE"""),"")</f>
        <v/>
      </c>
      <c r="D587" s="17"/>
      <c r="G587" s="30"/>
    </row>
    <row r="588" spans="1:7" ht="12.5" x14ac:dyDescent="0.25">
      <c r="A588" s="17"/>
      <c r="B588" s="17"/>
      <c r="C588" s="30" t="str">
        <f ca="1">IFERROR(__xludf.DUMMYFUNCTION("""COMPUTED_VALUE"""),"")</f>
        <v/>
      </c>
      <c r="D588" s="17"/>
      <c r="G588" s="30"/>
    </row>
    <row r="589" spans="1:7" ht="12.5" x14ac:dyDescent="0.25">
      <c r="A589" s="17"/>
      <c r="B589" s="17"/>
      <c r="C589" s="30" t="str">
        <f ca="1">IFERROR(__xludf.DUMMYFUNCTION("""COMPUTED_VALUE"""),"")</f>
        <v/>
      </c>
      <c r="D589" s="17"/>
      <c r="G589" s="30"/>
    </row>
    <row r="590" spans="1:7" ht="12.5" x14ac:dyDescent="0.25">
      <c r="A590" s="17"/>
      <c r="B590" s="17"/>
      <c r="C590" s="30" t="str">
        <f ca="1">IFERROR(__xludf.DUMMYFUNCTION("""COMPUTED_VALUE"""),"")</f>
        <v/>
      </c>
      <c r="D590" s="17"/>
      <c r="G590" s="30"/>
    </row>
    <row r="591" spans="1:7" ht="12.5" x14ac:dyDescent="0.25">
      <c r="A591" s="17"/>
      <c r="B591" s="17"/>
      <c r="C591" s="30" t="str">
        <f ca="1">IFERROR(__xludf.DUMMYFUNCTION("""COMPUTED_VALUE"""),"")</f>
        <v/>
      </c>
      <c r="D591" s="17"/>
      <c r="G591" s="30"/>
    </row>
    <row r="592" spans="1:7" ht="12.5" x14ac:dyDescent="0.25">
      <c r="A592" s="17"/>
      <c r="B592" s="17"/>
      <c r="C592" s="30" t="str">
        <f ca="1">IFERROR(__xludf.DUMMYFUNCTION("""COMPUTED_VALUE"""),"")</f>
        <v/>
      </c>
      <c r="D592" s="17"/>
      <c r="G592" s="30"/>
    </row>
    <row r="593" spans="1:7" ht="12.5" x14ac:dyDescent="0.25">
      <c r="A593" s="17"/>
      <c r="B593" s="17"/>
      <c r="C593" s="30" t="str">
        <f ca="1">IFERROR(__xludf.DUMMYFUNCTION("""COMPUTED_VALUE"""),"")</f>
        <v/>
      </c>
      <c r="D593" s="17"/>
      <c r="G593" s="30"/>
    </row>
    <row r="594" spans="1:7" ht="12.5" x14ac:dyDescent="0.25">
      <c r="A594" s="17"/>
      <c r="B594" s="17"/>
      <c r="C594" s="30" t="str">
        <f ca="1">IFERROR(__xludf.DUMMYFUNCTION("""COMPUTED_VALUE"""),"")</f>
        <v/>
      </c>
      <c r="D594" s="17"/>
      <c r="G594" s="30"/>
    </row>
    <row r="595" spans="1:7" ht="12.5" x14ac:dyDescent="0.25">
      <c r="A595" s="17"/>
      <c r="B595" s="17"/>
      <c r="C595" s="30" t="str">
        <f ca="1">IFERROR(__xludf.DUMMYFUNCTION("""COMPUTED_VALUE"""),"")</f>
        <v/>
      </c>
      <c r="D595" s="17"/>
      <c r="G595" s="30"/>
    </row>
    <row r="596" spans="1:7" ht="12.5" x14ac:dyDescent="0.25">
      <c r="A596" s="17"/>
      <c r="B596" s="17"/>
      <c r="C596" s="30" t="str">
        <f ca="1">IFERROR(__xludf.DUMMYFUNCTION("""COMPUTED_VALUE"""),"")</f>
        <v/>
      </c>
      <c r="D596" s="17"/>
      <c r="G596" s="30"/>
    </row>
    <row r="597" spans="1:7" ht="12.5" x14ac:dyDescent="0.25">
      <c r="A597" s="17"/>
      <c r="B597" s="17"/>
      <c r="C597" s="30" t="str">
        <f ca="1">IFERROR(__xludf.DUMMYFUNCTION("""COMPUTED_VALUE"""),"")</f>
        <v/>
      </c>
      <c r="D597" s="17"/>
      <c r="G597" s="30"/>
    </row>
    <row r="598" spans="1:7" ht="12.5" x14ac:dyDescent="0.25">
      <c r="A598" s="17"/>
      <c r="B598" s="17"/>
      <c r="C598" s="30" t="str">
        <f ca="1">IFERROR(__xludf.DUMMYFUNCTION("""COMPUTED_VALUE"""),"")</f>
        <v/>
      </c>
      <c r="D598" s="17"/>
      <c r="G598" s="30"/>
    </row>
    <row r="599" spans="1:7" ht="12.5" x14ac:dyDescent="0.25">
      <c r="A599" s="17"/>
      <c r="B599" s="17"/>
      <c r="C599" s="30" t="str">
        <f ca="1">IFERROR(__xludf.DUMMYFUNCTION("""COMPUTED_VALUE"""),"")</f>
        <v/>
      </c>
      <c r="D599" s="17"/>
      <c r="G599" s="30"/>
    </row>
    <row r="600" spans="1:7" ht="12.5" x14ac:dyDescent="0.25">
      <c r="A600" s="17"/>
      <c r="B600" s="17"/>
      <c r="C600" s="30" t="str">
        <f ca="1">IFERROR(__xludf.DUMMYFUNCTION("""COMPUTED_VALUE"""),"")</f>
        <v/>
      </c>
      <c r="D600" s="17"/>
      <c r="G600" s="30"/>
    </row>
    <row r="601" spans="1:7" ht="12.5" x14ac:dyDescent="0.25">
      <c r="A601" s="17"/>
      <c r="B601" s="17"/>
      <c r="C601" s="30" t="str">
        <f ca="1">IFERROR(__xludf.DUMMYFUNCTION("""COMPUTED_VALUE"""),"")</f>
        <v/>
      </c>
      <c r="D601" s="17"/>
      <c r="G601" s="30"/>
    </row>
    <row r="602" spans="1:7" ht="12.5" x14ac:dyDescent="0.25">
      <c r="A602" s="17"/>
      <c r="B602" s="17"/>
      <c r="C602" s="30" t="str">
        <f ca="1">IFERROR(__xludf.DUMMYFUNCTION("""COMPUTED_VALUE"""),"")</f>
        <v/>
      </c>
      <c r="D602" s="17"/>
      <c r="G602" s="30"/>
    </row>
    <row r="603" spans="1:7" ht="12.5" x14ac:dyDescent="0.25">
      <c r="A603" s="17"/>
      <c r="B603" s="17"/>
      <c r="C603" s="30" t="str">
        <f ca="1">IFERROR(__xludf.DUMMYFUNCTION("""COMPUTED_VALUE"""),"")</f>
        <v/>
      </c>
      <c r="D603" s="17"/>
      <c r="G603" s="30"/>
    </row>
    <row r="604" spans="1:7" ht="12.5" x14ac:dyDescent="0.25">
      <c r="A604" s="17"/>
      <c r="B604" s="17"/>
      <c r="C604" s="30" t="str">
        <f ca="1">IFERROR(__xludf.DUMMYFUNCTION("""COMPUTED_VALUE"""),"")</f>
        <v/>
      </c>
      <c r="D604" s="17"/>
      <c r="G604" s="30"/>
    </row>
    <row r="605" spans="1:7" ht="12.5" x14ac:dyDescent="0.25">
      <c r="A605" s="17"/>
      <c r="B605" s="17"/>
      <c r="C605" s="30" t="str">
        <f ca="1">IFERROR(__xludf.DUMMYFUNCTION("""COMPUTED_VALUE"""),"")</f>
        <v/>
      </c>
      <c r="D605" s="17"/>
      <c r="G605" s="30"/>
    </row>
    <row r="606" spans="1:7" ht="12.5" x14ac:dyDescent="0.25">
      <c r="A606" s="17"/>
      <c r="B606" s="17"/>
      <c r="C606" s="30" t="str">
        <f ca="1">IFERROR(__xludf.DUMMYFUNCTION("""COMPUTED_VALUE"""),"")</f>
        <v/>
      </c>
      <c r="D606" s="17"/>
      <c r="G606" s="30"/>
    </row>
    <row r="607" spans="1:7" ht="12.5" x14ac:dyDescent="0.25">
      <c r="A607" s="17"/>
      <c r="B607" s="17"/>
      <c r="C607" s="30" t="str">
        <f ca="1">IFERROR(__xludf.DUMMYFUNCTION("""COMPUTED_VALUE"""),"")</f>
        <v/>
      </c>
      <c r="D607" s="17"/>
      <c r="G607" s="30"/>
    </row>
    <row r="608" spans="1:7" ht="12.5" x14ac:dyDescent="0.25">
      <c r="A608" s="17"/>
      <c r="B608" s="17"/>
      <c r="C608" s="30" t="str">
        <f ca="1">IFERROR(__xludf.DUMMYFUNCTION("""COMPUTED_VALUE"""),"")</f>
        <v/>
      </c>
      <c r="D608" s="17"/>
      <c r="G608" s="30"/>
    </row>
    <row r="609" spans="1:7" ht="12.5" x14ac:dyDescent="0.25">
      <c r="A609" s="17"/>
      <c r="B609" s="17"/>
      <c r="C609" s="30" t="str">
        <f ca="1">IFERROR(__xludf.DUMMYFUNCTION("""COMPUTED_VALUE"""),"")</f>
        <v/>
      </c>
      <c r="D609" s="17"/>
      <c r="G609" s="30"/>
    </row>
    <row r="610" spans="1:7" ht="12.5" x14ac:dyDescent="0.25">
      <c r="A610" s="17"/>
      <c r="B610" s="17"/>
      <c r="C610" s="30" t="str">
        <f ca="1">IFERROR(__xludf.DUMMYFUNCTION("""COMPUTED_VALUE"""),"")</f>
        <v/>
      </c>
      <c r="D610" s="17"/>
      <c r="G610" s="30"/>
    </row>
    <row r="611" spans="1:7" ht="12.5" x14ac:dyDescent="0.25">
      <c r="A611" s="17"/>
      <c r="B611" s="17"/>
      <c r="C611" s="30" t="str">
        <f ca="1">IFERROR(__xludf.DUMMYFUNCTION("""COMPUTED_VALUE"""),"")</f>
        <v/>
      </c>
      <c r="D611" s="17"/>
      <c r="G611" s="30"/>
    </row>
    <row r="612" spans="1:7" ht="12.5" x14ac:dyDescent="0.25">
      <c r="A612" s="17"/>
      <c r="B612" s="17"/>
      <c r="C612" s="30" t="str">
        <f ca="1">IFERROR(__xludf.DUMMYFUNCTION("""COMPUTED_VALUE"""),"")</f>
        <v/>
      </c>
      <c r="D612" s="17"/>
      <c r="G612" s="30"/>
    </row>
    <row r="613" spans="1:7" ht="12.5" x14ac:dyDescent="0.25">
      <c r="A613" s="17"/>
      <c r="B613" s="17"/>
      <c r="C613" s="30" t="str">
        <f ca="1">IFERROR(__xludf.DUMMYFUNCTION("""COMPUTED_VALUE"""),"")</f>
        <v/>
      </c>
      <c r="D613" s="17"/>
      <c r="G613" s="30"/>
    </row>
    <row r="614" spans="1:7" ht="12.5" x14ac:dyDescent="0.25">
      <c r="A614" s="17"/>
      <c r="B614" s="17"/>
      <c r="C614" s="30" t="str">
        <f ca="1">IFERROR(__xludf.DUMMYFUNCTION("""COMPUTED_VALUE"""),"")</f>
        <v/>
      </c>
      <c r="D614" s="17"/>
      <c r="G614" s="30"/>
    </row>
    <row r="615" spans="1:7" ht="12.5" x14ac:dyDescent="0.25">
      <c r="A615" s="17"/>
      <c r="B615" s="17"/>
      <c r="C615" s="30" t="str">
        <f ca="1">IFERROR(__xludf.DUMMYFUNCTION("""COMPUTED_VALUE"""),"")</f>
        <v/>
      </c>
      <c r="D615" s="17"/>
      <c r="G615" s="30"/>
    </row>
    <row r="616" spans="1:7" ht="12.5" x14ac:dyDescent="0.25">
      <c r="A616" s="17"/>
      <c r="B616" s="17"/>
      <c r="C616" s="30" t="str">
        <f ca="1">IFERROR(__xludf.DUMMYFUNCTION("""COMPUTED_VALUE"""),"")</f>
        <v/>
      </c>
      <c r="D616" s="17"/>
      <c r="G616" s="30"/>
    </row>
    <row r="617" spans="1:7" ht="12.5" x14ac:dyDescent="0.25">
      <c r="A617" s="17"/>
      <c r="B617" s="17"/>
      <c r="C617" s="30" t="str">
        <f ca="1">IFERROR(__xludf.DUMMYFUNCTION("""COMPUTED_VALUE"""),"")</f>
        <v/>
      </c>
      <c r="D617" s="17"/>
      <c r="G617" s="30"/>
    </row>
    <row r="618" spans="1:7" ht="12.5" x14ac:dyDescent="0.25">
      <c r="A618" s="17"/>
      <c r="B618" s="17"/>
      <c r="C618" s="30" t="str">
        <f ca="1">IFERROR(__xludf.DUMMYFUNCTION("""COMPUTED_VALUE"""),"")</f>
        <v/>
      </c>
      <c r="D618" s="17"/>
      <c r="G618" s="30"/>
    </row>
    <row r="619" spans="1:7" ht="12.5" x14ac:dyDescent="0.25">
      <c r="A619" s="17"/>
      <c r="B619" s="17"/>
      <c r="C619" s="30" t="str">
        <f ca="1">IFERROR(__xludf.DUMMYFUNCTION("""COMPUTED_VALUE"""),"")</f>
        <v/>
      </c>
      <c r="D619" s="17"/>
      <c r="G619" s="30"/>
    </row>
    <row r="620" spans="1:7" ht="12.5" x14ac:dyDescent="0.25">
      <c r="A620" s="17"/>
      <c r="B620" s="17"/>
      <c r="C620" s="30" t="str">
        <f ca="1">IFERROR(__xludf.DUMMYFUNCTION("""COMPUTED_VALUE"""),"")</f>
        <v/>
      </c>
      <c r="D620" s="17"/>
      <c r="G620" s="30"/>
    </row>
    <row r="621" spans="1:7" ht="12.5" x14ac:dyDescent="0.25">
      <c r="A621" s="17"/>
      <c r="B621" s="17"/>
      <c r="C621" s="30" t="str">
        <f ca="1">IFERROR(__xludf.DUMMYFUNCTION("""COMPUTED_VALUE"""),"")</f>
        <v/>
      </c>
      <c r="D621" s="17"/>
      <c r="G621" s="30"/>
    </row>
    <row r="622" spans="1:7" ht="12.5" x14ac:dyDescent="0.25">
      <c r="A622" s="17"/>
      <c r="B622" s="17"/>
      <c r="C622" s="30" t="str">
        <f ca="1">IFERROR(__xludf.DUMMYFUNCTION("""COMPUTED_VALUE"""),"")</f>
        <v/>
      </c>
      <c r="D622" s="17"/>
      <c r="G622" s="30"/>
    </row>
    <row r="623" spans="1:7" ht="12.5" x14ac:dyDescent="0.25">
      <c r="A623" s="17"/>
      <c r="B623" s="17"/>
      <c r="C623" s="30" t="str">
        <f ca="1">IFERROR(__xludf.DUMMYFUNCTION("""COMPUTED_VALUE"""),"")</f>
        <v/>
      </c>
      <c r="D623" s="17"/>
      <c r="G623" s="30"/>
    </row>
    <row r="624" spans="1:7" ht="12.5" x14ac:dyDescent="0.25">
      <c r="A624" s="17"/>
      <c r="B624" s="17"/>
      <c r="C624" s="30" t="str">
        <f ca="1">IFERROR(__xludf.DUMMYFUNCTION("""COMPUTED_VALUE"""),"")</f>
        <v/>
      </c>
      <c r="D624" s="17"/>
      <c r="G624" s="30"/>
    </row>
    <row r="625" spans="1:7" ht="12.5" x14ac:dyDescent="0.25">
      <c r="A625" s="17"/>
      <c r="B625" s="17"/>
      <c r="C625" s="30" t="str">
        <f ca="1">IFERROR(__xludf.DUMMYFUNCTION("""COMPUTED_VALUE"""),"")</f>
        <v/>
      </c>
      <c r="D625" s="17"/>
      <c r="G625" s="30"/>
    </row>
    <row r="626" spans="1:7" ht="12.5" x14ac:dyDescent="0.25">
      <c r="A626" s="17"/>
      <c r="B626" s="17"/>
      <c r="C626" s="30" t="str">
        <f ca="1">IFERROR(__xludf.DUMMYFUNCTION("""COMPUTED_VALUE"""),"")</f>
        <v/>
      </c>
      <c r="D626" s="17"/>
      <c r="G626" s="30"/>
    </row>
    <row r="627" spans="1:7" ht="12.5" x14ac:dyDescent="0.25">
      <c r="A627" s="17"/>
      <c r="B627" s="17"/>
      <c r="C627" s="30" t="str">
        <f ca="1">IFERROR(__xludf.DUMMYFUNCTION("""COMPUTED_VALUE"""),"")</f>
        <v/>
      </c>
      <c r="D627" s="17"/>
      <c r="G627" s="30"/>
    </row>
    <row r="628" spans="1:7" ht="12.5" x14ac:dyDescent="0.25">
      <c r="A628" s="17"/>
      <c r="B628" s="17"/>
      <c r="C628" s="30" t="str">
        <f ca="1">IFERROR(__xludf.DUMMYFUNCTION("""COMPUTED_VALUE"""),"")</f>
        <v/>
      </c>
      <c r="D628" s="17"/>
      <c r="G628" s="30"/>
    </row>
    <row r="629" spans="1:7" ht="12.5" x14ac:dyDescent="0.25">
      <c r="A629" s="17"/>
      <c r="B629" s="17"/>
      <c r="C629" s="30" t="str">
        <f ca="1">IFERROR(__xludf.DUMMYFUNCTION("""COMPUTED_VALUE"""),"")</f>
        <v/>
      </c>
      <c r="D629" s="17"/>
      <c r="G629" s="30"/>
    </row>
    <row r="630" spans="1:7" ht="12.5" x14ac:dyDescent="0.25">
      <c r="A630" s="17"/>
      <c r="B630" s="17"/>
      <c r="C630" s="30" t="str">
        <f ca="1">IFERROR(__xludf.DUMMYFUNCTION("""COMPUTED_VALUE"""),"")</f>
        <v/>
      </c>
      <c r="D630" s="17"/>
      <c r="G630" s="30"/>
    </row>
    <row r="631" spans="1:7" ht="12.5" x14ac:dyDescent="0.25">
      <c r="A631" s="17"/>
      <c r="B631" s="17"/>
      <c r="C631" s="30" t="str">
        <f ca="1">IFERROR(__xludf.DUMMYFUNCTION("""COMPUTED_VALUE"""),"")</f>
        <v/>
      </c>
      <c r="D631" s="17"/>
      <c r="G631" s="30"/>
    </row>
    <row r="632" spans="1:7" ht="12.5" x14ac:dyDescent="0.25">
      <c r="A632" s="17"/>
      <c r="B632" s="17"/>
      <c r="C632" s="30" t="str">
        <f ca="1">IFERROR(__xludf.DUMMYFUNCTION("""COMPUTED_VALUE"""),"")</f>
        <v/>
      </c>
      <c r="D632" s="17"/>
      <c r="G632" s="30"/>
    </row>
    <row r="633" spans="1:7" ht="12.5" x14ac:dyDescent="0.25">
      <c r="A633" s="17"/>
      <c r="B633" s="17"/>
      <c r="C633" s="30" t="str">
        <f ca="1">IFERROR(__xludf.DUMMYFUNCTION("""COMPUTED_VALUE"""),"")</f>
        <v/>
      </c>
      <c r="D633" s="17"/>
      <c r="G633" s="30"/>
    </row>
    <row r="634" spans="1:7" ht="12.5" x14ac:dyDescent="0.25">
      <c r="A634" s="17"/>
      <c r="B634" s="17"/>
      <c r="C634" s="30" t="str">
        <f ca="1">IFERROR(__xludf.DUMMYFUNCTION("""COMPUTED_VALUE"""),"")</f>
        <v/>
      </c>
      <c r="D634" s="17"/>
      <c r="G634" s="30"/>
    </row>
    <row r="635" spans="1:7" ht="12.5" x14ac:dyDescent="0.25">
      <c r="A635" s="17"/>
      <c r="B635" s="17"/>
      <c r="C635" s="30" t="str">
        <f ca="1">IFERROR(__xludf.DUMMYFUNCTION("""COMPUTED_VALUE"""),"")</f>
        <v/>
      </c>
      <c r="D635" s="17"/>
      <c r="G635" s="30"/>
    </row>
    <row r="636" spans="1:7" ht="12.5" x14ac:dyDescent="0.25">
      <c r="A636" s="17"/>
      <c r="B636" s="17"/>
      <c r="C636" s="30" t="str">
        <f ca="1">IFERROR(__xludf.DUMMYFUNCTION("""COMPUTED_VALUE"""),"")</f>
        <v/>
      </c>
      <c r="D636" s="17"/>
      <c r="G636" s="30"/>
    </row>
    <row r="637" spans="1:7" ht="12.5" x14ac:dyDescent="0.25">
      <c r="A637" s="17"/>
      <c r="B637" s="17"/>
      <c r="C637" s="30" t="str">
        <f ca="1">IFERROR(__xludf.DUMMYFUNCTION("""COMPUTED_VALUE"""),"")</f>
        <v/>
      </c>
      <c r="D637" s="17"/>
      <c r="G637" s="30"/>
    </row>
    <row r="638" spans="1:7" ht="12.5" x14ac:dyDescent="0.25">
      <c r="A638" s="17"/>
      <c r="B638" s="17"/>
      <c r="C638" s="30" t="str">
        <f ca="1">IFERROR(__xludf.DUMMYFUNCTION("""COMPUTED_VALUE"""),"")</f>
        <v/>
      </c>
      <c r="D638" s="17"/>
      <c r="G638" s="30"/>
    </row>
    <row r="639" spans="1:7" ht="12.5" x14ac:dyDescent="0.25">
      <c r="A639" s="17"/>
      <c r="B639" s="17"/>
      <c r="C639" s="30" t="str">
        <f ca="1">IFERROR(__xludf.DUMMYFUNCTION("""COMPUTED_VALUE"""),"")</f>
        <v/>
      </c>
      <c r="D639" s="17"/>
      <c r="G639" s="30"/>
    </row>
    <row r="640" spans="1:7" ht="12.5" x14ac:dyDescent="0.25">
      <c r="A640" s="17"/>
      <c r="B640" s="17"/>
      <c r="C640" s="30" t="str">
        <f ca="1">IFERROR(__xludf.DUMMYFUNCTION("""COMPUTED_VALUE"""),"")</f>
        <v/>
      </c>
      <c r="D640" s="17"/>
      <c r="G640" s="30"/>
    </row>
    <row r="641" spans="1:7" ht="12.5" x14ac:dyDescent="0.25">
      <c r="A641" s="17"/>
      <c r="B641" s="17"/>
      <c r="C641" s="30" t="str">
        <f ca="1">IFERROR(__xludf.DUMMYFUNCTION("""COMPUTED_VALUE"""),"")</f>
        <v/>
      </c>
      <c r="D641" s="17"/>
      <c r="G641" s="30"/>
    </row>
    <row r="642" spans="1:7" ht="12.5" x14ac:dyDescent="0.25">
      <c r="A642" s="17"/>
      <c r="B642" s="17"/>
      <c r="C642" s="30" t="str">
        <f ca="1">IFERROR(__xludf.DUMMYFUNCTION("""COMPUTED_VALUE"""),"")</f>
        <v/>
      </c>
      <c r="D642" s="17"/>
      <c r="G642" s="30"/>
    </row>
    <row r="643" spans="1:7" ht="12.5" x14ac:dyDescent="0.25">
      <c r="A643" s="17"/>
      <c r="B643" s="17"/>
      <c r="C643" s="30" t="str">
        <f ca="1">IFERROR(__xludf.DUMMYFUNCTION("""COMPUTED_VALUE"""),"")</f>
        <v/>
      </c>
      <c r="D643" s="17"/>
      <c r="G643" s="30"/>
    </row>
    <row r="644" spans="1:7" ht="12.5" x14ac:dyDescent="0.25">
      <c r="A644" s="17"/>
      <c r="B644" s="17"/>
      <c r="C644" s="30" t="str">
        <f ca="1">IFERROR(__xludf.DUMMYFUNCTION("""COMPUTED_VALUE"""),"")</f>
        <v/>
      </c>
      <c r="D644" s="17"/>
      <c r="G644" s="30"/>
    </row>
    <row r="645" spans="1:7" ht="12.5" x14ac:dyDescent="0.25">
      <c r="A645" s="17"/>
      <c r="B645" s="17"/>
      <c r="C645" s="30" t="str">
        <f ca="1">IFERROR(__xludf.DUMMYFUNCTION("""COMPUTED_VALUE"""),"")</f>
        <v/>
      </c>
      <c r="D645" s="17"/>
      <c r="G645" s="30"/>
    </row>
    <row r="646" spans="1:7" ht="12.5" x14ac:dyDescent="0.25">
      <c r="A646" s="17"/>
      <c r="B646" s="17"/>
      <c r="C646" s="30" t="str">
        <f ca="1">IFERROR(__xludf.DUMMYFUNCTION("""COMPUTED_VALUE"""),"")</f>
        <v/>
      </c>
      <c r="D646" s="17"/>
      <c r="G646" s="30"/>
    </row>
    <row r="647" spans="1:7" ht="12.5" x14ac:dyDescent="0.25">
      <c r="A647" s="17"/>
      <c r="B647" s="17"/>
      <c r="C647" s="30" t="str">
        <f ca="1">IFERROR(__xludf.DUMMYFUNCTION("""COMPUTED_VALUE"""),"")</f>
        <v/>
      </c>
      <c r="D647" s="17"/>
      <c r="G647" s="30"/>
    </row>
    <row r="648" spans="1:7" ht="12.5" x14ac:dyDescent="0.25">
      <c r="A648" s="17"/>
      <c r="B648" s="17"/>
      <c r="C648" s="30" t="str">
        <f ca="1">IFERROR(__xludf.DUMMYFUNCTION("""COMPUTED_VALUE"""),"")</f>
        <v/>
      </c>
      <c r="D648" s="17"/>
      <c r="G648" s="30"/>
    </row>
    <row r="649" spans="1:7" ht="12.5" x14ac:dyDescent="0.25">
      <c r="A649" s="17"/>
      <c r="B649" s="17"/>
      <c r="C649" s="30" t="str">
        <f ca="1">IFERROR(__xludf.DUMMYFUNCTION("""COMPUTED_VALUE"""),"")</f>
        <v/>
      </c>
      <c r="D649" s="17"/>
      <c r="G649" s="30"/>
    </row>
    <row r="650" spans="1:7" ht="12.5" x14ac:dyDescent="0.25">
      <c r="A650" s="17"/>
      <c r="B650" s="17"/>
      <c r="C650" s="30" t="str">
        <f ca="1">IFERROR(__xludf.DUMMYFUNCTION("""COMPUTED_VALUE"""),"")</f>
        <v/>
      </c>
      <c r="D650" s="17"/>
      <c r="G650" s="30"/>
    </row>
    <row r="651" spans="1:7" ht="12.5" x14ac:dyDescent="0.25">
      <c r="A651" s="17"/>
      <c r="B651" s="17"/>
      <c r="C651" s="30" t="str">
        <f ca="1">IFERROR(__xludf.DUMMYFUNCTION("""COMPUTED_VALUE"""),"")</f>
        <v/>
      </c>
      <c r="D651" s="17"/>
      <c r="G651" s="30"/>
    </row>
    <row r="652" spans="1:7" ht="12.5" x14ac:dyDescent="0.25">
      <c r="A652" s="17"/>
      <c r="B652" s="17"/>
      <c r="C652" s="30" t="str">
        <f ca="1">IFERROR(__xludf.DUMMYFUNCTION("""COMPUTED_VALUE"""),"")</f>
        <v/>
      </c>
      <c r="D652" s="17"/>
      <c r="G652" s="30"/>
    </row>
    <row r="653" spans="1:7" ht="12.5" x14ac:dyDescent="0.25">
      <c r="A653" s="17"/>
      <c r="B653" s="17"/>
      <c r="C653" s="30" t="str">
        <f ca="1">IFERROR(__xludf.DUMMYFUNCTION("""COMPUTED_VALUE"""),"")</f>
        <v/>
      </c>
      <c r="D653" s="17"/>
      <c r="G653" s="30"/>
    </row>
    <row r="654" spans="1:7" ht="12.5" x14ac:dyDescent="0.25">
      <c r="A654" s="17"/>
      <c r="B654" s="17"/>
      <c r="C654" s="30" t="str">
        <f ca="1">IFERROR(__xludf.DUMMYFUNCTION("""COMPUTED_VALUE"""),"")</f>
        <v/>
      </c>
      <c r="D654" s="17"/>
      <c r="G654" s="30"/>
    </row>
    <row r="655" spans="1:7" ht="12.5" x14ac:dyDescent="0.25">
      <c r="A655" s="17"/>
      <c r="B655" s="17"/>
      <c r="C655" s="30" t="str">
        <f ca="1">IFERROR(__xludf.DUMMYFUNCTION("""COMPUTED_VALUE"""),"")</f>
        <v/>
      </c>
      <c r="D655" s="17"/>
      <c r="G655" s="30"/>
    </row>
    <row r="656" spans="1:7" ht="12.5" x14ac:dyDescent="0.25">
      <c r="A656" s="17"/>
      <c r="B656" s="17"/>
      <c r="C656" s="30" t="str">
        <f ca="1">IFERROR(__xludf.DUMMYFUNCTION("""COMPUTED_VALUE"""),"")</f>
        <v/>
      </c>
      <c r="D656" s="17"/>
      <c r="G656" s="30"/>
    </row>
    <row r="657" spans="1:7" ht="12.5" x14ac:dyDescent="0.25">
      <c r="A657" s="17"/>
      <c r="B657" s="17"/>
      <c r="C657" s="30" t="str">
        <f ca="1">IFERROR(__xludf.DUMMYFUNCTION("""COMPUTED_VALUE"""),"")</f>
        <v/>
      </c>
      <c r="D657" s="17"/>
      <c r="G657" s="30"/>
    </row>
    <row r="658" spans="1:7" ht="12.5" x14ac:dyDescent="0.25">
      <c r="A658" s="17"/>
      <c r="B658" s="17"/>
      <c r="C658" s="30" t="str">
        <f ca="1">IFERROR(__xludf.DUMMYFUNCTION("""COMPUTED_VALUE"""),"")</f>
        <v/>
      </c>
      <c r="D658" s="17"/>
      <c r="G658" s="30"/>
    </row>
    <row r="659" spans="1:7" ht="12.5" x14ac:dyDescent="0.25">
      <c r="A659" s="17"/>
      <c r="B659" s="17"/>
      <c r="C659" s="30" t="str">
        <f ca="1">IFERROR(__xludf.DUMMYFUNCTION("""COMPUTED_VALUE"""),"")</f>
        <v/>
      </c>
      <c r="D659" s="17"/>
      <c r="G659" s="30"/>
    </row>
    <row r="660" spans="1:7" ht="12.5" x14ac:dyDescent="0.25">
      <c r="A660" s="17"/>
      <c r="B660" s="17"/>
      <c r="C660" s="30" t="str">
        <f ca="1">IFERROR(__xludf.DUMMYFUNCTION("""COMPUTED_VALUE"""),"")</f>
        <v/>
      </c>
      <c r="D660" s="17"/>
      <c r="G660" s="30"/>
    </row>
    <row r="661" spans="1:7" ht="12.5" x14ac:dyDescent="0.25">
      <c r="A661" s="17"/>
      <c r="B661" s="17"/>
      <c r="C661" s="30" t="str">
        <f ca="1">IFERROR(__xludf.DUMMYFUNCTION("""COMPUTED_VALUE"""),"")</f>
        <v/>
      </c>
      <c r="D661" s="17"/>
      <c r="G661" s="30"/>
    </row>
    <row r="662" spans="1:7" ht="12.5" x14ac:dyDescent="0.25">
      <c r="A662" s="17"/>
      <c r="B662" s="17"/>
      <c r="C662" s="30" t="str">
        <f ca="1">IFERROR(__xludf.DUMMYFUNCTION("""COMPUTED_VALUE"""),"")</f>
        <v/>
      </c>
      <c r="D662" s="17"/>
      <c r="G662" s="30"/>
    </row>
    <row r="663" spans="1:7" ht="12.5" x14ac:dyDescent="0.25">
      <c r="A663" s="17"/>
      <c r="B663" s="17"/>
      <c r="C663" s="30" t="str">
        <f ca="1">IFERROR(__xludf.DUMMYFUNCTION("""COMPUTED_VALUE"""),"")</f>
        <v/>
      </c>
      <c r="D663" s="17"/>
      <c r="G663" s="30"/>
    </row>
    <row r="664" spans="1:7" ht="12.5" x14ac:dyDescent="0.25">
      <c r="A664" s="17"/>
      <c r="B664" s="17"/>
      <c r="C664" s="30" t="str">
        <f ca="1">IFERROR(__xludf.DUMMYFUNCTION("""COMPUTED_VALUE"""),"")</f>
        <v/>
      </c>
      <c r="D664" s="17"/>
      <c r="G664" s="30"/>
    </row>
    <row r="665" spans="1:7" ht="12.5" x14ac:dyDescent="0.25">
      <c r="A665" s="17"/>
      <c r="B665" s="17"/>
      <c r="C665" s="30" t="str">
        <f ca="1">IFERROR(__xludf.DUMMYFUNCTION("""COMPUTED_VALUE"""),"")</f>
        <v/>
      </c>
      <c r="D665" s="17"/>
      <c r="G665" s="30"/>
    </row>
    <row r="666" spans="1:7" ht="12.5" x14ac:dyDescent="0.25">
      <c r="A666" s="17"/>
      <c r="B666" s="17"/>
      <c r="C666" s="30" t="str">
        <f ca="1">IFERROR(__xludf.DUMMYFUNCTION("""COMPUTED_VALUE"""),"")</f>
        <v/>
      </c>
      <c r="D666" s="17"/>
      <c r="G666" s="30"/>
    </row>
    <row r="667" spans="1:7" ht="12.5" x14ac:dyDescent="0.25">
      <c r="A667" s="17"/>
      <c r="B667" s="17"/>
      <c r="C667" s="30" t="str">
        <f ca="1">IFERROR(__xludf.DUMMYFUNCTION("""COMPUTED_VALUE"""),"")</f>
        <v/>
      </c>
      <c r="D667" s="17"/>
      <c r="G667" s="30"/>
    </row>
    <row r="668" spans="1:7" ht="12.5" x14ac:dyDescent="0.25">
      <c r="A668" s="17"/>
      <c r="B668" s="17"/>
      <c r="C668" s="30" t="str">
        <f ca="1">IFERROR(__xludf.DUMMYFUNCTION("""COMPUTED_VALUE"""),"")</f>
        <v/>
      </c>
      <c r="D668" s="17"/>
      <c r="G668" s="30"/>
    </row>
    <row r="669" spans="1:7" ht="12.5" x14ac:dyDescent="0.25">
      <c r="A669" s="17"/>
      <c r="B669" s="17"/>
      <c r="C669" s="30" t="str">
        <f ca="1">IFERROR(__xludf.DUMMYFUNCTION("""COMPUTED_VALUE"""),"")</f>
        <v/>
      </c>
      <c r="D669" s="17"/>
      <c r="G669" s="30"/>
    </row>
    <row r="670" spans="1:7" ht="12.5" x14ac:dyDescent="0.25">
      <c r="A670" s="17"/>
      <c r="B670" s="17"/>
      <c r="C670" s="30" t="str">
        <f ca="1">IFERROR(__xludf.DUMMYFUNCTION("""COMPUTED_VALUE"""),"")</f>
        <v/>
      </c>
      <c r="D670" s="17"/>
      <c r="G670" s="30"/>
    </row>
    <row r="671" spans="1:7" ht="12.5" x14ac:dyDescent="0.25">
      <c r="A671" s="17"/>
      <c r="B671" s="17"/>
      <c r="C671" s="30" t="str">
        <f ca="1">IFERROR(__xludf.DUMMYFUNCTION("""COMPUTED_VALUE"""),"")</f>
        <v/>
      </c>
      <c r="D671" s="17"/>
      <c r="G671" s="30"/>
    </row>
    <row r="672" spans="1:7" ht="12.5" x14ac:dyDescent="0.25">
      <c r="A672" s="17"/>
      <c r="B672" s="17"/>
      <c r="C672" s="30" t="str">
        <f ca="1">IFERROR(__xludf.DUMMYFUNCTION("""COMPUTED_VALUE"""),"")</f>
        <v/>
      </c>
      <c r="D672" s="17"/>
      <c r="G672" s="30"/>
    </row>
    <row r="673" spans="1:7" ht="12.5" x14ac:dyDescent="0.25">
      <c r="A673" s="17"/>
      <c r="B673" s="17"/>
      <c r="C673" s="30" t="str">
        <f ca="1">IFERROR(__xludf.DUMMYFUNCTION("""COMPUTED_VALUE"""),"")</f>
        <v/>
      </c>
      <c r="D673" s="17"/>
      <c r="G673" s="30"/>
    </row>
    <row r="674" spans="1:7" ht="12.5" x14ac:dyDescent="0.25">
      <c r="A674" s="17"/>
      <c r="B674" s="17"/>
      <c r="C674" s="30" t="str">
        <f ca="1">IFERROR(__xludf.DUMMYFUNCTION("""COMPUTED_VALUE"""),"")</f>
        <v/>
      </c>
      <c r="D674" s="17"/>
      <c r="G674" s="30"/>
    </row>
    <row r="675" spans="1:7" ht="12.5" x14ac:dyDescent="0.25">
      <c r="A675" s="17"/>
      <c r="B675" s="17"/>
      <c r="C675" s="30" t="str">
        <f ca="1">IFERROR(__xludf.DUMMYFUNCTION("""COMPUTED_VALUE"""),"")</f>
        <v/>
      </c>
      <c r="D675" s="17"/>
      <c r="G675" s="30"/>
    </row>
    <row r="676" spans="1:7" ht="12.5" x14ac:dyDescent="0.25">
      <c r="A676" s="17"/>
      <c r="B676" s="17"/>
      <c r="C676" s="30" t="str">
        <f ca="1">IFERROR(__xludf.DUMMYFUNCTION("""COMPUTED_VALUE"""),"")</f>
        <v/>
      </c>
      <c r="D676" s="17"/>
      <c r="G676" s="30"/>
    </row>
    <row r="677" spans="1:7" ht="12.5" x14ac:dyDescent="0.25">
      <c r="A677" s="17"/>
      <c r="B677" s="17"/>
      <c r="C677" s="30" t="str">
        <f ca="1">IFERROR(__xludf.DUMMYFUNCTION("""COMPUTED_VALUE"""),"")</f>
        <v/>
      </c>
      <c r="D677" s="17"/>
      <c r="G677" s="30"/>
    </row>
    <row r="678" spans="1:7" ht="12.5" x14ac:dyDescent="0.25">
      <c r="A678" s="17"/>
      <c r="B678" s="17"/>
      <c r="C678" s="30" t="str">
        <f ca="1">IFERROR(__xludf.DUMMYFUNCTION("""COMPUTED_VALUE"""),"")</f>
        <v/>
      </c>
      <c r="D678" s="17"/>
      <c r="G678" s="30"/>
    </row>
    <row r="679" spans="1:7" ht="12.5" x14ac:dyDescent="0.25">
      <c r="A679" s="17"/>
      <c r="B679" s="17"/>
      <c r="C679" s="30" t="str">
        <f ca="1">IFERROR(__xludf.DUMMYFUNCTION("""COMPUTED_VALUE"""),"")</f>
        <v/>
      </c>
      <c r="D679" s="17"/>
      <c r="G679" s="30"/>
    </row>
    <row r="680" spans="1:7" ht="12.5" x14ac:dyDescent="0.25">
      <c r="A680" s="17"/>
      <c r="B680" s="17"/>
      <c r="C680" s="30" t="str">
        <f ca="1">IFERROR(__xludf.DUMMYFUNCTION("""COMPUTED_VALUE"""),"")</f>
        <v/>
      </c>
      <c r="D680" s="17"/>
      <c r="G680" s="30"/>
    </row>
    <row r="681" spans="1:7" ht="12.5" x14ac:dyDescent="0.25">
      <c r="A681" s="17"/>
      <c r="B681" s="17"/>
      <c r="C681" s="30" t="str">
        <f ca="1">IFERROR(__xludf.DUMMYFUNCTION("""COMPUTED_VALUE"""),"")</f>
        <v/>
      </c>
      <c r="D681" s="17"/>
      <c r="G681" s="30"/>
    </row>
    <row r="682" spans="1:7" ht="12.5" x14ac:dyDescent="0.25">
      <c r="A682" s="17"/>
      <c r="B682" s="17"/>
      <c r="C682" s="30" t="str">
        <f ca="1">IFERROR(__xludf.DUMMYFUNCTION("""COMPUTED_VALUE"""),"")</f>
        <v/>
      </c>
      <c r="D682" s="17"/>
      <c r="G682" s="30"/>
    </row>
    <row r="683" spans="1:7" ht="12.5" x14ac:dyDescent="0.25">
      <c r="A683" s="17"/>
      <c r="B683" s="17"/>
      <c r="C683" s="30" t="str">
        <f ca="1">IFERROR(__xludf.DUMMYFUNCTION("""COMPUTED_VALUE"""),"")</f>
        <v/>
      </c>
      <c r="D683" s="17"/>
      <c r="G683" s="30"/>
    </row>
    <row r="684" spans="1:7" ht="12.5" x14ac:dyDescent="0.25">
      <c r="A684" s="17"/>
      <c r="B684" s="17"/>
      <c r="C684" s="30" t="str">
        <f ca="1">IFERROR(__xludf.DUMMYFUNCTION("""COMPUTED_VALUE"""),"")</f>
        <v/>
      </c>
      <c r="D684" s="17"/>
      <c r="G684" s="30"/>
    </row>
    <row r="685" spans="1:7" ht="12.5" x14ac:dyDescent="0.25">
      <c r="A685" s="17"/>
      <c r="B685" s="17"/>
      <c r="C685" s="30" t="str">
        <f ca="1">IFERROR(__xludf.DUMMYFUNCTION("""COMPUTED_VALUE"""),"")</f>
        <v/>
      </c>
      <c r="D685" s="17"/>
      <c r="G685" s="30"/>
    </row>
    <row r="686" spans="1:7" ht="12.5" x14ac:dyDescent="0.25">
      <c r="A686" s="17"/>
      <c r="B686" s="17"/>
      <c r="C686" s="30" t="str">
        <f ca="1">IFERROR(__xludf.DUMMYFUNCTION("""COMPUTED_VALUE"""),"")</f>
        <v/>
      </c>
      <c r="D686" s="17"/>
      <c r="G686" s="30"/>
    </row>
    <row r="687" spans="1:7" ht="12.5" x14ac:dyDescent="0.25">
      <c r="A687" s="17"/>
      <c r="B687" s="17"/>
      <c r="C687" s="30" t="str">
        <f ca="1">IFERROR(__xludf.DUMMYFUNCTION("""COMPUTED_VALUE"""),"")</f>
        <v/>
      </c>
      <c r="D687" s="17"/>
      <c r="G687" s="30"/>
    </row>
    <row r="688" spans="1:7" ht="12.5" x14ac:dyDescent="0.25">
      <c r="A688" s="17"/>
      <c r="B688" s="17"/>
      <c r="C688" s="30" t="str">
        <f ca="1">IFERROR(__xludf.DUMMYFUNCTION("""COMPUTED_VALUE"""),"")</f>
        <v/>
      </c>
      <c r="D688" s="17"/>
      <c r="G688" s="30"/>
    </row>
    <row r="689" spans="1:7" ht="12.5" x14ac:dyDescent="0.25">
      <c r="A689" s="17"/>
      <c r="B689" s="17"/>
      <c r="C689" s="30" t="str">
        <f ca="1">IFERROR(__xludf.DUMMYFUNCTION("""COMPUTED_VALUE"""),"")</f>
        <v/>
      </c>
      <c r="D689" s="17"/>
      <c r="G689" s="30"/>
    </row>
    <row r="690" spans="1:7" ht="12.5" x14ac:dyDescent="0.25">
      <c r="A690" s="17"/>
      <c r="B690" s="17"/>
      <c r="C690" s="30" t="str">
        <f ca="1">IFERROR(__xludf.DUMMYFUNCTION("""COMPUTED_VALUE"""),"")</f>
        <v/>
      </c>
      <c r="D690" s="17"/>
      <c r="G690" s="30"/>
    </row>
    <row r="691" spans="1:7" ht="12.5" x14ac:dyDescent="0.25">
      <c r="A691" s="17"/>
      <c r="B691" s="17"/>
      <c r="C691" s="30" t="str">
        <f ca="1">IFERROR(__xludf.DUMMYFUNCTION("""COMPUTED_VALUE"""),"")</f>
        <v/>
      </c>
      <c r="D691" s="17"/>
      <c r="G691" s="30"/>
    </row>
    <row r="692" spans="1:7" ht="12.5" x14ac:dyDescent="0.25">
      <c r="A692" s="17"/>
      <c r="B692" s="17"/>
      <c r="C692" s="30" t="str">
        <f ca="1">IFERROR(__xludf.DUMMYFUNCTION("""COMPUTED_VALUE"""),"")</f>
        <v/>
      </c>
      <c r="D692" s="17"/>
      <c r="G692" s="30"/>
    </row>
    <row r="693" spans="1:7" ht="12.5" x14ac:dyDescent="0.25">
      <c r="A693" s="17"/>
      <c r="B693" s="17"/>
      <c r="C693" s="30" t="str">
        <f ca="1">IFERROR(__xludf.DUMMYFUNCTION("""COMPUTED_VALUE"""),"")</f>
        <v/>
      </c>
      <c r="D693" s="17"/>
      <c r="G693" s="30"/>
    </row>
    <row r="694" spans="1:7" ht="12.5" x14ac:dyDescent="0.25">
      <c r="A694" s="17"/>
      <c r="B694" s="17"/>
      <c r="C694" s="30" t="str">
        <f ca="1">IFERROR(__xludf.DUMMYFUNCTION("""COMPUTED_VALUE"""),"")</f>
        <v/>
      </c>
      <c r="D694" s="17"/>
      <c r="G694" s="30"/>
    </row>
    <row r="695" spans="1:7" ht="12.5" x14ac:dyDescent="0.25">
      <c r="A695" s="17"/>
      <c r="B695" s="17"/>
      <c r="C695" s="30" t="str">
        <f ca="1">IFERROR(__xludf.DUMMYFUNCTION("""COMPUTED_VALUE"""),"")</f>
        <v/>
      </c>
      <c r="D695" s="17"/>
      <c r="G695" s="30"/>
    </row>
    <row r="696" spans="1:7" ht="12.5" x14ac:dyDescent="0.25">
      <c r="A696" s="17"/>
      <c r="B696" s="17"/>
      <c r="C696" s="30" t="str">
        <f ca="1">IFERROR(__xludf.DUMMYFUNCTION("""COMPUTED_VALUE"""),"")</f>
        <v/>
      </c>
      <c r="D696" s="17"/>
      <c r="G696" s="30"/>
    </row>
    <row r="697" spans="1:7" ht="12.5" x14ac:dyDescent="0.25">
      <c r="A697" s="17"/>
      <c r="B697" s="17"/>
      <c r="C697" s="30" t="str">
        <f ca="1">IFERROR(__xludf.DUMMYFUNCTION("""COMPUTED_VALUE"""),"")</f>
        <v/>
      </c>
      <c r="D697" s="17"/>
      <c r="G697" s="30"/>
    </row>
    <row r="698" spans="1:7" ht="12.5" x14ac:dyDescent="0.25">
      <c r="A698" s="17"/>
      <c r="B698" s="17"/>
      <c r="C698" s="30" t="str">
        <f ca="1">IFERROR(__xludf.DUMMYFUNCTION("""COMPUTED_VALUE"""),"")</f>
        <v/>
      </c>
      <c r="D698" s="17"/>
      <c r="G698" s="30"/>
    </row>
    <row r="699" spans="1:7" ht="12.5" x14ac:dyDescent="0.25">
      <c r="A699" s="17"/>
      <c r="B699" s="17"/>
      <c r="C699" s="30" t="str">
        <f ca="1">IFERROR(__xludf.DUMMYFUNCTION("""COMPUTED_VALUE"""),"")</f>
        <v/>
      </c>
      <c r="D699" s="17"/>
      <c r="G699" s="30"/>
    </row>
    <row r="700" spans="1:7" ht="12.5" x14ac:dyDescent="0.25">
      <c r="A700" s="17"/>
      <c r="B700" s="17"/>
      <c r="C700" s="30" t="str">
        <f ca="1">IFERROR(__xludf.DUMMYFUNCTION("""COMPUTED_VALUE"""),"")</f>
        <v/>
      </c>
      <c r="D700" s="17"/>
      <c r="G700" s="30"/>
    </row>
    <row r="701" spans="1:7" ht="12.5" x14ac:dyDescent="0.25">
      <c r="A701" s="17"/>
      <c r="B701" s="17"/>
      <c r="C701" s="30" t="str">
        <f ca="1">IFERROR(__xludf.DUMMYFUNCTION("""COMPUTED_VALUE"""),"")</f>
        <v/>
      </c>
      <c r="D701" s="17"/>
      <c r="G701" s="30"/>
    </row>
    <row r="702" spans="1:7" ht="12.5" x14ac:dyDescent="0.25">
      <c r="A702" s="17"/>
      <c r="B702" s="17"/>
      <c r="C702" s="30" t="str">
        <f ca="1">IFERROR(__xludf.DUMMYFUNCTION("""COMPUTED_VALUE"""),"")</f>
        <v/>
      </c>
      <c r="D702" s="17"/>
      <c r="G702" s="30"/>
    </row>
    <row r="703" spans="1:7" ht="12.5" x14ac:dyDescent="0.25">
      <c r="A703" s="17"/>
      <c r="B703" s="17"/>
      <c r="C703" s="30" t="str">
        <f ca="1">IFERROR(__xludf.DUMMYFUNCTION("""COMPUTED_VALUE"""),"")</f>
        <v/>
      </c>
      <c r="D703" s="17"/>
      <c r="G703" s="30"/>
    </row>
    <row r="704" spans="1:7" ht="12.5" x14ac:dyDescent="0.25">
      <c r="A704" s="17"/>
      <c r="B704" s="17"/>
      <c r="C704" s="30" t="str">
        <f ca="1">IFERROR(__xludf.DUMMYFUNCTION("""COMPUTED_VALUE"""),"")</f>
        <v/>
      </c>
      <c r="D704" s="17"/>
      <c r="G704" s="30"/>
    </row>
    <row r="705" spans="1:7" ht="12.5" x14ac:dyDescent="0.25">
      <c r="A705" s="17"/>
      <c r="B705" s="17"/>
      <c r="C705" s="30" t="str">
        <f ca="1">IFERROR(__xludf.DUMMYFUNCTION("""COMPUTED_VALUE"""),"")</f>
        <v/>
      </c>
      <c r="D705" s="17"/>
      <c r="G705" s="30"/>
    </row>
    <row r="706" spans="1:7" ht="12.5" x14ac:dyDescent="0.25">
      <c r="A706" s="17"/>
      <c r="B706" s="17"/>
      <c r="C706" s="30" t="str">
        <f ca="1">IFERROR(__xludf.DUMMYFUNCTION("""COMPUTED_VALUE"""),"")</f>
        <v/>
      </c>
      <c r="D706" s="17"/>
      <c r="G706" s="30"/>
    </row>
    <row r="707" spans="1:7" ht="12.5" x14ac:dyDescent="0.25">
      <c r="A707" s="17"/>
      <c r="B707" s="17"/>
      <c r="C707" s="30" t="str">
        <f ca="1">IFERROR(__xludf.DUMMYFUNCTION("""COMPUTED_VALUE"""),"")</f>
        <v/>
      </c>
      <c r="D707" s="17"/>
      <c r="G707" s="30"/>
    </row>
    <row r="708" spans="1:7" ht="12.5" x14ac:dyDescent="0.25">
      <c r="A708" s="17"/>
      <c r="B708" s="17"/>
      <c r="C708" s="30" t="str">
        <f ca="1">IFERROR(__xludf.DUMMYFUNCTION("""COMPUTED_VALUE"""),"")</f>
        <v/>
      </c>
      <c r="D708" s="17"/>
      <c r="G708" s="30"/>
    </row>
    <row r="709" spans="1:7" ht="12.5" x14ac:dyDescent="0.25">
      <c r="A709" s="17"/>
      <c r="B709" s="17"/>
      <c r="C709" s="30" t="str">
        <f ca="1">IFERROR(__xludf.DUMMYFUNCTION("""COMPUTED_VALUE"""),"")</f>
        <v/>
      </c>
      <c r="D709" s="17"/>
      <c r="G709" s="30"/>
    </row>
    <row r="710" spans="1:7" ht="12.5" x14ac:dyDescent="0.25">
      <c r="A710" s="17"/>
      <c r="B710" s="17"/>
      <c r="C710" s="30" t="str">
        <f ca="1">IFERROR(__xludf.DUMMYFUNCTION("""COMPUTED_VALUE"""),"")</f>
        <v/>
      </c>
      <c r="D710" s="17"/>
      <c r="G710" s="30"/>
    </row>
    <row r="711" spans="1:7" ht="12.5" x14ac:dyDescent="0.25">
      <c r="A711" s="17"/>
      <c r="B711" s="17"/>
      <c r="C711" s="30" t="str">
        <f ca="1">IFERROR(__xludf.DUMMYFUNCTION("""COMPUTED_VALUE"""),"")</f>
        <v/>
      </c>
      <c r="D711" s="17"/>
      <c r="G711" s="30"/>
    </row>
    <row r="712" spans="1:7" ht="12.5" x14ac:dyDescent="0.25">
      <c r="A712" s="17"/>
      <c r="B712" s="17"/>
      <c r="C712" s="30" t="str">
        <f ca="1">IFERROR(__xludf.DUMMYFUNCTION("""COMPUTED_VALUE"""),"")</f>
        <v/>
      </c>
      <c r="D712" s="17"/>
      <c r="G712" s="30"/>
    </row>
    <row r="713" spans="1:7" ht="12.5" x14ac:dyDescent="0.25">
      <c r="A713" s="17"/>
      <c r="B713" s="17"/>
      <c r="C713" s="30" t="str">
        <f ca="1">IFERROR(__xludf.DUMMYFUNCTION("""COMPUTED_VALUE"""),"")</f>
        <v/>
      </c>
      <c r="D713" s="17"/>
      <c r="G713" s="30"/>
    </row>
    <row r="714" spans="1:7" ht="12.5" x14ac:dyDescent="0.25">
      <c r="A714" s="17"/>
      <c r="B714" s="17"/>
      <c r="C714" s="30" t="str">
        <f ca="1">IFERROR(__xludf.DUMMYFUNCTION("""COMPUTED_VALUE"""),"")</f>
        <v/>
      </c>
      <c r="D714" s="17"/>
      <c r="G714" s="30"/>
    </row>
    <row r="715" spans="1:7" ht="12.5" x14ac:dyDescent="0.25">
      <c r="A715" s="17"/>
      <c r="B715" s="17"/>
      <c r="C715" s="30" t="str">
        <f ca="1">IFERROR(__xludf.DUMMYFUNCTION("""COMPUTED_VALUE"""),"")</f>
        <v/>
      </c>
      <c r="D715" s="17"/>
      <c r="G715" s="30"/>
    </row>
    <row r="716" spans="1:7" ht="12.5" x14ac:dyDescent="0.25">
      <c r="A716" s="17"/>
      <c r="B716" s="17"/>
      <c r="C716" s="30" t="str">
        <f ca="1">IFERROR(__xludf.DUMMYFUNCTION("""COMPUTED_VALUE"""),"")</f>
        <v/>
      </c>
      <c r="D716" s="17"/>
      <c r="G716" s="30"/>
    </row>
    <row r="717" spans="1:7" ht="12.5" x14ac:dyDescent="0.25">
      <c r="A717" s="17"/>
      <c r="B717" s="17"/>
      <c r="C717" s="30" t="str">
        <f ca="1">IFERROR(__xludf.DUMMYFUNCTION("""COMPUTED_VALUE"""),"")</f>
        <v/>
      </c>
      <c r="D717" s="17"/>
      <c r="G717" s="30"/>
    </row>
    <row r="718" spans="1:7" ht="12.5" x14ac:dyDescent="0.25">
      <c r="A718" s="17"/>
      <c r="B718" s="17"/>
      <c r="C718" s="30" t="str">
        <f ca="1">IFERROR(__xludf.DUMMYFUNCTION("""COMPUTED_VALUE"""),"")</f>
        <v/>
      </c>
      <c r="D718" s="17"/>
      <c r="G718" s="30"/>
    </row>
    <row r="719" spans="1:7" ht="12.5" x14ac:dyDescent="0.25">
      <c r="A719" s="17"/>
      <c r="B719" s="17"/>
      <c r="C719" s="30" t="str">
        <f ca="1">IFERROR(__xludf.DUMMYFUNCTION("""COMPUTED_VALUE"""),"")</f>
        <v/>
      </c>
      <c r="D719" s="17"/>
      <c r="G719" s="30"/>
    </row>
    <row r="720" spans="1:7" ht="12.5" x14ac:dyDescent="0.25">
      <c r="A720" s="17"/>
      <c r="B720" s="17"/>
      <c r="C720" s="30" t="str">
        <f ca="1">IFERROR(__xludf.DUMMYFUNCTION("""COMPUTED_VALUE"""),"")</f>
        <v/>
      </c>
      <c r="D720" s="17"/>
      <c r="G720" s="30"/>
    </row>
    <row r="721" spans="1:7" ht="12.5" x14ac:dyDescent="0.25">
      <c r="A721" s="17"/>
      <c r="B721" s="17"/>
      <c r="C721" s="30" t="str">
        <f ca="1">IFERROR(__xludf.DUMMYFUNCTION("""COMPUTED_VALUE"""),"")</f>
        <v/>
      </c>
      <c r="D721" s="17"/>
      <c r="G721" s="30"/>
    </row>
    <row r="722" spans="1:7" ht="12.5" x14ac:dyDescent="0.25">
      <c r="A722" s="17"/>
      <c r="B722" s="17"/>
      <c r="C722" s="30" t="str">
        <f ca="1">IFERROR(__xludf.DUMMYFUNCTION("""COMPUTED_VALUE"""),"")</f>
        <v/>
      </c>
      <c r="D722" s="17"/>
      <c r="G722" s="30"/>
    </row>
    <row r="723" spans="1:7" ht="12.5" x14ac:dyDescent="0.25">
      <c r="A723" s="17"/>
      <c r="B723" s="17"/>
      <c r="C723" s="30" t="str">
        <f ca="1">IFERROR(__xludf.DUMMYFUNCTION("""COMPUTED_VALUE"""),"")</f>
        <v/>
      </c>
      <c r="D723" s="17"/>
      <c r="G723" s="30"/>
    </row>
    <row r="724" spans="1:7" ht="12.5" x14ac:dyDescent="0.25">
      <c r="A724" s="17"/>
      <c r="B724" s="17"/>
      <c r="C724" s="30" t="str">
        <f ca="1">IFERROR(__xludf.DUMMYFUNCTION("""COMPUTED_VALUE"""),"")</f>
        <v/>
      </c>
      <c r="D724" s="17"/>
      <c r="G724" s="30"/>
    </row>
    <row r="725" spans="1:7" ht="12.5" x14ac:dyDescent="0.25">
      <c r="A725" s="17"/>
      <c r="B725" s="17"/>
      <c r="C725" s="30" t="str">
        <f ca="1">IFERROR(__xludf.DUMMYFUNCTION("""COMPUTED_VALUE"""),"")</f>
        <v/>
      </c>
      <c r="D725" s="17"/>
      <c r="G725" s="30"/>
    </row>
    <row r="726" spans="1:7" ht="12.5" x14ac:dyDescent="0.25">
      <c r="A726" s="17"/>
      <c r="B726" s="17"/>
      <c r="C726" s="30" t="str">
        <f ca="1">IFERROR(__xludf.DUMMYFUNCTION("""COMPUTED_VALUE"""),"")</f>
        <v/>
      </c>
      <c r="D726" s="17"/>
      <c r="G726" s="30"/>
    </row>
    <row r="727" spans="1:7" ht="12.5" x14ac:dyDescent="0.25">
      <c r="A727" s="17"/>
      <c r="B727" s="17"/>
      <c r="C727" s="30" t="str">
        <f ca="1">IFERROR(__xludf.DUMMYFUNCTION("""COMPUTED_VALUE"""),"")</f>
        <v/>
      </c>
      <c r="D727" s="17"/>
      <c r="G727" s="30"/>
    </row>
    <row r="728" spans="1:7" ht="12.5" x14ac:dyDescent="0.25">
      <c r="A728" s="17"/>
      <c r="B728" s="17"/>
      <c r="C728" s="30" t="str">
        <f ca="1">IFERROR(__xludf.DUMMYFUNCTION("""COMPUTED_VALUE"""),"")</f>
        <v/>
      </c>
      <c r="D728" s="17"/>
      <c r="G728" s="30"/>
    </row>
    <row r="729" spans="1:7" ht="12.5" x14ac:dyDescent="0.25">
      <c r="A729" s="17"/>
      <c r="B729" s="17"/>
      <c r="C729" s="30" t="str">
        <f ca="1">IFERROR(__xludf.DUMMYFUNCTION("""COMPUTED_VALUE"""),"")</f>
        <v/>
      </c>
      <c r="D729" s="17"/>
      <c r="G729" s="30"/>
    </row>
    <row r="730" spans="1:7" ht="12.5" x14ac:dyDescent="0.25">
      <c r="A730" s="17"/>
      <c r="B730" s="17"/>
      <c r="C730" s="30" t="str">
        <f ca="1">IFERROR(__xludf.DUMMYFUNCTION("""COMPUTED_VALUE"""),"")</f>
        <v/>
      </c>
      <c r="D730" s="17"/>
      <c r="G730" s="30"/>
    </row>
    <row r="731" spans="1:7" ht="12.5" x14ac:dyDescent="0.25">
      <c r="A731" s="17"/>
      <c r="B731" s="17"/>
      <c r="C731" s="30" t="str">
        <f ca="1">IFERROR(__xludf.DUMMYFUNCTION("""COMPUTED_VALUE"""),"")</f>
        <v/>
      </c>
      <c r="D731" s="17"/>
      <c r="G731" s="30"/>
    </row>
    <row r="732" spans="1:7" ht="12.5" x14ac:dyDescent="0.25">
      <c r="A732" s="17"/>
      <c r="B732" s="17"/>
      <c r="C732" s="30" t="str">
        <f ca="1">IFERROR(__xludf.DUMMYFUNCTION("""COMPUTED_VALUE"""),"")</f>
        <v/>
      </c>
      <c r="D732" s="17"/>
      <c r="G732" s="30"/>
    </row>
    <row r="733" spans="1:7" ht="12.5" x14ac:dyDescent="0.25">
      <c r="A733" s="17"/>
      <c r="B733" s="17"/>
      <c r="C733" s="30" t="str">
        <f ca="1">IFERROR(__xludf.DUMMYFUNCTION("""COMPUTED_VALUE"""),"")</f>
        <v/>
      </c>
      <c r="D733" s="17"/>
      <c r="G733" s="30"/>
    </row>
    <row r="734" spans="1:7" ht="12.5" x14ac:dyDescent="0.25">
      <c r="A734" s="17"/>
      <c r="B734" s="17"/>
      <c r="C734" s="30" t="str">
        <f ca="1">IFERROR(__xludf.DUMMYFUNCTION("""COMPUTED_VALUE"""),"")</f>
        <v/>
      </c>
      <c r="D734" s="17"/>
      <c r="G734" s="30"/>
    </row>
    <row r="735" spans="1:7" ht="12.5" x14ac:dyDescent="0.25">
      <c r="A735" s="17"/>
      <c r="B735" s="17"/>
      <c r="C735" s="30" t="str">
        <f ca="1">IFERROR(__xludf.DUMMYFUNCTION("""COMPUTED_VALUE"""),"")</f>
        <v/>
      </c>
      <c r="D735" s="17"/>
      <c r="G735" s="30"/>
    </row>
    <row r="736" spans="1:7" ht="12.5" x14ac:dyDescent="0.25">
      <c r="A736" s="17"/>
      <c r="B736" s="17"/>
      <c r="C736" s="30" t="str">
        <f ca="1">IFERROR(__xludf.DUMMYFUNCTION("""COMPUTED_VALUE"""),"")</f>
        <v/>
      </c>
      <c r="D736" s="17"/>
      <c r="G736" s="30"/>
    </row>
    <row r="737" spans="1:7" ht="12.5" x14ac:dyDescent="0.25">
      <c r="A737" s="17"/>
      <c r="B737" s="17"/>
      <c r="C737" s="30" t="str">
        <f ca="1">IFERROR(__xludf.DUMMYFUNCTION("""COMPUTED_VALUE"""),"")</f>
        <v/>
      </c>
      <c r="D737" s="17"/>
      <c r="G737" s="30"/>
    </row>
    <row r="738" spans="1:7" ht="12.5" x14ac:dyDescent="0.25">
      <c r="A738" s="17"/>
      <c r="B738" s="17"/>
      <c r="C738" s="30" t="str">
        <f ca="1">IFERROR(__xludf.DUMMYFUNCTION("""COMPUTED_VALUE"""),"")</f>
        <v/>
      </c>
      <c r="D738" s="17"/>
      <c r="G738" s="30"/>
    </row>
    <row r="739" spans="1:7" ht="12.5" x14ac:dyDescent="0.25">
      <c r="A739" s="17"/>
      <c r="B739" s="17"/>
      <c r="C739" s="30" t="str">
        <f ca="1">IFERROR(__xludf.DUMMYFUNCTION("""COMPUTED_VALUE"""),"")</f>
        <v/>
      </c>
      <c r="D739" s="17"/>
      <c r="G739" s="30"/>
    </row>
    <row r="740" spans="1:7" ht="12.5" x14ac:dyDescent="0.25">
      <c r="A740" s="17"/>
      <c r="B740" s="17"/>
      <c r="C740" s="30" t="str">
        <f ca="1">IFERROR(__xludf.DUMMYFUNCTION("""COMPUTED_VALUE"""),"")</f>
        <v/>
      </c>
      <c r="D740" s="17"/>
      <c r="G740" s="30"/>
    </row>
    <row r="741" spans="1:7" ht="12.5" x14ac:dyDescent="0.25">
      <c r="A741" s="17"/>
      <c r="B741" s="17"/>
      <c r="C741" s="30" t="str">
        <f ca="1">IFERROR(__xludf.DUMMYFUNCTION("""COMPUTED_VALUE"""),"")</f>
        <v/>
      </c>
      <c r="D741" s="17"/>
      <c r="G741" s="30"/>
    </row>
    <row r="742" spans="1:7" ht="12.5" x14ac:dyDescent="0.25">
      <c r="A742" s="17"/>
      <c r="B742" s="17"/>
      <c r="C742" s="30" t="str">
        <f ca="1">IFERROR(__xludf.DUMMYFUNCTION("""COMPUTED_VALUE"""),"")</f>
        <v/>
      </c>
      <c r="D742" s="17"/>
      <c r="G742" s="30"/>
    </row>
    <row r="743" spans="1:7" ht="12.5" x14ac:dyDescent="0.25">
      <c r="A743" s="17"/>
      <c r="B743" s="17"/>
      <c r="C743" s="30" t="str">
        <f ca="1">IFERROR(__xludf.DUMMYFUNCTION("""COMPUTED_VALUE"""),"")</f>
        <v/>
      </c>
      <c r="D743" s="17"/>
      <c r="G743" s="30"/>
    </row>
    <row r="744" spans="1:7" ht="12.5" x14ac:dyDescent="0.25">
      <c r="A744" s="17"/>
      <c r="B744" s="17"/>
      <c r="C744" s="30" t="str">
        <f ca="1">IFERROR(__xludf.DUMMYFUNCTION("""COMPUTED_VALUE"""),"")</f>
        <v/>
      </c>
      <c r="D744" s="17"/>
      <c r="G744" s="30"/>
    </row>
    <row r="745" spans="1:7" ht="12.5" x14ac:dyDescent="0.25">
      <c r="A745" s="17"/>
      <c r="B745" s="17"/>
      <c r="C745" s="30" t="str">
        <f ca="1">IFERROR(__xludf.DUMMYFUNCTION("""COMPUTED_VALUE"""),"")</f>
        <v/>
      </c>
      <c r="D745" s="17"/>
      <c r="G745" s="30"/>
    </row>
    <row r="746" spans="1:7" ht="12.5" x14ac:dyDescent="0.25">
      <c r="A746" s="17"/>
      <c r="B746" s="17"/>
      <c r="C746" s="30" t="str">
        <f ca="1">IFERROR(__xludf.DUMMYFUNCTION("""COMPUTED_VALUE"""),"")</f>
        <v/>
      </c>
      <c r="D746" s="17"/>
      <c r="G746" s="30"/>
    </row>
    <row r="747" spans="1:7" ht="12.5" x14ac:dyDescent="0.25">
      <c r="A747" s="17"/>
      <c r="B747" s="17"/>
      <c r="C747" s="30" t="str">
        <f ca="1">IFERROR(__xludf.DUMMYFUNCTION("""COMPUTED_VALUE"""),"")</f>
        <v/>
      </c>
      <c r="D747" s="17"/>
      <c r="G747" s="30"/>
    </row>
    <row r="748" spans="1:7" ht="12.5" x14ac:dyDescent="0.25">
      <c r="A748" s="17"/>
      <c r="B748" s="17"/>
      <c r="C748" s="30" t="str">
        <f ca="1">IFERROR(__xludf.DUMMYFUNCTION("""COMPUTED_VALUE"""),"")</f>
        <v/>
      </c>
      <c r="D748" s="17"/>
      <c r="G748" s="30"/>
    </row>
    <row r="749" spans="1:7" ht="12.5" x14ac:dyDescent="0.25">
      <c r="A749" s="17"/>
      <c r="B749" s="17"/>
      <c r="C749" s="30" t="str">
        <f ca="1">IFERROR(__xludf.DUMMYFUNCTION("""COMPUTED_VALUE"""),"")</f>
        <v/>
      </c>
      <c r="D749" s="17"/>
      <c r="G749" s="30"/>
    </row>
    <row r="750" spans="1:7" ht="12.5" x14ac:dyDescent="0.25">
      <c r="A750" s="17"/>
      <c r="B750" s="17"/>
      <c r="C750" s="30" t="str">
        <f ca="1">IFERROR(__xludf.DUMMYFUNCTION("""COMPUTED_VALUE"""),"")</f>
        <v/>
      </c>
      <c r="D750" s="17"/>
      <c r="G750" s="30"/>
    </row>
    <row r="751" spans="1:7" ht="12.5" x14ac:dyDescent="0.25">
      <c r="A751" s="17"/>
      <c r="B751" s="17"/>
      <c r="C751" s="30" t="str">
        <f ca="1">IFERROR(__xludf.DUMMYFUNCTION("""COMPUTED_VALUE"""),"")</f>
        <v/>
      </c>
      <c r="D751" s="17"/>
      <c r="G751" s="30"/>
    </row>
    <row r="752" spans="1:7" ht="12.5" x14ac:dyDescent="0.25">
      <c r="A752" s="17"/>
      <c r="B752" s="17"/>
      <c r="C752" s="30" t="str">
        <f ca="1">IFERROR(__xludf.DUMMYFUNCTION("""COMPUTED_VALUE"""),"")</f>
        <v/>
      </c>
      <c r="D752" s="17"/>
      <c r="G752" s="30"/>
    </row>
    <row r="753" spans="1:7" ht="12.5" x14ac:dyDescent="0.25">
      <c r="A753" s="17"/>
      <c r="B753" s="17"/>
      <c r="C753" s="30" t="str">
        <f ca="1">IFERROR(__xludf.DUMMYFUNCTION("""COMPUTED_VALUE"""),"")</f>
        <v/>
      </c>
      <c r="D753" s="17"/>
      <c r="G753" s="30"/>
    </row>
    <row r="754" spans="1:7" ht="12.5" x14ac:dyDescent="0.25">
      <c r="A754" s="17"/>
      <c r="B754" s="17"/>
      <c r="C754" s="30" t="str">
        <f ca="1">IFERROR(__xludf.DUMMYFUNCTION("""COMPUTED_VALUE"""),"")</f>
        <v/>
      </c>
      <c r="D754" s="17"/>
      <c r="G754" s="30"/>
    </row>
    <row r="755" spans="1:7" ht="12.5" x14ac:dyDescent="0.25">
      <c r="A755" s="17"/>
      <c r="B755" s="17"/>
      <c r="C755" s="30" t="str">
        <f ca="1">IFERROR(__xludf.DUMMYFUNCTION("""COMPUTED_VALUE"""),"")</f>
        <v/>
      </c>
      <c r="D755" s="17"/>
      <c r="G755" s="30"/>
    </row>
    <row r="756" spans="1:7" ht="12.5" x14ac:dyDescent="0.25">
      <c r="A756" s="17"/>
      <c r="B756" s="17"/>
      <c r="C756" s="30" t="str">
        <f ca="1">IFERROR(__xludf.DUMMYFUNCTION("""COMPUTED_VALUE"""),"")</f>
        <v/>
      </c>
      <c r="D756" s="17"/>
      <c r="G756" s="30"/>
    </row>
    <row r="757" spans="1:7" ht="12.5" x14ac:dyDescent="0.25">
      <c r="A757" s="17"/>
      <c r="B757" s="17"/>
      <c r="C757" s="30" t="str">
        <f ca="1">IFERROR(__xludf.DUMMYFUNCTION("""COMPUTED_VALUE"""),"")</f>
        <v/>
      </c>
      <c r="D757" s="17"/>
      <c r="G757" s="30"/>
    </row>
    <row r="758" spans="1:7" ht="12.5" x14ac:dyDescent="0.25">
      <c r="A758" s="17"/>
      <c r="B758" s="17"/>
      <c r="C758" s="30" t="str">
        <f ca="1">IFERROR(__xludf.DUMMYFUNCTION("""COMPUTED_VALUE"""),"")</f>
        <v/>
      </c>
      <c r="D758" s="17"/>
      <c r="G758" s="30"/>
    </row>
    <row r="759" spans="1:7" ht="12.5" x14ac:dyDescent="0.25">
      <c r="A759" s="17"/>
      <c r="B759" s="17"/>
      <c r="C759" s="30" t="str">
        <f ca="1">IFERROR(__xludf.DUMMYFUNCTION("""COMPUTED_VALUE"""),"")</f>
        <v/>
      </c>
      <c r="D759" s="17"/>
      <c r="G759" s="30"/>
    </row>
    <row r="760" spans="1:7" ht="12.5" x14ac:dyDescent="0.25">
      <c r="A760" s="17"/>
      <c r="B760" s="17"/>
      <c r="C760" s="30" t="str">
        <f ca="1">IFERROR(__xludf.DUMMYFUNCTION("""COMPUTED_VALUE"""),"")</f>
        <v/>
      </c>
      <c r="D760" s="17"/>
      <c r="G760" s="30"/>
    </row>
    <row r="761" spans="1:7" ht="12.5" x14ac:dyDescent="0.25">
      <c r="A761" s="17"/>
      <c r="B761" s="17"/>
      <c r="C761" s="30" t="str">
        <f ca="1">IFERROR(__xludf.DUMMYFUNCTION("""COMPUTED_VALUE"""),"")</f>
        <v/>
      </c>
      <c r="D761" s="17"/>
      <c r="G761" s="30"/>
    </row>
    <row r="762" spans="1:7" ht="12.5" x14ac:dyDescent="0.25">
      <c r="A762" s="17"/>
      <c r="B762" s="17"/>
      <c r="C762" s="30" t="str">
        <f ca="1">IFERROR(__xludf.DUMMYFUNCTION("""COMPUTED_VALUE"""),"")</f>
        <v/>
      </c>
      <c r="D762" s="17"/>
      <c r="G762" s="30"/>
    </row>
    <row r="763" spans="1:7" ht="12.5" x14ac:dyDescent="0.25">
      <c r="A763" s="17"/>
      <c r="B763" s="17"/>
      <c r="C763" s="30" t="str">
        <f ca="1">IFERROR(__xludf.DUMMYFUNCTION("""COMPUTED_VALUE"""),"")</f>
        <v/>
      </c>
      <c r="D763" s="17"/>
      <c r="G763" s="30"/>
    </row>
    <row r="764" spans="1:7" ht="12.5" x14ac:dyDescent="0.25">
      <c r="A764" s="17"/>
      <c r="B764" s="17"/>
      <c r="C764" s="30" t="str">
        <f ca="1">IFERROR(__xludf.DUMMYFUNCTION("""COMPUTED_VALUE"""),"")</f>
        <v/>
      </c>
      <c r="D764" s="17"/>
      <c r="G764" s="30"/>
    </row>
    <row r="765" spans="1:7" ht="12.5" x14ac:dyDescent="0.25">
      <c r="A765" s="17"/>
      <c r="B765" s="17"/>
      <c r="C765" s="30" t="str">
        <f ca="1">IFERROR(__xludf.DUMMYFUNCTION("""COMPUTED_VALUE"""),"")</f>
        <v/>
      </c>
      <c r="D765" s="17"/>
      <c r="G765" s="30"/>
    </row>
    <row r="766" spans="1:7" ht="12.5" x14ac:dyDescent="0.25">
      <c r="A766" s="17"/>
      <c r="B766" s="17"/>
      <c r="C766" s="30" t="str">
        <f ca="1">IFERROR(__xludf.DUMMYFUNCTION("""COMPUTED_VALUE"""),"")</f>
        <v/>
      </c>
      <c r="D766" s="17"/>
      <c r="G766" s="30"/>
    </row>
    <row r="767" spans="1:7" ht="12.5" x14ac:dyDescent="0.25">
      <c r="A767" s="17"/>
      <c r="B767" s="17"/>
      <c r="C767" s="30" t="str">
        <f ca="1">IFERROR(__xludf.DUMMYFUNCTION("""COMPUTED_VALUE"""),"")</f>
        <v/>
      </c>
      <c r="D767" s="17"/>
      <c r="G767" s="30"/>
    </row>
    <row r="768" spans="1:7" ht="12.5" x14ac:dyDescent="0.25">
      <c r="A768" s="17"/>
      <c r="B768" s="17"/>
      <c r="C768" s="30" t="str">
        <f ca="1">IFERROR(__xludf.DUMMYFUNCTION("""COMPUTED_VALUE"""),"")</f>
        <v/>
      </c>
      <c r="D768" s="17"/>
      <c r="G768" s="30"/>
    </row>
    <row r="769" spans="1:7" ht="12.5" x14ac:dyDescent="0.25">
      <c r="A769" s="17"/>
      <c r="B769" s="17"/>
      <c r="C769" s="30" t="str">
        <f ca="1">IFERROR(__xludf.DUMMYFUNCTION("""COMPUTED_VALUE"""),"")</f>
        <v/>
      </c>
      <c r="D769" s="17"/>
      <c r="G769" s="30"/>
    </row>
    <row r="770" spans="1:7" ht="12.5" x14ac:dyDescent="0.25">
      <c r="A770" s="17"/>
      <c r="B770" s="17"/>
      <c r="C770" s="30" t="str">
        <f ca="1">IFERROR(__xludf.DUMMYFUNCTION("""COMPUTED_VALUE"""),"")</f>
        <v/>
      </c>
      <c r="D770" s="17"/>
      <c r="G770" s="30"/>
    </row>
    <row r="771" spans="1:7" ht="12.5" x14ac:dyDescent="0.25">
      <c r="A771" s="17"/>
      <c r="B771" s="17"/>
      <c r="C771" s="30" t="str">
        <f ca="1">IFERROR(__xludf.DUMMYFUNCTION("""COMPUTED_VALUE"""),"")</f>
        <v/>
      </c>
      <c r="D771" s="17"/>
      <c r="G771" s="30"/>
    </row>
    <row r="772" spans="1:7" ht="12.5" x14ac:dyDescent="0.25">
      <c r="A772" s="17"/>
      <c r="B772" s="17"/>
      <c r="C772" s="30" t="str">
        <f ca="1">IFERROR(__xludf.DUMMYFUNCTION("""COMPUTED_VALUE"""),"")</f>
        <v/>
      </c>
      <c r="D772" s="17"/>
      <c r="G772" s="30"/>
    </row>
    <row r="773" spans="1:7" ht="12.5" x14ac:dyDescent="0.25">
      <c r="A773" s="17"/>
      <c r="B773" s="17"/>
      <c r="C773" s="30" t="str">
        <f ca="1">IFERROR(__xludf.DUMMYFUNCTION("""COMPUTED_VALUE"""),"")</f>
        <v/>
      </c>
      <c r="D773" s="17"/>
      <c r="G773" s="30"/>
    </row>
    <row r="774" spans="1:7" ht="12.5" x14ac:dyDescent="0.25">
      <c r="A774" s="17"/>
      <c r="B774" s="17"/>
      <c r="C774" s="30" t="str">
        <f ca="1">IFERROR(__xludf.DUMMYFUNCTION("""COMPUTED_VALUE"""),"")</f>
        <v/>
      </c>
      <c r="D774" s="17"/>
      <c r="G774" s="30"/>
    </row>
    <row r="775" spans="1:7" ht="12.5" x14ac:dyDescent="0.25">
      <c r="A775" s="17"/>
      <c r="B775" s="17"/>
      <c r="C775" s="30" t="str">
        <f ca="1">IFERROR(__xludf.DUMMYFUNCTION("""COMPUTED_VALUE"""),"")</f>
        <v/>
      </c>
      <c r="D775" s="17"/>
      <c r="G775" s="30"/>
    </row>
    <row r="776" spans="1:7" ht="12.5" x14ac:dyDescent="0.25">
      <c r="A776" s="17"/>
      <c r="B776" s="17"/>
      <c r="C776" s="30" t="str">
        <f ca="1">IFERROR(__xludf.DUMMYFUNCTION("""COMPUTED_VALUE"""),"")</f>
        <v/>
      </c>
      <c r="D776" s="17"/>
      <c r="G776" s="30"/>
    </row>
    <row r="777" spans="1:7" ht="12.5" x14ac:dyDescent="0.25">
      <c r="A777" s="17"/>
      <c r="B777" s="17"/>
      <c r="C777" s="30" t="str">
        <f ca="1">IFERROR(__xludf.DUMMYFUNCTION("""COMPUTED_VALUE"""),"")</f>
        <v/>
      </c>
      <c r="D777" s="17"/>
      <c r="G777" s="30"/>
    </row>
    <row r="778" spans="1:7" ht="12.5" x14ac:dyDescent="0.25">
      <c r="A778" s="17"/>
      <c r="B778" s="17"/>
      <c r="C778" s="30" t="str">
        <f ca="1">IFERROR(__xludf.DUMMYFUNCTION("""COMPUTED_VALUE"""),"")</f>
        <v/>
      </c>
      <c r="D778" s="17"/>
      <c r="G778" s="30"/>
    </row>
    <row r="779" spans="1:7" ht="12.5" x14ac:dyDescent="0.25">
      <c r="A779" s="17"/>
      <c r="B779" s="17"/>
      <c r="C779" s="30" t="str">
        <f ca="1">IFERROR(__xludf.DUMMYFUNCTION("""COMPUTED_VALUE"""),"")</f>
        <v/>
      </c>
      <c r="D779" s="17"/>
      <c r="G779" s="30"/>
    </row>
    <row r="780" spans="1:7" ht="12.5" x14ac:dyDescent="0.25">
      <c r="A780" s="17"/>
      <c r="B780" s="17"/>
      <c r="C780" s="30" t="str">
        <f ca="1">IFERROR(__xludf.DUMMYFUNCTION("""COMPUTED_VALUE"""),"")</f>
        <v/>
      </c>
      <c r="D780" s="17"/>
      <c r="G780" s="30"/>
    </row>
    <row r="781" spans="1:7" ht="12.5" x14ac:dyDescent="0.25">
      <c r="A781" s="17"/>
      <c r="B781" s="17"/>
      <c r="C781" s="30" t="str">
        <f ca="1">IFERROR(__xludf.DUMMYFUNCTION("""COMPUTED_VALUE"""),"")</f>
        <v/>
      </c>
      <c r="D781" s="17"/>
      <c r="G781" s="30"/>
    </row>
    <row r="782" spans="1:7" ht="12.5" x14ac:dyDescent="0.25">
      <c r="A782" s="17"/>
      <c r="B782" s="17"/>
      <c r="C782" s="30" t="str">
        <f ca="1">IFERROR(__xludf.DUMMYFUNCTION("""COMPUTED_VALUE"""),"")</f>
        <v/>
      </c>
      <c r="D782" s="17"/>
      <c r="G782" s="30"/>
    </row>
    <row r="783" spans="1:7" ht="12.5" x14ac:dyDescent="0.25">
      <c r="A783" s="17"/>
      <c r="B783" s="17"/>
      <c r="C783" s="30" t="str">
        <f ca="1">IFERROR(__xludf.DUMMYFUNCTION("""COMPUTED_VALUE"""),"")</f>
        <v/>
      </c>
      <c r="D783" s="17"/>
      <c r="G783" s="30"/>
    </row>
    <row r="784" spans="1:7" ht="12.5" x14ac:dyDescent="0.25">
      <c r="A784" s="17"/>
      <c r="B784" s="17"/>
      <c r="C784" s="30" t="str">
        <f ca="1">IFERROR(__xludf.DUMMYFUNCTION("""COMPUTED_VALUE"""),"")</f>
        <v/>
      </c>
      <c r="D784" s="17"/>
      <c r="G784" s="30"/>
    </row>
    <row r="785" spans="1:7" ht="12.5" x14ac:dyDescent="0.25">
      <c r="A785" s="17"/>
      <c r="B785" s="17"/>
      <c r="C785" s="30" t="str">
        <f ca="1">IFERROR(__xludf.DUMMYFUNCTION("""COMPUTED_VALUE"""),"")</f>
        <v/>
      </c>
      <c r="D785" s="17"/>
      <c r="G785" s="30"/>
    </row>
    <row r="786" spans="1:7" ht="12.5" x14ac:dyDescent="0.25">
      <c r="A786" s="17"/>
      <c r="B786" s="17"/>
      <c r="C786" s="30" t="str">
        <f ca="1">IFERROR(__xludf.DUMMYFUNCTION("""COMPUTED_VALUE"""),"")</f>
        <v/>
      </c>
      <c r="D786" s="17"/>
      <c r="G786" s="30"/>
    </row>
    <row r="787" spans="1:7" ht="12.5" x14ac:dyDescent="0.25">
      <c r="A787" s="17"/>
      <c r="B787" s="17"/>
      <c r="C787" s="30" t="str">
        <f ca="1">IFERROR(__xludf.DUMMYFUNCTION("""COMPUTED_VALUE"""),"")</f>
        <v/>
      </c>
      <c r="D787" s="17"/>
      <c r="G787" s="30"/>
    </row>
    <row r="788" spans="1:7" ht="12.5" x14ac:dyDescent="0.25">
      <c r="A788" s="17"/>
      <c r="B788" s="17"/>
      <c r="C788" s="30" t="str">
        <f ca="1">IFERROR(__xludf.DUMMYFUNCTION("""COMPUTED_VALUE"""),"")</f>
        <v/>
      </c>
      <c r="D788" s="17"/>
      <c r="G788" s="30"/>
    </row>
    <row r="789" spans="1:7" ht="12.5" x14ac:dyDescent="0.25">
      <c r="A789" s="17"/>
      <c r="B789" s="17"/>
      <c r="C789" s="30" t="str">
        <f ca="1">IFERROR(__xludf.DUMMYFUNCTION("""COMPUTED_VALUE"""),"")</f>
        <v/>
      </c>
      <c r="D789" s="17"/>
      <c r="G789" s="30"/>
    </row>
    <row r="790" spans="1:7" ht="12.5" x14ac:dyDescent="0.25">
      <c r="A790" s="17"/>
      <c r="B790" s="17"/>
      <c r="C790" s="30" t="str">
        <f ca="1">IFERROR(__xludf.DUMMYFUNCTION("""COMPUTED_VALUE"""),"")</f>
        <v/>
      </c>
      <c r="D790" s="17"/>
      <c r="G790" s="30"/>
    </row>
    <row r="791" spans="1:7" ht="12.5" x14ac:dyDescent="0.25">
      <c r="A791" s="17"/>
      <c r="B791" s="17"/>
      <c r="C791" s="30" t="str">
        <f ca="1">IFERROR(__xludf.DUMMYFUNCTION("""COMPUTED_VALUE"""),"")</f>
        <v/>
      </c>
      <c r="D791" s="17"/>
      <c r="G791" s="30"/>
    </row>
    <row r="792" spans="1:7" ht="12.5" x14ac:dyDescent="0.25">
      <c r="A792" s="17"/>
      <c r="B792" s="17"/>
      <c r="C792" s="30" t="str">
        <f ca="1">IFERROR(__xludf.DUMMYFUNCTION("""COMPUTED_VALUE"""),"")</f>
        <v/>
      </c>
      <c r="D792" s="17"/>
      <c r="G792" s="30"/>
    </row>
    <row r="793" spans="1:7" ht="12.5" x14ac:dyDescent="0.25">
      <c r="A793" s="17"/>
      <c r="B793" s="17"/>
      <c r="C793" s="30" t="str">
        <f ca="1">IFERROR(__xludf.DUMMYFUNCTION("""COMPUTED_VALUE"""),"")</f>
        <v/>
      </c>
      <c r="D793" s="17"/>
      <c r="G793" s="30"/>
    </row>
    <row r="794" spans="1:7" ht="12.5" x14ac:dyDescent="0.25">
      <c r="A794" s="17"/>
      <c r="B794" s="17"/>
      <c r="C794" s="30" t="str">
        <f ca="1">IFERROR(__xludf.DUMMYFUNCTION("""COMPUTED_VALUE"""),"")</f>
        <v/>
      </c>
      <c r="D794" s="17"/>
      <c r="G794" s="30"/>
    </row>
    <row r="795" spans="1:7" ht="12.5" x14ac:dyDescent="0.25">
      <c r="A795" s="17"/>
      <c r="B795" s="17"/>
      <c r="C795" s="30" t="str">
        <f ca="1">IFERROR(__xludf.DUMMYFUNCTION("""COMPUTED_VALUE"""),"")</f>
        <v/>
      </c>
      <c r="D795" s="17"/>
      <c r="G795" s="30"/>
    </row>
    <row r="796" spans="1:7" ht="12.5" x14ac:dyDescent="0.25">
      <c r="A796" s="17"/>
      <c r="B796" s="17"/>
      <c r="C796" s="30" t="str">
        <f ca="1">IFERROR(__xludf.DUMMYFUNCTION("""COMPUTED_VALUE"""),"")</f>
        <v/>
      </c>
      <c r="D796" s="17"/>
      <c r="G796" s="30"/>
    </row>
    <row r="797" spans="1:7" ht="12.5" x14ac:dyDescent="0.25">
      <c r="A797" s="17"/>
      <c r="B797" s="17"/>
      <c r="C797" s="30" t="str">
        <f ca="1">IFERROR(__xludf.DUMMYFUNCTION("""COMPUTED_VALUE"""),"")</f>
        <v/>
      </c>
      <c r="D797" s="17"/>
      <c r="G797" s="30"/>
    </row>
    <row r="798" spans="1:7" ht="12.5" x14ac:dyDescent="0.25">
      <c r="A798" s="17"/>
      <c r="B798" s="17"/>
      <c r="C798" s="30" t="str">
        <f ca="1">IFERROR(__xludf.DUMMYFUNCTION("""COMPUTED_VALUE"""),"")</f>
        <v/>
      </c>
      <c r="D798" s="17"/>
      <c r="G798" s="30"/>
    </row>
    <row r="799" spans="1:7" ht="12.5" x14ac:dyDescent="0.25">
      <c r="A799" s="17"/>
      <c r="B799" s="17"/>
      <c r="C799" s="30" t="str">
        <f ca="1">IFERROR(__xludf.DUMMYFUNCTION("""COMPUTED_VALUE"""),"")</f>
        <v/>
      </c>
      <c r="D799" s="17"/>
      <c r="G799" s="30"/>
    </row>
    <row r="800" spans="1:7" ht="12.5" x14ac:dyDescent="0.25">
      <c r="A800" s="17"/>
      <c r="B800" s="17"/>
      <c r="C800" s="30" t="str">
        <f ca="1">IFERROR(__xludf.DUMMYFUNCTION("""COMPUTED_VALUE"""),"")</f>
        <v/>
      </c>
      <c r="D800" s="17"/>
      <c r="G800" s="30"/>
    </row>
    <row r="801" spans="1:7" ht="12.5" x14ac:dyDescent="0.25">
      <c r="A801" s="17"/>
      <c r="B801" s="17"/>
      <c r="C801" s="30" t="str">
        <f ca="1">IFERROR(__xludf.DUMMYFUNCTION("""COMPUTED_VALUE"""),"")</f>
        <v/>
      </c>
      <c r="D801" s="17"/>
      <c r="G801" s="30"/>
    </row>
    <row r="802" spans="1:7" ht="12.5" x14ac:dyDescent="0.25">
      <c r="A802" s="17"/>
      <c r="B802" s="17"/>
      <c r="C802" s="30" t="str">
        <f ca="1">IFERROR(__xludf.DUMMYFUNCTION("""COMPUTED_VALUE"""),"")</f>
        <v/>
      </c>
      <c r="D802" s="17"/>
      <c r="G802" s="30"/>
    </row>
    <row r="803" spans="1:7" ht="12.5" x14ac:dyDescent="0.25">
      <c r="A803" s="17"/>
      <c r="B803" s="17"/>
      <c r="C803" s="30" t="str">
        <f ca="1">IFERROR(__xludf.DUMMYFUNCTION("""COMPUTED_VALUE"""),"")</f>
        <v/>
      </c>
      <c r="D803" s="17"/>
      <c r="G803" s="30"/>
    </row>
    <row r="804" spans="1:7" ht="12.5" x14ac:dyDescent="0.25">
      <c r="A804" s="17"/>
      <c r="B804" s="17"/>
      <c r="C804" s="30" t="str">
        <f ca="1">IFERROR(__xludf.DUMMYFUNCTION("""COMPUTED_VALUE"""),"")</f>
        <v/>
      </c>
      <c r="D804" s="17"/>
      <c r="G804" s="30"/>
    </row>
    <row r="805" spans="1:7" ht="12.5" x14ac:dyDescent="0.25">
      <c r="A805" s="17"/>
      <c r="B805" s="17"/>
      <c r="C805" s="30" t="str">
        <f ca="1">IFERROR(__xludf.DUMMYFUNCTION("""COMPUTED_VALUE"""),"")</f>
        <v/>
      </c>
      <c r="D805" s="17"/>
      <c r="G805" s="30"/>
    </row>
    <row r="806" spans="1:7" ht="12.5" x14ac:dyDescent="0.25">
      <c r="A806" s="17"/>
      <c r="B806" s="17"/>
      <c r="C806" s="30" t="str">
        <f ca="1">IFERROR(__xludf.DUMMYFUNCTION("""COMPUTED_VALUE"""),"")</f>
        <v/>
      </c>
      <c r="D806" s="17"/>
      <c r="G806" s="30"/>
    </row>
    <row r="807" spans="1:7" ht="12.5" x14ac:dyDescent="0.25">
      <c r="A807" s="17"/>
      <c r="B807" s="17"/>
      <c r="C807" s="30" t="str">
        <f ca="1">IFERROR(__xludf.DUMMYFUNCTION("""COMPUTED_VALUE"""),"")</f>
        <v/>
      </c>
      <c r="D807" s="17"/>
      <c r="G807" s="30"/>
    </row>
    <row r="808" spans="1:7" ht="12.5" x14ac:dyDescent="0.25">
      <c r="A808" s="17"/>
      <c r="B808" s="17"/>
      <c r="C808" s="30" t="str">
        <f ca="1">IFERROR(__xludf.DUMMYFUNCTION("""COMPUTED_VALUE"""),"")</f>
        <v/>
      </c>
      <c r="D808" s="17"/>
      <c r="G808" s="30"/>
    </row>
    <row r="809" spans="1:7" ht="12.5" x14ac:dyDescent="0.25">
      <c r="A809" s="17"/>
      <c r="B809" s="17"/>
      <c r="C809" s="30" t="str">
        <f ca="1">IFERROR(__xludf.DUMMYFUNCTION("""COMPUTED_VALUE"""),"")</f>
        <v/>
      </c>
      <c r="D809" s="17"/>
      <c r="G809" s="30"/>
    </row>
    <row r="810" spans="1:7" ht="12.5" x14ac:dyDescent="0.25">
      <c r="A810" s="17"/>
      <c r="B810" s="17"/>
      <c r="C810" s="30" t="str">
        <f ca="1">IFERROR(__xludf.DUMMYFUNCTION("""COMPUTED_VALUE"""),"")</f>
        <v/>
      </c>
      <c r="D810" s="17"/>
      <c r="G810" s="30"/>
    </row>
    <row r="811" spans="1:7" ht="12.5" x14ac:dyDescent="0.25">
      <c r="A811" s="17"/>
      <c r="B811" s="17"/>
      <c r="C811" s="30" t="str">
        <f ca="1">IFERROR(__xludf.DUMMYFUNCTION("""COMPUTED_VALUE"""),"")</f>
        <v/>
      </c>
      <c r="D811" s="17"/>
      <c r="G811" s="30"/>
    </row>
    <row r="812" spans="1:7" ht="12.5" x14ac:dyDescent="0.25">
      <c r="A812" s="17"/>
      <c r="B812" s="17"/>
      <c r="C812" s="30" t="str">
        <f ca="1">IFERROR(__xludf.DUMMYFUNCTION("""COMPUTED_VALUE"""),"")</f>
        <v/>
      </c>
      <c r="D812" s="17"/>
      <c r="G812" s="30"/>
    </row>
    <row r="813" spans="1:7" ht="12.5" x14ac:dyDescent="0.25">
      <c r="A813" s="17"/>
      <c r="B813" s="17"/>
      <c r="C813" s="30" t="str">
        <f ca="1">IFERROR(__xludf.DUMMYFUNCTION("""COMPUTED_VALUE"""),"")</f>
        <v/>
      </c>
      <c r="D813" s="17"/>
      <c r="G813" s="30"/>
    </row>
    <row r="814" spans="1:7" ht="12.5" x14ac:dyDescent="0.25">
      <c r="A814" s="17"/>
      <c r="B814" s="17"/>
      <c r="C814" s="30" t="str">
        <f ca="1">IFERROR(__xludf.DUMMYFUNCTION("""COMPUTED_VALUE"""),"")</f>
        <v/>
      </c>
      <c r="D814" s="17"/>
      <c r="G814" s="30"/>
    </row>
    <row r="815" spans="1:7" ht="12.5" x14ac:dyDescent="0.25">
      <c r="A815" s="17"/>
      <c r="B815" s="17"/>
      <c r="C815" s="30" t="str">
        <f ca="1">IFERROR(__xludf.DUMMYFUNCTION("""COMPUTED_VALUE"""),"")</f>
        <v/>
      </c>
      <c r="D815" s="17"/>
      <c r="G815" s="30"/>
    </row>
    <row r="816" spans="1:7" ht="12.5" x14ac:dyDescent="0.25">
      <c r="A816" s="17"/>
      <c r="B816" s="17"/>
      <c r="C816" s="30" t="str">
        <f ca="1">IFERROR(__xludf.DUMMYFUNCTION("""COMPUTED_VALUE"""),"")</f>
        <v/>
      </c>
      <c r="D816" s="17"/>
      <c r="G816" s="30"/>
    </row>
    <row r="817" spans="1:7" ht="12.5" x14ac:dyDescent="0.25">
      <c r="A817" s="17"/>
      <c r="B817" s="17"/>
      <c r="C817" s="30" t="str">
        <f ca="1">IFERROR(__xludf.DUMMYFUNCTION("""COMPUTED_VALUE"""),"")</f>
        <v/>
      </c>
      <c r="D817" s="17"/>
      <c r="G817" s="30"/>
    </row>
    <row r="818" spans="1:7" ht="12.5" x14ac:dyDescent="0.25">
      <c r="A818" s="17"/>
      <c r="B818" s="17"/>
      <c r="C818" s="30" t="str">
        <f ca="1">IFERROR(__xludf.DUMMYFUNCTION("""COMPUTED_VALUE"""),"")</f>
        <v/>
      </c>
      <c r="D818" s="17"/>
      <c r="G818" s="30"/>
    </row>
    <row r="819" spans="1:7" ht="12.5" x14ac:dyDescent="0.25">
      <c r="A819" s="17"/>
      <c r="B819" s="17"/>
      <c r="C819" s="30" t="str">
        <f ca="1">IFERROR(__xludf.DUMMYFUNCTION("""COMPUTED_VALUE"""),"")</f>
        <v/>
      </c>
      <c r="D819" s="17"/>
      <c r="G819" s="30"/>
    </row>
    <row r="820" spans="1:7" ht="12.5" x14ac:dyDescent="0.25">
      <c r="A820" s="17"/>
      <c r="B820" s="17"/>
      <c r="C820" s="30" t="str">
        <f ca="1">IFERROR(__xludf.DUMMYFUNCTION("""COMPUTED_VALUE"""),"")</f>
        <v/>
      </c>
      <c r="D820" s="17"/>
      <c r="G820" s="30"/>
    </row>
    <row r="821" spans="1:7" ht="12.5" x14ac:dyDescent="0.25">
      <c r="A821" s="17"/>
      <c r="B821" s="17"/>
      <c r="C821" s="30" t="str">
        <f ca="1">IFERROR(__xludf.DUMMYFUNCTION("""COMPUTED_VALUE"""),"")</f>
        <v/>
      </c>
      <c r="D821" s="17"/>
      <c r="G821" s="30"/>
    </row>
    <row r="822" spans="1:7" ht="12.5" x14ac:dyDescent="0.25">
      <c r="A822" s="17"/>
      <c r="B822" s="17"/>
      <c r="C822" s="30" t="str">
        <f ca="1">IFERROR(__xludf.DUMMYFUNCTION("""COMPUTED_VALUE"""),"")</f>
        <v/>
      </c>
      <c r="D822" s="17"/>
      <c r="G822" s="30"/>
    </row>
    <row r="823" spans="1:7" ht="12.5" x14ac:dyDescent="0.25">
      <c r="A823" s="17"/>
      <c r="B823" s="17"/>
      <c r="C823" s="30" t="str">
        <f ca="1">IFERROR(__xludf.DUMMYFUNCTION("""COMPUTED_VALUE"""),"")</f>
        <v/>
      </c>
      <c r="D823" s="17"/>
      <c r="G823" s="30"/>
    </row>
    <row r="824" spans="1:7" ht="12.5" x14ac:dyDescent="0.25">
      <c r="A824" s="17"/>
      <c r="B824" s="17"/>
      <c r="C824" s="30" t="str">
        <f ca="1">IFERROR(__xludf.DUMMYFUNCTION("""COMPUTED_VALUE"""),"")</f>
        <v/>
      </c>
      <c r="D824" s="17"/>
      <c r="G824" s="30"/>
    </row>
    <row r="825" spans="1:7" ht="12.5" x14ac:dyDescent="0.25">
      <c r="A825" s="17"/>
      <c r="B825" s="17"/>
      <c r="C825" s="30" t="str">
        <f ca="1">IFERROR(__xludf.DUMMYFUNCTION("""COMPUTED_VALUE"""),"")</f>
        <v/>
      </c>
      <c r="D825" s="17"/>
      <c r="G825" s="30"/>
    </row>
    <row r="826" spans="1:7" ht="12.5" x14ac:dyDescent="0.25">
      <c r="A826" s="17"/>
      <c r="B826" s="17"/>
      <c r="C826" s="30" t="str">
        <f ca="1">IFERROR(__xludf.DUMMYFUNCTION("""COMPUTED_VALUE"""),"")</f>
        <v/>
      </c>
      <c r="D826" s="17"/>
      <c r="G826" s="30"/>
    </row>
    <row r="827" spans="1:7" ht="12.5" x14ac:dyDescent="0.25">
      <c r="A827" s="17"/>
      <c r="B827" s="17"/>
      <c r="C827" s="30" t="str">
        <f ca="1">IFERROR(__xludf.DUMMYFUNCTION("""COMPUTED_VALUE"""),"")</f>
        <v/>
      </c>
      <c r="D827" s="17"/>
      <c r="G827" s="30"/>
    </row>
    <row r="828" spans="1:7" ht="12.5" x14ac:dyDescent="0.25">
      <c r="A828" s="17"/>
      <c r="B828" s="17"/>
      <c r="C828" s="30" t="str">
        <f ca="1">IFERROR(__xludf.DUMMYFUNCTION("""COMPUTED_VALUE"""),"")</f>
        <v/>
      </c>
      <c r="D828" s="17"/>
      <c r="G828" s="30"/>
    </row>
    <row r="829" spans="1:7" ht="12.5" x14ac:dyDescent="0.25">
      <c r="A829" s="17"/>
      <c r="B829" s="17"/>
      <c r="C829" s="30" t="str">
        <f ca="1">IFERROR(__xludf.DUMMYFUNCTION("""COMPUTED_VALUE"""),"")</f>
        <v/>
      </c>
      <c r="D829" s="17"/>
      <c r="G829" s="30"/>
    </row>
    <row r="830" spans="1:7" ht="12.5" x14ac:dyDescent="0.25">
      <c r="A830" s="17"/>
      <c r="B830" s="17"/>
      <c r="C830" s="30" t="str">
        <f ca="1">IFERROR(__xludf.DUMMYFUNCTION("""COMPUTED_VALUE"""),"")</f>
        <v/>
      </c>
      <c r="D830" s="17"/>
      <c r="G830" s="30"/>
    </row>
    <row r="831" spans="1:7" ht="12.5" x14ac:dyDescent="0.25">
      <c r="A831" s="17"/>
      <c r="B831" s="17"/>
      <c r="C831" s="30" t="str">
        <f ca="1">IFERROR(__xludf.DUMMYFUNCTION("""COMPUTED_VALUE"""),"")</f>
        <v/>
      </c>
      <c r="D831" s="17"/>
      <c r="G831" s="30"/>
    </row>
    <row r="832" spans="1:7" ht="12.5" x14ac:dyDescent="0.25">
      <c r="A832" s="17"/>
      <c r="B832" s="17"/>
      <c r="C832" s="30" t="str">
        <f ca="1">IFERROR(__xludf.DUMMYFUNCTION("""COMPUTED_VALUE"""),"")</f>
        <v/>
      </c>
      <c r="D832" s="17"/>
      <c r="G832" s="30"/>
    </row>
    <row r="833" spans="1:7" ht="12.5" x14ac:dyDescent="0.25">
      <c r="A833" s="17"/>
      <c r="B833" s="17"/>
      <c r="C833" s="30" t="str">
        <f ca="1">IFERROR(__xludf.DUMMYFUNCTION("""COMPUTED_VALUE"""),"")</f>
        <v/>
      </c>
      <c r="D833" s="17"/>
      <c r="G833" s="30"/>
    </row>
    <row r="834" spans="1:7" ht="12.5" x14ac:dyDescent="0.25">
      <c r="A834" s="17"/>
      <c r="B834" s="17"/>
      <c r="C834" s="30" t="str">
        <f ca="1">IFERROR(__xludf.DUMMYFUNCTION("""COMPUTED_VALUE"""),"")</f>
        <v/>
      </c>
      <c r="D834" s="17"/>
      <c r="G834" s="30"/>
    </row>
    <row r="835" spans="1:7" ht="12.5" x14ac:dyDescent="0.25">
      <c r="A835" s="17"/>
      <c r="B835" s="17"/>
      <c r="C835" s="30" t="str">
        <f ca="1">IFERROR(__xludf.DUMMYFUNCTION("""COMPUTED_VALUE"""),"")</f>
        <v/>
      </c>
      <c r="D835" s="17"/>
      <c r="G835" s="30"/>
    </row>
    <row r="836" spans="1:7" ht="12.5" x14ac:dyDescent="0.25">
      <c r="A836" s="17"/>
      <c r="B836" s="17"/>
      <c r="C836" s="30" t="str">
        <f ca="1">IFERROR(__xludf.DUMMYFUNCTION("""COMPUTED_VALUE"""),"")</f>
        <v/>
      </c>
      <c r="D836" s="17"/>
      <c r="G836" s="30"/>
    </row>
    <row r="837" spans="1:7" ht="12.5" x14ac:dyDescent="0.25">
      <c r="A837" s="17"/>
      <c r="B837" s="17"/>
      <c r="C837" s="30" t="str">
        <f ca="1">IFERROR(__xludf.DUMMYFUNCTION("""COMPUTED_VALUE"""),"")</f>
        <v/>
      </c>
      <c r="D837" s="17"/>
      <c r="G837" s="30"/>
    </row>
    <row r="838" spans="1:7" ht="12.5" x14ac:dyDescent="0.25">
      <c r="A838" s="17"/>
      <c r="B838" s="17"/>
      <c r="C838" s="30" t="str">
        <f ca="1">IFERROR(__xludf.DUMMYFUNCTION("""COMPUTED_VALUE"""),"")</f>
        <v/>
      </c>
      <c r="D838" s="17"/>
      <c r="G838" s="30"/>
    </row>
    <row r="839" spans="1:7" ht="12.5" x14ac:dyDescent="0.25">
      <c r="A839" s="17"/>
      <c r="B839" s="17"/>
      <c r="C839" s="30" t="str">
        <f ca="1">IFERROR(__xludf.DUMMYFUNCTION("""COMPUTED_VALUE"""),"")</f>
        <v/>
      </c>
      <c r="D839" s="17"/>
      <c r="G839" s="30"/>
    </row>
    <row r="840" spans="1:7" ht="12.5" x14ac:dyDescent="0.25">
      <c r="A840" s="17"/>
      <c r="B840" s="17"/>
      <c r="C840" s="30" t="str">
        <f ca="1">IFERROR(__xludf.DUMMYFUNCTION("""COMPUTED_VALUE"""),"")</f>
        <v/>
      </c>
      <c r="D840" s="17"/>
      <c r="G840" s="30"/>
    </row>
    <row r="841" spans="1:7" ht="12.5" x14ac:dyDescent="0.25">
      <c r="A841" s="17"/>
      <c r="B841" s="17"/>
      <c r="C841" s="30" t="str">
        <f ca="1">IFERROR(__xludf.DUMMYFUNCTION("""COMPUTED_VALUE"""),"")</f>
        <v/>
      </c>
      <c r="D841" s="17"/>
      <c r="G841" s="30"/>
    </row>
    <row r="842" spans="1:7" ht="12.5" x14ac:dyDescent="0.25">
      <c r="A842" s="17"/>
      <c r="B842" s="17"/>
      <c r="C842" s="30" t="str">
        <f ca="1">IFERROR(__xludf.DUMMYFUNCTION("""COMPUTED_VALUE"""),"")</f>
        <v/>
      </c>
      <c r="D842" s="17"/>
      <c r="G842" s="30"/>
    </row>
    <row r="843" spans="1:7" ht="12.5" x14ac:dyDescent="0.25">
      <c r="A843" s="17"/>
      <c r="B843" s="17"/>
      <c r="C843" s="30" t="str">
        <f ca="1">IFERROR(__xludf.DUMMYFUNCTION("""COMPUTED_VALUE"""),"")</f>
        <v/>
      </c>
      <c r="D843" s="17"/>
      <c r="G843" s="30"/>
    </row>
    <row r="844" spans="1:7" ht="12.5" x14ac:dyDescent="0.25">
      <c r="A844" s="17"/>
      <c r="B844" s="17"/>
      <c r="C844" s="30" t="str">
        <f ca="1">IFERROR(__xludf.DUMMYFUNCTION("""COMPUTED_VALUE"""),"")</f>
        <v/>
      </c>
      <c r="D844" s="17"/>
      <c r="G844" s="30"/>
    </row>
    <row r="845" spans="1:7" ht="12.5" x14ac:dyDescent="0.25">
      <c r="A845" s="17"/>
      <c r="B845" s="17"/>
      <c r="C845" s="30" t="str">
        <f ca="1">IFERROR(__xludf.DUMMYFUNCTION("""COMPUTED_VALUE"""),"")</f>
        <v/>
      </c>
      <c r="D845" s="17"/>
      <c r="G845" s="30"/>
    </row>
    <row r="846" spans="1:7" ht="12.5" x14ac:dyDescent="0.25">
      <c r="A846" s="17"/>
      <c r="B846" s="17"/>
      <c r="C846" s="30" t="str">
        <f ca="1">IFERROR(__xludf.DUMMYFUNCTION("""COMPUTED_VALUE"""),"")</f>
        <v/>
      </c>
      <c r="D846" s="17"/>
      <c r="G846" s="30"/>
    </row>
    <row r="847" spans="1:7" ht="12.5" x14ac:dyDescent="0.25">
      <c r="A847" s="17"/>
      <c r="B847" s="17"/>
      <c r="C847" s="30" t="str">
        <f ca="1">IFERROR(__xludf.DUMMYFUNCTION("""COMPUTED_VALUE"""),"")</f>
        <v/>
      </c>
      <c r="D847" s="17"/>
      <c r="G847" s="30"/>
    </row>
    <row r="848" spans="1:7" ht="12.5" x14ac:dyDescent="0.25">
      <c r="A848" s="17"/>
      <c r="B848" s="17"/>
      <c r="C848" s="30" t="str">
        <f ca="1">IFERROR(__xludf.DUMMYFUNCTION("""COMPUTED_VALUE"""),"")</f>
        <v/>
      </c>
      <c r="D848" s="17"/>
      <c r="G848" s="30"/>
    </row>
    <row r="849" spans="1:7" ht="12.5" x14ac:dyDescent="0.25">
      <c r="A849" s="17"/>
      <c r="B849" s="17"/>
      <c r="C849" s="30" t="str">
        <f ca="1">IFERROR(__xludf.DUMMYFUNCTION("""COMPUTED_VALUE"""),"")</f>
        <v/>
      </c>
      <c r="D849" s="17"/>
      <c r="G849" s="30"/>
    </row>
    <row r="850" spans="1:7" ht="12.5" x14ac:dyDescent="0.25">
      <c r="A850" s="17"/>
      <c r="B850" s="17"/>
      <c r="C850" s="30" t="str">
        <f ca="1">IFERROR(__xludf.DUMMYFUNCTION("""COMPUTED_VALUE"""),"")</f>
        <v/>
      </c>
      <c r="D850" s="17"/>
      <c r="G850" s="30"/>
    </row>
    <row r="851" spans="1:7" ht="12.5" x14ac:dyDescent="0.25">
      <c r="A851" s="17"/>
      <c r="B851" s="17"/>
      <c r="C851" s="30" t="str">
        <f ca="1">IFERROR(__xludf.DUMMYFUNCTION("""COMPUTED_VALUE"""),"")</f>
        <v/>
      </c>
      <c r="D851" s="17"/>
      <c r="G851" s="30"/>
    </row>
    <row r="852" spans="1:7" ht="12.5" x14ac:dyDescent="0.25">
      <c r="A852" s="17"/>
      <c r="B852" s="17"/>
      <c r="C852" s="30" t="str">
        <f ca="1">IFERROR(__xludf.DUMMYFUNCTION("""COMPUTED_VALUE"""),"")</f>
        <v/>
      </c>
      <c r="D852" s="17"/>
      <c r="G852" s="30"/>
    </row>
    <row r="853" spans="1:7" ht="12.5" x14ac:dyDescent="0.25">
      <c r="A853" s="17"/>
      <c r="B853" s="17"/>
      <c r="C853" s="30" t="str">
        <f ca="1">IFERROR(__xludf.DUMMYFUNCTION("""COMPUTED_VALUE"""),"")</f>
        <v/>
      </c>
      <c r="D853" s="17"/>
      <c r="G853" s="30"/>
    </row>
    <row r="854" spans="1:7" ht="12.5" x14ac:dyDescent="0.25">
      <c r="A854" s="17"/>
      <c r="B854" s="17"/>
      <c r="C854" s="30" t="str">
        <f ca="1">IFERROR(__xludf.DUMMYFUNCTION("""COMPUTED_VALUE"""),"")</f>
        <v/>
      </c>
      <c r="D854" s="17"/>
      <c r="G854" s="30"/>
    </row>
    <row r="855" spans="1:7" ht="12.5" x14ac:dyDescent="0.25">
      <c r="A855" s="17"/>
      <c r="B855" s="17"/>
      <c r="C855" s="30" t="str">
        <f ca="1">IFERROR(__xludf.DUMMYFUNCTION("""COMPUTED_VALUE"""),"")</f>
        <v/>
      </c>
      <c r="D855" s="17"/>
      <c r="G855" s="30"/>
    </row>
    <row r="856" spans="1:7" ht="12.5" x14ac:dyDescent="0.25">
      <c r="A856" s="17"/>
      <c r="B856" s="17"/>
      <c r="C856" s="30" t="str">
        <f ca="1">IFERROR(__xludf.DUMMYFUNCTION("""COMPUTED_VALUE"""),"")</f>
        <v/>
      </c>
      <c r="D856" s="17"/>
      <c r="G856" s="30"/>
    </row>
    <row r="857" spans="1:7" ht="12.5" x14ac:dyDescent="0.25">
      <c r="A857" s="17"/>
      <c r="B857" s="17"/>
      <c r="C857" s="30" t="str">
        <f ca="1">IFERROR(__xludf.DUMMYFUNCTION("""COMPUTED_VALUE"""),"")</f>
        <v/>
      </c>
      <c r="D857" s="17"/>
      <c r="G857" s="30"/>
    </row>
    <row r="858" spans="1:7" ht="12.5" x14ac:dyDescent="0.25">
      <c r="A858" s="17"/>
      <c r="B858" s="17"/>
      <c r="C858" s="30" t="str">
        <f ca="1">IFERROR(__xludf.DUMMYFUNCTION("""COMPUTED_VALUE"""),"")</f>
        <v/>
      </c>
      <c r="D858" s="17"/>
      <c r="G858" s="30"/>
    </row>
    <row r="859" spans="1:7" ht="12.5" x14ac:dyDescent="0.25">
      <c r="A859" s="17"/>
      <c r="B859" s="17"/>
      <c r="C859" s="30" t="str">
        <f ca="1">IFERROR(__xludf.DUMMYFUNCTION("""COMPUTED_VALUE"""),"")</f>
        <v/>
      </c>
      <c r="D859" s="17"/>
      <c r="G859" s="30"/>
    </row>
    <row r="860" spans="1:7" ht="12.5" x14ac:dyDescent="0.25">
      <c r="A860" s="17"/>
      <c r="B860" s="17"/>
      <c r="C860" s="30" t="str">
        <f ca="1">IFERROR(__xludf.DUMMYFUNCTION("""COMPUTED_VALUE"""),"")</f>
        <v/>
      </c>
      <c r="D860" s="17"/>
      <c r="G860" s="30"/>
    </row>
    <row r="861" spans="1:7" ht="12.5" x14ac:dyDescent="0.25">
      <c r="A861" s="17"/>
      <c r="B861" s="17"/>
      <c r="C861" s="30" t="str">
        <f ca="1">IFERROR(__xludf.DUMMYFUNCTION("""COMPUTED_VALUE"""),"")</f>
        <v/>
      </c>
      <c r="D861" s="17"/>
      <c r="G861" s="30"/>
    </row>
    <row r="862" spans="1:7" ht="12.5" x14ac:dyDescent="0.25">
      <c r="A862" s="17"/>
      <c r="B862" s="17"/>
      <c r="C862" s="30" t="str">
        <f ca="1">IFERROR(__xludf.DUMMYFUNCTION("""COMPUTED_VALUE"""),"")</f>
        <v/>
      </c>
      <c r="D862" s="17"/>
      <c r="G862" s="30"/>
    </row>
    <row r="863" spans="1:7" ht="12.5" x14ac:dyDescent="0.25">
      <c r="A863" s="17"/>
      <c r="B863" s="17"/>
      <c r="C863" s="30" t="str">
        <f ca="1">IFERROR(__xludf.DUMMYFUNCTION("""COMPUTED_VALUE"""),"")</f>
        <v/>
      </c>
      <c r="D863" s="17"/>
      <c r="G863" s="30"/>
    </row>
    <row r="864" spans="1:7" ht="12.5" x14ac:dyDescent="0.25">
      <c r="A864" s="17"/>
      <c r="B864" s="17"/>
      <c r="C864" s="30" t="str">
        <f ca="1">IFERROR(__xludf.DUMMYFUNCTION("""COMPUTED_VALUE"""),"")</f>
        <v/>
      </c>
      <c r="D864" s="17"/>
      <c r="G864" s="30"/>
    </row>
    <row r="865" spans="1:7" ht="12.5" x14ac:dyDescent="0.25">
      <c r="A865" s="17"/>
      <c r="B865" s="17"/>
      <c r="C865" s="30" t="str">
        <f ca="1">IFERROR(__xludf.DUMMYFUNCTION("""COMPUTED_VALUE"""),"")</f>
        <v/>
      </c>
      <c r="D865" s="17"/>
      <c r="G865" s="30"/>
    </row>
    <row r="866" spans="1:7" ht="12.5" x14ac:dyDescent="0.25">
      <c r="A866" s="17"/>
      <c r="B866" s="17"/>
      <c r="C866" s="30" t="str">
        <f ca="1">IFERROR(__xludf.DUMMYFUNCTION("""COMPUTED_VALUE"""),"")</f>
        <v/>
      </c>
      <c r="D866" s="17"/>
      <c r="G866" s="30"/>
    </row>
    <row r="867" spans="1:7" ht="12.5" x14ac:dyDescent="0.25">
      <c r="A867" s="17"/>
      <c r="B867" s="17"/>
      <c r="C867" s="30" t="str">
        <f ca="1">IFERROR(__xludf.DUMMYFUNCTION("""COMPUTED_VALUE"""),"")</f>
        <v/>
      </c>
      <c r="D867" s="17"/>
      <c r="G867" s="30"/>
    </row>
    <row r="868" spans="1:7" ht="12.5" x14ac:dyDescent="0.25">
      <c r="A868" s="17"/>
      <c r="B868" s="17"/>
      <c r="C868" s="30" t="str">
        <f ca="1">IFERROR(__xludf.DUMMYFUNCTION("""COMPUTED_VALUE"""),"")</f>
        <v/>
      </c>
      <c r="D868" s="17"/>
      <c r="G868" s="30"/>
    </row>
    <row r="869" spans="1:7" ht="12.5" x14ac:dyDescent="0.25">
      <c r="A869" s="17"/>
      <c r="B869" s="17"/>
      <c r="C869" s="30" t="str">
        <f ca="1">IFERROR(__xludf.DUMMYFUNCTION("""COMPUTED_VALUE"""),"")</f>
        <v/>
      </c>
      <c r="D869" s="17"/>
      <c r="G869" s="30"/>
    </row>
    <row r="870" spans="1:7" ht="12.5" x14ac:dyDescent="0.25">
      <c r="A870" s="17"/>
      <c r="B870" s="17"/>
      <c r="C870" s="30" t="str">
        <f ca="1">IFERROR(__xludf.DUMMYFUNCTION("""COMPUTED_VALUE"""),"")</f>
        <v/>
      </c>
      <c r="D870" s="17"/>
      <c r="G870" s="30"/>
    </row>
    <row r="871" spans="1:7" ht="12.5" x14ac:dyDescent="0.25">
      <c r="A871" s="17"/>
      <c r="B871" s="17"/>
      <c r="C871" s="30" t="str">
        <f ca="1">IFERROR(__xludf.DUMMYFUNCTION("""COMPUTED_VALUE"""),"")</f>
        <v/>
      </c>
      <c r="D871" s="17"/>
      <c r="G871" s="30"/>
    </row>
    <row r="872" spans="1:7" ht="12.5" x14ac:dyDescent="0.25">
      <c r="A872" s="17"/>
      <c r="B872" s="17"/>
      <c r="C872" s="30" t="str">
        <f ca="1">IFERROR(__xludf.DUMMYFUNCTION("""COMPUTED_VALUE"""),"")</f>
        <v/>
      </c>
      <c r="D872" s="17"/>
      <c r="G872" s="30"/>
    </row>
    <row r="873" spans="1:7" ht="12.5" x14ac:dyDescent="0.25">
      <c r="A873" s="17"/>
      <c r="B873" s="17"/>
      <c r="C873" s="30" t="str">
        <f ca="1">IFERROR(__xludf.DUMMYFUNCTION("""COMPUTED_VALUE"""),"")</f>
        <v/>
      </c>
      <c r="D873" s="17"/>
      <c r="G873" s="30"/>
    </row>
    <row r="874" spans="1:7" ht="12.5" x14ac:dyDescent="0.25">
      <c r="A874" s="17"/>
      <c r="B874" s="17"/>
      <c r="C874" s="30" t="str">
        <f ca="1">IFERROR(__xludf.DUMMYFUNCTION("""COMPUTED_VALUE"""),"")</f>
        <v/>
      </c>
      <c r="D874" s="17"/>
      <c r="G874" s="30"/>
    </row>
    <row r="875" spans="1:7" ht="12.5" x14ac:dyDescent="0.25">
      <c r="A875" s="17"/>
      <c r="B875" s="17"/>
      <c r="C875" s="30" t="str">
        <f ca="1">IFERROR(__xludf.DUMMYFUNCTION("""COMPUTED_VALUE"""),"")</f>
        <v/>
      </c>
      <c r="D875" s="17"/>
      <c r="G875" s="30"/>
    </row>
    <row r="876" spans="1:7" ht="12.5" x14ac:dyDescent="0.25">
      <c r="A876" s="17"/>
      <c r="B876" s="17"/>
      <c r="C876" s="30" t="str">
        <f ca="1">IFERROR(__xludf.DUMMYFUNCTION("""COMPUTED_VALUE"""),"")</f>
        <v/>
      </c>
      <c r="D876" s="17"/>
      <c r="G876" s="30"/>
    </row>
    <row r="877" spans="1:7" ht="12.5" x14ac:dyDescent="0.25">
      <c r="A877" s="17"/>
      <c r="B877" s="17"/>
      <c r="C877" s="30" t="str">
        <f ca="1">IFERROR(__xludf.DUMMYFUNCTION("""COMPUTED_VALUE"""),"")</f>
        <v/>
      </c>
      <c r="D877" s="17"/>
      <c r="G877" s="30"/>
    </row>
    <row r="878" spans="1:7" ht="12.5" x14ac:dyDescent="0.25">
      <c r="A878" s="17"/>
      <c r="B878" s="17"/>
      <c r="C878" s="30" t="str">
        <f ca="1">IFERROR(__xludf.DUMMYFUNCTION("""COMPUTED_VALUE"""),"")</f>
        <v/>
      </c>
      <c r="D878" s="17"/>
      <c r="G878" s="30"/>
    </row>
    <row r="879" spans="1:7" ht="12.5" x14ac:dyDescent="0.25">
      <c r="A879" s="17"/>
      <c r="B879" s="17"/>
      <c r="C879" s="30" t="str">
        <f ca="1">IFERROR(__xludf.DUMMYFUNCTION("""COMPUTED_VALUE"""),"")</f>
        <v/>
      </c>
      <c r="D879" s="17"/>
      <c r="G879" s="30"/>
    </row>
    <row r="880" spans="1:7" ht="12.5" x14ac:dyDescent="0.25">
      <c r="A880" s="17"/>
      <c r="B880" s="17"/>
      <c r="C880" s="30" t="str">
        <f ca="1">IFERROR(__xludf.DUMMYFUNCTION("""COMPUTED_VALUE"""),"")</f>
        <v/>
      </c>
      <c r="D880" s="17"/>
      <c r="G880" s="30"/>
    </row>
    <row r="881" spans="1:7" ht="12.5" x14ac:dyDescent="0.25">
      <c r="A881" s="17"/>
      <c r="B881" s="17"/>
      <c r="C881" s="30" t="str">
        <f ca="1">IFERROR(__xludf.DUMMYFUNCTION("""COMPUTED_VALUE"""),"")</f>
        <v/>
      </c>
      <c r="D881" s="17"/>
      <c r="G881" s="30"/>
    </row>
    <row r="882" spans="1:7" ht="12.5" x14ac:dyDescent="0.25">
      <c r="A882" s="17"/>
      <c r="B882" s="17"/>
      <c r="C882" s="30" t="str">
        <f ca="1">IFERROR(__xludf.DUMMYFUNCTION("""COMPUTED_VALUE"""),"")</f>
        <v/>
      </c>
      <c r="D882" s="17"/>
      <c r="G882" s="30"/>
    </row>
    <row r="883" spans="1:7" ht="12.5" x14ac:dyDescent="0.25">
      <c r="A883" s="17"/>
      <c r="B883" s="17"/>
      <c r="C883" s="30" t="str">
        <f ca="1">IFERROR(__xludf.DUMMYFUNCTION("""COMPUTED_VALUE"""),"")</f>
        <v/>
      </c>
      <c r="D883" s="17"/>
      <c r="G883" s="30"/>
    </row>
    <row r="884" spans="1:7" ht="12.5" x14ac:dyDescent="0.25">
      <c r="A884" s="17"/>
      <c r="B884" s="17"/>
      <c r="C884" s="30" t="str">
        <f ca="1">IFERROR(__xludf.DUMMYFUNCTION("""COMPUTED_VALUE"""),"")</f>
        <v/>
      </c>
      <c r="D884" s="17"/>
      <c r="G884" s="30"/>
    </row>
    <row r="885" spans="1:7" ht="12.5" x14ac:dyDescent="0.25">
      <c r="A885" s="17"/>
      <c r="B885" s="17"/>
      <c r="C885" s="30" t="str">
        <f ca="1">IFERROR(__xludf.DUMMYFUNCTION("""COMPUTED_VALUE"""),"")</f>
        <v/>
      </c>
      <c r="D885" s="17"/>
      <c r="G885" s="30"/>
    </row>
    <row r="886" spans="1:7" ht="12.5" x14ac:dyDescent="0.25">
      <c r="A886" s="17"/>
      <c r="B886" s="17"/>
      <c r="C886" s="30" t="str">
        <f ca="1">IFERROR(__xludf.DUMMYFUNCTION("""COMPUTED_VALUE"""),"")</f>
        <v/>
      </c>
      <c r="D886" s="17"/>
      <c r="G886" s="30"/>
    </row>
    <row r="887" spans="1:7" ht="12.5" x14ac:dyDescent="0.25">
      <c r="A887" s="17"/>
      <c r="B887" s="17"/>
      <c r="C887" s="30" t="str">
        <f ca="1">IFERROR(__xludf.DUMMYFUNCTION("""COMPUTED_VALUE"""),"")</f>
        <v/>
      </c>
      <c r="D887" s="17"/>
      <c r="G887" s="30"/>
    </row>
    <row r="888" spans="1:7" ht="12.5" x14ac:dyDescent="0.25">
      <c r="A888" s="17"/>
      <c r="B888" s="17"/>
      <c r="C888" s="30" t="str">
        <f ca="1">IFERROR(__xludf.DUMMYFUNCTION("""COMPUTED_VALUE"""),"")</f>
        <v/>
      </c>
      <c r="D888" s="17"/>
      <c r="G888" s="30"/>
    </row>
    <row r="889" spans="1:7" ht="12.5" x14ac:dyDescent="0.25">
      <c r="A889" s="17"/>
      <c r="B889" s="17"/>
      <c r="C889" s="30" t="str">
        <f ca="1">IFERROR(__xludf.DUMMYFUNCTION("""COMPUTED_VALUE"""),"")</f>
        <v/>
      </c>
      <c r="D889" s="17"/>
      <c r="G889" s="30"/>
    </row>
    <row r="890" spans="1:7" ht="12.5" x14ac:dyDescent="0.25">
      <c r="A890" s="17"/>
      <c r="B890" s="17"/>
      <c r="C890" s="30" t="str">
        <f ca="1">IFERROR(__xludf.DUMMYFUNCTION("""COMPUTED_VALUE"""),"")</f>
        <v/>
      </c>
      <c r="D890" s="17"/>
      <c r="G890" s="30"/>
    </row>
    <row r="891" spans="1:7" ht="12.5" x14ac:dyDescent="0.25">
      <c r="A891" s="17"/>
      <c r="B891" s="17"/>
      <c r="C891" s="30" t="str">
        <f ca="1">IFERROR(__xludf.DUMMYFUNCTION("""COMPUTED_VALUE"""),"")</f>
        <v/>
      </c>
      <c r="D891" s="17"/>
      <c r="G891" s="30"/>
    </row>
    <row r="892" spans="1:7" ht="12.5" x14ac:dyDescent="0.25">
      <c r="A892" s="17"/>
      <c r="B892" s="17"/>
      <c r="C892" s="30" t="str">
        <f ca="1">IFERROR(__xludf.DUMMYFUNCTION("""COMPUTED_VALUE"""),"")</f>
        <v/>
      </c>
      <c r="D892" s="17"/>
      <c r="G892" s="30"/>
    </row>
    <row r="893" spans="1:7" ht="12.5" x14ac:dyDescent="0.25">
      <c r="A893" s="17"/>
      <c r="B893" s="17"/>
      <c r="C893" s="30" t="str">
        <f ca="1">IFERROR(__xludf.DUMMYFUNCTION("""COMPUTED_VALUE"""),"")</f>
        <v/>
      </c>
      <c r="D893" s="17"/>
      <c r="G893" s="30"/>
    </row>
    <row r="894" spans="1:7" ht="12.5" x14ac:dyDescent="0.25">
      <c r="A894" s="17"/>
      <c r="B894" s="17"/>
      <c r="C894" s="30" t="str">
        <f ca="1">IFERROR(__xludf.DUMMYFUNCTION("""COMPUTED_VALUE"""),"")</f>
        <v/>
      </c>
      <c r="D894" s="17"/>
      <c r="G894" s="30"/>
    </row>
    <row r="895" spans="1:7" ht="12.5" x14ac:dyDescent="0.25">
      <c r="A895" s="17"/>
      <c r="B895" s="17"/>
      <c r="C895" s="30" t="str">
        <f ca="1">IFERROR(__xludf.DUMMYFUNCTION("""COMPUTED_VALUE"""),"")</f>
        <v/>
      </c>
      <c r="D895" s="17"/>
      <c r="G895" s="30"/>
    </row>
    <row r="896" spans="1:7" ht="12.5" x14ac:dyDescent="0.25">
      <c r="A896" s="17"/>
      <c r="B896" s="17"/>
      <c r="C896" s="30" t="str">
        <f ca="1">IFERROR(__xludf.DUMMYFUNCTION("""COMPUTED_VALUE"""),"")</f>
        <v/>
      </c>
      <c r="D896" s="17"/>
      <c r="G896" s="30"/>
    </row>
    <row r="897" spans="1:7" ht="12.5" x14ac:dyDescent="0.25">
      <c r="A897" s="17"/>
      <c r="B897" s="17"/>
      <c r="C897" s="30" t="str">
        <f ca="1">IFERROR(__xludf.DUMMYFUNCTION("""COMPUTED_VALUE"""),"")</f>
        <v/>
      </c>
      <c r="D897" s="17"/>
      <c r="G897" s="30"/>
    </row>
    <row r="898" spans="1:7" ht="12.5" x14ac:dyDescent="0.25">
      <c r="A898" s="17"/>
      <c r="B898" s="17"/>
      <c r="C898" s="30" t="str">
        <f ca="1">IFERROR(__xludf.DUMMYFUNCTION("""COMPUTED_VALUE"""),"")</f>
        <v/>
      </c>
      <c r="D898" s="17"/>
      <c r="G898" s="30"/>
    </row>
    <row r="899" spans="1:7" ht="12.5" x14ac:dyDescent="0.25">
      <c r="A899" s="17"/>
      <c r="B899" s="17"/>
      <c r="C899" s="30" t="str">
        <f ca="1">IFERROR(__xludf.DUMMYFUNCTION("""COMPUTED_VALUE"""),"")</f>
        <v/>
      </c>
      <c r="D899" s="17"/>
      <c r="G899" s="30"/>
    </row>
    <row r="900" spans="1:7" ht="12.5" x14ac:dyDescent="0.25">
      <c r="A900" s="17"/>
      <c r="B900" s="17"/>
      <c r="C900" s="30" t="str">
        <f ca="1">IFERROR(__xludf.DUMMYFUNCTION("""COMPUTED_VALUE"""),"")</f>
        <v/>
      </c>
      <c r="D900" s="17"/>
      <c r="G900" s="30"/>
    </row>
    <row r="901" spans="1:7" ht="12.5" x14ac:dyDescent="0.25">
      <c r="A901" s="17"/>
      <c r="B901" s="17"/>
      <c r="C901" s="30" t="str">
        <f ca="1">IFERROR(__xludf.DUMMYFUNCTION("""COMPUTED_VALUE"""),"")</f>
        <v/>
      </c>
      <c r="D901" s="17"/>
      <c r="G901" s="30"/>
    </row>
    <row r="902" spans="1:7" ht="12.5" x14ac:dyDescent="0.25">
      <c r="A902" s="17"/>
      <c r="B902" s="17"/>
      <c r="C902" s="30" t="str">
        <f ca="1">IFERROR(__xludf.DUMMYFUNCTION("""COMPUTED_VALUE"""),"")</f>
        <v/>
      </c>
      <c r="D902" s="17"/>
      <c r="G902" s="30"/>
    </row>
    <row r="903" spans="1:7" ht="12.5" x14ac:dyDescent="0.25">
      <c r="A903" s="17"/>
      <c r="B903" s="17"/>
      <c r="C903" s="30" t="str">
        <f ca="1">IFERROR(__xludf.DUMMYFUNCTION("""COMPUTED_VALUE"""),"")</f>
        <v/>
      </c>
      <c r="D903" s="17"/>
      <c r="G903" s="30"/>
    </row>
    <row r="904" spans="1:7" ht="12.5" x14ac:dyDescent="0.25">
      <c r="A904" s="17"/>
      <c r="B904" s="17"/>
      <c r="C904" s="30" t="str">
        <f ca="1">IFERROR(__xludf.DUMMYFUNCTION("""COMPUTED_VALUE"""),"")</f>
        <v/>
      </c>
      <c r="D904" s="17"/>
      <c r="G904" s="30"/>
    </row>
    <row r="905" spans="1:7" ht="12.5" x14ac:dyDescent="0.25">
      <c r="A905" s="17"/>
      <c r="B905" s="17"/>
      <c r="C905" s="30" t="str">
        <f ca="1">IFERROR(__xludf.DUMMYFUNCTION("""COMPUTED_VALUE"""),"")</f>
        <v/>
      </c>
      <c r="D905" s="17"/>
      <c r="G905" s="30"/>
    </row>
    <row r="906" spans="1:7" ht="12.5" x14ac:dyDescent="0.25">
      <c r="A906" s="17"/>
      <c r="B906" s="17"/>
      <c r="C906" s="30" t="str">
        <f ca="1">IFERROR(__xludf.DUMMYFUNCTION("""COMPUTED_VALUE"""),"")</f>
        <v/>
      </c>
      <c r="D906" s="17"/>
      <c r="G906" s="30"/>
    </row>
    <row r="907" spans="1:7" ht="12.5" x14ac:dyDescent="0.25">
      <c r="A907" s="17"/>
      <c r="B907" s="17"/>
      <c r="C907" s="30" t="str">
        <f ca="1">IFERROR(__xludf.DUMMYFUNCTION("""COMPUTED_VALUE"""),"")</f>
        <v/>
      </c>
      <c r="D907" s="17"/>
      <c r="G907" s="30"/>
    </row>
    <row r="908" spans="1:7" ht="12.5" x14ac:dyDescent="0.25">
      <c r="A908" s="17"/>
      <c r="B908" s="17"/>
      <c r="C908" s="30" t="str">
        <f ca="1">IFERROR(__xludf.DUMMYFUNCTION("""COMPUTED_VALUE"""),"")</f>
        <v/>
      </c>
      <c r="D908" s="17"/>
      <c r="G908" s="30"/>
    </row>
    <row r="909" spans="1:7" ht="12.5" x14ac:dyDescent="0.25">
      <c r="A909" s="17"/>
      <c r="B909" s="17"/>
      <c r="C909" s="30" t="str">
        <f ca="1">IFERROR(__xludf.DUMMYFUNCTION("""COMPUTED_VALUE"""),"")</f>
        <v/>
      </c>
      <c r="D909" s="17"/>
      <c r="G909" s="30"/>
    </row>
    <row r="910" spans="1:7" ht="12.5" x14ac:dyDescent="0.25">
      <c r="A910" s="17"/>
      <c r="B910" s="17"/>
      <c r="C910" s="30" t="str">
        <f ca="1">IFERROR(__xludf.DUMMYFUNCTION("""COMPUTED_VALUE"""),"")</f>
        <v/>
      </c>
      <c r="D910" s="17"/>
      <c r="G910" s="30"/>
    </row>
    <row r="911" spans="1:7" ht="12.5" x14ac:dyDescent="0.25">
      <c r="A911" s="17"/>
      <c r="B911" s="17"/>
      <c r="C911" s="30" t="str">
        <f ca="1">IFERROR(__xludf.DUMMYFUNCTION("""COMPUTED_VALUE"""),"")</f>
        <v/>
      </c>
      <c r="D911" s="17"/>
      <c r="G911" s="30"/>
    </row>
    <row r="912" spans="1:7" ht="12.5" x14ac:dyDescent="0.25">
      <c r="A912" s="17"/>
      <c r="B912" s="17"/>
      <c r="C912" s="30" t="str">
        <f ca="1">IFERROR(__xludf.DUMMYFUNCTION("""COMPUTED_VALUE"""),"")</f>
        <v/>
      </c>
      <c r="D912" s="17"/>
      <c r="G912" s="30"/>
    </row>
    <row r="913" spans="1:7" ht="12.5" x14ac:dyDescent="0.25">
      <c r="A913" s="17"/>
      <c r="B913" s="17"/>
      <c r="C913" s="30" t="str">
        <f ca="1">IFERROR(__xludf.DUMMYFUNCTION("""COMPUTED_VALUE"""),"")</f>
        <v/>
      </c>
      <c r="D913" s="17"/>
      <c r="G913" s="30"/>
    </row>
    <row r="914" spans="1:7" ht="12.5" x14ac:dyDescent="0.25">
      <c r="A914" s="17"/>
      <c r="B914" s="17"/>
      <c r="C914" s="30" t="str">
        <f ca="1">IFERROR(__xludf.DUMMYFUNCTION("""COMPUTED_VALUE"""),"")</f>
        <v/>
      </c>
      <c r="D914" s="17"/>
      <c r="G914" s="30"/>
    </row>
    <row r="915" spans="1:7" ht="12.5" x14ac:dyDescent="0.25">
      <c r="A915" s="17"/>
      <c r="B915" s="17"/>
      <c r="C915" s="30" t="str">
        <f ca="1">IFERROR(__xludf.DUMMYFUNCTION("""COMPUTED_VALUE"""),"")</f>
        <v/>
      </c>
      <c r="D915" s="17"/>
      <c r="G915" s="30"/>
    </row>
    <row r="916" spans="1:7" ht="12.5" x14ac:dyDescent="0.25">
      <c r="A916" s="17"/>
      <c r="B916" s="17"/>
      <c r="C916" s="30" t="str">
        <f ca="1">IFERROR(__xludf.DUMMYFUNCTION("""COMPUTED_VALUE"""),"")</f>
        <v/>
      </c>
      <c r="D916" s="17"/>
      <c r="G916" s="30"/>
    </row>
    <row r="917" spans="1:7" ht="12.5" x14ac:dyDescent="0.25">
      <c r="A917" s="17"/>
      <c r="B917" s="17"/>
      <c r="C917" s="30" t="str">
        <f ca="1">IFERROR(__xludf.DUMMYFUNCTION("""COMPUTED_VALUE"""),"")</f>
        <v/>
      </c>
      <c r="D917" s="17"/>
      <c r="G917" s="30"/>
    </row>
    <row r="918" spans="1:7" ht="12.5" x14ac:dyDescent="0.25">
      <c r="A918" s="17"/>
      <c r="B918" s="17"/>
      <c r="C918" s="30" t="str">
        <f ca="1">IFERROR(__xludf.DUMMYFUNCTION("""COMPUTED_VALUE"""),"")</f>
        <v/>
      </c>
      <c r="D918" s="17"/>
      <c r="G918" s="30"/>
    </row>
    <row r="919" spans="1:7" ht="12.5" x14ac:dyDescent="0.25">
      <c r="A919" s="17"/>
      <c r="B919" s="17"/>
      <c r="C919" s="30" t="str">
        <f ca="1">IFERROR(__xludf.DUMMYFUNCTION("""COMPUTED_VALUE"""),"")</f>
        <v/>
      </c>
      <c r="D919" s="17"/>
      <c r="G919" s="30"/>
    </row>
    <row r="920" spans="1:7" ht="12.5" x14ac:dyDescent="0.25">
      <c r="A920" s="17"/>
      <c r="B920" s="17"/>
      <c r="C920" s="30" t="str">
        <f ca="1">IFERROR(__xludf.DUMMYFUNCTION("""COMPUTED_VALUE"""),"")</f>
        <v/>
      </c>
      <c r="D920" s="17"/>
      <c r="G920" s="30"/>
    </row>
    <row r="921" spans="1:7" ht="12.5" x14ac:dyDescent="0.25">
      <c r="A921" s="17"/>
      <c r="B921" s="17"/>
      <c r="C921" s="30" t="str">
        <f ca="1">IFERROR(__xludf.DUMMYFUNCTION("""COMPUTED_VALUE"""),"")</f>
        <v/>
      </c>
      <c r="D921" s="17"/>
      <c r="G921" s="30"/>
    </row>
    <row r="922" spans="1:7" ht="12.5" x14ac:dyDescent="0.25">
      <c r="A922" s="17"/>
      <c r="B922" s="17"/>
      <c r="C922" s="30" t="str">
        <f ca="1">IFERROR(__xludf.DUMMYFUNCTION("""COMPUTED_VALUE"""),"")</f>
        <v/>
      </c>
      <c r="D922" s="17"/>
      <c r="G922" s="30"/>
    </row>
    <row r="923" spans="1:7" ht="12.5" x14ac:dyDescent="0.25">
      <c r="A923" s="17"/>
      <c r="B923" s="17"/>
      <c r="C923" s="30" t="str">
        <f ca="1">IFERROR(__xludf.DUMMYFUNCTION("""COMPUTED_VALUE"""),"")</f>
        <v/>
      </c>
      <c r="D923" s="17"/>
      <c r="G923" s="30"/>
    </row>
    <row r="924" spans="1:7" ht="12.5" x14ac:dyDescent="0.25">
      <c r="A924" s="17"/>
      <c r="B924" s="17"/>
      <c r="C924" s="30" t="str">
        <f ca="1">IFERROR(__xludf.DUMMYFUNCTION("""COMPUTED_VALUE"""),"")</f>
        <v/>
      </c>
      <c r="D924" s="17"/>
      <c r="G924" s="30"/>
    </row>
    <row r="925" spans="1:7" ht="12.5" x14ac:dyDescent="0.25">
      <c r="A925" s="17"/>
      <c r="B925" s="17"/>
      <c r="C925" s="30" t="str">
        <f ca="1">IFERROR(__xludf.DUMMYFUNCTION("""COMPUTED_VALUE"""),"")</f>
        <v/>
      </c>
      <c r="D925" s="17"/>
      <c r="G925" s="30"/>
    </row>
    <row r="926" spans="1:7" ht="12.5" x14ac:dyDescent="0.25">
      <c r="A926" s="17"/>
      <c r="B926" s="17"/>
      <c r="C926" s="30" t="str">
        <f ca="1">IFERROR(__xludf.DUMMYFUNCTION("""COMPUTED_VALUE"""),"")</f>
        <v/>
      </c>
      <c r="D926" s="17"/>
      <c r="G926" s="30"/>
    </row>
    <row r="927" spans="1:7" ht="12.5" x14ac:dyDescent="0.25">
      <c r="A927" s="17"/>
      <c r="B927" s="17"/>
      <c r="C927" s="30" t="str">
        <f ca="1">IFERROR(__xludf.DUMMYFUNCTION("""COMPUTED_VALUE"""),"")</f>
        <v/>
      </c>
      <c r="D927" s="17"/>
      <c r="G927" s="30"/>
    </row>
    <row r="928" spans="1:7" ht="12.5" x14ac:dyDescent="0.25">
      <c r="A928" s="17"/>
      <c r="B928" s="17"/>
      <c r="C928" s="30" t="str">
        <f ca="1">IFERROR(__xludf.DUMMYFUNCTION("""COMPUTED_VALUE"""),"")</f>
        <v/>
      </c>
      <c r="D928" s="17"/>
      <c r="G928" s="30"/>
    </row>
    <row r="929" spans="1:7" ht="12.5" x14ac:dyDescent="0.25">
      <c r="A929" s="17"/>
      <c r="B929" s="17"/>
      <c r="C929" s="30" t="str">
        <f ca="1">IFERROR(__xludf.DUMMYFUNCTION("""COMPUTED_VALUE"""),"")</f>
        <v/>
      </c>
      <c r="D929" s="17"/>
      <c r="G929" s="30"/>
    </row>
    <row r="930" spans="1:7" ht="12.5" x14ac:dyDescent="0.25">
      <c r="A930" s="17"/>
      <c r="B930" s="17"/>
      <c r="C930" s="30" t="str">
        <f ca="1">IFERROR(__xludf.DUMMYFUNCTION("""COMPUTED_VALUE"""),"")</f>
        <v/>
      </c>
      <c r="D930" s="17"/>
      <c r="G930" s="30"/>
    </row>
    <row r="931" spans="1:7" ht="12.5" x14ac:dyDescent="0.25">
      <c r="A931" s="17"/>
      <c r="B931" s="17"/>
      <c r="C931" s="30" t="str">
        <f ca="1">IFERROR(__xludf.DUMMYFUNCTION("""COMPUTED_VALUE"""),"")</f>
        <v/>
      </c>
      <c r="D931" s="17"/>
      <c r="G931" s="30"/>
    </row>
    <row r="932" spans="1:7" ht="12.5" x14ac:dyDescent="0.25">
      <c r="A932" s="17"/>
      <c r="B932" s="17"/>
      <c r="C932" s="30" t="str">
        <f ca="1">IFERROR(__xludf.DUMMYFUNCTION("""COMPUTED_VALUE"""),"")</f>
        <v/>
      </c>
      <c r="D932" s="17"/>
      <c r="G932" s="30"/>
    </row>
    <row r="933" spans="1:7" ht="12.5" x14ac:dyDescent="0.25">
      <c r="A933" s="17"/>
      <c r="B933" s="17"/>
      <c r="C933" s="30" t="str">
        <f ca="1">IFERROR(__xludf.DUMMYFUNCTION("""COMPUTED_VALUE"""),"")</f>
        <v/>
      </c>
      <c r="D933" s="17"/>
      <c r="G933" s="30"/>
    </row>
    <row r="934" spans="1:7" ht="12.5" x14ac:dyDescent="0.25">
      <c r="A934" s="17"/>
      <c r="B934" s="17"/>
      <c r="C934" s="30" t="str">
        <f ca="1">IFERROR(__xludf.DUMMYFUNCTION("""COMPUTED_VALUE"""),"")</f>
        <v/>
      </c>
      <c r="D934" s="17"/>
      <c r="G934" s="30"/>
    </row>
    <row r="935" spans="1:7" ht="12.5" x14ac:dyDescent="0.25">
      <c r="A935" s="17"/>
      <c r="B935" s="17"/>
      <c r="C935" s="30" t="str">
        <f ca="1">IFERROR(__xludf.DUMMYFUNCTION("""COMPUTED_VALUE"""),"")</f>
        <v/>
      </c>
      <c r="D935" s="17"/>
      <c r="G935" s="30"/>
    </row>
    <row r="936" spans="1:7" ht="12.5" x14ac:dyDescent="0.25">
      <c r="A936" s="17"/>
      <c r="B936" s="17"/>
      <c r="C936" s="30" t="str">
        <f ca="1">IFERROR(__xludf.DUMMYFUNCTION("""COMPUTED_VALUE"""),"")</f>
        <v/>
      </c>
      <c r="D936" s="17"/>
      <c r="G936" s="30"/>
    </row>
    <row r="937" spans="1:7" ht="12.5" x14ac:dyDescent="0.25">
      <c r="A937" s="17"/>
      <c r="B937" s="17"/>
      <c r="C937" s="30" t="str">
        <f ca="1">IFERROR(__xludf.DUMMYFUNCTION("""COMPUTED_VALUE"""),"")</f>
        <v/>
      </c>
      <c r="D937" s="17"/>
      <c r="G937" s="30"/>
    </row>
    <row r="938" spans="1:7" ht="12.5" x14ac:dyDescent="0.25">
      <c r="A938" s="17"/>
      <c r="B938" s="17"/>
      <c r="C938" s="30" t="str">
        <f ca="1">IFERROR(__xludf.DUMMYFUNCTION("""COMPUTED_VALUE"""),"")</f>
        <v/>
      </c>
      <c r="D938" s="17"/>
      <c r="G938" s="30"/>
    </row>
    <row r="939" spans="1:7" ht="12.5" x14ac:dyDescent="0.25">
      <c r="A939" s="17"/>
      <c r="B939" s="17"/>
      <c r="C939" s="30" t="str">
        <f ca="1">IFERROR(__xludf.DUMMYFUNCTION("""COMPUTED_VALUE"""),"")</f>
        <v/>
      </c>
      <c r="D939" s="17"/>
      <c r="G939" s="30"/>
    </row>
    <row r="940" spans="1:7" ht="12.5" x14ac:dyDescent="0.25">
      <c r="A940" s="17"/>
      <c r="B940" s="17"/>
      <c r="C940" s="30" t="str">
        <f ca="1">IFERROR(__xludf.DUMMYFUNCTION("""COMPUTED_VALUE"""),"")</f>
        <v/>
      </c>
      <c r="D940" s="17"/>
      <c r="G940" s="30"/>
    </row>
    <row r="941" spans="1:7" ht="12.5" x14ac:dyDescent="0.25">
      <c r="A941" s="17"/>
      <c r="B941" s="17"/>
      <c r="C941" s="30" t="str">
        <f ca="1">IFERROR(__xludf.DUMMYFUNCTION("""COMPUTED_VALUE"""),"")</f>
        <v/>
      </c>
      <c r="D941" s="17"/>
      <c r="G941" s="30"/>
    </row>
    <row r="942" spans="1:7" ht="12.5" x14ac:dyDescent="0.25">
      <c r="A942" s="17"/>
      <c r="B942" s="17"/>
      <c r="C942" s="30" t="str">
        <f ca="1">IFERROR(__xludf.DUMMYFUNCTION("""COMPUTED_VALUE"""),"")</f>
        <v/>
      </c>
      <c r="D942" s="17"/>
      <c r="G942" s="30"/>
    </row>
    <row r="943" spans="1:7" ht="12.5" x14ac:dyDescent="0.25">
      <c r="A943" s="17"/>
      <c r="B943" s="17"/>
      <c r="C943" s="30" t="str">
        <f ca="1">IFERROR(__xludf.DUMMYFUNCTION("""COMPUTED_VALUE"""),"")</f>
        <v/>
      </c>
      <c r="D943" s="17"/>
      <c r="G943" s="30"/>
    </row>
    <row r="944" spans="1:7" ht="12.5" x14ac:dyDescent="0.25">
      <c r="A944" s="17"/>
      <c r="B944" s="17"/>
      <c r="C944" s="30" t="str">
        <f ca="1">IFERROR(__xludf.DUMMYFUNCTION("""COMPUTED_VALUE"""),"")</f>
        <v/>
      </c>
      <c r="D944" s="17"/>
      <c r="G944" s="30"/>
    </row>
    <row r="945" spans="1:7" ht="12.5" x14ac:dyDescent="0.25">
      <c r="A945" s="17"/>
      <c r="B945" s="17"/>
      <c r="C945" s="30" t="str">
        <f ca="1">IFERROR(__xludf.DUMMYFUNCTION("""COMPUTED_VALUE"""),"")</f>
        <v/>
      </c>
      <c r="D945" s="17"/>
      <c r="G945" s="30"/>
    </row>
    <row r="946" spans="1:7" ht="12.5" x14ac:dyDescent="0.25">
      <c r="A946" s="17"/>
      <c r="B946" s="17"/>
      <c r="C946" s="30" t="str">
        <f ca="1">IFERROR(__xludf.DUMMYFUNCTION("""COMPUTED_VALUE"""),"")</f>
        <v/>
      </c>
      <c r="D946" s="17"/>
      <c r="G946" s="30"/>
    </row>
    <row r="947" spans="1:7" ht="12.5" x14ac:dyDescent="0.25">
      <c r="A947" s="17"/>
      <c r="B947" s="17"/>
      <c r="C947" s="30" t="str">
        <f ca="1">IFERROR(__xludf.DUMMYFUNCTION("""COMPUTED_VALUE"""),"")</f>
        <v/>
      </c>
      <c r="D947" s="17"/>
      <c r="G947" s="30"/>
    </row>
    <row r="948" spans="1:7" ht="12.5" x14ac:dyDescent="0.25">
      <c r="A948" s="17"/>
      <c r="B948" s="17"/>
      <c r="C948" s="30" t="str">
        <f ca="1">IFERROR(__xludf.DUMMYFUNCTION("""COMPUTED_VALUE"""),"")</f>
        <v/>
      </c>
      <c r="D948" s="17"/>
      <c r="G948" s="30"/>
    </row>
    <row r="949" spans="1:7" ht="12.5" x14ac:dyDescent="0.25">
      <c r="A949" s="17"/>
      <c r="B949" s="17"/>
      <c r="C949" s="30" t="str">
        <f ca="1">IFERROR(__xludf.DUMMYFUNCTION("""COMPUTED_VALUE"""),"")</f>
        <v/>
      </c>
      <c r="D949" s="17"/>
      <c r="G949" s="30"/>
    </row>
    <row r="950" spans="1:7" ht="12.5" x14ac:dyDescent="0.25">
      <c r="A950" s="17"/>
      <c r="B950" s="17"/>
      <c r="C950" s="30" t="str">
        <f ca="1">IFERROR(__xludf.DUMMYFUNCTION("""COMPUTED_VALUE"""),"")</f>
        <v/>
      </c>
      <c r="D950" s="17"/>
      <c r="G950" s="30"/>
    </row>
    <row r="951" spans="1:7" ht="12.5" x14ac:dyDescent="0.25">
      <c r="A951" s="17"/>
      <c r="B951" s="17"/>
      <c r="C951" s="30" t="str">
        <f ca="1">IFERROR(__xludf.DUMMYFUNCTION("""COMPUTED_VALUE"""),"")</f>
        <v/>
      </c>
      <c r="D951" s="17"/>
      <c r="G951" s="30"/>
    </row>
    <row r="952" spans="1:7" ht="12.5" x14ac:dyDescent="0.25">
      <c r="A952" s="17"/>
      <c r="B952" s="17"/>
      <c r="C952" s="30" t="str">
        <f ca="1">IFERROR(__xludf.DUMMYFUNCTION("""COMPUTED_VALUE"""),"")</f>
        <v/>
      </c>
      <c r="D952" s="17"/>
      <c r="G952" s="30"/>
    </row>
    <row r="953" spans="1:7" ht="12.5" x14ac:dyDescent="0.25">
      <c r="A953" s="17"/>
      <c r="B953" s="17"/>
      <c r="C953" s="30" t="str">
        <f ca="1">IFERROR(__xludf.DUMMYFUNCTION("""COMPUTED_VALUE"""),"")</f>
        <v/>
      </c>
      <c r="D953" s="17"/>
      <c r="G953" s="30"/>
    </row>
    <row r="954" spans="1:7" ht="12.5" x14ac:dyDescent="0.25">
      <c r="A954" s="17"/>
      <c r="B954" s="17"/>
      <c r="C954" s="30" t="str">
        <f ca="1">IFERROR(__xludf.DUMMYFUNCTION("""COMPUTED_VALUE"""),"")</f>
        <v/>
      </c>
      <c r="D954" s="17"/>
      <c r="G954" s="30"/>
    </row>
    <row r="955" spans="1:7" ht="12.5" x14ac:dyDescent="0.25">
      <c r="A955" s="17"/>
      <c r="B955" s="17"/>
      <c r="C955" s="30" t="str">
        <f ca="1">IFERROR(__xludf.DUMMYFUNCTION("""COMPUTED_VALUE"""),"")</f>
        <v/>
      </c>
      <c r="D955" s="17"/>
      <c r="G955" s="30"/>
    </row>
    <row r="956" spans="1:7" ht="12.5" x14ac:dyDescent="0.25">
      <c r="A956" s="17"/>
      <c r="B956" s="17"/>
      <c r="C956" s="30" t="str">
        <f ca="1">IFERROR(__xludf.DUMMYFUNCTION("""COMPUTED_VALUE"""),"")</f>
        <v/>
      </c>
      <c r="D956" s="17"/>
      <c r="G956" s="30"/>
    </row>
    <row r="957" spans="1:7" ht="12.5" x14ac:dyDescent="0.25">
      <c r="A957" s="17"/>
      <c r="B957" s="17"/>
      <c r="C957" s="30" t="str">
        <f ca="1">IFERROR(__xludf.DUMMYFUNCTION("""COMPUTED_VALUE"""),"")</f>
        <v/>
      </c>
      <c r="D957" s="17"/>
      <c r="G957" s="30"/>
    </row>
    <row r="958" spans="1:7" ht="12.5" x14ac:dyDescent="0.25">
      <c r="A958" s="17"/>
      <c r="B958" s="17"/>
      <c r="C958" s="30" t="str">
        <f ca="1">IFERROR(__xludf.DUMMYFUNCTION("""COMPUTED_VALUE"""),"")</f>
        <v/>
      </c>
      <c r="D958" s="17"/>
      <c r="G958" s="30"/>
    </row>
    <row r="959" spans="1:7" ht="12.5" x14ac:dyDescent="0.25">
      <c r="A959" s="17"/>
      <c r="B959" s="17"/>
      <c r="C959" s="30" t="str">
        <f ca="1">IFERROR(__xludf.DUMMYFUNCTION("""COMPUTED_VALUE"""),"")</f>
        <v/>
      </c>
      <c r="D959" s="17"/>
      <c r="G959" s="30"/>
    </row>
    <row r="960" spans="1:7" ht="12.5" x14ac:dyDescent="0.25">
      <c r="A960" s="17"/>
      <c r="B960" s="17"/>
      <c r="C960" s="30" t="str">
        <f ca="1">IFERROR(__xludf.DUMMYFUNCTION("""COMPUTED_VALUE"""),"")</f>
        <v/>
      </c>
      <c r="D960" s="17"/>
      <c r="G960" s="30"/>
    </row>
    <row r="961" spans="1:7" ht="12.5" x14ac:dyDescent="0.25">
      <c r="A961" s="17"/>
      <c r="B961" s="17"/>
      <c r="C961" s="30" t="str">
        <f ca="1">IFERROR(__xludf.DUMMYFUNCTION("""COMPUTED_VALUE"""),"")</f>
        <v/>
      </c>
      <c r="D961" s="17"/>
      <c r="G961" s="30"/>
    </row>
    <row r="962" spans="1:7" ht="12.5" x14ac:dyDescent="0.25">
      <c r="A962" s="17"/>
      <c r="B962" s="17"/>
      <c r="C962" s="30" t="str">
        <f ca="1">IFERROR(__xludf.DUMMYFUNCTION("""COMPUTED_VALUE"""),"")</f>
        <v/>
      </c>
      <c r="D962" s="17"/>
      <c r="G962" s="30"/>
    </row>
    <row r="963" spans="1:7" ht="12.5" x14ac:dyDescent="0.25">
      <c r="A963" s="17"/>
      <c r="B963" s="17"/>
      <c r="C963" s="30" t="str">
        <f ca="1">IFERROR(__xludf.DUMMYFUNCTION("""COMPUTED_VALUE"""),"")</f>
        <v/>
      </c>
      <c r="D963" s="17"/>
      <c r="G963" s="30"/>
    </row>
    <row r="964" spans="1:7" ht="12.5" x14ac:dyDescent="0.25">
      <c r="A964" s="17"/>
      <c r="B964" s="17"/>
      <c r="C964" s="30" t="str">
        <f ca="1">IFERROR(__xludf.DUMMYFUNCTION("""COMPUTED_VALUE"""),"")</f>
        <v/>
      </c>
      <c r="D964" s="17"/>
      <c r="G964" s="30"/>
    </row>
    <row r="965" spans="1:7" ht="12.5" x14ac:dyDescent="0.25">
      <c r="A965" s="17"/>
      <c r="B965" s="17"/>
      <c r="C965" s="30" t="str">
        <f ca="1">IFERROR(__xludf.DUMMYFUNCTION("""COMPUTED_VALUE"""),"")</f>
        <v/>
      </c>
      <c r="D965" s="17"/>
      <c r="G965" s="30"/>
    </row>
    <row r="966" spans="1:7" ht="12.5" x14ac:dyDescent="0.25">
      <c r="A966" s="17"/>
      <c r="B966" s="17"/>
      <c r="C966" s="30" t="str">
        <f ca="1">IFERROR(__xludf.DUMMYFUNCTION("""COMPUTED_VALUE"""),"")</f>
        <v/>
      </c>
      <c r="D966" s="17"/>
      <c r="G966" s="30"/>
    </row>
    <row r="967" spans="1:7" ht="12.5" x14ac:dyDescent="0.25">
      <c r="A967" s="17"/>
      <c r="B967" s="17"/>
      <c r="C967" s="30" t="str">
        <f ca="1">IFERROR(__xludf.DUMMYFUNCTION("""COMPUTED_VALUE"""),"")</f>
        <v/>
      </c>
      <c r="D967" s="17"/>
      <c r="G967" s="30"/>
    </row>
    <row r="968" spans="1:7" ht="12.5" x14ac:dyDescent="0.25">
      <c r="A968" s="17"/>
      <c r="B968" s="17"/>
      <c r="C968" s="30" t="str">
        <f ca="1">IFERROR(__xludf.DUMMYFUNCTION("""COMPUTED_VALUE"""),"")</f>
        <v/>
      </c>
      <c r="D968" s="17"/>
      <c r="G968" s="30"/>
    </row>
    <row r="969" spans="1:7" ht="12.5" x14ac:dyDescent="0.25">
      <c r="A969" s="17"/>
      <c r="B969" s="17"/>
      <c r="C969" s="30" t="str">
        <f ca="1">IFERROR(__xludf.DUMMYFUNCTION("""COMPUTED_VALUE"""),"")</f>
        <v/>
      </c>
      <c r="D969" s="17"/>
      <c r="G969" s="30"/>
    </row>
    <row r="970" spans="1:7" ht="12.5" x14ac:dyDescent="0.25">
      <c r="A970" s="17"/>
      <c r="B970" s="17"/>
      <c r="C970" s="30" t="str">
        <f ca="1">IFERROR(__xludf.DUMMYFUNCTION("""COMPUTED_VALUE"""),"")</f>
        <v/>
      </c>
      <c r="D970" s="17"/>
      <c r="G970" s="30"/>
    </row>
    <row r="971" spans="1:7" ht="12.5" x14ac:dyDescent="0.25">
      <c r="A971" s="17"/>
      <c r="B971" s="17"/>
      <c r="C971" s="30" t="str">
        <f ca="1">IFERROR(__xludf.DUMMYFUNCTION("""COMPUTED_VALUE"""),"")</f>
        <v/>
      </c>
      <c r="D971" s="17"/>
      <c r="G971" s="30"/>
    </row>
    <row r="972" spans="1:7" ht="12.5" x14ac:dyDescent="0.25">
      <c r="A972" s="17"/>
      <c r="B972" s="17"/>
      <c r="C972" s="30" t="str">
        <f ca="1">IFERROR(__xludf.DUMMYFUNCTION("""COMPUTED_VALUE"""),"")</f>
        <v/>
      </c>
      <c r="D972" s="17"/>
      <c r="G972" s="30"/>
    </row>
    <row r="973" spans="1:7" ht="12.5" x14ac:dyDescent="0.25">
      <c r="A973" s="17"/>
      <c r="B973" s="17"/>
      <c r="C973" s="30" t="str">
        <f ca="1">IFERROR(__xludf.DUMMYFUNCTION("""COMPUTED_VALUE"""),"")</f>
        <v/>
      </c>
      <c r="D973" s="17"/>
      <c r="G973" s="30"/>
    </row>
    <row r="974" spans="1:7" ht="12.5" x14ac:dyDescent="0.25">
      <c r="A974" s="17"/>
      <c r="B974" s="17"/>
      <c r="C974" s="30" t="str">
        <f ca="1">IFERROR(__xludf.DUMMYFUNCTION("""COMPUTED_VALUE"""),"")</f>
        <v/>
      </c>
      <c r="D974" s="17"/>
      <c r="G974" s="30"/>
    </row>
    <row r="975" spans="1:7" ht="12.5" x14ac:dyDescent="0.25">
      <c r="A975" s="17"/>
      <c r="B975" s="17"/>
      <c r="C975" s="30" t="str">
        <f ca="1">IFERROR(__xludf.DUMMYFUNCTION("""COMPUTED_VALUE"""),"")</f>
        <v/>
      </c>
      <c r="D975" s="17"/>
      <c r="G975" s="30"/>
    </row>
    <row r="976" spans="1:7" ht="12.5" x14ac:dyDescent="0.25">
      <c r="A976" s="17"/>
      <c r="B976" s="17"/>
      <c r="C976" s="30" t="str">
        <f ca="1">IFERROR(__xludf.DUMMYFUNCTION("""COMPUTED_VALUE"""),"")</f>
        <v/>
      </c>
      <c r="D976" s="17"/>
      <c r="G976" s="30"/>
    </row>
    <row r="977" spans="1:7" ht="12.5" x14ac:dyDescent="0.25">
      <c r="A977" s="17"/>
      <c r="B977" s="17"/>
      <c r="C977" s="30" t="str">
        <f ca="1">IFERROR(__xludf.DUMMYFUNCTION("""COMPUTED_VALUE"""),"")</f>
        <v/>
      </c>
      <c r="D977" s="17"/>
      <c r="G977" s="30"/>
    </row>
    <row r="978" spans="1:7" ht="12.5" x14ac:dyDescent="0.25">
      <c r="A978" s="17"/>
      <c r="B978" s="17"/>
      <c r="C978" s="30" t="str">
        <f ca="1">IFERROR(__xludf.DUMMYFUNCTION("""COMPUTED_VALUE"""),"")</f>
        <v/>
      </c>
      <c r="D978" s="17"/>
      <c r="G978" s="30"/>
    </row>
    <row r="979" spans="1:7" ht="12.5" x14ac:dyDescent="0.25">
      <c r="A979" s="17"/>
      <c r="B979" s="17"/>
      <c r="C979" s="30" t="str">
        <f ca="1">IFERROR(__xludf.DUMMYFUNCTION("""COMPUTED_VALUE"""),"")</f>
        <v/>
      </c>
      <c r="D979" s="17"/>
      <c r="G979" s="30"/>
    </row>
    <row r="980" spans="1:7" ht="12.5" x14ac:dyDescent="0.25">
      <c r="A980" s="17"/>
      <c r="B980" s="17"/>
      <c r="C980" s="30" t="str">
        <f ca="1">IFERROR(__xludf.DUMMYFUNCTION("""COMPUTED_VALUE"""),"")</f>
        <v/>
      </c>
      <c r="D980" s="17"/>
      <c r="G980" s="30"/>
    </row>
    <row r="981" spans="1:7" ht="12.5" x14ac:dyDescent="0.25">
      <c r="A981" s="17"/>
      <c r="B981" s="17"/>
      <c r="C981" s="30" t="str">
        <f ca="1">IFERROR(__xludf.DUMMYFUNCTION("""COMPUTED_VALUE"""),"")</f>
        <v/>
      </c>
      <c r="D981" s="17"/>
      <c r="G981" s="30"/>
    </row>
    <row r="982" spans="1:7" ht="12.5" x14ac:dyDescent="0.25">
      <c r="A982" s="17"/>
      <c r="B982" s="17"/>
      <c r="C982" s="30" t="str">
        <f ca="1">IFERROR(__xludf.DUMMYFUNCTION("""COMPUTED_VALUE"""),"")</f>
        <v/>
      </c>
      <c r="D982" s="17"/>
      <c r="G982" s="30"/>
    </row>
    <row r="983" spans="1:7" ht="12.5" x14ac:dyDescent="0.25">
      <c r="A983" s="17"/>
      <c r="B983" s="17"/>
      <c r="C983" s="30" t="str">
        <f ca="1">IFERROR(__xludf.DUMMYFUNCTION("""COMPUTED_VALUE"""),"")</f>
        <v/>
      </c>
      <c r="D983" s="17"/>
      <c r="G983" s="30"/>
    </row>
    <row r="984" spans="1:7" ht="12.5" x14ac:dyDescent="0.25">
      <c r="A984" s="17"/>
      <c r="B984" s="17"/>
      <c r="C984" s="30" t="str">
        <f ca="1">IFERROR(__xludf.DUMMYFUNCTION("""COMPUTED_VALUE"""),"")</f>
        <v/>
      </c>
      <c r="D984" s="17"/>
      <c r="G984" s="30"/>
    </row>
    <row r="985" spans="1:7" ht="12.5" x14ac:dyDescent="0.25">
      <c r="A985" s="17"/>
      <c r="B985" s="17"/>
      <c r="C985" s="30" t="str">
        <f ca="1">IFERROR(__xludf.DUMMYFUNCTION("""COMPUTED_VALUE"""),"")</f>
        <v/>
      </c>
      <c r="D985" s="17"/>
      <c r="G985" s="30"/>
    </row>
    <row r="986" spans="1:7" ht="12.5" x14ac:dyDescent="0.25">
      <c r="A986" s="17"/>
      <c r="B986" s="17"/>
      <c r="C986" s="30" t="str">
        <f ca="1">IFERROR(__xludf.DUMMYFUNCTION("""COMPUTED_VALUE"""),"")</f>
        <v/>
      </c>
      <c r="D986" s="17"/>
      <c r="G986" s="30"/>
    </row>
    <row r="987" spans="1:7" ht="12.5" x14ac:dyDescent="0.25">
      <c r="A987" s="17"/>
      <c r="B987" s="17"/>
      <c r="C987" s="30" t="str">
        <f ca="1">IFERROR(__xludf.DUMMYFUNCTION("""COMPUTED_VALUE"""),"")</f>
        <v/>
      </c>
      <c r="D987" s="17"/>
      <c r="G987" s="30"/>
    </row>
    <row r="988" spans="1:7" ht="12.5" x14ac:dyDescent="0.25">
      <c r="A988" s="17"/>
      <c r="B988" s="17"/>
      <c r="C988" s="30" t="str">
        <f ca="1">IFERROR(__xludf.DUMMYFUNCTION("""COMPUTED_VALUE"""),"")</f>
        <v/>
      </c>
      <c r="D988" s="17"/>
      <c r="G988" s="30"/>
    </row>
    <row r="989" spans="1:7" ht="12.5" x14ac:dyDescent="0.25">
      <c r="A989" s="17"/>
      <c r="B989" s="17"/>
      <c r="C989" s="30" t="str">
        <f ca="1">IFERROR(__xludf.DUMMYFUNCTION("""COMPUTED_VALUE"""),"")</f>
        <v/>
      </c>
      <c r="D989" s="17"/>
      <c r="G989" s="30"/>
    </row>
    <row r="990" spans="1:7" ht="12.5" x14ac:dyDescent="0.25">
      <c r="A990" s="17"/>
      <c r="B990" s="17"/>
      <c r="C990" s="30" t="str">
        <f ca="1">IFERROR(__xludf.DUMMYFUNCTION("""COMPUTED_VALUE"""),"")</f>
        <v/>
      </c>
      <c r="D990" s="17"/>
      <c r="G990" s="30"/>
    </row>
    <row r="991" spans="1:7" ht="12.5" x14ac:dyDescent="0.25">
      <c r="A991" s="17"/>
      <c r="B991" s="17"/>
      <c r="C991" s="30" t="str">
        <f ca="1">IFERROR(__xludf.DUMMYFUNCTION("""COMPUTED_VALUE"""),"")</f>
        <v/>
      </c>
      <c r="D991" s="17"/>
      <c r="G991" s="30"/>
    </row>
    <row r="992" spans="1:7" ht="12.5" x14ac:dyDescent="0.25">
      <c r="A992" s="17"/>
      <c r="B992" s="17"/>
      <c r="C992" s="30" t="str">
        <f ca="1">IFERROR(__xludf.DUMMYFUNCTION("""COMPUTED_VALUE"""),"")</f>
        <v/>
      </c>
      <c r="D992" s="17"/>
      <c r="G992" s="30"/>
    </row>
    <row r="993" spans="1:7" ht="12.5" x14ac:dyDescent="0.25">
      <c r="A993" s="17"/>
      <c r="B993" s="17"/>
      <c r="C993" s="30" t="str">
        <f ca="1">IFERROR(__xludf.DUMMYFUNCTION("""COMPUTED_VALUE"""),"")</f>
        <v/>
      </c>
      <c r="D993" s="17"/>
      <c r="G993" s="30"/>
    </row>
    <row r="994" spans="1:7" ht="12.5" x14ac:dyDescent="0.25">
      <c r="A994" s="17"/>
      <c r="B994" s="17"/>
      <c r="C994" s="30" t="str">
        <f ca="1">IFERROR(__xludf.DUMMYFUNCTION("""COMPUTED_VALUE"""),"")</f>
        <v/>
      </c>
      <c r="D994" s="17"/>
      <c r="G994" s="30"/>
    </row>
    <row r="995" spans="1:7" ht="12.5" x14ac:dyDescent="0.25">
      <c r="A995" s="17"/>
      <c r="B995" s="17"/>
      <c r="C995" s="30" t="str">
        <f ca="1">IFERROR(__xludf.DUMMYFUNCTION("""COMPUTED_VALUE"""),"")</f>
        <v/>
      </c>
      <c r="D995" s="17"/>
      <c r="G995" s="30"/>
    </row>
    <row r="996" spans="1:7" ht="12.5" x14ac:dyDescent="0.25">
      <c r="A996" s="17"/>
      <c r="B996" s="17"/>
      <c r="C996" s="30" t="str">
        <f ca="1">IFERROR(__xludf.DUMMYFUNCTION("""COMPUTED_VALUE"""),"")</f>
        <v/>
      </c>
      <c r="D996" s="17"/>
      <c r="G996" s="30"/>
    </row>
    <row r="997" spans="1:7" ht="12.5" x14ac:dyDescent="0.25">
      <c r="A997" s="17"/>
      <c r="B997" s="17"/>
      <c r="C997" s="30" t="str">
        <f ca="1">IFERROR(__xludf.DUMMYFUNCTION("""COMPUTED_VALUE"""),"")</f>
        <v/>
      </c>
      <c r="D997" s="17"/>
      <c r="G997" s="30"/>
    </row>
    <row r="998" spans="1:7" ht="12.5" x14ac:dyDescent="0.25">
      <c r="A998" s="17"/>
      <c r="B998" s="17"/>
      <c r="C998" s="30" t="str">
        <f ca="1">IFERROR(__xludf.DUMMYFUNCTION("""COMPUTED_VALUE"""),"")</f>
        <v/>
      </c>
      <c r="D998" s="17"/>
      <c r="G998" s="30"/>
    </row>
    <row r="999" spans="1:7" ht="12.5" x14ac:dyDescent="0.25">
      <c r="A999" s="17"/>
      <c r="B999" s="17"/>
      <c r="C999" s="30" t="str">
        <f ca="1">IFERROR(__xludf.DUMMYFUNCTION("""COMPUTED_VALUE"""),"")</f>
        <v/>
      </c>
      <c r="D999" s="17"/>
      <c r="G999" s="30"/>
    </row>
    <row r="1000" spans="1:7" ht="12.5" x14ac:dyDescent="0.25">
      <c r="A1000" s="17"/>
      <c r="B1000" s="17"/>
      <c r="C1000" s="30" t="str">
        <f ca="1">IFERROR(__xludf.DUMMYFUNCTION("""COMPUTED_VALUE"""),"")</f>
        <v/>
      </c>
      <c r="D1000" s="17"/>
      <c r="G1000" s="3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1000"/>
  <sheetViews>
    <sheetView workbookViewId="0"/>
  </sheetViews>
  <sheetFormatPr defaultColWidth="12.6328125" defaultRowHeight="15.75" customHeight="1" x14ac:dyDescent="0.25"/>
  <sheetData>
    <row r="1" spans="1:26" x14ac:dyDescent="0.3">
      <c r="A1" s="7" t="str">
        <f ca="1">IFERROR(__xludf.DUMMYFUNCTION("IMPORTRANGE(""https://docs.google.com/spreadsheets/d/11T3QCvm1KgW6THRDEack4lDxO4QN3BI-8Q0At5dCy7A"",""Juniper!A1:D1000"")"),"Devices")</f>
        <v>Devices</v>
      </c>
      <c r="B1" s="31" t="str">
        <f ca="1">IFERROR(__xludf.DUMMYFUNCTION("""COMPUTED_VALUE"""),"List Price")</f>
        <v>List Price</v>
      </c>
      <c r="C1" s="7" t="str">
        <f ca="1">IFERROR(__xludf.DUMMYFUNCTION("""COMPUTED_VALUE"""),"Giá AM nhập")</f>
        <v>Giá AM nhập</v>
      </c>
      <c r="D1" s="7" t="str">
        <f ca="1">IFERROR(__xludf.DUMMYFUNCTION("""COMPUTED_VALUE"""),"Final Price")</f>
        <v>Final Price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25">
      <c r="A2" s="17" t="str">
        <f ca="1">IFERROR(__xludf.DUMMYFUNCTION("""COMPUTED_VALUE"""),"EX4200-24T")</f>
        <v>EX4200-24T</v>
      </c>
      <c r="B2" s="30">
        <f ca="1">IFERROR(__xludf.DUMMYFUNCTION("""COMPUTED_VALUE"""),10000)</f>
        <v>10000</v>
      </c>
      <c r="C2" s="30">
        <f ca="1">IFERROR(__xludf.DUMMYFUNCTION("""COMPUTED_VALUE"""),26500)</f>
        <v>26500</v>
      </c>
      <c r="D2" s="30">
        <f ca="1">IFERROR(__xludf.DUMMYFUNCTION("""COMPUTED_VALUE"""),26500)</f>
        <v>26500</v>
      </c>
    </row>
    <row r="3" spans="1:26" ht="15.75" customHeight="1" x14ac:dyDescent="0.25">
      <c r="A3" s="17" t="str">
        <f ca="1">IFERROR(__xludf.DUMMYFUNCTION("""COMPUTED_VALUE"""),"EX4300-48S")</f>
        <v>EX4300-48S</v>
      </c>
      <c r="B3" s="30">
        <f ca="1">IFERROR(__xludf.DUMMYFUNCTION("""COMPUTED_VALUE"""),20000)</f>
        <v>20000</v>
      </c>
      <c r="C3" s="30">
        <f ca="1">IFERROR(__xludf.DUMMYFUNCTION("""COMPUTED_VALUE"""),32500)</f>
        <v>32500</v>
      </c>
      <c r="D3" s="30">
        <f ca="1">IFERROR(__xludf.DUMMYFUNCTION("""COMPUTED_VALUE"""),32500)</f>
        <v>32500</v>
      </c>
    </row>
    <row r="4" spans="1:26" ht="15.75" customHeight="1" x14ac:dyDescent="0.25">
      <c r="A4" s="17" t="str">
        <f ca="1">IFERROR(__xludf.DUMMYFUNCTION("""COMPUTED_VALUE"""),"EX4600")</f>
        <v>EX4600</v>
      </c>
      <c r="B4" s="30">
        <f ca="1">IFERROR(__xludf.DUMMYFUNCTION("""COMPUTED_VALUE"""),30000)</f>
        <v>30000</v>
      </c>
      <c r="C4" s="30">
        <f ca="1">IFERROR(__xludf.DUMMYFUNCTION("""COMPUTED_VALUE"""),192000)</f>
        <v>192000</v>
      </c>
      <c r="D4" s="30">
        <f ca="1">IFERROR(__xludf.DUMMYFUNCTION("""COMPUTED_VALUE"""),192000)</f>
        <v>192000</v>
      </c>
    </row>
    <row r="5" spans="1:26" ht="15.75" customHeight="1" x14ac:dyDescent="0.25">
      <c r="A5" s="17"/>
      <c r="B5" s="17"/>
      <c r="C5" s="17"/>
      <c r="D5" s="17"/>
    </row>
    <row r="6" spans="1:26" ht="15.75" customHeight="1" x14ac:dyDescent="0.25">
      <c r="A6" s="17"/>
      <c r="B6" s="17"/>
      <c r="C6" s="17"/>
      <c r="D6" s="17"/>
    </row>
    <row r="7" spans="1:26" ht="15.75" customHeight="1" x14ac:dyDescent="0.25">
      <c r="A7" s="17"/>
      <c r="B7" s="17"/>
      <c r="C7" s="17"/>
      <c r="D7" s="17"/>
    </row>
    <row r="8" spans="1:26" ht="15.75" customHeight="1" x14ac:dyDescent="0.25">
      <c r="A8" s="17"/>
      <c r="B8" s="17"/>
      <c r="C8" s="17"/>
      <c r="D8" s="17"/>
    </row>
    <row r="9" spans="1:26" ht="15.75" customHeight="1" x14ac:dyDescent="0.25">
      <c r="A9" s="17"/>
      <c r="B9" s="17"/>
      <c r="C9" s="17"/>
      <c r="D9" s="17"/>
    </row>
    <row r="10" spans="1:26" ht="15.75" customHeight="1" x14ac:dyDescent="0.25">
      <c r="A10" s="17"/>
      <c r="B10" s="17"/>
      <c r="C10" s="17"/>
      <c r="D10" s="17"/>
    </row>
    <row r="11" spans="1:26" ht="15.75" customHeight="1" x14ac:dyDescent="0.25">
      <c r="A11" s="17"/>
      <c r="B11" s="17"/>
      <c r="C11" s="17"/>
      <c r="D11" s="17"/>
    </row>
    <row r="12" spans="1:26" ht="15.75" customHeight="1" x14ac:dyDescent="0.25">
      <c r="A12" s="17"/>
      <c r="B12" s="17"/>
      <c r="C12" s="17"/>
      <c r="D12" s="17"/>
    </row>
    <row r="13" spans="1:26" ht="15.75" customHeight="1" x14ac:dyDescent="0.25">
      <c r="A13" s="17"/>
      <c r="B13" s="17"/>
      <c r="C13" s="17"/>
      <c r="D13" s="17"/>
    </row>
    <row r="14" spans="1:26" ht="15.75" customHeight="1" x14ac:dyDescent="0.25">
      <c r="A14" s="17"/>
      <c r="B14" s="17"/>
      <c r="C14" s="17"/>
      <c r="D14" s="17"/>
    </row>
    <row r="15" spans="1:26" ht="15.75" customHeight="1" x14ac:dyDescent="0.25">
      <c r="A15" s="17"/>
      <c r="B15" s="17"/>
      <c r="C15" s="17"/>
      <c r="D15" s="17"/>
    </row>
    <row r="16" spans="1:26" ht="15.75" customHeight="1" x14ac:dyDescent="0.25">
      <c r="A16" s="17"/>
      <c r="B16" s="17"/>
      <c r="C16" s="17"/>
      <c r="D16" s="17"/>
    </row>
    <row r="17" spans="1:4" ht="15.75" customHeight="1" x14ac:dyDescent="0.25">
      <c r="A17" s="17"/>
      <c r="B17" s="17"/>
      <c r="C17" s="17"/>
      <c r="D17" s="17"/>
    </row>
    <row r="18" spans="1:4" ht="15.75" customHeight="1" x14ac:dyDescent="0.25">
      <c r="A18" s="17"/>
      <c r="B18" s="17"/>
      <c r="C18" s="17"/>
      <c r="D18" s="17"/>
    </row>
    <row r="19" spans="1:4" ht="15.75" customHeight="1" x14ac:dyDescent="0.25">
      <c r="A19" s="17"/>
      <c r="B19" s="17"/>
      <c r="C19" s="17"/>
      <c r="D19" s="17"/>
    </row>
    <row r="20" spans="1:4" ht="12.5" x14ac:dyDescent="0.25">
      <c r="A20" s="17"/>
      <c r="B20" s="17"/>
      <c r="C20" s="17"/>
      <c r="D20" s="17"/>
    </row>
    <row r="21" spans="1:4" ht="12.5" x14ac:dyDescent="0.25">
      <c r="A21" s="17"/>
      <c r="B21" s="17"/>
      <c r="C21" s="17"/>
      <c r="D21" s="17"/>
    </row>
    <row r="22" spans="1:4" ht="12.5" x14ac:dyDescent="0.25">
      <c r="A22" s="17"/>
      <c r="B22" s="17"/>
      <c r="C22" s="17"/>
      <c r="D22" s="17"/>
    </row>
    <row r="23" spans="1:4" ht="12.5" x14ac:dyDescent="0.25">
      <c r="A23" s="17"/>
      <c r="B23" s="17"/>
      <c r="C23" s="17"/>
      <c r="D23" s="17"/>
    </row>
    <row r="24" spans="1:4" ht="12.5" x14ac:dyDescent="0.25">
      <c r="A24" s="17"/>
      <c r="B24" s="17"/>
      <c r="C24" s="17"/>
      <c r="D24" s="17"/>
    </row>
    <row r="25" spans="1:4" ht="12.5" x14ac:dyDescent="0.25">
      <c r="A25" s="17"/>
      <c r="B25" s="17"/>
      <c r="C25" s="17"/>
      <c r="D25" s="17"/>
    </row>
    <row r="26" spans="1:4" ht="12.5" x14ac:dyDescent="0.25">
      <c r="A26" s="17"/>
      <c r="B26" s="17"/>
      <c r="C26" s="17"/>
      <c r="D26" s="17"/>
    </row>
    <row r="27" spans="1:4" ht="12.5" x14ac:dyDescent="0.25">
      <c r="A27" s="17"/>
      <c r="B27" s="17"/>
      <c r="C27" s="17"/>
      <c r="D27" s="17"/>
    </row>
    <row r="28" spans="1:4" ht="12.5" x14ac:dyDescent="0.25">
      <c r="A28" s="17"/>
      <c r="B28" s="17"/>
      <c r="C28" s="17"/>
      <c r="D28" s="17"/>
    </row>
    <row r="29" spans="1:4" ht="12.5" x14ac:dyDescent="0.25">
      <c r="A29" s="17"/>
      <c r="B29" s="17"/>
      <c r="C29" s="17"/>
      <c r="D29" s="17"/>
    </row>
    <row r="30" spans="1:4" ht="12.5" x14ac:dyDescent="0.25">
      <c r="A30" s="17"/>
      <c r="B30" s="17"/>
      <c r="C30" s="17"/>
      <c r="D30" s="17"/>
    </row>
    <row r="31" spans="1:4" ht="12.5" x14ac:dyDescent="0.25">
      <c r="A31" s="17"/>
      <c r="B31" s="17"/>
      <c r="C31" s="17"/>
      <c r="D31" s="17"/>
    </row>
    <row r="32" spans="1:4" ht="12.5" x14ac:dyDescent="0.25">
      <c r="A32" s="17"/>
      <c r="B32" s="17"/>
      <c r="C32" s="17"/>
      <c r="D32" s="17"/>
    </row>
    <row r="33" spans="1:4" ht="12.5" x14ac:dyDescent="0.25">
      <c r="A33" s="17"/>
      <c r="B33" s="17"/>
      <c r="C33" s="17"/>
      <c r="D33" s="17"/>
    </row>
    <row r="34" spans="1:4" ht="12.5" x14ac:dyDescent="0.25">
      <c r="A34" s="17"/>
      <c r="B34" s="17"/>
      <c r="C34" s="17"/>
      <c r="D34" s="17"/>
    </row>
    <row r="35" spans="1:4" ht="12.5" x14ac:dyDescent="0.25">
      <c r="A35" s="17"/>
      <c r="B35" s="17"/>
      <c r="C35" s="17"/>
      <c r="D35" s="17"/>
    </row>
    <row r="36" spans="1:4" ht="12.5" x14ac:dyDescent="0.25">
      <c r="A36" s="17"/>
      <c r="B36" s="17"/>
      <c r="C36" s="17"/>
      <c r="D36" s="17"/>
    </row>
    <row r="37" spans="1:4" ht="12.5" x14ac:dyDescent="0.25">
      <c r="A37" s="17"/>
      <c r="B37" s="17"/>
      <c r="C37" s="17"/>
      <c r="D37" s="17"/>
    </row>
    <row r="38" spans="1:4" ht="12.5" x14ac:dyDescent="0.25">
      <c r="A38" s="17"/>
      <c r="B38" s="17"/>
      <c r="C38" s="17"/>
      <c r="D38" s="17"/>
    </row>
    <row r="39" spans="1:4" ht="12.5" x14ac:dyDescent="0.25">
      <c r="A39" s="17"/>
      <c r="B39" s="17"/>
      <c r="C39" s="17"/>
      <c r="D39" s="17"/>
    </row>
    <row r="40" spans="1:4" ht="12.5" x14ac:dyDescent="0.25">
      <c r="A40" s="17"/>
      <c r="B40" s="17"/>
      <c r="C40" s="17"/>
      <c r="D40" s="17"/>
    </row>
    <row r="41" spans="1:4" ht="12.5" x14ac:dyDescent="0.25">
      <c r="A41" s="17"/>
      <c r="B41" s="17"/>
      <c r="C41" s="17"/>
      <c r="D41" s="17"/>
    </row>
    <row r="42" spans="1:4" ht="12.5" x14ac:dyDescent="0.25">
      <c r="A42" s="17"/>
      <c r="B42" s="17"/>
      <c r="C42" s="17"/>
      <c r="D42" s="17"/>
    </row>
    <row r="43" spans="1:4" ht="12.5" x14ac:dyDescent="0.25">
      <c r="A43" s="17"/>
      <c r="B43" s="17"/>
      <c r="C43" s="17"/>
      <c r="D43" s="17"/>
    </row>
    <row r="44" spans="1:4" ht="12.5" x14ac:dyDescent="0.25">
      <c r="A44" s="17"/>
      <c r="B44" s="17"/>
      <c r="C44" s="17"/>
      <c r="D44" s="17"/>
    </row>
    <row r="45" spans="1:4" ht="12.5" x14ac:dyDescent="0.25">
      <c r="A45" s="17"/>
      <c r="B45" s="17"/>
      <c r="C45" s="17"/>
      <c r="D45" s="17"/>
    </row>
    <row r="46" spans="1:4" ht="12.5" x14ac:dyDescent="0.25">
      <c r="A46" s="17"/>
      <c r="B46" s="17"/>
      <c r="C46" s="17"/>
      <c r="D46" s="17"/>
    </row>
    <row r="47" spans="1:4" ht="12.5" x14ac:dyDescent="0.25">
      <c r="A47" s="17"/>
      <c r="B47" s="17"/>
      <c r="C47" s="17"/>
      <c r="D47" s="17"/>
    </row>
    <row r="48" spans="1:4" ht="12.5" x14ac:dyDescent="0.25">
      <c r="A48" s="17"/>
      <c r="B48" s="17"/>
      <c r="C48" s="17"/>
      <c r="D48" s="17"/>
    </row>
    <row r="49" spans="1:4" ht="12.5" x14ac:dyDescent="0.25">
      <c r="A49" s="17"/>
      <c r="B49" s="17"/>
      <c r="C49" s="17"/>
      <c r="D49" s="17"/>
    </row>
    <row r="50" spans="1:4" ht="12.5" x14ac:dyDescent="0.25">
      <c r="A50" s="17"/>
      <c r="B50" s="17"/>
      <c r="C50" s="17"/>
      <c r="D50" s="17"/>
    </row>
    <row r="51" spans="1:4" ht="12.5" x14ac:dyDescent="0.25">
      <c r="A51" s="17"/>
      <c r="B51" s="17"/>
      <c r="C51" s="17"/>
      <c r="D51" s="17"/>
    </row>
    <row r="52" spans="1:4" ht="12.5" x14ac:dyDescent="0.25">
      <c r="A52" s="17"/>
      <c r="B52" s="17"/>
      <c r="C52" s="17"/>
      <c r="D52" s="17"/>
    </row>
    <row r="53" spans="1:4" ht="12.5" x14ac:dyDescent="0.25">
      <c r="A53" s="17"/>
      <c r="B53" s="17"/>
      <c r="C53" s="17"/>
      <c r="D53" s="17"/>
    </row>
    <row r="54" spans="1:4" ht="12.5" x14ac:dyDescent="0.25">
      <c r="A54" s="17"/>
      <c r="B54" s="17"/>
      <c r="C54" s="17"/>
      <c r="D54" s="17"/>
    </row>
    <row r="55" spans="1:4" ht="12.5" x14ac:dyDescent="0.25">
      <c r="A55" s="17"/>
      <c r="B55" s="17"/>
      <c r="C55" s="17"/>
      <c r="D55" s="17"/>
    </row>
    <row r="56" spans="1:4" ht="12.5" x14ac:dyDescent="0.25">
      <c r="A56" s="17"/>
      <c r="B56" s="17"/>
      <c r="C56" s="17"/>
      <c r="D56" s="17"/>
    </row>
    <row r="57" spans="1:4" ht="12.5" x14ac:dyDescent="0.25">
      <c r="A57" s="17"/>
      <c r="B57" s="17"/>
      <c r="C57" s="17"/>
      <c r="D57" s="17"/>
    </row>
    <row r="58" spans="1:4" ht="12.5" x14ac:dyDescent="0.25">
      <c r="A58" s="17"/>
      <c r="B58" s="17"/>
      <c r="C58" s="17"/>
      <c r="D58" s="17"/>
    </row>
    <row r="59" spans="1:4" ht="12.5" x14ac:dyDescent="0.25">
      <c r="A59" s="17"/>
      <c r="B59" s="17"/>
      <c r="C59" s="17"/>
      <c r="D59" s="17"/>
    </row>
    <row r="60" spans="1:4" ht="12.5" x14ac:dyDescent="0.25">
      <c r="A60" s="17"/>
      <c r="B60" s="17"/>
      <c r="C60" s="17"/>
      <c r="D60" s="17"/>
    </row>
    <row r="61" spans="1:4" ht="12.5" x14ac:dyDescent="0.25">
      <c r="A61" s="17"/>
      <c r="B61" s="17"/>
      <c r="C61" s="17"/>
      <c r="D61" s="17"/>
    </row>
    <row r="62" spans="1:4" ht="12.5" x14ac:dyDescent="0.25">
      <c r="A62" s="17"/>
      <c r="B62" s="17"/>
      <c r="C62" s="17"/>
      <c r="D62" s="17"/>
    </row>
    <row r="63" spans="1:4" ht="12.5" x14ac:dyDescent="0.25">
      <c r="A63" s="17"/>
      <c r="B63" s="17"/>
      <c r="C63" s="17"/>
      <c r="D63" s="17"/>
    </row>
    <row r="64" spans="1:4" ht="12.5" x14ac:dyDescent="0.25">
      <c r="A64" s="17"/>
      <c r="B64" s="17"/>
      <c r="C64" s="17"/>
      <c r="D64" s="17"/>
    </row>
    <row r="65" spans="1:4" ht="12.5" x14ac:dyDescent="0.25">
      <c r="A65" s="17"/>
      <c r="B65" s="17"/>
      <c r="C65" s="17"/>
      <c r="D65" s="17"/>
    </row>
    <row r="66" spans="1:4" ht="12.5" x14ac:dyDescent="0.25">
      <c r="A66" s="17"/>
      <c r="B66" s="17"/>
      <c r="C66" s="17"/>
      <c r="D66" s="17"/>
    </row>
    <row r="67" spans="1:4" ht="12.5" x14ac:dyDescent="0.25">
      <c r="A67" s="17"/>
      <c r="B67" s="17"/>
      <c r="C67" s="17"/>
      <c r="D67" s="17"/>
    </row>
    <row r="68" spans="1:4" ht="12.5" x14ac:dyDescent="0.25">
      <c r="A68" s="17"/>
      <c r="B68" s="17"/>
      <c r="C68" s="17"/>
      <c r="D68" s="17"/>
    </row>
    <row r="69" spans="1:4" ht="12.5" x14ac:dyDescent="0.25">
      <c r="A69" s="17"/>
      <c r="B69" s="17"/>
      <c r="C69" s="17"/>
      <c r="D69" s="17"/>
    </row>
    <row r="70" spans="1:4" ht="12.5" x14ac:dyDescent="0.25">
      <c r="A70" s="17"/>
      <c r="B70" s="17"/>
      <c r="C70" s="17"/>
      <c r="D70" s="17"/>
    </row>
    <row r="71" spans="1:4" ht="12.5" x14ac:dyDescent="0.25">
      <c r="A71" s="17"/>
      <c r="B71" s="17"/>
      <c r="C71" s="17"/>
      <c r="D71" s="17"/>
    </row>
    <row r="72" spans="1:4" ht="12.5" x14ac:dyDescent="0.25">
      <c r="A72" s="17"/>
      <c r="B72" s="17"/>
      <c r="C72" s="17"/>
      <c r="D72" s="17"/>
    </row>
    <row r="73" spans="1:4" ht="12.5" x14ac:dyDescent="0.25">
      <c r="A73" s="17"/>
      <c r="B73" s="17"/>
      <c r="C73" s="17"/>
      <c r="D73" s="17"/>
    </row>
    <row r="74" spans="1:4" ht="12.5" x14ac:dyDescent="0.25">
      <c r="A74" s="17"/>
      <c r="B74" s="17"/>
      <c r="C74" s="17"/>
      <c r="D74" s="17"/>
    </row>
    <row r="75" spans="1:4" ht="12.5" x14ac:dyDescent="0.25">
      <c r="A75" s="17"/>
      <c r="B75" s="17"/>
      <c r="C75" s="17"/>
      <c r="D75" s="17"/>
    </row>
    <row r="76" spans="1:4" ht="12.5" x14ac:dyDescent="0.25">
      <c r="A76" s="17"/>
      <c r="B76" s="17"/>
      <c r="C76" s="17"/>
      <c r="D76" s="17"/>
    </row>
    <row r="77" spans="1:4" ht="12.5" x14ac:dyDescent="0.25">
      <c r="A77" s="17"/>
      <c r="B77" s="17"/>
      <c r="C77" s="17"/>
      <c r="D77" s="17"/>
    </row>
    <row r="78" spans="1:4" ht="12.5" x14ac:dyDescent="0.25">
      <c r="A78" s="17"/>
      <c r="B78" s="17"/>
      <c r="C78" s="17"/>
      <c r="D78" s="17"/>
    </row>
    <row r="79" spans="1:4" ht="12.5" x14ac:dyDescent="0.25">
      <c r="A79" s="17"/>
      <c r="B79" s="17"/>
      <c r="C79" s="17"/>
      <c r="D79" s="17"/>
    </row>
    <row r="80" spans="1:4" ht="12.5" x14ac:dyDescent="0.25">
      <c r="A80" s="17"/>
      <c r="B80" s="17"/>
      <c r="C80" s="17"/>
      <c r="D80" s="17"/>
    </row>
    <row r="81" spans="1:4" ht="12.5" x14ac:dyDescent="0.25">
      <c r="A81" s="17"/>
      <c r="B81" s="17"/>
      <c r="C81" s="17"/>
      <c r="D81" s="17"/>
    </row>
    <row r="82" spans="1:4" ht="12.5" x14ac:dyDescent="0.25">
      <c r="A82" s="17"/>
      <c r="B82" s="17"/>
      <c r="C82" s="17"/>
      <c r="D82" s="17"/>
    </row>
    <row r="83" spans="1:4" ht="12.5" x14ac:dyDescent="0.25">
      <c r="A83" s="17"/>
      <c r="B83" s="17"/>
      <c r="C83" s="17"/>
      <c r="D83" s="17"/>
    </row>
    <row r="84" spans="1:4" ht="12.5" x14ac:dyDescent="0.25">
      <c r="A84" s="17"/>
      <c r="B84" s="17"/>
      <c r="C84" s="17"/>
      <c r="D84" s="17"/>
    </row>
    <row r="85" spans="1:4" ht="12.5" x14ac:dyDescent="0.25">
      <c r="A85" s="17"/>
      <c r="B85" s="17"/>
      <c r="C85" s="17"/>
      <c r="D85" s="17"/>
    </row>
    <row r="86" spans="1:4" ht="12.5" x14ac:dyDescent="0.25">
      <c r="A86" s="17"/>
      <c r="B86" s="17"/>
      <c r="C86" s="17"/>
      <c r="D86" s="17"/>
    </row>
    <row r="87" spans="1:4" ht="12.5" x14ac:dyDescent="0.25">
      <c r="A87" s="17"/>
      <c r="B87" s="17"/>
      <c r="C87" s="17"/>
      <c r="D87" s="17"/>
    </row>
    <row r="88" spans="1:4" ht="12.5" x14ac:dyDescent="0.25">
      <c r="A88" s="17"/>
      <c r="B88" s="17"/>
      <c r="C88" s="17"/>
      <c r="D88" s="17"/>
    </row>
    <row r="89" spans="1:4" ht="12.5" x14ac:dyDescent="0.25">
      <c r="A89" s="17"/>
      <c r="B89" s="17"/>
      <c r="C89" s="17"/>
      <c r="D89" s="17"/>
    </row>
    <row r="90" spans="1:4" ht="12.5" x14ac:dyDescent="0.25">
      <c r="A90" s="17"/>
      <c r="B90" s="17"/>
      <c r="C90" s="17"/>
      <c r="D90" s="17"/>
    </row>
    <row r="91" spans="1:4" ht="12.5" x14ac:dyDescent="0.25">
      <c r="A91" s="17"/>
      <c r="B91" s="17"/>
      <c r="C91" s="17"/>
      <c r="D91" s="17"/>
    </row>
    <row r="92" spans="1:4" ht="12.5" x14ac:dyDescent="0.25">
      <c r="A92" s="17"/>
      <c r="B92" s="17"/>
      <c r="C92" s="17"/>
      <c r="D92" s="17"/>
    </row>
    <row r="93" spans="1:4" ht="12.5" x14ac:dyDescent="0.25">
      <c r="A93" s="17"/>
      <c r="B93" s="17"/>
      <c r="C93" s="17"/>
      <c r="D93" s="17"/>
    </row>
    <row r="94" spans="1:4" ht="12.5" x14ac:dyDescent="0.25">
      <c r="A94" s="17"/>
      <c r="B94" s="17"/>
      <c r="C94" s="17"/>
      <c r="D94" s="17"/>
    </row>
    <row r="95" spans="1:4" ht="12.5" x14ac:dyDescent="0.25">
      <c r="A95" s="17"/>
      <c r="B95" s="17"/>
      <c r="C95" s="17"/>
      <c r="D95" s="17"/>
    </row>
    <row r="96" spans="1:4" ht="12.5" x14ac:dyDescent="0.25">
      <c r="A96" s="17"/>
      <c r="B96" s="17"/>
      <c r="C96" s="17"/>
      <c r="D96" s="17"/>
    </row>
    <row r="97" spans="1:4" ht="12.5" x14ac:dyDescent="0.25">
      <c r="A97" s="17"/>
      <c r="B97" s="17"/>
      <c r="C97" s="17"/>
      <c r="D97" s="17"/>
    </row>
    <row r="98" spans="1:4" ht="12.5" x14ac:dyDescent="0.25">
      <c r="A98" s="17"/>
      <c r="B98" s="17"/>
      <c r="C98" s="17"/>
      <c r="D98" s="17"/>
    </row>
    <row r="99" spans="1:4" ht="12.5" x14ac:dyDescent="0.25">
      <c r="A99" s="17"/>
      <c r="B99" s="17"/>
      <c r="C99" s="17"/>
      <c r="D99" s="17"/>
    </row>
    <row r="100" spans="1:4" ht="12.5" x14ac:dyDescent="0.25">
      <c r="A100" s="17"/>
      <c r="B100" s="17"/>
      <c r="C100" s="17"/>
      <c r="D100" s="17"/>
    </row>
    <row r="101" spans="1:4" ht="12.5" x14ac:dyDescent="0.25">
      <c r="A101" s="17"/>
      <c r="B101" s="17"/>
      <c r="C101" s="17"/>
      <c r="D101" s="17"/>
    </row>
    <row r="102" spans="1:4" ht="12.5" x14ac:dyDescent="0.25">
      <c r="A102" s="17"/>
      <c r="B102" s="17"/>
      <c r="C102" s="17"/>
      <c r="D102" s="17"/>
    </row>
    <row r="103" spans="1:4" ht="12.5" x14ac:dyDescent="0.25">
      <c r="A103" s="17"/>
      <c r="B103" s="17"/>
      <c r="C103" s="17"/>
      <c r="D103" s="17"/>
    </row>
    <row r="104" spans="1:4" ht="12.5" x14ac:dyDescent="0.25">
      <c r="A104" s="17"/>
      <c r="B104" s="17"/>
      <c r="C104" s="17"/>
      <c r="D104" s="17"/>
    </row>
    <row r="105" spans="1:4" ht="12.5" x14ac:dyDescent="0.25">
      <c r="A105" s="17"/>
      <c r="B105" s="17"/>
      <c r="C105" s="17"/>
      <c r="D105" s="17"/>
    </row>
    <row r="106" spans="1:4" ht="12.5" x14ac:dyDescent="0.25">
      <c r="A106" s="17"/>
      <c r="B106" s="17"/>
      <c r="C106" s="17"/>
      <c r="D106" s="17"/>
    </row>
    <row r="107" spans="1:4" ht="12.5" x14ac:dyDescent="0.25">
      <c r="A107" s="17"/>
      <c r="B107" s="17"/>
      <c r="C107" s="17"/>
      <c r="D107" s="17"/>
    </row>
    <row r="108" spans="1:4" ht="12.5" x14ac:dyDescent="0.25">
      <c r="A108" s="17"/>
      <c r="B108" s="17"/>
      <c r="C108" s="17"/>
      <c r="D108" s="17"/>
    </row>
    <row r="109" spans="1:4" ht="12.5" x14ac:dyDescent="0.25">
      <c r="A109" s="17"/>
      <c r="B109" s="17"/>
      <c r="C109" s="17"/>
      <c r="D109" s="17"/>
    </row>
    <row r="110" spans="1:4" ht="12.5" x14ac:dyDescent="0.25">
      <c r="A110" s="17"/>
      <c r="B110" s="17"/>
      <c r="C110" s="17"/>
      <c r="D110" s="17"/>
    </row>
    <row r="111" spans="1:4" ht="12.5" x14ac:dyDescent="0.25">
      <c r="A111" s="17"/>
      <c r="B111" s="17"/>
      <c r="C111" s="17"/>
      <c r="D111" s="17"/>
    </row>
    <row r="112" spans="1:4" ht="12.5" x14ac:dyDescent="0.25">
      <c r="A112" s="17"/>
      <c r="B112" s="17"/>
      <c r="C112" s="17"/>
      <c r="D112" s="17"/>
    </row>
    <row r="113" spans="1:4" ht="12.5" x14ac:dyDescent="0.25">
      <c r="A113" s="17"/>
      <c r="B113" s="17"/>
      <c r="C113" s="17"/>
      <c r="D113" s="17"/>
    </row>
    <row r="114" spans="1:4" ht="12.5" x14ac:dyDescent="0.25">
      <c r="A114" s="17"/>
      <c r="B114" s="17"/>
      <c r="C114" s="17"/>
      <c r="D114" s="17"/>
    </row>
    <row r="115" spans="1:4" ht="12.5" x14ac:dyDescent="0.25">
      <c r="A115" s="17"/>
      <c r="B115" s="17"/>
      <c r="C115" s="17"/>
      <c r="D115" s="17"/>
    </row>
    <row r="116" spans="1:4" ht="12.5" x14ac:dyDescent="0.25">
      <c r="A116" s="17"/>
      <c r="B116" s="17"/>
      <c r="C116" s="17"/>
      <c r="D116" s="17"/>
    </row>
    <row r="117" spans="1:4" ht="12.5" x14ac:dyDescent="0.25">
      <c r="A117" s="17"/>
      <c r="B117" s="17"/>
      <c r="C117" s="17"/>
      <c r="D117" s="17"/>
    </row>
    <row r="118" spans="1:4" ht="12.5" x14ac:dyDescent="0.25">
      <c r="A118" s="17"/>
      <c r="B118" s="17"/>
      <c r="C118" s="17"/>
      <c r="D118" s="17"/>
    </row>
    <row r="119" spans="1:4" ht="12.5" x14ac:dyDescent="0.25">
      <c r="A119" s="17"/>
      <c r="B119" s="17"/>
      <c r="C119" s="17"/>
      <c r="D119" s="17"/>
    </row>
    <row r="120" spans="1:4" ht="12.5" x14ac:dyDescent="0.25">
      <c r="A120" s="17"/>
      <c r="B120" s="17"/>
      <c r="C120" s="17"/>
      <c r="D120" s="17"/>
    </row>
    <row r="121" spans="1:4" ht="12.5" x14ac:dyDescent="0.25">
      <c r="A121" s="17"/>
      <c r="B121" s="17"/>
      <c r="C121" s="17"/>
      <c r="D121" s="17"/>
    </row>
    <row r="122" spans="1:4" ht="12.5" x14ac:dyDescent="0.25">
      <c r="A122" s="17"/>
      <c r="B122" s="17"/>
      <c r="C122" s="17"/>
      <c r="D122" s="17"/>
    </row>
    <row r="123" spans="1:4" ht="12.5" x14ac:dyDescent="0.25">
      <c r="A123" s="17"/>
      <c r="B123" s="17"/>
      <c r="C123" s="17"/>
      <c r="D123" s="17"/>
    </row>
    <row r="124" spans="1:4" ht="12.5" x14ac:dyDescent="0.25">
      <c r="A124" s="17"/>
      <c r="B124" s="17"/>
      <c r="C124" s="17"/>
      <c r="D124" s="17"/>
    </row>
    <row r="125" spans="1:4" ht="12.5" x14ac:dyDescent="0.25">
      <c r="A125" s="17"/>
      <c r="B125" s="17"/>
      <c r="C125" s="17"/>
      <c r="D125" s="17"/>
    </row>
    <row r="126" spans="1:4" ht="12.5" x14ac:dyDescent="0.25">
      <c r="A126" s="17"/>
      <c r="B126" s="17"/>
      <c r="C126" s="17"/>
      <c r="D126" s="17"/>
    </row>
    <row r="127" spans="1:4" ht="12.5" x14ac:dyDescent="0.25">
      <c r="A127" s="17"/>
      <c r="B127" s="17"/>
      <c r="C127" s="17"/>
      <c r="D127" s="17"/>
    </row>
    <row r="128" spans="1:4" ht="12.5" x14ac:dyDescent="0.25">
      <c r="A128" s="17"/>
      <c r="B128" s="17"/>
      <c r="C128" s="17"/>
      <c r="D128" s="17"/>
    </row>
    <row r="129" spans="1:4" ht="12.5" x14ac:dyDescent="0.25">
      <c r="A129" s="17"/>
      <c r="B129" s="17"/>
      <c r="C129" s="17"/>
      <c r="D129" s="17"/>
    </row>
    <row r="130" spans="1:4" ht="12.5" x14ac:dyDescent="0.25">
      <c r="A130" s="17"/>
      <c r="B130" s="17"/>
      <c r="C130" s="17"/>
      <c r="D130" s="17"/>
    </row>
    <row r="131" spans="1:4" ht="12.5" x14ac:dyDescent="0.25">
      <c r="A131" s="17"/>
      <c r="B131" s="17"/>
      <c r="C131" s="17"/>
      <c r="D131" s="17"/>
    </row>
    <row r="132" spans="1:4" ht="12.5" x14ac:dyDescent="0.25">
      <c r="A132" s="17"/>
      <c r="B132" s="17"/>
      <c r="C132" s="17"/>
      <c r="D132" s="17"/>
    </row>
    <row r="133" spans="1:4" ht="12.5" x14ac:dyDescent="0.25">
      <c r="A133" s="17"/>
      <c r="B133" s="17"/>
      <c r="C133" s="17"/>
      <c r="D133" s="17"/>
    </row>
    <row r="134" spans="1:4" ht="12.5" x14ac:dyDescent="0.25">
      <c r="A134" s="17"/>
      <c r="B134" s="17"/>
      <c r="C134" s="17"/>
      <c r="D134" s="17"/>
    </row>
    <row r="135" spans="1:4" ht="12.5" x14ac:dyDescent="0.25">
      <c r="A135" s="17"/>
      <c r="B135" s="17"/>
      <c r="C135" s="17"/>
      <c r="D135" s="17"/>
    </row>
    <row r="136" spans="1:4" ht="12.5" x14ac:dyDescent="0.25">
      <c r="A136" s="17"/>
      <c r="B136" s="17"/>
      <c r="C136" s="17"/>
      <c r="D136" s="17"/>
    </row>
    <row r="137" spans="1:4" ht="12.5" x14ac:dyDescent="0.25">
      <c r="A137" s="17"/>
      <c r="B137" s="17"/>
      <c r="C137" s="17"/>
      <c r="D137" s="17"/>
    </row>
    <row r="138" spans="1:4" ht="12.5" x14ac:dyDescent="0.25">
      <c r="A138" s="17"/>
      <c r="B138" s="17"/>
      <c r="C138" s="17"/>
      <c r="D138" s="17"/>
    </row>
    <row r="139" spans="1:4" ht="12.5" x14ac:dyDescent="0.25">
      <c r="A139" s="17"/>
      <c r="B139" s="17"/>
      <c r="C139" s="17"/>
      <c r="D139" s="17"/>
    </row>
    <row r="140" spans="1:4" ht="12.5" x14ac:dyDescent="0.25">
      <c r="A140" s="17"/>
      <c r="B140" s="17"/>
      <c r="C140" s="17"/>
      <c r="D140" s="17"/>
    </row>
    <row r="141" spans="1:4" ht="12.5" x14ac:dyDescent="0.25">
      <c r="A141" s="17"/>
      <c r="B141" s="17"/>
      <c r="C141" s="17"/>
      <c r="D141" s="17"/>
    </row>
    <row r="142" spans="1:4" ht="12.5" x14ac:dyDescent="0.25">
      <c r="A142" s="17"/>
      <c r="B142" s="17"/>
      <c r="C142" s="17"/>
      <c r="D142" s="17"/>
    </row>
    <row r="143" spans="1:4" ht="12.5" x14ac:dyDescent="0.25">
      <c r="A143" s="17"/>
      <c r="B143" s="17"/>
      <c r="C143" s="17"/>
      <c r="D143" s="17"/>
    </row>
    <row r="144" spans="1:4" ht="12.5" x14ac:dyDescent="0.25">
      <c r="A144" s="17"/>
      <c r="B144" s="17"/>
      <c r="C144" s="17"/>
      <c r="D144" s="17"/>
    </row>
    <row r="145" spans="1:4" ht="12.5" x14ac:dyDescent="0.25">
      <c r="A145" s="17"/>
      <c r="B145" s="17"/>
      <c r="C145" s="17"/>
      <c r="D145" s="17"/>
    </row>
    <row r="146" spans="1:4" ht="12.5" x14ac:dyDescent="0.25">
      <c r="A146" s="17"/>
      <c r="B146" s="17"/>
      <c r="C146" s="17"/>
      <c r="D146" s="17"/>
    </row>
    <row r="147" spans="1:4" ht="12.5" x14ac:dyDescent="0.25">
      <c r="A147" s="17"/>
      <c r="B147" s="17"/>
      <c r="C147" s="17"/>
      <c r="D147" s="17"/>
    </row>
    <row r="148" spans="1:4" ht="12.5" x14ac:dyDescent="0.25">
      <c r="A148" s="17"/>
      <c r="B148" s="17"/>
      <c r="C148" s="17"/>
      <c r="D148" s="17"/>
    </row>
    <row r="149" spans="1:4" ht="12.5" x14ac:dyDescent="0.25">
      <c r="A149" s="17"/>
      <c r="B149" s="17"/>
      <c r="C149" s="17"/>
      <c r="D149" s="17"/>
    </row>
    <row r="150" spans="1:4" ht="12.5" x14ac:dyDescent="0.25">
      <c r="A150" s="17"/>
      <c r="B150" s="17"/>
      <c r="C150" s="17"/>
      <c r="D150" s="17"/>
    </row>
    <row r="151" spans="1:4" ht="12.5" x14ac:dyDescent="0.25">
      <c r="A151" s="17"/>
      <c r="B151" s="17"/>
      <c r="C151" s="17"/>
      <c r="D151" s="17"/>
    </row>
    <row r="152" spans="1:4" ht="12.5" x14ac:dyDescent="0.25">
      <c r="A152" s="17"/>
      <c r="B152" s="17"/>
      <c r="C152" s="17"/>
      <c r="D152" s="17"/>
    </row>
    <row r="153" spans="1:4" ht="12.5" x14ac:dyDescent="0.25">
      <c r="A153" s="17"/>
      <c r="B153" s="17"/>
      <c r="C153" s="17"/>
      <c r="D153" s="17"/>
    </row>
    <row r="154" spans="1:4" ht="12.5" x14ac:dyDescent="0.25">
      <c r="A154" s="17"/>
      <c r="B154" s="17"/>
      <c r="C154" s="17"/>
      <c r="D154" s="17"/>
    </row>
    <row r="155" spans="1:4" ht="12.5" x14ac:dyDescent="0.25">
      <c r="A155" s="17"/>
      <c r="B155" s="17"/>
      <c r="C155" s="17"/>
      <c r="D155" s="17"/>
    </row>
    <row r="156" spans="1:4" ht="12.5" x14ac:dyDescent="0.25">
      <c r="A156" s="17"/>
      <c r="B156" s="17"/>
      <c r="C156" s="17"/>
      <c r="D156" s="17"/>
    </row>
    <row r="157" spans="1:4" ht="12.5" x14ac:dyDescent="0.25">
      <c r="A157" s="17"/>
      <c r="B157" s="17"/>
      <c r="C157" s="17"/>
      <c r="D157" s="17"/>
    </row>
    <row r="158" spans="1:4" ht="12.5" x14ac:dyDescent="0.25">
      <c r="A158" s="17"/>
      <c r="B158" s="17"/>
      <c r="C158" s="17"/>
      <c r="D158" s="17"/>
    </row>
    <row r="159" spans="1:4" ht="12.5" x14ac:dyDescent="0.25">
      <c r="A159" s="17"/>
      <c r="B159" s="17"/>
      <c r="C159" s="17"/>
      <c r="D159" s="17"/>
    </row>
    <row r="160" spans="1:4" ht="12.5" x14ac:dyDescent="0.25">
      <c r="A160" s="17"/>
      <c r="B160" s="17"/>
      <c r="C160" s="17"/>
      <c r="D160" s="17"/>
    </row>
    <row r="161" spans="1:4" ht="12.5" x14ac:dyDescent="0.25">
      <c r="A161" s="17"/>
      <c r="B161" s="17"/>
      <c r="C161" s="17"/>
      <c r="D161" s="17"/>
    </row>
    <row r="162" spans="1:4" ht="12.5" x14ac:dyDescent="0.25">
      <c r="A162" s="17"/>
      <c r="B162" s="17"/>
      <c r="C162" s="17"/>
      <c r="D162" s="17"/>
    </row>
    <row r="163" spans="1:4" ht="12.5" x14ac:dyDescent="0.25">
      <c r="A163" s="17"/>
      <c r="B163" s="17"/>
      <c r="C163" s="17"/>
      <c r="D163" s="17"/>
    </row>
    <row r="164" spans="1:4" ht="12.5" x14ac:dyDescent="0.25">
      <c r="A164" s="17"/>
      <c r="B164" s="17"/>
      <c r="C164" s="17"/>
      <c r="D164" s="17"/>
    </row>
    <row r="165" spans="1:4" ht="12.5" x14ac:dyDescent="0.25">
      <c r="A165" s="17"/>
      <c r="B165" s="17"/>
      <c r="C165" s="17"/>
      <c r="D165" s="17"/>
    </row>
    <row r="166" spans="1:4" ht="12.5" x14ac:dyDescent="0.25">
      <c r="A166" s="17"/>
      <c r="B166" s="17"/>
      <c r="C166" s="17"/>
      <c r="D166" s="17"/>
    </row>
    <row r="167" spans="1:4" ht="12.5" x14ac:dyDescent="0.25">
      <c r="A167" s="17"/>
      <c r="B167" s="17"/>
      <c r="C167" s="17"/>
      <c r="D167" s="17"/>
    </row>
    <row r="168" spans="1:4" ht="12.5" x14ac:dyDescent="0.25">
      <c r="A168" s="17"/>
      <c r="B168" s="17"/>
      <c r="C168" s="17"/>
      <c r="D168" s="17"/>
    </row>
    <row r="169" spans="1:4" ht="12.5" x14ac:dyDescent="0.25">
      <c r="A169" s="17"/>
      <c r="B169" s="17"/>
      <c r="C169" s="17"/>
      <c r="D169" s="17"/>
    </row>
    <row r="170" spans="1:4" ht="12.5" x14ac:dyDescent="0.25">
      <c r="A170" s="17"/>
      <c r="B170" s="17"/>
      <c r="C170" s="17"/>
      <c r="D170" s="17"/>
    </row>
    <row r="171" spans="1:4" ht="12.5" x14ac:dyDescent="0.25">
      <c r="A171" s="17"/>
      <c r="B171" s="17"/>
      <c r="C171" s="17"/>
      <c r="D171" s="17"/>
    </row>
    <row r="172" spans="1:4" ht="12.5" x14ac:dyDescent="0.25">
      <c r="A172" s="17"/>
      <c r="B172" s="17"/>
      <c r="C172" s="17"/>
      <c r="D172" s="17"/>
    </row>
    <row r="173" spans="1:4" ht="12.5" x14ac:dyDescent="0.25">
      <c r="A173" s="17"/>
      <c r="B173" s="17"/>
      <c r="C173" s="17"/>
      <c r="D173" s="17"/>
    </row>
    <row r="174" spans="1:4" ht="12.5" x14ac:dyDescent="0.25">
      <c r="A174" s="17"/>
      <c r="B174" s="17"/>
      <c r="C174" s="17"/>
      <c r="D174" s="17"/>
    </row>
    <row r="175" spans="1:4" ht="12.5" x14ac:dyDescent="0.25">
      <c r="A175" s="17"/>
      <c r="B175" s="17"/>
      <c r="C175" s="17"/>
      <c r="D175" s="17"/>
    </row>
    <row r="176" spans="1:4" ht="12.5" x14ac:dyDescent="0.25">
      <c r="A176" s="17"/>
      <c r="B176" s="17"/>
      <c r="C176" s="17"/>
      <c r="D176" s="17"/>
    </row>
    <row r="177" spans="1:4" ht="12.5" x14ac:dyDescent="0.25">
      <c r="A177" s="17"/>
      <c r="B177" s="17"/>
      <c r="C177" s="17"/>
      <c r="D177" s="17"/>
    </row>
    <row r="178" spans="1:4" ht="12.5" x14ac:dyDescent="0.25">
      <c r="A178" s="17"/>
      <c r="B178" s="17"/>
      <c r="C178" s="17"/>
      <c r="D178" s="17"/>
    </row>
    <row r="179" spans="1:4" ht="12.5" x14ac:dyDescent="0.25">
      <c r="A179" s="17"/>
      <c r="B179" s="17"/>
      <c r="C179" s="17"/>
      <c r="D179" s="17"/>
    </row>
    <row r="180" spans="1:4" ht="12.5" x14ac:dyDescent="0.25">
      <c r="A180" s="17"/>
      <c r="B180" s="17"/>
      <c r="C180" s="17"/>
      <c r="D180" s="17"/>
    </row>
    <row r="181" spans="1:4" ht="12.5" x14ac:dyDescent="0.25">
      <c r="A181" s="17"/>
      <c r="B181" s="17"/>
      <c r="C181" s="17"/>
      <c r="D181" s="17"/>
    </row>
    <row r="182" spans="1:4" ht="12.5" x14ac:dyDescent="0.25">
      <c r="A182" s="17"/>
      <c r="B182" s="17"/>
      <c r="C182" s="17"/>
      <c r="D182" s="17"/>
    </row>
    <row r="183" spans="1:4" ht="12.5" x14ac:dyDescent="0.25">
      <c r="A183" s="17"/>
      <c r="B183" s="17"/>
      <c r="C183" s="17"/>
      <c r="D183" s="17"/>
    </row>
    <row r="184" spans="1:4" ht="12.5" x14ac:dyDescent="0.25">
      <c r="A184" s="17"/>
      <c r="B184" s="17"/>
      <c r="C184" s="17"/>
      <c r="D184" s="17"/>
    </row>
    <row r="185" spans="1:4" ht="12.5" x14ac:dyDescent="0.25">
      <c r="A185" s="17"/>
      <c r="B185" s="17"/>
      <c r="C185" s="17"/>
      <c r="D185" s="17"/>
    </row>
    <row r="186" spans="1:4" ht="12.5" x14ac:dyDescent="0.25">
      <c r="A186" s="17"/>
      <c r="B186" s="17"/>
      <c r="C186" s="17"/>
      <c r="D186" s="17"/>
    </row>
    <row r="187" spans="1:4" ht="12.5" x14ac:dyDescent="0.25">
      <c r="A187" s="17"/>
      <c r="B187" s="17"/>
      <c r="C187" s="17"/>
      <c r="D187" s="17"/>
    </row>
    <row r="188" spans="1:4" ht="12.5" x14ac:dyDescent="0.25">
      <c r="A188" s="17"/>
      <c r="B188" s="17"/>
      <c r="C188" s="17"/>
      <c r="D188" s="17"/>
    </row>
    <row r="189" spans="1:4" ht="12.5" x14ac:dyDescent="0.25">
      <c r="A189" s="17"/>
      <c r="B189" s="17"/>
      <c r="C189" s="17"/>
      <c r="D189" s="17"/>
    </row>
    <row r="190" spans="1:4" ht="12.5" x14ac:dyDescent="0.25">
      <c r="A190" s="17"/>
      <c r="B190" s="17"/>
      <c r="C190" s="17"/>
      <c r="D190" s="17"/>
    </row>
    <row r="191" spans="1:4" ht="12.5" x14ac:dyDescent="0.25">
      <c r="A191" s="17"/>
      <c r="B191" s="17"/>
      <c r="C191" s="17"/>
      <c r="D191" s="17"/>
    </row>
    <row r="192" spans="1:4" ht="12.5" x14ac:dyDescent="0.25">
      <c r="A192" s="17"/>
      <c r="B192" s="17"/>
      <c r="C192" s="17"/>
      <c r="D192" s="17"/>
    </row>
    <row r="193" spans="1:4" ht="12.5" x14ac:dyDescent="0.25">
      <c r="A193" s="17"/>
      <c r="B193" s="17"/>
      <c r="C193" s="17"/>
      <c r="D193" s="17"/>
    </row>
    <row r="194" spans="1:4" ht="12.5" x14ac:dyDescent="0.25">
      <c r="A194" s="17"/>
      <c r="B194" s="17"/>
      <c r="C194" s="17"/>
      <c r="D194" s="17"/>
    </row>
    <row r="195" spans="1:4" ht="12.5" x14ac:dyDescent="0.25">
      <c r="A195" s="17"/>
      <c r="B195" s="17"/>
      <c r="C195" s="17"/>
      <c r="D195" s="17"/>
    </row>
    <row r="196" spans="1:4" ht="12.5" x14ac:dyDescent="0.25">
      <c r="A196" s="17"/>
      <c r="B196" s="17"/>
      <c r="C196" s="17"/>
      <c r="D196" s="17"/>
    </row>
    <row r="197" spans="1:4" ht="12.5" x14ac:dyDescent="0.25">
      <c r="A197" s="17"/>
      <c r="B197" s="17"/>
      <c r="C197" s="17"/>
      <c r="D197" s="17"/>
    </row>
    <row r="198" spans="1:4" ht="12.5" x14ac:dyDescent="0.25">
      <c r="A198" s="17"/>
      <c r="B198" s="17"/>
      <c r="C198" s="17"/>
      <c r="D198" s="17"/>
    </row>
    <row r="199" spans="1:4" ht="12.5" x14ac:dyDescent="0.25">
      <c r="A199" s="17"/>
      <c r="B199" s="17"/>
      <c r="C199" s="17"/>
      <c r="D199" s="17"/>
    </row>
    <row r="200" spans="1:4" ht="12.5" x14ac:dyDescent="0.25">
      <c r="A200" s="17"/>
      <c r="B200" s="17"/>
      <c r="C200" s="17"/>
      <c r="D200" s="17"/>
    </row>
    <row r="201" spans="1:4" ht="12.5" x14ac:dyDescent="0.25">
      <c r="A201" s="17"/>
      <c r="B201" s="17"/>
      <c r="C201" s="17"/>
      <c r="D201" s="17"/>
    </row>
    <row r="202" spans="1:4" ht="12.5" x14ac:dyDescent="0.25">
      <c r="A202" s="17"/>
      <c r="B202" s="17"/>
      <c r="C202" s="17"/>
      <c r="D202" s="17"/>
    </row>
    <row r="203" spans="1:4" ht="12.5" x14ac:dyDescent="0.25">
      <c r="A203" s="17"/>
      <c r="B203" s="17"/>
      <c r="C203" s="17"/>
      <c r="D203" s="17"/>
    </row>
    <row r="204" spans="1:4" ht="12.5" x14ac:dyDescent="0.25">
      <c r="A204" s="17"/>
      <c r="B204" s="17"/>
      <c r="C204" s="17"/>
      <c r="D204" s="17"/>
    </row>
    <row r="205" spans="1:4" ht="12.5" x14ac:dyDescent="0.25">
      <c r="A205" s="17"/>
      <c r="B205" s="17"/>
      <c r="C205" s="17"/>
      <c r="D205" s="17"/>
    </row>
    <row r="206" spans="1:4" ht="12.5" x14ac:dyDescent="0.25">
      <c r="A206" s="17"/>
      <c r="B206" s="17"/>
      <c r="C206" s="17"/>
      <c r="D206" s="17"/>
    </row>
    <row r="207" spans="1:4" ht="12.5" x14ac:dyDescent="0.25">
      <c r="A207" s="17"/>
      <c r="B207" s="17"/>
      <c r="C207" s="17"/>
      <c r="D207" s="17"/>
    </row>
    <row r="208" spans="1:4" ht="12.5" x14ac:dyDescent="0.25">
      <c r="A208" s="17"/>
      <c r="B208" s="17"/>
      <c r="C208" s="17"/>
      <c r="D208" s="17"/>
    </row>
    <row r="209" spans="1:4" ht="12.5" x14ac:dyDescent="0.25">
      <c r="A209" s="17"/>
      <c r="B209" s="17"/>
      <c r="C209" s="17"/>
      <c r="D209" s="17"/>
    </row>
    <row r="210" spans="1:4" ht="12.5" x14ac:dyDescent="0.25">
      <c r="A210" s="17"/>
      <c r="B210" s="17"/>
      <c r="C210" s="17"/>
      <c r="D210" s="17"/>
    </row>
    <row r="211" spans="1:4" ht="12.5" x14ac:dyDescent="0.25">
      <c r="A211" s="17"/>
      <c r="B211" s="17"/>
      <c r="C211" s="17"/>
      <c r="D211" s="17"/>
    </row>
    <row r="212" spans="1:4" ht="12.5" x14ac:dyDescent="0.25">
      <c r="A212" s="17"/>
      <c r="B212" s="17"/>
      <c r="C212" s="17"/>
      <c r="D212" s="17"/>
    </row>
    <row r="213" spans="1:4" ht="12.5" x14ac:dyDescent="0.25">
      <c r="A213" s="17"/>
      <c r="B213" s="17"/>
      <c r="C213" s="17"/>
      <c r="D213" s="17"/>
    </row>
    <row r="214" spans="1:4" ht="12.5" x14ac:dyDescent="0.25">
      <c r="A214" s="17"/>
      <c r="B214" s="17"/>
      <c r="C214" s="17"/>
      <c r="D214" s="17"/>
    </row>
    <row r="215" spans="1:4" ht="12.5" x14ac:dyDescent="0.25">
      <c r="A215" s="17"/>
      <c r="B215" s="17"/>
      <c r="C215" s="17"/>
      <c r="D215" s="17"/>
    </row>
    <row r="216" spans="1:4" ht="12.5" x14ac:dyDescent="0.25">
      <c r="A216" s="17"/>
      <c r="B216" s="17"/>
      <c r="C216" s="17"/>
      <c r="D216" s="17"/>
    </row>
    <row r="217" spans="1:4" ht="12.5" x14ac:dyDescent="0.25">
      <c r="A217" s="17"/>
      <c r="B217" s="17"/>
      <c r="C217" s="17"/>
      <c r="D217" s="17"/>
    </row>
    <row r="218" spans="1:4" ht="12.5" x14ac:dyDescent="0.25">
      <c r="A218" s="17"/>
      <c r="B218" s="17"/>
      <c r="C218" s="17"/>
      <c r="D218" s="17"/>
    </row>
    <row r="219" spans="1:4" ht="12.5" x14ac:dyDescent="0.25">
      <c r="A219" s="17"/>
      <c r="B219" s="17"/>
      <c r="C219" s="17"/>
      <c r="D219" s="17"/>
    </row>
    <row r="220" spans="1:4" ht="12.5" x14ac:dyDescent="0.25">
      <c r="A220" s="17"/>
      <c r="B220" s="17"/>
      <c r="C220" s="17"/>
      <c r="D220" s="17"/>
    </row>
    <row r="221" spans="1:4" ht="12.5" x14ac:dyDescent="0.25">
      <c r="A221" s="17"/>
      <c r="B221" s="17"/>
      <c r="C221" s="17"/>
      <c r="D221" s="17"/>
    </row>
    <row r="222" spans="1:4" ht="12.5" x14ac:dyDescent="0.25">
      <c r="A222" s="17"/>
      <c r="B222" s="17"/>
      <c r="C222" s="17"/>
      <c r="D222" s="17"/>
    </row>
    <row r="223" spans="1:4" ht="12.5" x14ac:dyDescent="0.25">
      <c r="A223" s="17"/>
      <c r="B223" s="17"/>
      <c r="C223" s="17"/>
      <c r="D223" s="17"/>
    </row>
    <row r="224" spans="1:4" ht="12.5" x14ac:dyDescent="0.25">
      <c r="A224" s="17"/>
      <c r="B224" s="17"/>
      <c r="C224" s="17"/>
      <c r="D224" s="17"/>
    </row>
    <row r="225" spans="1:4" ht="12.5" x14ac:dyDescent="0.25">
      <c r="A225" s="17"/>
      <c r="B225" s="17"/>
      <c r="C225" s="17"/>
      <c r="D225" s="17"/>
    </row>
    <row r="226" spans="1:4" ht="12.5" x14ac:dyDescent="0.25">
      <c r="A226" s="17"/>
      <c r="B226" s="17"/>
      <c r="C226" s="17"/>
      <c r="D226" s="17"/>
    </row>
    <row r="227" spans="1:4" ht="12.5" x14ac:dyDescent="0.25">
      <c r="A227" s="17"/>
      <c r="B227" s="17"/>
      <c r="C227" s="17"/>
      <c r="D227" s="17"/>
    </row>
    <row r="228" spans="1:4" ht="12.5" x14ac:dyDescent="0.25">
      <c r="A228" s="17"/>
      <c r="B228" s="17"/>
      <c r="C228" s="17"/>
      <c r="D228" s="17"/>
    </row>
    <row r="229" spans="1:4" ht="12.5" x14ac:dyDescent="0.25">
      <c r="A229" s="17"/>
      <c r="B229" s="17"/>
      <c r="C229" s="17"/>
      <c r="D229" s="17"/>
    </row>
    <row r="230" spans="1:4" ht="12.5" x14ac:dyDescent="0.25">
      <c r="A230" s="17"/>
      <c r="B230" s="17"/>
      <c r="C230" s="17"/>
      <c r="D230" s="17"/>
    </row>
    <row r="231" spans="1:4" ht="12.5" x14ac:dyDescent="0.25">
      <c r="A231" s="17"/>
      <c r="B231" s="17"/>
      <c r="C231" s="17"/>
      <c r="D231" s="17"/>
    </row>
    <row r="232" spans="1:4" ht="12.5" x14ac:dyDescent="0.25">
      <c r="A232" s="17"/>
      <c r="B232" s="17"/>
      <c r="C232" s="17"/>
      <c r="D232" s="17"/>
    </row>
    <row r="233" spans="1:4" ht="12.5" x14ac:dyDescent="0.25">
      <c r="A233" s="17"/>
      <c r="B233" s="17"/>
      <c r="C233" s="17"/>
      <c r="D233" s="17"/>
    </row>
    <row r="234" spans="1:4" ht="12.5" x14ac:dyDescent="0.25">
      <c r="A234" s="17"/>
      <c r="B234" s="17"/>
      <c r="C234" s="17"/>
      <c r="D234" s="17"/>
    </row>
    <row r="235" spans="1:4" ht="12.5" x14ac:dyDescent="0.25">
      <c r="A235" s="17"/>
      <c r="B235" s="17"/>
      <c r="C235" s="17"/>
      <c r="D235" s="17"/>
    </row>
    <row r="236" spans="1:4" ht="12.5" x14ac:dyDescent="0.25">
      <c r="A236" s="17"/>
      <c r="B236" s="17"/>
      <c r="C236" s="17"/>
      <c r="D236" s="17"/>
    </row>
    <row r="237" spans="1:4" ht="12.5" x14ac:dyDescent="0.25">
      <c r="A237" s="17"/>
      <c r="B237" s="17"/>
      <c r="C237" s="17"/>
      <c r="D237" s="17"/>
    </row>
    <row r="238" spans="1:4" ht="12.5" x14ac:dyDescent="0.25">
      <c r="A238" s="17"/>
      <c r="B238" s="17"/>
      <c r="C238" s="17"/>
      <c r="D238" s="17"/>
    </row>
    <row r="239" spans="1:4" ht="12.5" x14ac:dyDescent="0.25">
      <c r="A239" s="17"/>
      <c r="B239" s="17"/>
      <c r="C239" s="17"/>
      <c r="D239" s="17"/>
    </row>
    <row r="240" spans="1:4" ht="12.5" x14ac:dyDescent="0.25">
      <c r="A240" s="17"/>
      <c r="B240" s="17"/>
      <c r="C240" s="17"/>
      <c r="D240" s="17"/>
    </row>
    <row r="241" spans="1:4" ht="12.5" x14ac:dyDescent="0.25">
      <c r="A241" s="17"/>
      <c r="B241" s="17"/>
      <c r="C241" s="17"/>
      <c r="D241" s="17"/>
    </row>
    <row r="242" spans="1:4" ht="12.5" x14ac:dyDescent="0.25">
      <c r="A242" s="17"/>
      <c r="B242" s="17"/>
      <c r="C242" s="17"/>
      <c r="D242" s="17"/>
    </row>
    <row r="243" spans="1:4" ht="12.5" x14ac:dyDescent="0.25">
      <c r="A243" s="17"/>
      <c r="B243" s="17"/>
      <c r="C243" s="17"/>
      <c r="D243" s="17"/>
    </row>
    <row r="244" spans="1:4" ht="12.5" x14ac:dyDescent="0.25">
      <c r="A244" s="17"/>
      <c r="B244" s="17"/>
      <c r="C244" s="17"/>
      <c r="D244" s="17"/>
    </row>
    <row r="245" spans="1:4" ht="12.5" x14ac:dyDescent="0.25">
      <c r="A245" s="17"/>
      <c r="B245" s="17"/>
      <c r="C245" s="17"/>
      <c r="D245" s="17"/>
    </row>
    <row r="246" spans="1:4" ht="12.5" x14ac:dyDescent="0.25">
      <c r="A246" s="17"/>
      <c r="B246" s="17"/>
      <c r="C246" s="17"/>
      <c r="D246" s="17"/>
    </row>
    <row r="247" spans="1:4" ht="12.5" x14ac:dyDescent="0.25">
      <c r="A247" s="17"/>
      <c r="B247" s="17"/>
      <c r="C247" s="17"/>
      <c r="D247" s="17"/>
    </row>
    <row r="248" spans="1:4" ht="12.5" x14ac:dyDescent="0.25">
      <c r="A248" s="17"/>
      <c r="B248" s="17"/>
      <c r="C248" s="17"/>
      <c r="D248" s="17"/>
    </row>
    <row r="249" spans="1:4" ht="12.5" x14ac:dyDescent="0.25">
      <c r="A249" s="17"/>
      <c r="B249" s="17"/>
      <c r="C249" s="17"/>
      <c r="D249" s="17"/>
    </row>
    <row r="250" spans="1:4" ht="12.5" x14ac:dyDescent="0.25">
      <c r="A250" s="17"/>
      <c r="B250" s="17"/>
      <c r="C250" s="17"/>
      <c r="D250" s="17"/>
    </row>
    <row r="251" spans="1:4" ht="12.5" x14ac:dyDescent="0.25">
      <c r="A251" s="17"/>
      <c r="B251" s="17"/>
      <c r="C251" s="17"/>
      <c r="D251" s="17"/>
    </row>
    <row r="252" spans="1:4" ht="12.5" x14ac:dyDescent="0.25">
      <c r="A252" s="17"/>
      <c r="B252" s="17"/>
      <c r="C252" s="17"/>
      <c r="D252" s="17"/>
    </row>
    <row r="253" spans="1:4" ht="12.5" x14ac:dyDescent="0.25">
      <c r="A253" s="17"/>
      <c r="B253" s="17"/>
      <c r="C253" s="17"/>
      <c r="D253" s="17"/>
    </row>
    <row r="254" spans="1:4" ht="12.5" x14ac:dyDescent="0.25">
      <c r="A254" s="17"/>
      <c r="B254" s="17"/>
      <c r="C254" s="17"/>
      <c r="D254" s="17"/>
    </row>
    <row r="255" spans="1:4" ht="12.5" x14ac:dyDescent="0.25">
      <c r="A255" s="17"/>
      <c r="B255" s="17"/>
      <c r="C255" s="17"/>
      <c r="D255" s="17"/>
    </row>
    <row r="256" spans="1:4" ht="12.5" x14ac:dyDescent="0.25">
      <c r="A256" s="17"/>
      <c r="B256" s="17"/>
      <c r="C256" s="17"/>
      <c r="D256" s="17"/>
    </row>
    <row r="257" spans="1:4" ht="12.5" x14ac:dyDescent="0.25">
      <c r="A257" s="17"/>
      <c r="B257" s="17"/>
      <c r="C257" s="17"/>
      <c r="D257" s="17"/>
    </row>
    <row r="258" spans="1:4" ht="12.5" x14ac:dyDescent="0.25">
      <c r="A258" s="17"/>
      <c r="B258" s="17"/>
      <c r="C258" s="17"/>
      <c r="D258" s="17"/>
    </row>
    <row r="259" spans="1:4" ht="12.5" x14ac:dyDescent="0.25">
      <c r="A259" s="17"/>
      <c r="B259" s="17"/>
      <c r="C259" s="17"/>
      <c r="D259" s="17"/>
    </row>
    <row r="260" spans="1:4" ht="12.5" x14ac:dyDescent="0.25">
      <c r="A260" s="17"/>
      <c r="B260" s="17"/>
      <c r="C260" s="17"/>
      <c r="D260" s="17"/>
    </row>
    <row r="261" spans="1:4" ht="12.5" x14ac:dyDescent="0.25">
      <c r="A261" s="17"/>
      <c r="B261" s="17"/>
      <c r="C261" s="17"/>
      <c r="D261" s="17"/>
    </row>
    <row r="262" spans="1:4" ht="12.5" x14ac:dyDescent="0.25">
      <c r="A262" s="17"/>
      <c r="B262" s="17"/>
      <c r="C262" s="17"/>
      <c r="D262" s="17"/>
    </row>
    <row r="263" spans="1:4" ht="12.5" x14ac:dyDescent="0.25">
      <c r="A263" s="17"/>
      <c r="B263" s="17"/>
      <c r="C263" s="17"/>
      <c r="D263" s="17"/>
    </row>
    <row r="264" spans="1:4" ht="12.5" x14ac:dyDescent="0.25">
      <c r="A264" s="17"/>
      <c r="B264" s="17"/>
      <c r="C264" s="17"/>
      <c r="D264" s="17"/>
    </row>
    <row r="265" spans="1:4" ht="12.5" x14ac:dyDescent="0.25">
      <c r="A265" s="17"/>
      <c r="B265" s="17"/>
      <c r="C265" s="17"/>
      <c r="D265" s="17"/>
    </row>
    <row r="266" spans="1:4" ht="12.5" x14ac:dyDescent="0.25">
      <c r="A266" s="17"/>
      <c r="B266" s="17"/>
      <c r="C266" s="17"/>
      <c r="D266" s="17"/>
    </row>
    <row r="267" spans="1:4" ht="12.5" x14ac:dyDescent="0.25">
      <c r="A267" s="17"/>
      <c r="B267" s="17"/>
      <c r="C267" s="17"/>
      <c r="D267" s="17"/>
    </row>
    <row r="268" spans="1:4" ht="12.5" x14ac:dyDescent="0.25">
      <c r="A268" s="17"/>
      <c r="B268" s="17"/>
      <c r="C268" s="17"/>
      <c r="D268" s="17"/>
    </row>
    <row r="269" spans="1:4" ht="12.5" x14ac:dyDescent="0.25">
      <c r="A269" s="17"/>
      <c r="B269" s="17"/>
      <c r="C269" s="17"/>
      <c r="D269" s="17"/>
    </row>
    <row r="270" spans="1:4" ht="12.5" x14ac:dyDescent="0.25">
      <c r="A270" s="17"/>
      <c r="B270" s="17"/>
      <c r="C270" s="17"/>
      <c r="D270" s="17"/>
    </row>
    <row r="271" spans="1:4" ht="12.5" x14ac:dyDescent="0.25">
      <c r="A271" s="17"/>
      <c r="B271" s="17"/>
      <c r="C271" s="17"/>
      <c r="D271" s="17"/>
    </row>
    <row r="272" spans="1:4" ht="12.5" x14ac:dyDescent="0.25">
      <c r="A272" s="17"/>
      <c r="B272" s="17"/>
      <c r="C272" s="17"/>
      <c r="D272" s="17"/>
    </row>
    <row r="273" spans="1:4" ht="12.5" x14ac:dyDescent="0.25">
      <c r="A273" s="17"/>
      <c r="B273" s="17"/>
      <c r="C273" s="17"/>
      <c r="D273" s="17"/>
    </row>
    <row r="274" spans="1:4" ht="12.5" x14ac:dyDescent="0.25">
      <c r="A274" s="17"/>
      <c r="B274" s="17"/>
      <c r="C274" s="17"/>
      <c r="D274" s="17"/>
    </row>
    <row r="275" spans="1:4" ht="12.5" x14ac:dyDescent="0.25">
      <c r="A275" s="17"/>
      <c r="B275" s="17"/>
      <c r="C275" s="17"/>
      <c r="D275" s="17"/>
    </row>
    <row r="276" spans="1:4" ht="12.5" x14ac:dyDescent="0.25">
      <c r="A276" s="17"/>
      <c r="B276" s="17"/>
      <c r="C276" s="17"/>
      <c r="D276" s="17"/>
    </row>
    <row r="277" spans="1:4" ht="12.5" x14ac:dyDescent="0.25">
      <c r="A277" s="17"/>
      <c r="B277" s="17"/>
      <c r="C277" s="17"/>
      <c r="D277" s="17"/>
    </row>
    <row r="278" spans="1:4" ht="12.5" x14ac:dyDescent="0.25">
      <c r="A278" s="17"/>
      <c r="B278" s="17"/>
      <c r="C278" s="17"/>
      <c r="D278" s="17"/>
    </row>
    <row r="279" spans="1:4" ht="12.5" x14ac:dyDescent="0.25">
      <c r="A279" s="17"/>
      <c r="B279" s="17"/>
      <c r="C279" s="17"/>
      <c r="D279" s="17"/>
    </row>
    <row r="280" spans="1:4" ht="12.5" x14ac:dyDescent="0.25">
      <c r="A280" s="17"/>
      <c r="B280" s="17"/>
      <c r="C280" s="17"/>
      <c r="D280" s="17"/>
    </row>
    <row r="281" spans="1:4" ht="12.5" x14ac:dyDescent="0.25">
      <c r="A281" s="17"/>
      <c r="B281" s="17"/>
      <c r="C281" s="17"/>
      <c r="D281" s="17"/>
    </row>
    <row r="282" spans="1:4" ht="12.5" x14ac:dyDescent="0.25">
      <c r="A282" s="17"/>
      <c r="B282" s="17"/>
      <c r="C282" s="17"/>
      <c r="D282" s="17"/>
    </row>
    <row r="283" spans="1:4" ht="12.5" x14ac:dyDescent="0.25">
      <c r="A283" s="17"/>
      <c r="B283" s="17"/>
      <c r="C283" s="17"/>
      <c r="D283" s="17"/>
    </row>
    <row r="284" spans="1:4" ht="12.5" x14ac:dyDescent="0.25">
      <c r="A284" s="17"/>
      <c r="B284" s="17"/>
      <c r="C284" s="17"/>
      <c r="D284" s="17"/>
    </row>
    <row r="285" spans="1:4" ht="12.5" x14ac:dyDescent="0.25">
      <c r="A285" s="17"/>
      <c r="B285" s="17"/>
      <c r="C285" s="17"/>
      <c r="D285" s="17"/>
    </row>
    <row r="286" spans="1:4" ht="12.5" x14ac:dyDescent="0.25">
      <c r="A286" s="17"/>
      <c r="B286" s="17"/>
      <c r="C286" s="17"/>
      <c r="D286" s="17"/>
    </row>
    <row r="287" spans="1:4" ht="12.5" x14ac:dyDescent="0.25">
      <c r="A287" s="17"/>
      <c r="B287" s="17"/>
      <c r="C287" s="17"/>
      <c r="D287" s="17"/>
    </row>
    <row r="288" spans="1:4" ht="12.5" x14ac:dyDescent="0.25">
      <c r="A288" s="17"/>
      <c r="B288" s="17"/>
      <c r="C288" s="17"/>
      <c r="D288" s="17"/>
    </row>
    <row r="289" spans="1:4" ht="12.5" x14ac:dyDescent="0.25">
      <c r="A289" s="17"/>
      <c r="B289" s="17"/>
      <c r="C289" s="17"/>
      <c r="D289" s="17"/>
    </row>
    <row r="290" spans="1:4" ht="12.5" x14ac:dyDescent="0.25">
      <c r="A290" s="17"/>
      <c r="B290" s="17"/>
      <c r="C290" s="17"/>
      <c r="D290" s="17"/>
    </row>
    <row r="291" spans="1:4" ht="12.5" x14ac:dyDescent="0.25">
      <c r="A291" s="17"/>
      <c r="B291" s="17"/>
      <c r="C291" s="17"/>
      <c r="D291" s="17"/>
    </row>
    <row r="292" spans="1:4" ht="12.5" x14ac:dyDescent="0.25">
      <c r="A292" s="17"/>
      <c r="B292" s="17"/>
      <c r="C292" s="17"/>
      <c r="D292" s="17"/>
    </row>
    <row r="293" spans="1:4" ht="12.5" x14ac:dyDescent="0.25">
      <c r="A293" s="17"/>
      <c r="B293" s="17"/>
      <c r="C293" s="17"/>
      <c r="D293" s="17"/>
    </row>
    <row r="294" spans="1:4" ht="12.5" x14ac:dyDescent="0.25">
      <c r="A294" s="17"/>
      <c r="B294" s="17"/>
      <c r="C294" s="17"/>
      <c r="D294" s="17"/>
    </row>
    <row r="295" spans="1:4" ht="12.5" x14ac:dyDescent="0.25">
      <c r="A295" s="17"/>
      <c r="B295" s="17"/>
      <c r="C295" s="17"/>
      <c r="D295" s="17"/>
    </row>
    <row r="296" spans="1:4" ht="12.5" x14ac:dyDescent="0.25">
      <c r="A296" s="17"/>
      <c r="B296" s="17"/>
      <c r="C296" s="17"/>
      <c r="D296" s="17"/>
    </row>
    <row r="297" spans="1:4" ht="12.5" x14ac:dyDescent="0.25">
      <c r="A297" s="17"/>
      <c r="B297" s="17"/>
      <c r="C297" s="17"/>
      <c r="D297" s="17"/>
    </row>
    <row r="298" spans="1:4" ht="12.5" x14ac:dyDescent="0.25">
      <c r="A298" s="17"/>
      <c r="B298" s="17"/>
      <c r="C298" s="17"/>
      <c r="D298" s="17"/>
    </row>
    <row r="299" spans="1:4" ht="12.5" x14ac:dyDescent="0.25">
      <c r="A299" s="17"/>
      <c r="B299" s="17"/>
      <c r="C299" s="17"/>
      <c r="D299" s="17"/>
    </row>
    <row r="300" spans="1:4" ht="12.5" x14ac:dyDescent="0.25">
      <c r="A300" s="17"/>
      <c r="B300" s="17"/>
      <c r="C300" s="17"/>
      <c r="D300" s="17"/>
    </row>
    <row r="301" spans="1:4" ht="12.5" x14ac:dyDescent="0.25">
      <c r="A301" s="17"/>
      <c r="B301" s="17"/>
      <c r="C301" s="17"/>
      <c r="D301" s="17"/>
    </row>
    <row r="302" spans="1:4" ht="12.5" x14ac:dyDescent="0.25">
      <c r="A302" s="17"/>
      <c r="B302" s="17"/>
      <c r="C302" s="17"/>
      <c r="D302" s="17"/>
    </row>
    <row r="303" spans="1:4" ht="12.5" x14ac:dyDescent="0.25">
      <c r="A303" s="17"/>
      <c r="B303" s="17"/>
      <c r="C303" s="17"/>
      <c r="D303" s="17"/>
    </row>
    <row r="304" spans="1:4" ht="12.5" x14ac:dyDescent="0.25">
      <c r="A304" s="17"/>
      <c r="B304" s="17"/>
      <c r="C304" s="17"/>
      <c r="D304" s="17"/>
    </row>
    <row r="305" spans="1:4" ht="12.5" x14ac:dyDescent="0.25">
      <c r="A305" s="17"/>
      <c r="B305" s="17"/>
      <c r="C305" s="17"/>
      <c r="D305" s="17"/>
    </row>
    <row r="306" spans="1:4" ht="12.5" x14ac:dyDescent="0.25">
      <c r="A306" s="17"/>
      <c r="B306" s="17"/>
      <c r="C306" s="17"/>
      <c r="D306" s="17"/>
    </row>
    <row r="307" spans="1:4" ht="12.5" x14ac:dyDescent="0.25">
      <c r="A307" s="17"/>
      <c r="B307" s="17"/>
      <c r="C307" s="17"/>
      <c r="D307" s="17"/>
    </row>
    <row r="308" spans="1:4" ht="12.5" x14ac:dyDescent="0.25">
      <c r="A308" s="17"/>
      <c r="B308" s="17"/>
      <c r="C308" s="17"/>
      <c r="D308" s="17"/>
    </row>
    <row r="309" spans="1:4" ht="12.5" x14ac:dyDescent="0.25">
      <c r="A309" s="17"/>
      <c r="B309" s="17"/>
      <c r="C309" s="17"/>
      <c r="D309" s="17"/>
    </row>
    <row r="310" spans="1:4" ht="12.5" x14ac:dyDescent="0.25">
      <c r="A310" s="17"/>
      <c r="B310" s="17"/>
      <c r="C310" s="17"/>
      <c r="D310" s="17"/>
    </row>
    <row r="311" spans="1:4" ht="12.5" x14ac:dyDescent="0.25">
      <c r="A311" s="17"/>
      <c r="B311" s="17"/>
      <c r="C311" s="17"/>
      <c r="D311" s="17"/>
    </row>
    <row r="312" spans="1:4" ht="12.5" x14ac:dyDescent="0.25">
      <c r="A312" s="17"/>
      <c r="B312" s="17"/>
      <c r="C312" s="17"/>
      <c r="D312" s="17"/>
    </row>
    <row r="313" spans="1:4" ht="12.5" x14ac:dyDescent="0.25">
      <c r="A313" s="17"/>
      <c r="B313" s="17"/>
      <c r="C313" s="17"/>
      <c r="D313" s="17"/>
    </row>
    <row r="314" spans="1:4" ht="12.5" x14ac:dyDescent="0.25">
      <c r="A314" s="17"/>
      <c r="B314" s="17"/>
      <c r="C314" s="17"/>
      <c r="D314" s="17"/>
    </row>
    <row r="315" spans="1:4" ht="12.5" x14ac:dyDescent="0.25">
      <c r="A315" s="17"/>
      <c r="B315" s="17"/>
      <c r="C315" s="17"/>
      <c r="D315" s="17"/>
    </row>
    <row r="316" spans="1:4" ht="12.5" x14ac:dyDescent="0.25">
      <c r="A316" s="17"/>
      <c r="B316" s="17"/>
      <c r="C316" s="17"/>
      <c r="D316" s="17"/>
    </row>
    <row r="317" spans="1:4" ht="12.5" x14ac:dyDescent="0.25">
      <c r="A317" s="17"/>
      <c r="B317" s="17"/>
      <c r="C317" s="17"/>
      <c r="D317" s="17"/>
    </row>
    <row r="318" spans="1:4" ht="12.5" x14ac:dyDescent="0.25">
      <c r="A318" s="17"/>
      <c r="B318" s="17"/>
      <c r="C318" s="17"/>
      <c r="D318" s="17"/>
    </row>
    <row r="319" spans="1:4" ht="12.5" x14ac:dyDescent="0.25">
      <c r="A319" s="17"/>
      <c r="B319" s="17"/>
      <c r="C319" s="17"/>
      <c r="D319" s="17"/>
    </row>
    <row r="320" spans="1:4" ht="12.5" x14ac:dyDescent="0.25">
      <c r="A320" s="17"/>
      <c r="B320" s="17"/>
      <c r="C320" s="17"/>
      <c r="D320" s="17"/>
    </row>
    <row r="321" spans="1:4" ht="12.5" x14ac:dyDescent="0.25">
      <c r="A321" s="17"/>
      <c r="B321" s="17"/>
      <c r="C321" s="17"/>
      <c r="D321" s="17"/>
    </row>
    <row r="322" spans="1:4" ht="12.5" x14ac:dyDescent="0.25">
      <c r="A322" s="17"/>
      <c r="B322" s="17"/>
      <c r="C322" s="17"/>
      <c r="D322" s="17"/>
    </row>
    <row r="323" spans="1:4" ht="12.5" x14ac:dyDescent="0.25">
      <c r="A323" s="17"/>
      <c r="B323" s="17"/>
      <c r="C323" s="17"/>
      <c r="D323" s="17"/>
    </row>
    <row r="324" spans="1:4" ht="12.5" x14ac:dyDescent="0.25">
      <c r="A324" s="17"/>
      <c r="B324" s="17"/>
      <c r="C324" s="17"/>
      <c r="D324" s="17"/>
    </row>
    <row r="325" spans="1:4" ht="12.5" x14ac:dyDescent="0.25">
      <c r="A325" s="17"/>
      <c r="B325" s="17"/>
      <c r="C325" s="17"/>
      <c r="D325" s="17"/>
    </row>
    <row r="326" spans="1:4" ht="12.5" x14ac:dyDescent="0.25">
      <c r="A326" s="17"/>
      <c r="B326" s="17"/>
      <c r="C326" s="17"/>
      <c r="D326" s="17"/>
    </row>
    <row r="327" spans="1:4" ht="12.5" x14ac:dyDescent="0.25">
      <c r="A327" s="17"/>
      <c r="B327" s="17"/>
      <c r="C327" s="17"/>
      <c r="D327" s="17"/>
    </row>
    <row r="328" spans="1:4" ht="12.5" x14ac:dyDescent="0.25">
      <c r="A328" s="17"/>
      <c r="B328" s="17"/>
      <c r="C328" s="17"/>
      <c r="D328" s="17"/>
    </row>
    <row r="329" spans="1:4" ht="12.5" x14ac:dyDescent="0.25">
      <c r="A329" s="17"/>
      <c r="B329" s="17"/>
      <c r="C329" s="17"/>
      <c r="D329" s="17"/>
    </row>
    <row r="330" spans="1:4" ht="12.5" x14ac:dyDescent="0.25">
      <c r="A330" s="17"/>
      <c r="B330" s="17"/>
      <c r="C330" s="17"/>
      <c r="D330" s="17"/>
    </row>
    <row r="331" spans="1:4" ht="12.5" x14ac:dyDescent="0.25">
      <c r="A331" s="17"/>
      <c r="B331" s="17"/>
      <c r="C331" s="17"/>
      <c r="D331" s="17"/>
    </row>
    <row r="332" spans="1:4" ht="12.5" x14ac:dyDescent="0.25">
      <c r="A332" s="17"/>
      <c r="B332" s="17"/>
      <c r="C332" s="17"/>
      <c r="D332" s="17"/>
    </row>
    <row r="333" spans="1:4" ht="12.5" x14ac:dyDescent="0.25">
      <c r="A333" s="17"/>
      <c r="B333" s="17"/>
      <c r="C333" s="17"/>
      <c r="D333" s="17"/>
    </row>
    <row r="334" spans="1:4" ht="12.5" x14ac:dyDescent="0.25">
      <c r="A334" s="17"/>
      <c r="B334" s="17"/>
      <c r="C334" s="17"/>
      <c r="D334" s="17"/>
    </row>
    <row r="335" spans="1:4" ht="12.5" x14ac:dyDescent="0.25">
      <c r="A335" s="17"/>
      <c r="B335" s="17"/>
      <c r="C335" s="17"/>
      <c r="D335" s="17"/>
    </row>
    <row r="336" spans="1:4" ht="12.5" x14ac:dyDescent="0.25">
      <c r="A336" s="17"/>
      <c r="B336" s="17"/>
      <c r="C336" s="17"/>
      <c r="D336" s="17"/>
    </row>
    <row r="337" spans="1:4" ht="12.5" x14ac:dyDescent="0.25">
      <c r="A337" s="17"/>
      <c r="B337" s="17"/>
      <c r="C337" s="17"/>
      <c r="D337" s="17"/>
    </row>
    <row r="338" spans="1:4" ht="12.5" x14ac:dyDescent="0.25">
      <c r="A338" s="17"/>
      <c r="B338" s="17"/>
      <c r="C338" s="17"/>
      <c r="D338" s="17"/>
    </row>
    <row r="339" spans="1:4" ht="12.5" x14ac:dyDescent="0.25">
      <c r="A339" s="17"/>
      <c r="B339" s="17"/>
      <c r="C339" s="17"/>
      <c r="D339" s="17"/>
    </row>
    <row r="340" spans="1:4" ht="12.5" x14ac:dyDescent="0.25">
      <c r="A340" s="17"/>
      <c r="B340" s="17"/>
      <c r="C340" s="17"/>
      <c r="D340" s="17"/>
    </row>
    <row r="341" spans="1:4" ht="12.5" x14ac:dyDescent="0.25">
      <c r="A341" s="17"/>
      <c r="B341" s="17"/>
      <c r="C341" s="17"/>
      <c r="D341" s="17"/>
    </row>
    <row r="342" spans="1:4" ht="12.5" x14ac:dyDescent="0.25">
      <c r="A342" s="17"/>
      <c r="B342" s="17"/>
      <c r="C342" s="17"/>
      <c r="D342" s="17"/>
    </row>
    <row r="343" spans="1:4" ht="12.5" x14ac:dyDescent="0.25">
      <c r="A343" s="17"/>
      <c r="B343" s="17"/>
      <c r="C343" s="17"/>
      <c r="D343" s="17"/>
    </row>
    <row r="344" spans="1:4" ht="12.5" x14ac:dyDescent="0.25">
      <c r="A344" s="17"/>
      <c r="B344" s="17"/>
      <c r="C344" s="17"/>
      <c r="D344" s="17"/>
    </row>
    <row r="345" spans="1:4" ht="12.5" x14ac:dyDescent="0.25">
      <c r="A345" s="17"/>
      <c r="B345" s="17"/>
      <c r="C345" s="17"/>
      <c r="D345" s="17"/>
    </row>
    <row r="346" spans="1:4" ht="12.5" x14ac:dyDescent="0.25">
      <c r="A346" s="17"/>
      <c r="B346" s="17"/>
      <c r="C346" s="17"/>
      <c r="D346" s="17"/>
    </row>
    <row r="347" spans="1:4" ht="12.5" x14ac:dyDescent="0.25">
      <c r="A347" s="17"/>
      <c r="B347" s="17"/>
      <c r="C347" s="17"/>
      <c r="D347" s="17"/>
    </row>
    <row r="348" spans="1:4" ht="12.5" x14ac:dyDescent="0.25">
      <c r="A348" s="17"/>
      <c r="B348" s="17"/>
      <c r="C348" s="17"/>
      <c r="D348" s="17"/>
    </row>
    <row r="349" spans="1:4" ht="12.5" x14ac:dyDescent="0.25">
      <c r="A349" s="17"/>
      <c r="B349" s="17"/>
      <c r="C349" s="17"/>
      <c r="D349" s="17"/>
    </row>
    <row r="350" spans="1:4" ht="12.5" x14ac:dyDescent="0.25">
      <c r="A350" s="17"/>
      <c r="B350" s="17"/>
      <c r="C350" s="17"/>
      <c r="D350" s="17"/>
    </row>
    <row r="351" spans="1:4" ht="12.5" x14ac:dyDescent="0.25">
      <c r="A351" s="17"/>
      <c r="B351" s="17"/>
      <c r="C351" s="17"/>
      <c r="D351" s="17"/>
    </row>
    <row r="352" spans="1:4" ht="12.5" x14ac:dyDescent="0.25">
      <c r="A352" s="17"/>
      <c r="B352" s="17"/>
      <c r="C352" s="17"/>
      <c r="D352" s="17"/>
    </row>
    <row r="353" spans="1:4" ht="12.5" x14ac:dyDescent="0.25">
      <c r="A353" s="17"/>
      <c r="B353" s="17"/>
      <c r="C353" s="17"/>
      <c r="D353" s="17"/>
    </row>
    <row r="354" spans="1:4" ht="12.5" x14ac:dyDescent="0.25">
      <c r="A354" s="17"/>
      <c r="B354" s="17"/>
      <c r="C354" s="17"/>
      <c r="D354" s="17"/>
    </row>
    <row r="355" spans="1:4" ht="12.5" x14ac:dyDescent="0.25">
      <c r="A355" s="17"/>
      <c r="B355" s="17"/>
      <c r="C355" s="17"/>
      <c r="D355" s="17"/>
    </row>
    <row r="356" spans="1:4" ht="12.5" x14ac:dyDescent="0.25">
      <c r="A356" s="17"/>
      <c r="B356" s="17"/>
      <c r="C356" s="17"/>
      <c r="D356" s="17"/>
    </row>
    <row r="357" spans="1:4" ht="12.5" x14ac:dyDescent="0.25">
      <c r="A357" s="17"/>
      <c r="B357" s="17"/>
      <c r="C357" s="17"/>
      <c r="D357" s="17"/>
    </row>
    <row r="358" spans="1:4" ht="12.5" x14ac:dyDescent="0.25">
      <c r="A358" s="17"/>
      <c r="B358" s="17"/>
      <c r="C358" s="17"/>
      <c r="D358" s="17"/>
    </row>
    <row r="359" spans="1:4" ht="12.5" x14ac:dyDescent="0.25">
      <c r="A359" s="17"/>
      <c r="B359" s="17"/>
      <c r="C359" s="17"/>
      <c r="D359" s="17"/>
    </row>
    <row r="360" spans="1:4" ht="12.5" x14ac:dyDescent="0.25">
      <c r="A360" s="17"/>
      <c r="B360" s="17"/>
      <c r="C360" s="17"/>
      <c r="D360" s="17"/>
    </row>
    <row r="361" spans="1:4" ht="12.5" x14ac:dyDescent="0.25">
      <c r="A361" s="17"/>
      <c r="B361" s="17"/>
      <c r="C361" s="17"/>
      <c r="D361" s="17"/>
    </row>
    <row r="362" spans="1:4" ht="12.5" x14ac:dyDescent="0.25">
      <c r="A362" s="17"/>
      <c r="B362" s="17"/>
      <c r="C362" s="17"/>
      <c r="D362" s="17"/>
    </row>
    <row r="363" spans="1:4" ht="12.5" x14ac:dyDescent="0.25">
      <c r="A363" s="17"/>
      <c r="B363" s="17"/>
      <c r="C363" s="17"/>
      <c r="D363" s="17"/>
    </row>
    <row r="364" spans="1:4" ht="12.5" x14ac:dyDescent="0.25">
      <c r="A364" s="17"/>
      <c r="B364" s="17"/>
      <c r="C364" s="17"/>
      <c r="D364" s="17"/>
    </row>
    <row r="365" spans="1:4" ht="12.5" x14ac:dyDescent="0.25">
      <c r="A365" s="17"/>
      <c r="B365" s="17"/>
      <c r="C365" s="17"/>
      <c r="D365" s="17"/>
    </row>
    <row r="366" spans="1:4" ht="12.5" x14ac:dyDescent="0.25">
      <c r="A366" s="17"/>
      <c r="B366" s="17"/>
      <c r="C366" s="17"/>
      <c r="D366" s="17"/>
    </row>
    <row r="367" spans="1:4" ht="12.5" x14ac:dyDescent="0.25">
      <c r="A367" s="17"/>
      <c r="B367" s="17"/>
      <c r="C367" s="17"/>
      <c r="D367" s="17"/>
    </row>
    <row r="368" spans="1:4" ht="12.5" x14ac:dyDescent="0.25">
      <c r="A368" s="17"/>
      <c r="B368" s="17"/>
      <c r="C368" s="17"/>
      <c r="D368" s="17"/>
    </row>
    <row r="369" spans="1:4" ht="12.5" x14ac:dyDescent="0.25">
      <c r="A369" s="17"/>
      <c r="B369" s="17"/>
      <c r="C369" s="17"/>
      <c r="D369" s="17"/>
    </row>
    <row r="370" spans="1:4" ht="12.5" x14ac:dyDescent="0.25">
      <c r="A370" s="17"/>
      <c r="B370" s="17"/>
      <c r="C370" s="17"/>
      <c r="D370" s="17"/>
    </row>
    <row r="371" spans="1:4" ht="12.5" x14ac:dyDescent="0.25">
      <c r="A371" s="17"/>
      <c r="B371" s="17"/>
      <c r="C371" s="17"/>
      <c r="D371" s="17"/>
    </row>
    <row r="372" spans="1:4" ht="12.5" x14ac:dyDescent="0.25">
      <c r="A372" s="17"/>
      <c r="B372" s="17"/>
      <c r="C372" s="17"/>
      <c r="D372" s="17"/>
    </row>
    <row r="373" spans="1:4" ht="12.5" x14ac:dyDescent="0.25">
      <c r="A373" s="17"/>
      <c r="B373" s="17"/>
      <c r="C373" s="17"/>
      <c r="D373" s="17"/>
    </row>
    <row r="374" spans="1:4" ht="12.5" x14ac:dyDescent="0.25">
      <c r="A374" s="17"/>
      <c r="B374" s="17"/>
      <c r="C374" s="17"/>
      <c r="D374" s="17"/>
    </row>
    <row r="375" spans="1:4" ht="12.5" x14ac:dyDescent="0.25">
      <c r="A375" s="17"/>
      <c r="B375" s="17"/>
      <c r="C375" s="17"/>
      <c r="D375" s="17"/>
    </row>
    <row r="376" spans="1:4" ht="12.5" x14ac:dyDescent="0.25">
      <c r="A376" s="17"/>
      <c r="B376" s="17"/>
      <c r="C376" s="17"/>
      <c r="D376" s="17"/>
    </row>
    <row r="377" spans="1:4" ht="12.5" x14ac:dyDescent="0.25">
      <c r="A377" s="17"/>
      <c r="B377" s="17"/>
      <c r="C377" s="17"/>
      <c r="D377" s="17"/>
    </row>
    <row r="378" spans="1:4" ht="12.5" x14ac:dyDescent="0.25">
      <c r="A378" s="17"/>
      <c r="B378" s="17"/>
      <c r="C378" s="17"/>
      <c r="D378" s="17"/>
    </row>
    <row r="379" spans="1:4" ht="12.5" x14ac:dyDescent="0.25">
      <c r="A379" s="17"/>
      <c r="B379" s="17"/>
      <c r="C379" s="17"/>
      <c r="D379" s="17"/>
    </row>
    <row r="380" spans="1:4" ht="12.5" x14ac:dyDescent="0.25">
      <c r="A380" s="17"/>
      <c r="B380" s="17"/>
      <c r="C380" s="17"/>
      <c r="D380" s="17"/>
    </row>
    <row r="381" spans="1:4" ht="12.5" x14ac:dyDescent="0.25">
      <c r="A381" s="17"/>
      <c r="B381" s="17"/>
      <c r="C381" s="17"/>
      <c r="D381" s="17"/>
    </row>
    <row r="382" spans="1:4" ht="12.5" x14ac:dyDescent="0.25">
      <c r="A382" s="17"/>
      <c r="B382" s="17"/>
      <c r="C382" s="17"/>
      <c r="D382" s="17"/>
    </row>
    <row r="383" spans="1:4" ht="12.5" x14ac:dyDescent="0.25">
      <c r="A383" s="17"/>
      <c r="B383" s="17"/>
      <c r="C383" s="17"/>
      <c r="D383" s="17"/>
    </row>
    <row r="384" spans="1:4" ht="12.5" x14ac:dyDescent="0.25">
      <c r="A384" s="17"/>
      <c r="B384" s="17"/>
      <c r="C384" s="17"/>
      <c r="D384" s="17"/>
    </row>
    <row r="385" spans="1:4" ht="12.5" x14ac:dyDescent="0.25">
      <c r="A385" s="17"/>
      <c r="B385" s="17"/>
      <c r="C385" s="17"/>
      <c r="D385" s="17"/>
    </row>
    <row r="386" spans="1:4" ht="12.5" x14ac:dyDescent="0.25">
      <c r="A386" s="17"/>
      <c r="B386" s="17"/>
      <c r="C386" s="17"/>
      <c r="D386" s="17"/>
    </row>
    <row r="387" spans="1:4" ht="12.5" x14ac:dyDescent="0.25">
      <c r="A387" s="17"/>
      <c r="B387" s="17"/>
      <c r="C387" s="17"/>
      <c r="D387" s="17"/>
    </row>
    <row r="388" spans="1:4" ht="12.5" x14ac:dyDescent="0.25">
      <c r="A388" s="17"/>
      <c r="B388" s="17"/>
      <c r="C388" s="17"/>
      <c r="D388" s="17"/>
    </row>
    <row r="389" spans="1:4" ht="12.5" x14ac:dyDescent="0.25">
      <c r="A389" s="17"/>
      <c r="B389" s="17"/>
      <c r="C389" s="17"/>
      <c r="D389" s="17"/>
    </row>
    <row r="390" spans="1:4" ht="12.5" x14ac:dyDescent="0.25">
      <c r="A390" s="17"/>
      <c r="B390" s="17"/>
      <c r="C390" s="17"/>
      <c r="D390" s="17"/>
    </row>
    <row r="391" spans="1:4" ht="12.5" x14ac:dyDescent="0.25">
      <c r="A391" s="17"/>
      <c r="B391" s="17"/>
      <c r="C391" s="17"/>
      <c r="D391" s="17"/>
    </row>
    <row r="392" spans="1:4" ht="12.5" x14ac:dyDescent="0.25">
      <c r="A392" s="17"/>
      <c r="B392" s="17"/>
      <c r="C392" s="17"/>
      <c r="D392" s="17"/>
    </row>
    <row r="393" spans="1:4" ht="12.5" x14ac:dyDescent="0.25">
      <c r="A393" s="17"/>
      <c r="B393" s="17"/>
      <c r="C393" s="17"/>
      <c r="D393" s="17"/>
    </row>
    <row r="394" spans="1:4" ht="12.5" x14ac:dyDescent="0.25">
      <c r="A394" s="17"/>
      <c r="B394" s="17"/>
      <c r="C394" s="17"/>
      <c r="D394" s="17"/>
    </row>
    <row r="395" spans="1:4" ht="12.5" x14ac:dyDescent="0.25">
      <c r="A395" s="17"/>
      <c r="B395" s="17"/>
      <c r="C395" s="17"/>
      <c r="D395" s="17"/>
    </row>
    <row r="396" spans="1:4" ht="12.5" x14ac:dyDescent="0.25">
      <c r="A396" s="17"/>
      <c r="B396" s="17"/>
      <c r="C396" s="17"/>
      <c r="D396" s="17"/>
    </row>
    <row r="397" spans="1:4" ht="12.5" x14ac:dyDescent="0.25">
      <c r="A397" s="17"/>
      <c r="B397" s="17"/>
      <c r="C397" s="17"/>
      <c r="D397" s="17"/>
    </row>
    <row r="398" spans="1:4" ht="12.5" x14ac:dyDescent="0.25">
      <c r="A398" s="17"/>
      <c r="B398" s="17"/>
      <c r="C398" s="17"/>
      <c r="D398" s="17"/>
    </row>
    <row r="399" spans="1:4" ht="12.5" x14ac:dyDescent="0.25">
      <c r="A399" s="17"/>
      <c r="B399" s="17"/>
      <c r="C399" s="17"/>
      <c r="D399" s="17"/>
    </row>
    <row r="400" spans="1:4" ht="12.5" x14ac:dyDescent="0.25">
      <c r="A400" s="17"/>
      <c r="B400" s="17"/>
      <c r="C400" s="17"/>
      <c r="D400" s="17"/>
    </row>
    <row r="401" spans="1:4" ht="12.5" x14ac:dyDescent="0.25">
      <c r="A401" s="17"/>
      <c r="B401" s="17"/>
      <c r="C401" s="17"/>
      <c r="D401" s="17"/>
    </row>
    <row r="402" spans="1:4" ht="12.5" x14ac:dyDescent="0.25">
      <c r="A402" s="17"/>
      <c r="B402" s="17"/>
      <c r="C402" s="17"/>
      <c r="D402" s="17"/>
    </row>
    <row r="403" spans="1:4" ht="12.5" x14ac:dyDescent="0.25">
      <c r="A403" s="17"/>
      <c r="B403" s="17"/>
      <c r="C403" s="17"/>
      <c r="D403" s="17"/>
    </row>
    <row r="404" spans="1:4" ht="12.5" x14ac:dyDescent="0.25">
      <c r="A404" s="17"/>
      <c r="B404" s="17"/>
      <c r="C404" s="17"/>
      <c r="D404" s="17"/>
    </row>
    <row r="405" spans="1:4" ht="12.5" x14ac:dyDescent="0.25">
      <c r="A405" s="17"/>
      <c r="B405" s="17"/>
      <c r="C405" s="17"/>
      <c r="D405" s="17"/>
    </row>
    <row r="406" spans="1:4" ht="12.5" x14ac:dyDescent="0.25">
      <c r="A406" s="17"/>
      <c r="B406" s="17"/>
      <c r="C406" s="17"/>
      <c r="D406" s="17"/>
    </row>
    <row r="407" spans="1:4" ht="12.5" x14ac:dyDescent="0.25">
      <c r="A407" s="17"/>
      <c r="B407" s="17"/>
      <c r="C407" s="17"/>
      <c r="D407" s="17"/>
    </row>
    <row r="408" spans="1:4" ht="12.5" x14ac:dyDescent="0.25">
      <c r="A408" s="17"/>
      <c r="B408" s="17"/>
      <c r="C408" s="17"/>
      <c r="D408" s="17"/>
    </row>
    <row r="409" spans="1:4" ht="12.5" x14ac:dyDescent="0.25">
      <c r="A409" s="17"/>
      <c r="B409" s="17"/>
      <c r="C409" s="17"/>
      <c r="D409" s="17"/>
    </row>
    <row r="410" spans="1:4" ht="12.5" x14ac:dyDescent="0.25">
      <c r="A410" s="17"/>
      <c r="B410" s="17"/>
      <c r="C410" s="17"/>
      <c r="D410" s="17"/>
    </row>
    <row r="411" spans="1:4" ht="12.5" x14ac:dyDescent="0.25">
      <c r="A411" s="17"/>
      <c r="B411" s="17"/>
      <c r="C411" s="17"/>
      <c r="D411" s="17"/>
    </row>
    <row r="412" spans="1:4" ht="12.5" x14ac:dyDescent="0.25">
      <c r="A412" s="17"/>
      <c r="B412" s="17"/>
      <c r="C412" s="17"/>
      <c r="D412" s="17"/>
    </row>
    <row r="413" spans="1:4" ht="12.5" x14ac:dyDescent="0.25">
      <c r="A413" s="17"/>
      <c r="B413" s="17"/>
      <c r="C413" s="17"/>
      <c r="D413" s="17"/>
    </row>
    <row r="414" spans="1:4" ht="12.5" x14ac:dyDescent="0.25">
      <c r="A414" s="17"/>
      <c r="B414" s="17"/>
      <c r="C414" s="17"/>
      <c r="D414" s="17"/>
    </row>
    <row r="415" spans="1:4" ht="12.5" x14ac:dyDescent="0.25">
      <c r="A415" s="17"/>
      <c r="B415" s="17"/>
      <c r="C415" s="17"/>
      <c r="D415" s="17"/>
    </row>
    <row r="416" spans="1:4" ht="12.5" x14ac:dyDescent="0.25">
      <c r="A416" s="17"/>
      <c r="B416" s="17"/>
      <c r="C416" s="17"/>
      <c r="D416" s="17"/>
    </row>
    <row r="417" spans="1:4" ht="12.5" x14ac:dyDescent="0.25">
      <c r="A417" s="17"/>
      <c r="B417" s="17"/>
      <c r="C417" s="17"/>
      <c r="D417" s="17"/>
    </row>
    <row r="418" spans="1:4" ht="12.5" x14ac:dyDescent="0.25">
      <c r="A418" s="17"/>
      <c r="B418" s="17"/>
      <c r="C418" s="17"/>
      <c r="D418" s="17"/>
    </row>
    <row r="419" spans="1:4" ht="12.5" x14ac:dyDescent="0.25">
      <c r="A419" s="17"/>
      <c r="B419" s="17"/>
      <c r="C419" s="17"/>
      <c r="D419" s="17"/>
    </row>
    <row r="420" spans="1:4" ht="12.5" x14ac:dyDescent="0.25">
      <c r="A420" s="17"/>
      <c r="B420" s="17"/>
      <c r="C420" s="17"/>
      <c r="D420" s="17"/>
    </row>
    <row r="421" spans="1:4" ht="12.5" x14ac:dyDescent="0.25">
      <c r="A421" s="17"/>
      <c r="B421" s="17"/>
      <c r="C421" s="17"/>
      <c r="D421" s="17"/>
    </row>
    <row r="422" spans="1:4" ht="12.5" x14ac:dyDescent="0.25">
      <c r="A422" s="17"/>
      <c r="B422" s="17"/>
      <c r="C422" s="17"/>
      <c r="D422" s="17"/>
    </row>
    <row r="423" spans="1:4" ht="12.5" x14ac:dyDescent="0.25">
      <c r="A423" s="17"/>
      <c r="B423" s="17"/>
      <c r="C423" s="17"/>
      <c r="D423" s="17"/>
    </row>
    <row r="424" spans="1:4" ht="12.5" x14ac:dyDescent="0.25">
      <c r="A424" s="17"/>
      <c r="B424" s="17"/>
      <c r="C424" s="17"/>
      <c r="D424" s="17"/>
    </row>
    <row r="425" spans="1:4" ht="12.5" x14ac:dyDescent="0.25">
      <c r="A425" s="17"/>
      <c r="B425" s="17"/>
      <c r="C425" s="17"/>
      <c r="D425" s="17"/>
    </row>
    <row r="426" spans="1:4" ht="12.5" x14ac:dyDescent="0.25">
      <c r="A426" s="17"/>
      <c r="B426" s="17"/>
      <c r="C426" s="17"/>
      <c r="D426" s="17"/>
    </row>
    <row r="427" spans="1:4" ht="12.5" x14ac:dyDescent="0.25">
      <c r="A427" s="17"/>
      <c r="B427" s="17"/>
      <c r="C427" s="17"/>
      <c r="D427" s="17"/>
    </row>
    <row r="428" spans="1:4" ht="12.5" x14ac:dyDescent="0.25">
      <c r="A428" s="17"/>
      <c r="B428" s="17"/>
      <c r="C428" s="17"/>
      <c r="D428" s="17"/>
    </row>
    <row r="429" spans="1:4" ht="12.5" x14ac:dyDescent="0.25">
      <c r="A429" s="17"/>
      <c r="B429" s="17"/>
      <c r="C429" s="17"/>
      <c r="D429" s="17"/>
    </row>
    <row r="430" spans="1:4" ht="12.5" x14ac:dyDescent="0.25">
      <c r="A430" s="17"/>
      <c r="B430" s="17"/>
      <c r="C430" s="17"/>
      <c r="D430" s="17"/>
    </row>
    <row r="431" spans="1:4" ht="12.5" x14ac:dyDescent="0.25">
      <c r="A431" s="17"/>
      <c r="B431" s="17"/>
      <c r="C431" s="17"/>
      <c r="D431" s="17"/>
    </row>
    <row r="432" spans="1:4" ht="12.5" x14ac:dyDescent="0.25">
      <c r="A432" s="17"/>
      <c r="B432" s="17"/>
      <c r="C432" s="17"/>
      <c r="D432" s="17"/>
    </row>
    <row r="433" spans="1:4" ht="12.5" x14ac:dyDescent="0.25">
      <c r="A433" s="17"/>
      <c r="B433" s="17"/>
      <c r="C433" s="17"/>
      <c r="D433" s="17"/>
    </row>
    <row r="434" spans="1:4" ht="12.5" x14ac:dyDescent="0.25">
      <c r="A434" s="17"/>
      <c r="B434" s="17"/>
      <c r="C434" s="17"/>
      <c r="D434" s="17"/>
    </row>
    <row r="435" spans="1:4" ht="12.5" x14ac:dyDescent="0.25">
      <c r="A435" s="17"/>
      <c r="B435" s="17"/>
      <c r="C435" s="17"/>
      <c r="D435" s="17"/>
    </row>
    <row r="436" spans="1:4" ht="12.5" x14ac:dyDescent="0.25">
      <c r="A436" s="17"/>
      <c r="B436" s="17"/>
      <c r="C436" s="17"/>
      <c r="D436" s="17"/>
    </row>
    <row r="437" spans="1:4" ht="12.5" x14ac:dyDescent="0.25">
      <c r="A437" s="17"/>
      <c r="B437" s="17"/>
      <c r="C437" s="17"/>
      <c r="D437" s="17"/>
    </row>
    <row r="438" spans="1:4" ht="12.5" x14ac:dyDescent="0.25">
      <c r="A438" s="17"/>
      <c r="B438" s="17"/>
      <c r="C438" s="17"/>
      <c r="D438" s="17"/>
    </row>
    <row r="439" spans="1:4" ht="12.5" x14ac:dyDescent="0.25">
      <c r="A439" s="17"/>
      <c r="B439" s="17"/>
      <c r="C439" s="17"/>
      <c r="D439" s="17"/>
    </row>
    <row r="440" spans="1:4" ht="12.5" x14ac:dyDescent="0.25">
      <c r="A440" s="17"/>
      <c r="B440" s="17"/>
      <c r="C440" s="17"/>
      <c r="D440" s="17"/>
    </row>
    <row r="441" spans="1:4" ht="12.5" x14ac:dyDescent="0.25">
      <c r="A441" s="17"/>
      <c r="B441" s="17"/>
      <c r="C441" s="17"/>
      <c r="D441" s="17"/>
    </row>
    <row r="442" spans="1:4" ht="12.5" x14ac:dyDescent="0.25">
      <c r="A442" s="17"/>
      <c r="B442" s="17"/>
      <c r="C442" s="17"/>
      <c r="D442" s="17"/>
    </row>
    <row r="443" spans="1:4" ht="12.5" x14ac:dyDescent="0.25">
      <c r="A443" s="17"/>
      <c r="B443" s="17"/>
      <c r="C443" s="17"/>
      <c r="D443" s="17"/>
    </row>
    <row r="444" spans="1:4" ht="12.5" x14ac:dyDescent="0.25">
      <c r="A444" s="17"/>
      <c r="B444" s="17"/>
      <c r="C444" s="17"/>
      <c r="D444" s="17"/>
    </row>
    <row r="445" spans="1:4" ht="12.5" x14ac:dyDescent="0.25">
      <c r="A445" s="17"/>
      <c r="B445" s="17"/>
      <c r="C445" s="17"/>
      <c r="D445" s="17"/>
    </row>
    <row r="446" spans="1:4" ht="12.5" x14ac:dyDescent="0.25">
      <c r="A446" s="17"/>
      <c r="B446" s="17"/>
      <c r="C446" s="17"/>
      <c r="D446" s="17"/>
    </row>
    <row r="447" spans="1:4" ht="12.5" x14ac:dyDescent="0.25">
      <c r="A447" s="17"/>
      <c r="B447" s="17"/>
      <c r="C447" s="17"/>
      <c r="D447" s="17"/>
    </row>
    <row r="448" spans="1:4" ht="12.5" x14ac:dyDescent="0.25">
      <c r="A448" s="17"/>
      <c r="B448" s="17"/>
      <c r="C448" s="17"/>
      <c r="D448" s="17"/>
    </row>
    <row r="449" spans="1:4" ht="12.5" x14ac:dyDescent="0.25">
      <c r="A449" s="17"/>
      <c r="B449" s="17"/>
      <c r="C449" s="17"/>
      <c r="D449" s="17"/>
    </row>
    <row r="450" spans="1:4" ht="12.5" x14ac:dyDescent="0.25">
      <c r="A450" s="17"/>
      <c r="B450" s="17"/>
      <c r="C450" s="17"/>
      <c r="D450" s="17"/>
    </row>
    <row r="451" spans="1:4" ht="12.5" x14ac:dyDescent="0.25">
      <c r="A451" s="17"/>
      <c r="B451" s="17"/>
      <c r="C451" s="17"/>
      <c r="D451" s="17"/>
    </row>
    <row r="452" spans="1:4" ht="12.5" x14ac:dyDescent="0.25">
      <c r="A452" s="17"/>
      <c r="B452" s="17"/>
      <c r="C452" s="17"/>
      <c r="D452" s="17"/>
    </row>
    <row r="453" spans="1:4" ht="12.5" x14ac:dyDescent="0.25">
      <c r="A453" s="17"/>
      <c r="B453" s="17"/>
      <c r="C453" s="17"/>
      <c r="D453" s="17"/>
    </row>
    <row r="454" spans="1:4" ht="12.5" x14ac:dyDescent="0.25">
      <c r="A454" s="17"/>
      <c r="B454" s="17"/>
      <c r="C454" s="17"/>
      <c r="D454" s="17"/>
    </row>
    <row r="455" spans="1:4" ht="12.5" x14ac:dyDescent="0.25">
      <c r="A455" s="17"/>
      <c r="B455" s="17"/>
      <c r="C455" s="17"/>
      <c r="D455" s="17"/>
    </row>
    <row r="456" spans="1:4" ht="12.5" x14ac:dyDescent="0.25">
      <c r="A456" s="17"/>
      <c r="B456" s="17"/>
      <c r="C456" s="17"/>
      <c r="D456" s="17"/>
    </row>
    <row r="457" spans="1:4" ht="12.5" x14ac:dyDescent="0.25">
      <c r="A457" s="17"/>
      <c r="B457" s="17"/>
      <c r="C457" s="17"/>
      <c r="D457" s="17"/>
    </row>
    <row r="458" spans="1:4" ht="12.5" x14ac:dyDescent="0.25">
      <c r="A458" s="17"/>
      <c r="B458" s="17"/>
      <c r="C458" s="17"/>
      <c r="D458" s="17"/>
    </row>
    <row r="459" spans="1:4" ht="12.5" x14ac:dyDescent="0.25">
      <c r="A459" s="17"/>
      <c r="B459" s="17"/>
      <c r="C459" s="17"/>
      <c r="D459" s="17"/>
    </row>
    <row r="460" spans="1:4" ht="12.5" x14ac:dyDescent="0.25">
      <c r="A460" s="17"/>
      <c r="B460" s="17"/>
      <c r="C460" s="17"/>
      <c r="D460" s="17"/>
    </row>
    <row r="461" spans="1:4" ht="12.5" x14ac:dyDescent="0.25">
      <c r="A461" s="17"/>
      <c r="B461" s="17"/>
      <c r="C461" s="17"/>
      <c r="D461" s="17"/>
    </row>
    <row r="462" spans="1:4" ht="12.5" x14ac:dyDescent="0.25">
      <c r="A462" s="17"/>
      <c r="B462" s="17"/>
      <c r="C462" s="17"/>
      <c r="D462" s="17"/>
    </row>
    <row r="463" spans="1:4" ht="12.5" x14ac:dyDescent="0.25">
      <c r="A463" s="17"/>
      <c r="B463" s="17"/>
      <c r="C463" s="17"/>
      <c r="D463" s="17"/>
    </row>
    <row r="464" spans="1:4" ht="12.5" x14ac:dyDescent="0.25">
      <c r="A464" s="17"/>
      <c r="B464" s="17"/>
      <c r="C464" s="17"/>
      <c r="D464" s="17"/>
    </row>
    <row r="465" spans="1:4" ht="12.5" x14ac:dyDescent="0.25">
      <c r="A465" s="17"/>
      <c r="B465" s="17"/>
      <c r="C465" s="17"/>
      <c r="D465" s="17"/>
    </row>
    <row r="466" spans="1:4" ht="12.5" x14ac:dyDescent="0.25">
      <c r="A466" s="17"/>
      <c r="B466" s="17"/>
      <c r="C466" s="17"/>
      <c r="D466" s="17"/>
    </row>
    <row r="467" spans="1:4" ht="12.5" x14ac:dyDescent="0.25">
      <c r="A467" s="17"/>
      <c r="B467" s="17"/>
      <c r="C467" s="17"/>
      <c r="D467" s="17"/>
    </row>
    <row r="468" spans="1:4" ht="12.5" x14ac:dyDescent="0.25">
      <c r="A468" s="17"/>
      <c r="B468" s="17"/>
      <c r="C468" s="17"/>
      <c r="D468" s="17"/>
    </row>
    <row r="469" spans="1:4" ht="12.5" x14ac:dyDescent="0.25">
      <c r="A469" s="17"/>
      <c r="B469" s="17"/>
      <c r="C469" s="17"/>
      <c r="D469" s="17"/>
    </row>
    <row r="470" spans="1:4" ht="12.5" x14ac:dyDescent="0.25">
      <c r="A470" s="17"/>
      <c r="B470" s="17"/>
      <c r="C470" s="17"/>
      <c r="D470" s="17"/>
    </row>
    <row r="471" spans="1:4" ht="12.5" x14ac:dyDescent="0.25">
      <c r="A471" s="17"/>
      <c r="B471" s="17"/>
      <c r="C471" s="17"/>
      <c r="D471" s="17"/>
    </row>
    <row r="472" spans="1:4" ht="12.5" x14ac:dyDescent="0.25">
      <c r="A472" s="17"/>
      <c r="B472" s="17"/>
      <c r="C472" s="17"/>
      <c r="D472" s="17"/>
    </row>
    <row r="473" spans="1:4" ht="12.5" x14ac:dyDescent="0.25">
      <c r="A473" s="17"/>
      <c r="B473" s="17"/>
      <c r="C473" s="17"/>
      <c r="D473" s="17"/>
    </row>
    <row r="474" spans="1:4" ht="12.5" x14ac:dyDescent="0.25">
      <c r="A474" s="17"/>
      <c r="B474" s="17"/>
      <c r="C474" s="17"/>
      <c r="D474" s="17"/>
    </row>
    <row r="475" spans="1:4" ht="12.5" x14ac:dyDescent="0.25">
      <c r="A475" s="17"/>
      <c r="B475" s="17"/>
      <c r="C475" s="17"/>
      <c r="D475" s="17"/>
    </row>
    <row r="476" spans="1:4" ht="12.5" x14ac:dyDescent="0.25">
      <c r="A476" s="17"/>
      <c r="B476" s="17"/>
      <c r="C476" s="17"/>
      <c r="D476" s="17"/>
    </row>
    <row r="477" spans="1:4" ht="12.5" x14ac:dyDescent="0.25">
      <c r="A477" s="17"/>
      <c r="B477" s="17"/>
      <c r="C477" s="17"/>
      <c r="D477" s="17"/>
    </row>
    <row r="478" spans="1:4" ht="12.5" x14ac:dyDescent="0.25">
      <c r="A478" s="17"/>
      <c r="B478" s="17"/>
      <c r="C478" s="17"/>
      <c r="D478" s="17"/>
    </row>
    <row r="479" spans="1:4" ht="12.5" x14ac:dyDescent="0.25">
      <c r="A479" s="17"/>
      <c r="B479" s="17"/>
      <c r="C479" s="17"/>
      <c r="D479" s="17"/>
    </row>
    <row r="480" spans="1:4" ht="12.5" x14ac:dyDescent="0.25">
      <c r="A480" s="17"/>
      <c r="B480" s="17"/>
      <c r="C480" s="17"/>
      <c r="D480" s="17"/>
    </row>
    <row r="481" spans="1:4" ht="12.5" x14ac:dyDescent="0.25">
      <c r="A481" s="17"/>
      <c r="B481" s="17"/>
      <c r="C481" s="17"/>
      <c r="D481" s="17"/>
    </row>
    <row r="482" spans="1:4" ht="12.5" x14ac:dyDescent="0.25">
      <c r="A482" s="17"/>
      <c r="B482" s="17"/>
      <c r="C482" s="17"/>
      <c r="D482" s="17"/>
    </row>
    <row r="483" spans="1:4" ht="12.5" x14ac:dyDescent="0.25">
      <c r="A483" s="17"/>
      <c r="B483" s="17"/>
      <c r="C483" s="17"/>
      <c r="D483" s="17"/>
    </row>
    <row r="484" spans="1:4" ht="12.5" x14ac:dyDescent="0.25">
      <c r="A484" s="17"/>
      <c r="B484" s="17"/>
      <c r="C484" s="17"/>
      <c r="D484" s="17"/>
    </row>
    <row r="485" spans="1:4" ht="12.5" x14ac:dyDescent="0.25">
      <c r="A485" s="17"/>
      <c r="B485" s="17"/>
      <c r="C485" s="17"/>
      <c r="D485" s="17"/>
    </row>
    <row r="486" spans="1:4" ht="12.5" x14ac:dyDescent="0.25">
      <c r="A486" s="17"/>
      <c r="B486" s="17"/>
      <c r="C486" s="17"/>
      <c r="D486" s="17"/>
    </row>
    <row r="487" spans="1:4" ht="12.5" x14ac:dyDescent="0.25">
      <c r="A487" s="17"/>
      <c r="B487" s="17"/>
      <c r="C487" s="17"/>
      <c r="D487" s="17"/>
    </row>
    <row r="488" spans="1:4" ht="12.5" x14ac:dyDescent="0.25">
      <c r="A488" s="17"/>
      <c r="B488" s="17"/>
      <c r="C488" s="17"/>
      <c r="D488" s="17"/>
    </row>
    <row r="489" spans="1:4" ht="12.5" x14ac:dyDescent="0.25">
      <c r="A489" s="17"/>
      <c r="B489" s="17"/>
      <c r="C489" s="17"/>
      <c r="D489" s="17"/>
    </row>
    <row r="490" spans="1:4" ht="12.5" x14ac:dyDescent="0.25">
      <c r="A490" s="17"/>
      <c r="B490" s="17"/>
      <c r="C490" s="17"/>
      <c r="D490" s="17"/>
    </row>
    <row r="491" spans="1:4" ht="12.5" x14ac:dyDescent="0.25">
      <c r="A491" s="17"/>
      <c r="B491" s="17"/>
      <c r="C491" s="17"/>
      <c r="D491" s="17"/>
    </row>
    <row r="492" spans="1:4" ht="12.5" x14ac:dyDescent="0.25">
      <c r="A492" s="17"/>
      <c r="B492" s="17"/>
      <c r="C492" s="17"/>
      <c r="D492" s="17"/>
    </row>
    <row r="493" spans="1:4" ht="12.5" x14ac:dyDescent="0.25">
      <c r="A493" s="17"/>
      <c r="B493" s="17"/>
      <c r="C493" s="17"/>
      <c r="D493" s="17"/>
    </row>
    <row r="494" spans="1:4" ht="12.5" x14ac:dyDescent="0.25">
      <c r="A494" s="17"/>
      <c r="B494" s="17"/>
      <c r="C494" s="17"/>
      <c r="D494" s="17"/>
    </row>
    <row r="495" spans="1:4" ht="12.5" x14ac:dyDescent="0.25">
      <c r="A495" s="17"/>
      <c r="B495" s="17"/>
      <c r="C495" s="17"/>
      <c r="D495" s="17"/>
    </row>
    <row r="496" spans="1:4" ht="12.5" x14ac:dyDescent="0.25">
      <c r="A496" s="17"/>
      <c r="B496" s="17"/>
      <c r="C496" s="17"/>
      <c r="D496" s="17"/>
    </row>
    <row r="497" spans="1:4" ht="12.5" x14ac:dyDescent="0.25">
      <c r="A497" s="17"/>
      <c r="B497" s="17"/>
      <c r="C497" s="17"/>
      <c r="D497" s="17"/>
    </row>
    <row r="498" spans="1:4" ht="12.5" x14ac:dyDescent="0.25">
      <c r="A498" s="17"/>
      <c r="B498" s="17"/>
      <c r="C498" s="17"/>
      <c r="D498" s="17"/>
    </row>
    <row r="499" spans="1:4" ht="12.5" x14ac:dyDescent="0.25">
      <c r="A499" s="17"/>
      <c r="B499" s="17"/>
      <c r="C499" s="17"/>
      <c r="D499" s="17"/>
    </row>
    <row r="500" spans="1:4" ht="12.5" x14ac:dyDescent="0.25">
      <c r="A500" s="17"/>
      <c r="B500" s="17"/>
      <c r="C500" s="17"/>
      <c r="D500" s="17"/>
    </row>
    <row r="501" spans="1:4" ht="12.5" x14ac:dyDescent="0.25">
      <c r="A501" s="17"/>
      <c r="B501" s="17"/>
      <c r="C501" s="17"/>
      <c r="D501" s="17"/>
    </row>
    <row r="502" spans="1:4" ht="12.5" x14ac:dyDescent="0.25">
      <c r="A502" s="17"/>
      <c r="B502" s="17"/>
      <c r="C502" s="17"/>
      <c r="D502" s="17"/>
    </row>
    <row r="503" spans="1:4" ht="12.5" x14ac:dyDescent="0.25">
      <c r="A503" s="17"/>
      <c r="B503" s="17"/>
      <c r="C503" s="17"/>
      <c r="D503" s="17"/>
    </row>
    <row r="504" spans="1:4" ht="12.5" x14ac:dyDescent="0.25">
      <c r="A504" s="17"/>
      <c r="B504" s="17"/>
      <c r="C504" s="17"/>
      <c r="D504" s="17"/>
    </row>
    <row r="505" spans="1:4" ht="12.5" x14ac:dyDescent="0.25">
      <c r="A505" s="17"/>
      <c r="B505" s="17"/>
      <c r="C505" s="17"/>
      <c r="D505" s="17"/>
    </row>
    <row r="506" spans="1:4" ht="12.5" x14ac:dyDescent="0.25">
      <c r="A506" s="17"/>
      <c r="B506" s="17"/>
      <c r="C506" s="17"/>
      <c r="D506" s="17"/>
    </row>
    <row r="507" spans="1:4" ht="12.5" x14ac:dyDescent="0.25">
      <c r="A507" s="17"/>
      <c r="B507" s="17"/>
      <c r="C507" s="17"/>
      <c r="D507" s="17"/>
    </row>
    <row r="508" spans="1:4" ht="12.5" x14ac:dyDescent="0.25">
      <c r="A508" s="17"/>
      <c r="B508" s="17"/>
      <c r="C508" s="17"/>
      <c r="D508" s="17"/>
    </row>
    <row r="509" spans="1:4" ht="12.5" x14ac:dyDescent="0.25">
      <c r="A509" s="17"/>
      <c r="B509" s="17"/>
      <c r="C509" s="17"/>
      <c r="D509" s="17"/>
    </row>
    <row r="510" spans="1:4" ht="12.5" x14ac:dyDescent="0.25">
      <c r="A510" s="17"/>
      <c r="B510" s="17"/>
      <c r="C510" s="17"/>
      <c r="D510" s="17"/>
    </row>
    <row r="511" spans="1:4" ht="12.5" x14ac:dyDescent="0.25">
      <c r="A511" s="17"/>
      <c r="B511" s="17"/>
      <c r="C511" s="17"/>
      <c r="D511" s="17"/>
    </row>
    <row r="512" spans="1:4" ht="12.5" x14ac:dyDescent="0.25">
      <c r="A512" s="17"/>
      <c r="B512" s="17"/>
      <c r="C512" s="17"/>
      <c r="D512" s="17"/>
    </row>
    <row r="513" spans="1:4" ht="12.5" x14ac:dyDescent="0.25">
      <c r="A513" s="17"/>
      <c r="B513" s="17"/>
      <c r="C513" s="17"/>
      <c r="D513" s="17"/>
    </row>
    <row r="514" spans="1:4" ht="12.5" x14ac:dyDescent="0.25">
      <c r="A514" s="17"/>
      <c r="B514" s="17"/>
      <c r="C514" s="17"/>
      <c r="D514" s="17"/>
    </row>
    <row r="515" spans="1:4" ht="12.5" x14ac:dyDescent="0.25">
      <c r="A515" s="17"/>
      <c r="B515" s="17"/>
      <c r="C515" s="17"/>
      <c r="D515" s="17"/>
    </row>
    <row r="516" spans="1:4" ht="12.5" x14ac:dyDescent="0.25">
      <c r="A516" s="17"/>
      <c r="B516" s="17"/>
      <c r="C516" s="17"/>
      <c r="D516" s="17"/>
    </row>
    <row r="517" spans="1:4" ht="12.5" x14ac:dyDescent="0.25">
      <c r="A517" s="17"/>
      <c r="B517" s="17"/>
      <c r="C517" s="17"/>
      <c r="D517" s="17"/>
    </row>
    <row r="518" spans="1:4" ht="12.5" x14ac:dyDescent="0.25">
      <c r="A518" s="17"/>
      <c r="B518" s="17"/>
      <c r="C518" s="17"/>
      <c r="D518" s="17"/>
    </row>
    <row r="519" spans="1:4" ht="12.5" x14ac:dyDescent="0.25">
      <c r="A519" s="17"/>
      <c r="B519" s="17"/>
      <c r="C519" s="17"/>
      <c r="D519" s="17"/>
    </row>
    <row r="520" spans="1:4" ht="12.5" x14ac:dyDescent="0.25">
      <c r="A520" s="17"/>
      <c r="B520" s="17"/>
      <c r="C520" s="17"/>
      <c r="D520" s="17"/>
    </row>
    <row r="521" spans="1:4" ht="12.5" x14ac:dyDescent="0.25">
      <c r="A521" s="17"/>
      <c r="B521" s="17"/>
      <c r="C521" s="17"/>
      <c r="D521" s="17"/>
    </row>
    <row r="522" spans="1:4" ht="12.5" x14ac:dyDescent="0.25">
      <c r="A522" s="17"/>
      <c r="B522" s="17"/>
      <c r="C522" s="17"/>
      <c r="D522" s="17"/>
    </row>
    <row r="523" spans="1:4" ht="12.5" x14ac:dyDescent="0.25">
      <c r="A523" s="17"/>
      <c r="B523" s="17"/>
      <c r="C523" s="17"/>
      <c r="D523" s="17"/>
    </row>
    <row r="524" spans="1:4" ht="12.5" x14ac:dyDescent="0.25">
      <c r="A524" s="17"/>
      <c r="B524" s="17"/>
      <c r="C524" s="17"/>
      <c r="D524" s="17"/>
    </row>
    <row r="525" spans="1:4" ht="12.5" x14ac:dyDescent="0.25">
      <c r="A525" s="17"/>
      <c r="B525" s="17"/>
      <c r="C525" s="17"/>
      <c r="D525" s="17"/>
    </row>
    <row r="526" spans="1:4" ht="12.5" x14ac:dyDescent="0.25">
      <c r="A526" s="17"/>
      <c r="B526" s="17"/>
      <c r="C526" s="17"/>
      <c r="D526" s="17"/>
    </row>
    <row r="527" spans="1:4" ht="12.5" x14ac:dyDescent="0.25">
      <c r="A527" s="17"/>
      <c r="B527" s="17"/>
      <c r="C527" s="17"/>
      <c r="D527" s="17"/>
    </row>
    <row r="528" spans="1:4" ht="12.5" x14ac:dyDescent="0.25">
      <c r="A528" s="17"/>
      <c r="B528" s="17"/>
      <c r="C528" s="17"/>
      <c r="D528" s="17"/>
    </row>
    <row r="529" spans="1:4" ht="12.5" x14ac:dyDescent="0.25">
      <c r="A529" s="17"/>
      <c r="B529" s="17"/>
      <c r="C529" s="17"/>
      <c r="D529" s="17"/>
    </row>
    <row r="530" spans="1:4" ht="12.5" x14ac:dyDescent="0.25">
      <c r="A530" s="17"/>
      <c r="B530" s="17"/>
      <c r="C530" s="17"/>
      <c r="D530" s="17"/>
    </row>
    <row r="531" spans="1:4" ht="12.5" x14ac:dyDescent="0.25">
      <c r="A531" s="17"/>
      <c r="B531" s="17"/>
      <c r="C531" s="17"/>
      <c r="D531" s="17"/>
    </row>
    <row r="532" spans="1:4" ht="12.5" x14ac:dyDescent="0.25">
      <c r="A532" s="17"/>
      <c r="B532" s="17"/>
      <c r="C532" s="17"/>
      <c r="D532" s="17"/>
    </row>
    <row r="533" spans="1:4" ht="12.5" x14ac:dyDescent="0.25">
      <c r="A533" s="17"/>
      <c r="B533" s="17"/>
      <c r="C533" s="17"/>
      <c r="D533" s="17"/>
    </row>
    <row r="534" spans="1:4" ht="12.5" x14ac:dyDescent="0.25">
      <c r="A534" s="17"/>
      <c r="B534" s="17"/>
      <c r="C534" s="17"/>
      <c r="D534" s="17"/>
    </row>
    <row r="535" spans="1:4" ht="12.5" x14ac:dyDescent="0.25">
      <c r="A535" s="17"/>
      <c r="B535" s="17"/>
      <c r="C535" s="17"/>
      <c r="D535" s="17"/>
    </row>
    <row r="536" spans="1:4" ht="12.5" x14ac:dyDescent="0.25">
      <c r="A536" s="17"/>
      <c r="B536" s="17"/>
      <c r="C536" s="17"/>
      <c r="D536" s="17"/>
    </row>
    <row r="537" spans="1:4" ht="12.5" x14ac:dyDescent="0.25">
      <c r="A537" s="17"/>
      <c r="B537" s="17"/>
      <c r="C537" s="17"/>
      <c r="D537" s="17"/>
    </row>
    <row r="538" spans="1:4" ht="12.5" x14ac:dyDescent="0.25">
      <c r="A538" s="17"/>
      <c r="B538" s="17"/>
      <c r="C538" s="17"/>
      <c r="D538" s="17"/>
    </row>
    <row r="539" spans="1:4" ht="12.5" x14ac:dyDescent="0.25">
      <c r="A539" s="17"/>
      <c r="B539" s="17"/>
      <c r="C539" s="17"/>
      <c r="D539" s="17"/>
    </row>
    <row r="540" spans="1:4" ht="12.5" x14ac:dyDescent="0.25">
      <c r="A540" s="17"/>
      <c r="B540" s="17"/>
      <c r="C540" s="17"/>
      <c r="D540" s="17"/>
    </row>
    <row r="541" spans="1:4" ht="12.5" x14ac:dyDescent="0.25">
      <c r="A541" s="17"/>
      <c r="B541" s="17"/>
      <c r="C541" s="17"/>
      <c r="D541" s="17"/>
    </row>
    <row r="542" spans="1:4" ht="12.5" x14ac:dyDescent="0.25">
      <c r="A542" s="17"/>
      <c r="B542" s="17"/>
      <c r="C542" s="17"/>
      <c r="D542" s="17"/>
    </row>
    <row r="543" spans="1:4" ht="12.5" x14ac:dyDescent="0.25">
      <c r="A543" s="17"/>
      <c r="B543" s="17"/>
      <c r="C543" s="17"/>
      <c r="D543" s="17"/>
    </row>
    <row r="544" spans="1:4" ht="12.5" x14ac:dyDescent="0.25">
      <c r="A544" s="17"/>
      <c r="B544" s="17"/>
      <c r="C544" s="17"/>
      <c r="D544" s="17"/>
    </row>
    <row r="545" spans="1:4" ht="12.5" x14ac:dyDescent="0.25">
      <c r="A545" s="17"/>
      <c r="B545" s="17"/>
      <c r="C545" s="17"/>
      <c r="D545" s="17"/>
    </row>
    <row r="546" spans="1:4" ht="12.5" x14ac:dyDescent="0.25">
      <c r="A546" s="17"/>
      <c r="B546" s="17"/>
      <c r="C546" s="17"/>
      <c r="D546" s="17"/>
    </row>
    <row r="547" spans="1:4" ht="12.5" x14ac:dyDescent="0.25">
      <c r="A547" s="17"/>
      <c r="B547" s="17"/>
      <c r="C547" s="17"/>
      <c r="D547" s="17"/>
    </row>
    <row r="548" spans="1:4" ht="12.5" x14ac:dyDescent="0.25">
      <c r="A548" s="17"/>
      <c r="B548" s="17"/>
      <c r="C548" s="17"/>
      <c r="D548" s="17"/>
    </row>
    <row r="549" spans="1:4" ht="12.5" x14ac:dyDescent="0.25">
      <c r="A549" s="17"/>
      <c r="B549" s="17"/>
      <c r="C549" s="17"/>
      <c r="D549" s="17"/>
    </row>
    <row r="550" spans="1:4" ht="12.5" x14ac:dyDescent="0.25">
      <c r="A550" s="17"/>
      <c r="B550" s="17"/>
      <c r="C550" s="17"/>
      <c r="D550" s="17"/>
    </row>
    <row r="551" spans="1:4" ht="12.5" x14ac:dyDescent="0.25">
      <c r="A551" s="17"/>
      <c r="B551" s="17"/>
      <c r="C551" s="17"/>
      <c r="D551" s="17"/>
    </row>
    <row r="552" spans="1:4" ht="12.5" x14ac:dyDescent="0.25">
      <c r="A552" s="17"/>
      <c r="B552" s="17"/>
      <c r="C552" s="17"/>
      <c r="D552" s="17"/>
    </row>
    <row r="553" spans="1:4" ht="12.5" x14ac:dyDescent="0.25">
      <c r="A553" s="17"/>
      <c r="B553" s="17"/>
      <c r="C553" s="17"/>
      <c r="D553" s="17"/>
    </row>
    <row r="554" spans="1:4" ht="12.5" x14ac:dyDescent="0.25">
      <c r="A554" s="17"/>
      <c r="B554" s="17"/>
      <c r="C554" s="17"/>
      <c r="D554" s="17"/>
    </row>
    <row r="555" spans="1:4" ht="12.5" x14ac:dyDescent="0.25">
      <c r="A555" s="17"/>
      <c r="B555" s="17"/>
      <c r="C555" s="17"/>
      <c r="D555" s="17"/>
    </row>
    <row r="556" spans="1:4" ht="12.5" x14ac:dyDescent="0.25">
      <c r="A556" s="17"/>
      <c r="B556" s="17"/>
      <c r="C556" s="17"/>
      <c r="D556" s="17"/>
    </row>
    <row r="557" spans="1:4" ht="12.5" x14ac:dyDescent="0.25">
      <c r="A557" s="17"/>
      <c r="B557" s="17"/>
      <c r="C557" s="17"/>
      <c r="D557" s="17"/>
    </row>
    <row r="558" spans="1:4" ht="12.5" x14ac:dyDescent="0.25">
      <c r="A558" s="17"/>
      <c r="B558" s="17"/>
      <c r="C558" s="17"/>
      <c r="D558" s="17"/>
    </row>
    <row r="559" spans="1:4" ht="12.5" x14ac:dyDescent="0.25">
      <c r="A559" s="17"/>
      <c r="B559" s="17"/>
      <c r="C559" s="17"/>
      <c r="D559" s="17"/>
    </row>
    <row r="560" spans="1:4" ht="12.5" x14ac:dyDescent="0.25">
      <c r="A560" s="17"/>
      <c r="B560" s="17"/>
      <c r="C560" s="17"/>
      <c r="D560" s="17"/>
    </row>
    <row r="561" spans="1:4" ht="12.5" x14ac:dyDescent="0.25">
      <c r="A561" s="17"/>
      <c r="B561" s="17"/>
      <c r="C561" s="17"/>
      <c r="D561" s="17"/>
    </row>
    <row r="562" spans="1:4" ht="12.5" x14ac:dyDescent="0.25">
      <c r="A562" s="17"/>
      <c r="B562" s="17"/>
      <c r="C562" s="17"/>
      <c r="D562" s="17"/>
    </row>
    <row r="563" spans="1:4" ht="12.5" x14ac:dyDescent="0.25">
      <c r="A563" s="17"/>
      <c r="B563" s="17"/>
      <c r="C563" s="17"/>
      <c r="D563" s="17"/>
    </row>
    <row r="564" spans="1:4" ht="12.5" x14ac:dyDescent="0.25">
      <c r="A564" s="17"/>
      <c r="B564" s="17"/>
      <c r="C564" s="17"/>
      <c r="D564" s="17"/>
    </row>
    <row r="565" spans="1:4" ht="12.5" x14ac:dyDescent="0.25">
      <c r="A565" s="17"/>
      <c r="B565" s="17"/>
      <c r="C565" s="17"/>
      <c r="D565" s="17"/>
    </row>
    <row r="566" spans="1:4" ht="12.5" x14ac:dyDescent="0.25">
      <c r="A566" s="17"/>
      <c r="B566" s="17"/>
      <c r="C566" s="17"/>
      <c r="D566" s="17"/>
    </row>
    <row r="567" spans="1:4" ht="12.5" x14ac:dyDescent="0.25">
      <c r="A567" s="17"/>
      <c r="B567" s="17"/>
      <c r="C567" s="17"/>
      <c r="D567" s="17"/>
    </row>
    <row r="568" spans="1:4" ht="12.5" x14ac:dyDescent="0.25">
      <c r="A568" s="17"/>
      <c r="B568" s="17"/>
      <c r="C568" s="17"/>
      <c r="D568" s="17"/>
    </row>
    <row r="569" spans="1:4" ht="12.5" x14ac:dyDescent="0.25">
      <c r="A569" s="17"/>
      <c r="B569" s="17"/>
      <c r="C569" s="17"/>
      <c r="D569" s="17"/>
    </row>
    <row r="570" spans="1:4" ht="12.5" x14ac:dyDescent="0.25">
      <c r="A570" s="17"/>
      <c r="B570" s="17"/>
      <c r="C570" s="17"/>
      <c r="D570" s="17"/>
    </row>
    <row r="571" spans="1:4" ht="12.5" x14ac:dyDescent="0.25">
      <c r="A571" s="17"/>
      <c r="B571" s="17"/>
      <c r="C571" s="17"/>
      <c r="D571" s="17"/>
    </row>
    <row r="572" spans="1:4" ht="12.5" x14ac:dyDescent="0.25">
      <c r="A572" s="17"/>
      <c r="B572" s="17"/>
      <c r="C572" s="17"/>
      <c r="D572" s="17"/>
    </row>
    <row r="573" spans="1:4" ht="12.5" x14ac:dyDescent="0.25">
      <c r="A573" s="17"/>
      <c r="B573" s="17"/>
      <c r="C573" s="17"/>
      <c r="D573" s="17"/>
    </row>
    <row r="574" spans="1:4" ht="12.5" x14ac:dyDescent="0.25">
      <c r="A574" s="17"/>
      <c r="B574" s="17"/>
      <c r="C574" s="17"/>
      <c r="D574" s="17"/>
    </row>
    <row r="575" spans="1:4" ht="12.5" x14ac:dyDescent="0.25">
      <c r="A575" s="17"/>
      <c r="B575" s="17"/>
      <c r="C575" s="17"/>
      <c r="D575" s="17"/>
    </row>
    <row r="576" spans="1:4" ht="12.5" x14ac:dyDescent="0.25">
      <c r="A576" s="17"/>
      <c r="B576" s="17"/>
      <c r="C576" s="17"/>
      <c r="D576" s="17"/>
    </row>
    <row r="577" spans="1:4" ht="12.5" x14ac:dyDescent="0.25">
      <c r="A577" s="17"/>
      <c r="B577" s="17"/>
      <c r="C577" s="17"/>
      <c r="D577" s="17"/>
    </row>
    <row r="578" spans="1:4" ht="12.5" x14ac:dyDescent="0.25">
      <c r="A578" s="17"/>
      <c r="B578" s="17"/>
      <c r="C578" s="17"/>
      <c r="D578" s="17"/>
    </row>
    <row r="579" spans="1:4" ht="12.5" x14ac:dyDescent="0.25">
      <c r="A579" s="17"/>
      <c r="B579" s="17"/>
      <c r="C579" s="17"/>
      <c r="D579" s="17"/>
    </row>
    <row r="580" spans="1:4" ht="12.5" x14ac:dyDescent="0.25">
      <c r="A580" s="17"/>
      <c r="B580" s="17"/>
      <c r="C580" s="17"/>
      <c r="D580" s="17"/>
    </row>
    <row r="581" spans="1:4" ht="12.5" x14ac:dyDescent="0.25">
      <c r="A581" s="17"/>
      <c r="B581" s="17"/>
      <c r="C581" s="17"/>
      <c r="D581" s="17"/>
    </row>
    <row r="582" spans="1:4" ht="12.5" x14ac:dyDescent="0.25">
      <c r="A582" s="17"/>
      <c r="B582" s="17"/>
      <c r="C582" s="17"/>
      <c r="D582" s="17"/>
    </row>
    <row r="583" spans="1:4" ht="12.5" x14ac:dyDescent="0.25">
      <c r="A583" s="17"/>
      <c r="B583" s="17"/>
      <c r="C583" s="17"/>
      <c r="D583" s="17"/>
    </row>
    <row r="584" spans="1:4" ht="12.5" x14ac:dyDescent="0.25">
      <c r="A584" s="17"/>
      <c r="B584" s="17"/>
      <c r="C584" s="17"/>
      <c r="D584" s="17"/>
    </row>
    <row r="585" spans="1:4" ht="12.5" x14ac:dyDescent="0.25">
      <c r="A585" s="17"/>
      <c r="B585" s="17"/>
      <c r="C585" s="17"/>
      <c r="D585" s="17"/>
    </row>
    <row r="586" spans="1:4" ht="12.5" x14ac:dyDescent="0.25">
      <c r="A586" s="17"/>
      <c r="B586" s="17"/>
      <c r="C586" s="17"/>
      <c r="D586" s="17"/>
    </row>
    <row r="587" spans="1:4" ht="12.5" x14ac:dyDescent="0.25">
      <c r="A587" s="17"/>
      <c r="B587" s="17"/>
      <c r="C587" s="17"/>
      <c r="D587" s="17"/>
    </row>
    <row r="588" spans="1:4" ht="12.5" x14ac:dyDescent="0.25">
      <c r="A588" s="17"/>
      <c r="B588" s="17"/>
      <c r="C588" s="17"/>
      <c r="D588" s="17"/>
    </row>
    <row r="589" spans="1:4" ht="12.5" x14ac:dyDescent="0.25">
      <c r="A589" s="17"/>
      <c r="B589" s="17"/>
      <c r="C589" s="17"/>
      <c r="D589" s="17"/>
    </row>
    <row r="590" spans="1:4" ht="12.5" x14ac:dyDescent="0.25">
      <c r="A590" s="17"/>
      <c r="B590" s="17"/>
      <c r="C590" s="17"/>
      <c r="D590" s="17"/>
    </row>
    <row r="591" spans="1:4" ht="12.5" x14ac:dyDescent="0.25">
      <c r="A591" s="17"/>
      <c r="B591" s="17"/>
      <c r="C591" s="17"/>
      <c r="D591" s="17"/>
    </row>
    <row r="592" spans="1:4" ht="12.5" x14ac:dyDescent="0.25">
      <c r="A592" s="17"/>
      <c r="B592" s="17"/>
      <c r="C592" s="17"/>
      <c r="D592" s="17"/>
    </row>
    <row r="593" spans="1:4" ht="12.5" x14ac:dyDescent="0.25">
      <c r="A593" s="17"/>
      <c r="B593" s="17"/>
      <c r="C593" s="17"/>
      <c r="D593" s="17"/>
    </row>
    <row r="594" spans="1:4" ht="12.5" x14ac:dyDescent="0.25">
      <c r="A594" s="17"/>
      <c r="B594" s="17"/>
      <c r="C594" s="17"/>
      <c r="D594" s="17"/>
    </row>
    <row r="595" spans="1:4" ht="12.5" x14ac:dyDescent="0.25">
      <c r="A595" s="17"/>
      <c r="B595" s="17"/>
      <c r="C595" s="17"/>
      <c r="D595" s="17"/>
    </row>
    <row r="596" spans="1:4" ht="12.5" x14ac:dyDescent="0.25">
      <c r="A596" s="17"/>
      <c r="B596" s="17"/>
      <c r="C596" s="17"/>
      <c r="D596" s="17"/>
    </row>
    <row r="597" spans="1:4" ht="12.5" x14ac:dyDescent="0.25">
      <c r="A597" s="17"/>
      <c r="B597" s="17"/>
      <c r="C597" s="17"/>
      <c r="D597" s="17"/>
    </row>
    <row r="598" spans="1:4" ht="12.5" x14ac:dyDescent="0.25">
      <c r="A598" s="17"/>
      <c r="B598" s="17"/>
      <c r="C598" s="17"/>
      <c r="D598" s="17"/>
    </row>
    <row r="599" spans="1:4" ht="12.5" x14ac:dyDescent="0.25">
      <c r="A599" s="17"/>
      <c r="B599" s="17"/>
      <c r="C599" s="17"/>
      <c r="D599" s="17"/>
    </row>
    <row r="600" spans="1:4" ht="12.5" x14ac:dyDescent="0.25">
      <c r="A600" s="17"/>
      <c r="B600" s="17"/>
      <c r="C600" s="17"/>
      <c r="D600" s="17"/>
    </row>
    <row r="601" spans="1:4" ht="12.5" x14ac:dyDescent="0.25">
      <c r="A601" s="17"/>
      <c r="B601" s="17"/>
      <c r="C601" s="17"/>
      <c r="D601" s="17"/>
    </row>
    <row r="602" spans="1:4" ht="12.5" x14ac:dyDescent="0.25">
      <c r="A602" s="17"/>
      <c r="B602" s="17"/>
      <c r="C602" s="17"/>
      <c r="D602" s="17"/>
    </row>
    <row r="603" spans="1:4" ht="12.5" x14ac:dyDescent="0.25">
      <c r="A603" s="17"/>
      <c r="B603" s="17"/>
      <c r="C603" s="17"/>
      <c r="D603" s="17"/>
    </row>
    <row r="604" spans="1:4" ht="12.5" x14ac:dyDescent="0.25">
      <c r="A604" s="17"/>
      <c r="B604" s="17"/>
      <c r="C604" s="17"/>
      <c r="D604" s="17"/>
    </row>
    <row r="605" spans="1:4" ht="12.5" x14ac:dyDescent="0.25">
      <c r="A605" s="17"/>
      <c r="B605" s="17"/>
      <c r="C605" s="17"/>
      <c r="D605" s="17"/>
    </row>
    <row r="606" spans="1:4" ht="12.5" x14ac:dyDescent="0.25">
      <c r="A606" s="17"/>
      <c r="B606" s="17"/>
      <c r="C606" s="17"/>
      <c r="D606" s="17"/>
    </row>
    <row r="607" spans="1:4" ht="12.5" x14ac:dyDescent="0.25">
      <c r="A607" s="17"/>
      <c r="B607" s="17"/>
      <c r="C607" s="17"/>
      <c r="D607" s="17"/>
    </row>
    <row r="608" spans="1:4" ht="12.5" x14ac:dyDescent="0.25">
      <c r="A608" s="17"/>
      <c r="B608" s="17"/>
      <c r="C608" s="17"/>
      <c r="D608" s="17"/>
    </row>
    <row r="609" spans="1:4" ht="12.5" x14ac:dyDescent="0.25">
      <c r="A609" s="17"/>
      <c r="B609" s="17"/>
      <c r="C609" s="17"/>
      <c r="D609" s="17"/>
    </row>
    <row r="610" spans="1:4" ht="12.5" x14ac:dyDescent="0.25">
      <c r="A610" s="17"/>
      <c r="B610" s="17"/>
      <c r="C610" s="17"/>
      <c r="D610" s="17"/>
    </row>
    <row r="611" spans="1:4" ht="12.5" x14ac:dyDescent="0.25">
      <c r="A611" s="17"/>
      <c r="B611" s="17"/>
      <c r="C611" s="17"/>
      <c r="D611" s="17"/>
    </row>
    <row r="612" spans="1:4" ht="12.5" x14ac:dyDescent="0.25">
      <c r="A612" s="17"/>
      <c r="B612" s="17"/>
      <c r="C612" s="17"/>
      <c r="D612" s="17"/>
    </row>
    <row r="613" spans="1:4" ht="12.5" x14ac:dyDescent="0.25">
      <c r="A613" s="17"/>
      <c r="B613" s="17"/>
      <c r="C613" s="17"/>
      <c r="D613" s="17"/>
    </row>
    <row r="614" spans="1:4" ht="12.5" x14ac:dyDescent="0.25">
      <c r="A614" s="17"/>
      <c r="B614" s="17"/>
      <c r="C614" s="17"/>
      <c r="D614" s="17"/>
    </row>
    <row r="615" spans="1:4" ht="12.5" x14ac:dyDescent="0.25">
      <c r="A615" s="17"/>
      <c r="B615" s="17"/>
      <c r="C615" s="17"/>
      <c r="D615" s="17"/>
    </row>
    <row r="616" spans="1:4" ht="12.5" x14ac:dyDescent="0.25">
      <c r="A616" s="17"/>
      <c r="B616" s="17"/>
      <c r="C616" s="17"/>
      <c r="D616" s="17"/>
    </row>
    <row r="617" spans="1:4" ht="12.5" x14ac:dyDescent="0.25">
      <c r="A617" s="17"/>
      <c r="B617" s="17"/>
      <c r="C617" s="17"/>
      <c r="D617" s="17"/>
    </row>
    <row r="618" spans="1:4" ht="12.5" x14ac:dyDescent="0.25">
      <c r="A618" s="17"/>
      <c r="B618" s="17"/>
      <c r="C618" s="17"/>
      <c r="D618" s="17"/>
    </row>
    <row r="619" spans="1:4" ht="12.5" x14ac:dyDescent="0.25">
      <c r="A619" s="17"/>
      <c r="B619" s="17"/>
      <c r="C619" s="17"/>
      <c r="D619" s="17"/>
    </row>
    <row r="620" spans="1:4" ht="12.5" x14ac:dyDescent="0.25">
      <c r="A620" s="17"/>
      <c r="B620" s="17"/>
      <c r="C620" s="17"/>
      <c r="D620" s="17"/>
    </row>
    <row r="621" spans="1:4" ht="12.5" x14ac:dyDescent="0.25">
      <c r="A621" s="17"/>
      <c r="B621" s="17"/>
      <c r="C621" s="17"/>
      <c r="D621" s="17"/>
    </row>
    <row r="622" spans="1:4" ht="12.5" x14ac:dyDescent="0.25">
      <c r="A622" s="17"/>
      <c r="B622" s="17"/>
      <c r="C622" s="17"/>
      <c r="D622" s="17"/>
    </row>
    <row r="623" spans="1:4" ht="12.5" x14ac:dyDescent="0.25">
      <c r="A623" s="17"/>
      <c r="B623" s="17"/>
      <c r="C623" s="17"/>
      <c r="D623" s="17"/>
    </row>
    <row r="624" spans="1:4" ht="12.5" x14ac:dyDescent="0.25">
      <c r="A624" s="17"/>
      <c r="B624" s="17"/>
      <c r="C624" s="17"/>
      <c r="D624" s="17"/>
    </row>
    <row r="625" spans="1:4" ht="12.5" x14ac:dyDescent="0.25">
      <c r="A625" s="17"/>
      <c r="B625" s="17"/>
      <c r="C625" s="17"/>
      <c r="D625" s="17"/>
    </row>
    <row r="626" spans="1:4" ht="12.5" x14ac:dyDescent="0.25">
      <c r="A626" s="17"/>
      <c r="B626" s="17"/>
      <c r="C626" s="17"/>
      <c r="D626" s="17"/>
    </row>
    <row r="627" spans="1:4" ht="12.5" x14ac:dyDescent="0.25">
      <c r="A627" s="17"/>
      <c r="B627" s="17"/>
      <c r="C627" s="17"/>
      <c r="D627" s="17"/>
    </row>
    <row r="628" spans="1:4" ht="12.5" x14ac:dyDescent="0.25">
      <c r="A628" s="17"/>
      <c r="B628" s="17"/>
      <c r="C628" s="17"/>
      <c r="D628" s="17"/>
    </row>
    <row r="629" spans="1:4" ht="12.5" x14ac:dyDescent="0.25">
      <c r="A629" s="17"/>
      <c r="B629" s="17"/>
      <c r="C629" s="17"/>
      <c r="D629" s="17"/>
    </row>
    <row r="630" spans="1:4" ht="12.5" x14ac:dyDescent="0.25">
      <c r="A630" s="17"/>
      <c r="B630" s="17"/>
      <c r="C630" s="17"/>
      <c r="D630" s="17"/>
    </row>
    <row r="631" spans="1:4" ht="12.5" x14ac:dyDescent="0.25">
      <c r="A631" s="17"/>
      <c r="B631" s="17"/>
      <c r="C631" s="17"/>
      <c r="D631" s="17"/>
    </row>
    <row r="632" spans="1:4" ht="12.5" x14ac:dyDescent="0.25">
      <c r="A632" s="17"/>
      <c r="B632" s="17"/>
      <c r="C632" s="17"/>
      <c r="D632" s="17"/>
    </row>
    <row r="633" spans="1:4" ht="12.5" x14ac:dyDescent="0.25">
      <c r="A633" s="17"/>
      <c r="B633" s="17"/>
      <c r="C633" s="17"/>
      <c r="D633" s="17"/>
    </row>
    <row r="634" spans="1:4" ht="12.5" x14ac:dyDescent="0.25">
      <c r="A634" s="17"/>
      <c r="B634" s="17"/>
      <c r="C634" s="17"/>
      <c r="D634" s="17"/>
    </row>
    <row r="635" spans="1:4" ht="12.5" x14ac:dyDescent="0.25">
      <c r="A635" s="17"/>
      <c r="B635" s="17"/>
      <c r="C635" s="17"/>
      <c r="D635" s="17"/>
    </row>
    <row r="636" spans="1:4" ht="12.5" x14ac:dyDescent="0.25">
      <c r="A636" s="17"/>
      <c r="B636" s="17"/>
      <c r="C636" s="17"/>
      <c r="D636" s="17"/>
    </row>
    <row r="637" spans="1:4" ht="12.5" x14ac:dyDescent="0.25">
      <c r="A637" s="17"/>
      <c r="B637" s="17"/>
      <c r="C637" s="17"/>
      <c r="D637" s="17"/>
    </row>
    <row r="638" spans="1:4" ht="12.5" x14ac:dyDescent="0.25">
      <c r="A638" s="17"/>
      <c r="B638" s="17"/>
      <c r="C638" s="17"/>
      <c r="D638" s="17"/>
    </row>
    <row r="639" spans="1:4" ht="12.5" x14ac:dyDescent="0.25">
      <c r="A639" s="17"/>
      <c r="B639" s="17"/>
      <c r="C639" s="17"/>
      <c r="D639" s="17"/>
    </row>
    <row r="640" spans="1:4" ht="12.5" x14ac:dyDescent="0.25">
      <c r="A640" s="17"/>
      <c r="B640" s="17"/>
      <c r="C640" s="17"/>
      <c r="D640" s="17"/>
    </row>
    <row r="641" spans="1:4" ht="12.5" x14ac:dyDescent="0.25">
      <c r="A641" s="17"/>
      <c r="B641" s="17"/>
      <c r="C641" s="17"/>
      <c r="D641" s="17"/>
    </row>
    <row r="642" spans="1:4" ht="12.5" x14ac:dyDescent="0.25">
      <c r="A642" s="17"/>
      <c r="B642" s="17"/>
      <c r="C642" s="17"/>
      <c r="D642" s="17"/>
    </row>
    <row r="643" spans="1:4" ht="12.5" x14ac:dyDescent="0.25">
      <c r="A643" s="17"/>
      <c r="B643" s="17"/>
      <c r="C643" s="17"/>
      <c r="D643" s="17"/>
    </row>
    <row r="644" spans="1:4" ht="12.5" x14ac:dyDescent="0.25">
      <c r="A644" s="17"/>
      <c r="B644" s="17"/>
      <c r="C644" s="17"/>
      <c r="D644" s="17"/>
    </row>
    <row r="645" spans="1:4" ht="12.5" x14ac:dyDescent="0.25">
      <c r="A645" s="17"/>
      <c r="B645" s="17"/>
      <c r="C645" s="17"/>
      <c r="D645" s="17"/>
    </row>
    <row r="646" spans="1:4" ht="12.5" x14ac:dyDescent="0.25">
      <c r="A646" s="17"/>
      <c r="B646" s="17"/>
      <c r="C646" s="17"/>
      <c r="D646" s="17"/>
    </row>
    <row r="647" spans="1:4" ht="12.5" x14ac:dyDescent="0.25">
      <c r="A647" s="17"/>
      <c r="B647" s="17"/>
      <c r="C647" s="17"/>
      <c r="D647" s="17"/>
    </row>
    <row r="648" spans="1:4" ht="12.5" x14ac:dyDescent="0.25">
      <c r="A648" s="17"/>
      <c r="B648" s="17"/>
      <c r="C648" s="17"/>
      <c r="D648" s="17"/>
    </row>
    <row r="649" spans="1:4" ht="12.5" x14ac:dyDescent="0.25">
      <c r="A649" s="17"/>
      <c r="B649" s="17"/>
      <c r="C649" s="17"/>
      <c r="D649" s="17"/>
    </row>
    <row r="650" spans="1:4" ht="12.5" x14ac:dyDescent="0.25">
      <c r="A650" s="17"/>
      <c r="B650" s="17"/>
      <c r="C650" s="17"/>
      <c r="D650" s="17"/>
    </row>
    <row r="651" spans="1:4" ht="12.5" x14ac:dyDescent="0.25">
      <c r="A651" s="17"/>
      <c r="B651" s="17"/>
      <c r="C651" s="17"/>
      <c r="D651" s="17"/>
    </row>
    <row r="652" spans="1:4" ht="12.5" x14ac:dyDescent="0.25">
      <c r="A652" s="17"/>
      <c r="B652" s="17"/>
      <c r="C652" s="17"/>
      <c r="D652" s="17"/>
    </row>
    <row r="653" spans="1:4" ht="12.5" x14ac:dyDescent="0.25">
      <c r="A653" s="17"/>
      <c r="B653" s="17"/>
      <c r="C653" s="17"/>
      <c r="D653" s="17"/>
    </row>
    <row r="654" spans="1:4" ht="12.5" x14ac:dyDescent="0.25">
      <c r="A654" s="17"/>
      <c r="B654" s="17"/>
      <c r="C654" s="17"/>
      <c r="D654" s="17"/>
    </row>
    <row r="655" spans="1:4" ht="12.5" x14ac:dyDescent="0.25">
      <c r="A655" s="17"/>
      <c r="B655" s="17"/>
      <c r="C655" s="17"/>
      <c r="D655" s="17"/>
    </row>
    <row r="656" spans="1:4" ht="12.5" x14ac:dyDescent="0.25">
      <c r="A656" s="17"/>
      <c r="B656" s="17"/>
      <c r="C656" s="17"/>
      <c r="D656" s="17"/>
    </row>
    <row r="657" spans="1:4" ht="12.5" x14ac:dyDescent="0.25">
      <c r="A657" s="17"/>
      <c r="B657" s="17"/>
      <c r="C657" s="17"/>
      <c r="D657" s="17"/>
    </row>
    <row r="658" spans="1:4" ht="12.5" x14ac:dyDescent="0.25">
      <c r="A658" s="17"/>
      <c r="B658" s="17"/>
      <c r="C658" s="17"/>
      <c r="D658" s="17"/>
    </row>
    <row r="659" spans="1:4" ht="12.5" x14ac:dyDescent="0.25">
      <c r="A659" s="17"/>
      <c r="B659" s="17"/>
      <c r="C659" s="17"/>
      <c r="D659" s="17"/>
    </row>
    <row r="660" spans="1:4" ht="12.5" x14ac:dyDescent="0.25">
      <c r="A660" s="17"/>
      <c r="B660" s="17"/>
      <c r="C660" s="17"/>
      <c r="D660" s="17"/>
    </row>
    <row r="661" spans="1:4" ht="12.5" x14ac:dyDescent="0.25">
      <c r="A661" s="17"/>
      <c r="B661" s="17"/>
      <c r="C661" s="17"/>
      <c r="D661" s="17"/>
    </row>
    <row r="662" spans="1:4" ht="12.5" x14ac:dyDescent="0.25">
      <c r="A662" s="17"/>
      <c r="B662" s="17"/>
      <c r="C662" s="17"/>
      <c r="D662" s="17"/>
    </row>
    <row r="663" spans="1:4" ht="12.5" x14ac:dyDescent="0.25">
      <c r="A663" s="17"/>
      <c r="B663" s="17"/>
      <c r="C663" s="17"/>
      <c r="D663" s="17"/>
    </row>
    <row r="664" spans="1:4" ht="12.5" x14ac:dyDescent="0.25">
      <c r="A664" s="17"/>
      <c r="B664" s="17"/>
      <c r="C664" s="17"/>
      <c r="D664" s="17"/>
    </row>
    <row r="665" spans="1:4" ht="12.5" x14ac:dyDescent="0.25">
      <c r="A665" s="17"/>
      <c r="B665" s="17"/>
      <c r="C665" s="17"/>
      <c r="D665" s="17"/>
    </row>
    <row r="666" spans="1:4" ht="12.5" x14ac:dyDescent="0.25">
      <c r="A666" s="17"/>
      <c r="B666" s="17"/>
      <c r="C666" s="17"/>
      <c r="D666" s="17"/>
    </row>
    <row r="667" spans="1:4" ht="12.5" x14ac:dyDescent="0.25">
      <c r="A667" s="17"/>
      <c r="B667" s="17"/>
      <c r="C667" s="17"/>
      <c r="D667" s="17"/>
    </row>
    <row r="668" spans="1:4" ht="12.5" x14ac:dyDescent="0.25">
      <c r="A668" s="17"/>
      <c r="B668" s="17"/>
      <c r="C668" s="17"/>
      <c r="D668" s="17"/>
    </row>
    <row r="669" spans="1:4" ht="12.5" x14ac:dyDescent="0.25">
      <c r="A669" s="17"/>
      <c r="B669" s="17"/>
      <c r="C669" s="17"/>
      <c r="D669" s="17"/>
    </row>
    <row r="670" spans="1:4" ht="12.5" x14ac:dyDescent="0.25">
      <c r="A670" s="17"/>
      <c r="B670" s="17"/>
      <c r="C670" s="17"/>
      <c r="D670" s="17"/>
    </row>
    <row r="671" spans="1:4" ht="12.5" x14ac:dyDescent="0.25">
      <c r="A671" s="17"/>
      <c r="B671" s="17"/>
      <c r="C671" s="17"/>
      <c r="D671" s="17"/>
    </row>
    <row r="672" spans="1:4" ht="12.5" x14ac:dyDescent="0.25">
      <c r="A672" s="17"/>
      <c r="B672" s="17"/>
      <c r="C672" s="17"/>
      <c r="D672" s="17"/>
    </row>
    <row r="673" spans="1:4" ht="12.5" x14ac:dyDescent="0.25">
      <c r="A673" s="17"/>
      <c r="B673" s="17"/>
      <c r="C673" s="17"/>
      <c r="D673" s="17"/>
    </row>
    <row r="674" spans="1:4" ht="12.5" x14ac:dyDescent="0.25">
      <c r="A674" s="17"/>
      <c r="B674" s="17"/>
      <c r="C674" s="17"/>
      <c r="D674" s="17"/>
    </row>
    <row r="675" spans="1:4" ht="12.5" x14ac:dyDescent="0.25">
      <c r="A675" s="17"/>
      <c r="B675" s="17"/>
      <c r="C675" s="17"/>
      <c r="D675" s="17"/>
    </row>
    <row r="676" spans="1:4" ht="12.5" x14ac:dyDescent="0.25">
      <c r="A676" s="17"/>
      <c r="B676" s="17"/>
      <c r="C676" s="17"/>
      <c r="D676" s="17"/>
    </row>
    <row r="677" spans="1:4" ht="12.5" x14ac:dyDescent="0.25">
      <c r="A677" s="17"/>
      <c r="B677" s="17"/>
      <c r="C677" s="17"/>
      <c r="D677" s="17"/>
    </row>
    <row r="678" spans="1:4" ht="12.5" x14ac:dyDescent="0.25">
      <c r="A678" s="17"/>
      <c r="B678" s="17"/>
      <c r="C678" s="17"/>
      <c r="D678" s="17"/>
    </row>
    <row r="679" spans="1:4" ht="12.5" x14ac:dyDescent="0.25">
      <c r="A679" s="17"/>
      <c r="B679" s="17"/>
      <c r="C679" s="17"/>
      <c r="D679" s="17"/>
    </row>
    <row r="680" spans="1:4" ht="12.5" x14ac:dyDescent="0.25">
      <c r="A680" s="17"/>
      <c r="B680" s="17"/>
      <c r="C680" s="17"/>
      <c r="D680" s="17"/>
    </row>
    <row r="681" spans="1:4" ht="12.5" x14ac:dyDescent="0.25">
      <c r="A681" s="17"/>
      <c r="B681" s="17"/>
      <c r="C681" s="17"/>
      <c r="D681" s="17"/>
    </row>
    <row r="682" spans="1:4" ht="12.5" x14ac:dyDescent="0.25">
      <c r="A682" s="17"/>
      <c r="B682" s="17"/>
      <c r="C682" s="17"/>
      <c r="D682" s="17"/>
    </row>
    <row r="683" spans="1:4" ht="12.5" x14ac:dyDescent="0.25">
      <c r="A683" s="17"/>
      <c r="B683" s="17"/>
      <c r="C683" s="17"/>
      <c r="D683" s="17"/>
    </row>
    <row r="684" spans="1:4" ht="12.5" x14ac:dyDescent="0.25">
      <c r="A684" s="17"/>
      <c r="B684" s="17"/>
      <c r="C684" s="17"/>
      <c r="D684" s="17"/>
    </row>
    <row r="685" spans="1:4" ht="12.5" x14ac:dyDescent="0.25">
      <c r="A685" s="17"/>
      <c r="B685" s="17"/>
      <c r="C685" s="17"/>
      <c r="D685" s="17"/>
    </row>
    <row r="686" spans="1:4" ht="12.5" x14ac:dyDescent="0.25">
      <c r="A686" s="17"/>
      <c r="B686" s="17"/>
      <c r="C686" s="17"/>
      <c r="D686" s="17"/>
    </row>
    <row r="687" spans="1:4" ht="12.5" x14ac:dyDescent="0.25">
      <c r="A687" s="17"/>
      <c r="B687" s="17"/>
      <c r="C687" s="17"/>
      <c r="D687" s="17"/>
    </row>
    <row r="688" spans="1:4" ht="12.5" x14ac:dyDescent="0.25">
      <c r="A688" s="17"/>
      <c r="B688" s="17"/>
      <c r="C688" s="17"/>
      <c r="D688" s="17"/>
    </row>
    <row r="689" spans="1:4" ht="12.5" x14ac:dyDescent="0.25">
      <c r="A689" s="17"/>
      <c r="B689" s="17"/>
      <c r="C689" s="17"/>
      <c r="D689" s="17"/>
    </row>
    <row r="690" spans="1:4" ht="12.5" x14ac:dyDescent="0.25">
      <c r="A690" s="17"/>
      <c r="B690" s="17"/>
      <c r="C690" s="17"/>
      <c r="D690" s="17"/>
    </row>
    <row r="691" spans="1:4" ht="12.5" x14ac:dyDescent="0.25">
      <c r="A691" s="17"/>
      <c r="B691" s="17"/>
      <c r="C691" s="17"/>
      <c r="D691" s="17"/>
    </row>
    <row r="692" spans="1:4" ht="12.5" x14ac:dyDescent="0.25">
      <c r="A692" s="17"/>
      <c r="B692" s="17"/>
      <c r="C692" s="17"/>
      <c r="D692" s="17"/>
    </row>
    <row r="693" spans="1:4" ht="12.5" x14ac:dyDescent="0.25">
      <c r="A693" s="17"/>
      <c r="B693" s="17"/>
      <c r="C693" s="17"/>
      <c r="D693" s="17"/>
    </row>
    <row r="694" spans="1:4" ht="12.5" x14ac:dyDescent="0.25">
      <c r="A694" s="17"/>
      <c r="B694" s="17"/>
      <c r="C694" s="17"/>
      <c r="D694" s="17"/>
    </row>
    <row r="695" spans="1:4" ht="12.5" x14ac:dyDescent="0.25">
      <c r="A695" s="17"/>
      <c r="B695" s="17"/>
      <c r="C695" s="17"/>
      <c r="D695" s="17"/>
    </row>
    <row r="696" spans="1:4" ht="12.5" x14ac:dyDescent="0.25">
      <c r="A696" s="17"/>
      <c r="B696" s="17"/>
      <c r="C696" s="17"/>
      <c r="D696" s="17"/>
    </row>
    <row r="697" spans="1:4" ht="12.5" x14ac:dyDescent="0.25">
      <c r="A697" s="17"/>
      <c r="B697" s="17"/>
      <c r="C697" s="17"/>
      <c r="D697" s="17"/>
    </row>
    <row r="698" spans="1:4" ht="12.5" x14ac:dyDescent="0.25">
      <c r="A698" s="17"/>
      <c r="B698" s="17"/>
      <c r="C698" s="17"/>
      <c r="D698" s="17"/>
    </row>
    <row r="699" spans="1:4" ht="12.5" x14ac:dyDescent="0.25">
      <c r="A699" s="17"/>
      <c r="B699" s="17"/>
      <c r="C699" s="17"/>
      <c r="D699" s="17"/>
    </row>
    <row r="700" spans="1:4" ht="12.5" x14ac:dyDescent="0.25">
      <c r="A700" s="17"/>
      <c r="B700" s="17"/>
      <c r="C700" s="17"/>
      <c r="D700" s="17"/>
    </row>
    <row r="701" spans="1:4" ht="12.5" x14ac:dyDescent="0.25">
      <c r="A701" s="17"/>
      <c r="B701" s="17"/>
      <c r="C701" s="17"/>
      <c r="D701" s="17"/>
    </row>
    <row r="702" spans="1:4" ht="12.5" x14ac:dyDescent="0.25">
      <c r="A702" s="17"/>
      <c r="B702" s="17"/>
      <c r="C702" s="17"/>
      <c r="D702" s="17"/>
    </row>
    <row r="703" spans="1:4" ht="12.5" x14ac:dyDescent="0.25">
      <c r="A703" s="17"/>
      <c r="B703" s="17"/>
      <c r="C703" s="17"/>
      <c r="D703" s="17"/>
    </row>
    <row r="704" spans="1:4" ht="12.5" x14ac:dyDescent="0.25">
      <c r="A704" s="17"/>
      <c r="B704" s="17"/>
      <c r="C704" s="17"/>
      <c r="D704" s="17"/>
    </row>
    <row r="705" spans="1:4" ht="12.5" x14ac:dyDescent="0.25">
      <c r="A705" s="17"/>
      <c r="B705" s="17"/>
      <c r="C705" s="17"/>
      <c r="D705" s="17"/>
    </row>
    <row r="706" spans="1:4" ht="12.5" x14ac:dyDescent="0.25">
      <c r="A706" s="17"/>
      <c r="B706" s="17"/>
      <c r="C706" s="17"/>
      <c r="D706" s="17"/>
    </row>
    <row r="707" spans="1:4" ht="12.5" x14ac:dyDescent="0.25">
      <c r="A707" s="17"/>
      <c r="B707" s="17"/>
      <c r="C707" s="17"/>
      <c r="D707" s="17"/>
    </row>
    <row r="708" spans="1:4" ht="12.5" x14ac:dyDescent="0.25">
      <c r="A708" s="17"/>
      <c r="B708" s="17"/>
      <c r="C708" s="17"/>
      <c r="D708" s="17"/>
    </row>
    <row r="709" spans="1:4" ht="12.5" x14ac:dyDescent="0.25">
      <c r="A709" s="17"/>
      <c r="B709" s="17"/>
      <c r="C709" s="17"/>
      <c r="D709" s="17"/>
    </row>
    <row r="710" spans="1:4" ht="12.5" x14ac:dyDescent="0.25">
      <c r="A710" s="17"/>
      <c r="B710" s="17"/>
      <c r="C710" s="17"/>
      <c r="D710" s="17"/>
    </row>
    <row r="711" spans="1:4" ht="12.5" x14ac:dyDescent="0.25">
      <c r="A711" s="17"/>
      <c r="B711" s="17"/>
      <c r="C711" s="17"/>
      <c r="D711" s="17"/>
    </row>
    <row r="712" spans="1:4" ht="12.5" x14ac:dyDescent="0.25">
      <c r="A712" s="17"/>
      <c r="B712" s="17"/>
      <c r="C712" s="17"/>
      <c r="D712" s="17"/>
    </row>
    <row r="713" spans="1:4" ht="12.5" x14ac:dyDescent="0.25">
      <c r="A713" s="17"/>
      <c r="B713" s="17"/>
      <c r="C713" s="17"/>
      <c r="D713" s="17"/>
    </row>
    <row r="714" spans="1:4" ht="12.5" x14ac:dyDescent="0.25">
      <c r="A714" s="17"/>
      <c r="B714" s="17"/>
      <c r="C714" s="17"/>
      <c r="D714" s="17"/>
    </row>
    <row r="715" spans="1:4" ht="12.5" x14ac:dyDescent="0.25">
      <c r="A715" s="17"/>
      <c r="B715" s="17"/>
      <c r="C715" s="17"/>
      <c r="D715" s="17"/>
    </row>
    <row r="716" spans="1:4" ht="12.5" x14ac:dyDescent="0.25">
      <c r="A716" s="17"/>
      <c r="B716" s="17"/>
      <c r="C716" s="17"/>
      <c r="D716" s="17"/>
    </row>
    <row r="717" spans="1:4" ht="12.5" x14ac:dyDescent="0.25">
      <c r="A717" s="17"/>
      <c r="B717" s="17"/>
      <c r="C717" s="17"/>
      <c r="D717" s="17"/>
    </row>
    <row r="718" spans="1:4" ht="12.5" x14ac:dyDescent="0.25">
      <c r="A718" s="17"/>
      <c r="B718" s="17"/>
      <c r="C718" s="17"/>
      <c r="D718" s="17"/>
    </row>
    <row r="719" spans="1:4" ht="12.5" x14ac:dyDescent="0.25">
      <c r="A719" s="17"/>
      <c r="B719" s="17"/>
      <c r="C719" s="17"/>
      <c r="D719" s="17"/>
    </row>
    <row r="720" spans="1:4" ht="12.5" x14ac:dyDescent="0.25">
      <c r="A720" s="17"/>
      <c r="B720" s="17"/>
      <c r="C720" s="17"/>
      <c r="D720" s="17"/>
    </row>
    <row r="721" spans="1:4" ht="12.5" x14ac:dyDescent="0.25">
      <c r="A721" s="17"/>
      <c r="B721" s="17"/>
      <c r="C721" s="17"/>
      <c r="D721" s="17"/>
    </row>
    <row r="722" spans="1:4" ht="12.5" x14ac:dyDescent="0.25">
      <c r="A722" s="17"/>
      <c r="B722" s="17"/>
      <c r="C722" s="17"/>
      <c r="D722" s="17"/>
    </row>
    <row r="723" spans="1:4" ht="12.5" x14ac:dyDescent="0.25">
      <c r="A723" s="17"/>
      <c r="B723" s="17"/>
      <c r="C723" s="17"/>
      <c r="D723" s="17"/>
    </row>
    <row r="724" spans="1:4" ht="12.5" x14ac:dyDescent="0.25">
      <c r="A724" s="17"/>
      <c r="B724" s="17"/>
      <c r="C724" s="17"/>
      <c r="D724" s="17"/>
    </row>
    <row r="725" spans="1:4" ht="12.5" x14ac:dyDescent="0.25">
      <c r="A725" s="17"/>
      <c r="B725" s="17"/>
      <c r="C725" s="17"/>
      <c r="D725" s="17"/>
    </row>
    <row r="726" spans="1:4" ht="12.5" x14ac:dyDescent="0.25">
      <c r="A726" s="17"/>
      <c r="B726" s="17"/>
      <c r="C726" s="17"/>
      <c r="D726" s="17"/>
    </row>
    <row r="727" spans="1:4" ht="12.5" x14ac:dyDescent="0.25">
      <c r="A727" s="17"/>
      <c r="B727" s="17"/>
      <c r="C727" s="17"/>
      <c r="D727" s="17"/>
    </row>
    <row r="728" spans="1:4" ht="12.5" x14ac:dyDescent="0.25">
      <c r="A728" s="17"/>
      <c r="B728" s="17"/>
      <c r="C728" s="17"/>
      <c r="D728" s="17"/>
    </row>
    <row r="729" spans="1:4" ht="12.5" x14ac:dyDescent="0.25">
      <c r="A729" s="17"/>
      <c r="B729" s="17"/>
      <c r="C729" s="17"/>
      <c r="D729" s="17"/>
    </row>
    <row r="730" spans="1:4" ht="12.5" x14ac:dyDescent="0.25">
      <c r="A730" s="17"/>
      <c r="B730" s="17"/>
      <c r="C730" s="17"/>
      <c r="D730" s="17"/>
    </row>
    <row r="731" spans="1:4" ht="12.5" x14ac:dyDescent="0.25">
      <c r="A731" s="17"/>
      <c r="B731" s="17"/>
      <c r="C731" s="17"/>
      <c r="D731" s="17"/>
    </row>
    <row r="732" spans="1:4" ht="12.5" x14ac:dyDescent="0.25">
      <c r="A732" s="17"/>
      <c r="B732" s="17"/>
      <c r="C732" s="17"/>
      <c r="D732" s="17"/>
    </row>
    <row r="733" spans="1:4" ht="12.5" x14ac:dyDescent="0.25">
      <c r="A733" s="17"/>
      <c r="B733" s="17"/>
      <c r="C733" s="17"/>
      <c r="D733" s="17"/>
    </row>
    <row r="734" spans="1:4" ht="12.5" x14ac:dyDescent="0.25">
      <c r="A734" s="17"/>
      <c r="B734" s="17"/>
      <c r="C734" s="17"/>
      <c r="D734" s="17"/>
    </row>
    <row r="735" spans="1:4" ht="12.5" x14ac:dyDescent="0.25">
      <c r="A735" s="17"/>
      <c r="B735" s="17"/>
      <c r="C735" s="17"/>
      <c r="D735" s="17"/>
    </row>
    <row r="736" spans="1:4" ht="12.5" x14ac:dyDescent="0.25">
      <c r="A736" s="17"/>
      <c r="B736" s="17"/>
      <c r="C736" s="17"/>
      <c r="D736" s="17"/>
    </row>
    <row r="737" spans="1:4" ht="12.5" x14ac:dyDescent="0.25">
      <c r="A737" s="17"/>
      <c r="B737" s="17"/>
      <c r="C737" s="17"/>
      <c r="D737" s="17"/>
    </row>
    <row r="738" spans="1:4" ht="12.5" x14ac:dyDescent="0.25">
      <c r="A738" s="17"/>
      <c r="B738" s="17"/>
      <c r="C738" s="17"/>
      <c r="D738" s="17"/>
    </row>
    <row r="739" spans="1:4" ht="12.5" x14ac:dyDescent="0.25">
      <c r="A739" s="17"/>
      <c r="B739" s="17"/>
      <c r="C739" s="17"/>
      <c r="D739" s="17"/>
    </row>
    <row r="740" spans="1:4" ht="12.5" x14ac:dyDescent="0.25">
      <c r="A740" s="17"/>
      <c r="B740" s="17"/>
      <c r="C740" s="17"/>
      <c r="D740" s="17"/>
    </row>
    <row r="741" spans="1:4" ht="12.5" x14ac:dyDescent="0.25">
      <c r="A741" s="17"/>
      <c r="B741" s="17"/>
      <c r="C741" s="17"/>
      <c r="D741" s="17"/>
    </row>
    <row r="742" spans="1:4" ht="12.5" x14ac:dyDescent="0.25">
      <c r="A742" s="17"/>
      <c r="B742" s="17"/>
      <c r="C742" s="17"/>
      <c r="D742" s="17"/>
    </row>
    <row r="743" spans="1:4" ht="12.5" x14ac:dyDescent="0.25">
      <c r="A743" s="17"/>
      <c r="B743" s="17"/>
      <c r="C743" s="17"/>
      <c r="D743" s="17"/>
    </row>
    <row r="744" spans="1:4" ht="12.5" x14ac:dyDescent="0.25">
      <c r="A744" s="17"/>
      <c r="B744" s="17"/>
      <c r="C744" s="17"/>
      <c r="D744" s="17"/>
    </row>
    <row r="745" spans="1:4" ht="12.5" x14ac:dyDescent="0.25">
      <c r="A745" s="17"/>
      <c r="B745" s="17"/>
      <c r="C745" s="17"/>
      <c r="D745" s="17"/>
    </row>
    <row r="746" spans="1:4" ht="12.5" x14ac:dyDescent="0.25">
      <c r="A746" s="17"/>
      <c r="B746" s="17"/>
      <c r="C746" s="17"/>
      <c r="D746" s="17"/>
    </row>
    <row r="747" spans="1:4" ht="12.5" x14ac:dyDescent="0.25">
      <c r="A747" s="17"/>
      <c r="B747" s="17"/>
      <c r="C747" s="17"/>
      <c r="D747" s="17"/>
    </row>
    <row r="748" spans="1:4" ht="12.5" x14ac:dyDescent="0.25">
      <c r="A748" s="17"/>
      <c r="B748" s="17"/>
      <c r="C748" s="17"/>
      <c r="D748" s="17"/>
    </row>
    <row r="749" spans="1:4" ht="12.5" x14ac:dyDescent="0.25">
      <c r="A749" s="17"/>
      <c r="B749" s="17"/>
      <c r="C749" s="17"/>
      <c r="D749" s="17"/>
    </row>
    <row r="750" spans="1:4" ht="12.5" x14ac:dyDescent="0.25">
      <c r="A750" s="17"/>
      <c r="B750" s="17"/>
      <c r="C750" s="17"/>
      <c r="D750" s="17"/>
    </row>
    <row r="751" spans="1:4" ht="12.5" x14ac:dyDescent="0.25">
      <c r="A751" s="17"/>
      <c r="B751" s="17"/>
      <c r="C751" s="17"/>
      <c r="D751" s="17"/>
    </row>
    <row r="752" spans="1:4" ht="12.5" x14ac:dyDescent="0.25">
      <c r="A752" s="17"/>
      <c r="B752" s="17"/>
      <c r="C752" s="17"/>
      <c r="D752" s="17"/>
    </row>
    <row r="753" spans="1:4" ht="12.5" x14ac:dyDescent="0.25">
      <c r="A753" s="17"/>
      <c r="B753" s="17"/>
      <c r="C753" s="17"/>
      <c r="D753" s="17"/>
    </row>
    <row r="754" spans="1:4" ht="12.5" x14ac:dyDescent="0.25">
      <c r="A754" s="17"/>
      <c r="B754" s="17"/>
      <c r="C754" s="17"/>
      <c r="D754" s="17"/>
    </row>
    <row r="755" spans="1:4" ht="12.5" x14ac:dyDescent="0.25">
      <c r="A755" s="17"/>
      <c r="B755" s="17"/>
      <c r="C755" s="17"/>
      <c r="D755" s="17"/>
    </row>
    <row r="756" spans="1:4" ht="12.5" x14ac:dyDescent="0.25">
      <c r="A756" s="17"/>
      <c r="B756" s="17"/>
      <c r="C756" s="17"/>
      <c r="D756" s="17"/>
    </row>
    <row r="757" spans="1:4" ht="12.5" x14ac:dyDescent="0.25">
      <c r="A757" s="17"/>
      <c r="B757" s="17"/>
      <c r="C757" s="17"/>
      <c r="D757" s="17"/>
    </row>
    <row r="758" spans="1:4" ht="12.5" x14ac:dyDescent="0.25">
      <c r="A758" s="17"/>
      <c r="B758" s="17"/>
      <c r="C758" s="17"/>
      <c r="D758" s="17"/>
    </row>
    <row r="759" spans="1:4" ht="12.5" x14ac:dyDescent="0.25">
      <c r="A759" s="17"/>
      <c r="B759" s="17"/>
      <c r="C759" s="17"/>
      <c r="D759" s="17"/>
    </row>
    <row r="760" spans="1:4" ht="12.5" x14ac:dyDescent="0.25">
      <c r="A760" s="17"/>
      <c r="B760" s="17"/>
      <c r="C760" s="17"/>
      <c r="D760" s="17"/>
    </row>
    <row r="761" spans="1:4" ht="12.5" x14ac:dyDescent="0.25">
      <c r="A761" s="17"/>
      <c r="B761" s="17"/>
      <c r="C761" s="17"/>
      <c r="D761" s="17"/>
    </row>
    <row r="762" spans="1:4" ht="12.5" x14ac:dyDescent="0.25">
      <c r="A762" s="17"/>
      <c r="B762" s="17"/>
      <c r="C762" s="17"/>
      <c r="D762" s="17"/>
    </row>
    <row r="763" spans="1:4" ht="12.5" x14ac:dyDescent="0.25">
      <c r="A763" s="17"/>
      <c r="B763" s="17"/>
      <c r="C763" s="17"/>
      <c r="D763" s="17"/>
    </row>
    <row r="764" spans="1:4" ht="12.5" x14ac:dyDescent="0.25">
      <c r="A764" s="17"/>
      <c r="B764" s="17"/>
      <c r="C764" s="17"/>
      <c r="D764" s="17"/>
    </row>
    <row r="765" spans="1:4" ht="12.5" x14ac:dyDescent="0.25">
      <c r="A765" s="17"/>
      <c r="B765" s="17"/>
      <c r="C765" s="17"/>
      <c r="D765" s="17"/>
    </row>
    <row r="766" spans="1:4" ht="12.5" x14ac:dyDescent="0.25">
      <c r="A766" s="17"/>
      <c r="B766" s="17"/>
      <c r="C766" s="17"/>
      <c r="D766" s="17"/>
    </row>
    <row r="767" spans="1:4" ht="12.5" x14ac:dyDescent="0.25">
      <c r="A767" s="17"/>
      <c r="B767" s="17"/>
      <c r="C767" s="17"/>
      <c r="D767" s="17"/>
    </row>
    <row r="768" spans="1:4" ht="12.5" x14ac:dyDescent="0.25">
      <c r="A768" s="17"/>
      <c r="B768" s="17"/>
      <c r="C768" s="17"/>
      <c r="D768" s="17"/>
    </row>
    <row r="769" spans="1:4" ht="12.5" x14ac:dyDescent="0.25">
      <c r="A769" s="17"/>
      <c r="B769" s="17"/>
      <c r="C769" s="17"/>
      <c r="D769" s="17"/>
    </row>
    <row r="770" spans="1:4" ht="12.5" x14ac:dyDescent="0.25">
      <c r="A770" s="17"/>
      <c r="B770" s="17"/>
      <c r="C770" s="17"/>
      <c r="D770" s="17"/>
    </row>
    <row r="771" spans="1:4" ht="12.5" x14ac:dyDescent="0.25">
      <c r="A771" s="17"/>
      <c r="B771" s="17"/>
      <c r="C771" s="17"/>
      <c r="D771" s="17"/>
    </row>
    <row r="772" spans="1:4" ht="12.5" x14ac:dyDescent="0.25">
      <c r="A772" s="17"/>
      <c r="B772" s="17"/>
      <c r="C772" s="17"/>
      <c r="D772" s="17"/>
    </row>
    <row r="773" spans="1:4" ht="12.5" x14ac:dyDescent="0.25">
      <c r="A773" s="17"/>
      <c r="B773" s="17"/>
      <c r="C773" s="17"/>
      <c r="D773" s="17"/>
    </row>
    <row r="774" spans="1:4" ht="12.5" x14ac:dyDescent="0.25">
      <c r="A774" s="17"/>
      <c r="B774" s="17"/>
      <c r="C774" s="17"/>
      <c r="D774" s="17"/>
    </row>
    <row r="775" spans="1:4" ht="12.5" x14ac:dyDescent="0.25">
      <c r="A775" s="17"/>
      <c r="B775" s="17"/>
      <c r="C775" s="17"/>
      <c r="D775" s="17"/>
    </row>
    <row r="776" spans="1:4" ht="12.5" x14ac:dyDescent="0.25">
      <c r="A776" s="17"/>
      <c r="B776" s="17"/>
      <c r="C776" s="17"/>
      <c r="D776" s="17"/>
    </row>
    <row r="777" spans="1:4" ht="12.5" x14ac:dyDescent="0.25">
      <c r="A777" s="17"/>
      <c r="B777" s="17"/>
      <c r="C777" s="17"/>
      <c r="D777" s="17"/>
    </row>
    <row r="778" spans="1:4" ht="12.5" x14ac:dyDescent="0.25">
      <c r="A778" s="17"/>
      <c r="B778" s="17"/>
      <c r="C778" s="17"/>
      <c r="D778" s="17"/>
    </row>
    <row r="779" spans="1:4" ht="12.5" x14ac:dyDescent="0.25">
      <c r="A779" s="17"/>
      <c r="B779" s="17"/>
      <c r="C779" s="17"/>
      <c r="D779" s="17"/>
    </row>
    <row r="780" spans="1:4" ht="12.5" x14ac:dyDescent="0.25">
      <c r="A780" s="17"/>
      <c r="B780" s="17"/>
      <c r="C780" s="17"/>
      <c r="D780" s="17"/>
    </row>
    <row r="781" spans="1:4" ht="12.5" x14ac:dyDescent="0.25">
      <c r="A781" s="17"/>
      <c r="B781" s="17"/>
      <c r="C781" s="17"/>
      <c r="D781" s="17"/>
    </row>
    <row r="782" spans="1:4" ht="12.5" x14ac:dyDescent="0.25">
      <c r="A782" s="17"/>
      <c r="B782" s="17"/>
      <c r="C782" s="17"/>
      <c r="D782" s="17"/>
    </row>
    <row r="783" spans="1:4" ht="12.5" x14ac:dyDescent="0.25">
      <c r="A783" s="17"/>
      <c r="B783" s="17"/>
      <c r="C783" s="17"/>
      <c r="D783" s="17"/>
    </row>
    <row r="784" spans="1:4" ht="12.5" x14ac:dyDescent="0.25">
      <c r="A784" s="17"/>
      <c r="B784" s="17"/>
      <c r="C784" s="17"/>
      <c r="D784" s="17"/>
    </row>
    <row r="785" spans="1:4" ht="12.5" x14ac:dyDescent="0.25">
      <c r="A785" s="17"/>
      <c r="B785" s="17"/>
      <c r="C785" s="17"/>
      <c r="D785" s="17"/>
    </row>
    <row r="786" spans="1:4" ht="12.5" x14ac:dyDescent="0.25">
      <c r="A786" s="17"/>
      <c r="B786" s="17"/>
      <c r="C786" s="17"/>
      <c r="D786" s="17"/>
    </row>
    <row r="787" spans="1:4" ht="12.5" x14ac:dyDescent="0.25">
      <c r="A787" s="17"/>
      <c r="B787" s="17"/>
      <c r="C787" s="17"/>
      <c r="D787" s="17"/>
    </row>
    <row r="788" spans="1:4" ht="12.5" x14ac:dyDescent="0.25">
      <c r="A788" s="17"/>
      <c r="B788" s="17"/>
      <c r="C788" s="17"/>
      <c r="D788" s="17"/>
    </row>
    <row r="789" spans="1:4" ht="12.5" x14ac:dyDescent="0.25">
      <c r="A789" s="17"/>
      <c r="B789" s="17"/>
      <c r="C789" s="17"/>
      <c r="D789" s="17"/>
    </row>
    <row r="790" spans="1:4" ht="12.5" x14ac:dyDescent="0.25">
      <c r="A790" s="17"/>
      <c r="B790" s="17"/>
      <c r="C790" s="17"/>
      <c r="D790" s="17"/>
    </row>
    <row r="791" spans="1:4" ht="12.5" x14ac:dyDescent="0.25">
      <c r="A791" s="17"/>
      <c r="B791" s="17"/>
      <c r="C791" s="17"/>
      <c r="D791" s="17"/>
    </row>
    <row r="792" spans="1:4" ht="12.5" x14ac:dyDescent="0.25">
      <c r="A792" s="17"/>
      <c r="B792" s="17"/>
      <c r="C792" s="17"/>
      <c r="D792" s="17"/>
    </row>
    <row r="793" spans="1:4" ht="12.5" x14ac:dyDescent="0.25">
      <c r="A793" s="17"/>
      <c r="B793" s="17"/>
      <c r="C793" s="17"/>
      <c r="D793" s="17"/>
    </row>
    <row r="794" spans="1:4" ht="12.5" x14ac:dyDescent="0.25">
      <c r="A794" s="17"/>
      <c r="B794" s="17"/>
      <c r="C794" s="17"/>
      <c r="D794" s="17"/>
    </row>
    <row r="795" spans="1:4" ht="12.5" x14ac:dyDescent="0.25">
      <c r="A795" s="17"/>
      <c r="B795" s="17"/>
      <c r="C795" s="17"/>
      <c r="D795" s="17"/>
    </row>
    <row r="796" spans="1:4" ht="12.5" x14ac:dyDescent="0.25">
      <c r="A796" s="17"/>
      <c r="B796" s="17"/>
      <c r="C796" s="17"/>
      <c r="D796" s="17"/>
    </row>
    <row r="797" spans="1:4" ht="12.5" x14ac:dyDescent="0.25">
      <c r="A797" s="17"/>
      <c r="B797" s="17"/>
      <c r="C797" s="17"/>
      <c r="D797" s="17"/>
    </row>
    <row r="798" spans="1:4" ht="12.5" x14ac:dyDescent="0.25">
      <c r="A798" s="17"/>
      <c r="B798" s="17"/>
      <c r="C798" s="17"/>
      <c r="D798" s="17"/>
    </row>
    <row r="799" spans="1:4" ht="12.5" x14ac:dyDescent="0.25">
      <c r="A799" s="17"/>
      <c r="B799" s="17"/>
      <c r="C799" s="17"/>
      <c r="D799" s="17"/>
    </row>
    <row r="800" spans="1:4" ht="12.5" x14ac:dyDescent="0.25">
      <c r="A800" s="17"/>
      <c r="B800" s="17"/>
      <c r="C800" s="17"/>
      <c r="D800" s="17"/>
    </row>
    <row r="801" spans="1:4" ht="12.5" x14ac:dyDescent="0.25">
      <c r="A801" s="17"/>
      <c r="B801" s="17"/>
      <c r="C801" s="17"/>
      <c r="D801" s="17"/>
    </row>
    <row r="802" spans="1:4" ht="12.5" x14ac:dyDescent="0.25">
      <c r="A802" s="17"/>
      <c r="B802" s="17"/>
      <c r="C802" s="17"/>
      <c r="D802" s="17"/>
    </row>
    <row r="803" spans="1:4" ht="12.5" x14ac:dyDescent="0.25">
      <c r="A803" s="17"/>
      <c r="B803" s="17"/>
      <c r="C803" s="17"/>
      <c r="D803" s="17"/>
    </row>
    <row r="804" spans="1:4" ht="12.5" x14ac:dyDescent="0.25">
      <c r="A804" s="17"/>
      <c r="B804" s="17"/>
      <c r="C804" s="17"/>
      <c r="D804" s="17"/>
    </row>
    <row r="805" spans="1:4" ht="12.5" x14ac:dyDescent="0.25">
      <c r="A805" s="17"/>
      <c r="B805" s="17"/>
      <c r="C805" s="17"/>
      <c r="D805" s="17"/>
    </row>
    <row r="806" spans="1:4" ht="12.5" x14ac:dyDescent="0.25">
      <c r="A806" s="17"/>
      <c r="B806" s="17"/>
      <c r="C806" s="17"/>
      <c r="D806" s="17"/>
    </row>
    <row r="807" spans="1:4" ht="12.5" x14ac:dyDescent="0.25">
      <c r="A807" s="17"/>
      <c r="B807" s="17"/>
      <c r="C807" s="17"/>
      <c r="D807" s="17"/>
    </row>
    <row r="808" spans="1:4" ht="12.5" x14ac:dyDescent="0.25">
      <c r="A808" s="17"/>
      <c r="B808" s="17"/>
      <c r="C808" s="17"/>
      <c r="D808" s="17"/>
    </row>
    <row r="809" spans="1:4" ht="12.5" x14ac:dyDescent="0.25">
      <c r="A809" s="17"/>
      <c r="B809" s="17"/>
      <c r="C809" s="17"/>
      <c r="D809" s="17"/>
    </row>
    <row r="810" spans="1:4" ht="12.5" x14ac:dyDescent="0.25">
      <c r="A810" s="17"/>
      <c r="B810" s="17"/>
      <c r="C810" s="17"/>
      <c r="D810" s="17"/>
    </row>
    <row r="811" spans="1:4" ht="12.5" x14ac:dyDescent="0.25">
      <c r="A811" s="17"/>
      <c r="B811" s="17"/>
      <c r="C811" s="17"/>
      <c r="D811" s="17"/>
    </row>
    <row r="812" spans="1:4" ht="12.5" x14ac:dyDescent="0.25">
      <c r="A812" s="17"/>
      <c r="B812" s="17"/>
      <c r="C812" s="17"/>
      <c r="D812" s="17"/>
    </row>
    <row r="813" spans="1:4" ht="12.5" x14ac:dyDescent="0.25">
      <c r="A813" s="17"/>
      <c r="B813" s="17"/>
      <c r="C813" s="17"/>
      <c r="D813" s="17"/>
    </row>
    <row r="814" spans="1:4" ht="12.5" x14ac:dyDescent="0.25">
      <c r="A814" s="17"/>
      <c r="B814" s="17"/>
      <c r="C814" s="17"/>
      <c r="D814" s="17"/>
    </row>
    <row r="815" spans="1:4" ht="12.5" x14ac:dyDescent="0.25">
      <c r="A815" s="17"/>
      <c r="B815" s="17"/>
      <c r="C815" s="17"/>
      <c r="D815" s="17"/>
    </row>
    <row r="816" spans="1:4" ht="12.5" x14ac:dyDescent="0.25">
      <c r="A816" s="17"/>
      <c r="B816" s="17"/>
      <c r="C816" s="17"/>
      <c r="D816" s="17"/>
    </row>
    <row r="817" spans="1:4" ht="12.5" x14ac:dyDescent="0.25">
      <c r="A817" s="17"/>
      <c r="B817" s="17"/>
      <c r="C817" s="17"/>
      <c r="D817" s="17"/>
    </row>
    <row r="818" spans="1:4" ht="12.5" x14ac:dyDescent="0.25">
      <c r="A818" s="17"/>
      <c r="B818" s="17"/>
      <c r="C818" s="17"/>
      <c r="D818" s="17"/>
    </row>
    <row r="819" spans="1:4" ht="12.5" x14ac:dyDescent="0.25">
      <c r="A819" s="17"/>
      <c r="B819" s="17"/>
      <c r="C819" s="17"/>
      <c r="D819" s="17"/>
    </row>
    <row r="820" spans="1:4" ht="12.5" x14ac:dyDescent="0.25">
      <c r="A820" s="17"/>
      <c r="B820" s="17"/>
      <c r="C820" s="17"/>
      <c r="D820" s="17"/>
    </row>
    <row r="821" spans="1:4" ht="12.5" x14ac:dyDescent="0.25">
      <c r="A821" s="17"/>
      <c r="B821" s="17"/>
      <c r="C821" s="17"/>
      <c r="D821" s="17"/>
    </row>
    <row r="822" spans="1:4" ht="12.5" x14ac:dyDescent="0.25">
      <c r="A822" s="17"/>
      <c r="B822" s="17"/>
      <c r="C822" s="17"/>
      <c r="D822" s="17"/>
    </row>
    <row r="823" spans="1:4" ht="12.5" x14ac:dyDescent="0.25">
      <c r="A823" s="17"/>
      <c r="B823" s="17"/>
      <c r="C823" s="17"/>
      <c r="D823" s="17"/>
    </row>
    <row r="824" spans="1:4" ht="12.5" x14ac:dyDescent="0.25">
      <c r="A824" s="17"/>
      <c r="B824" s="17"/>
      <c r="C824" s="17"/>
      <c r="D824" s="17"/>
    </row>
    <row r="825" spans="1:4" ht="12.5" x14ac:dyDescent="0.25">
      <c r="A825" s="17"/>
      <c r="B825" s="17"/>
      <c r="C825" s="17"/>
      <c r="D825" s="17"/>
    </row>
    <row r="826" spans="1:4" ht="12.5" x14ac:dyDescent="0.25">
      <c r="A826" s="17"/>
      <c r="B826" s="17"/>
      <c r="C826" s="17"/>
      <c r="D826" s="17"/>
    </row>
    <row r="827" spans="1:4" ht="12.5" x14ac:dyDescent="0.25">
      <c r="A827" s="17"/>
      <c r="B827" s="17"/>
      <c r="C827" s="17"/>
      <c r="D827" s="17"/>
    </row>
    <row r="828" spans="1:4" ht="12.5" x14ac:dyDescent="0.25">
      <c r="A828" s="17"/>
      <c r="B828" s="17"/>
      <c r="C828" s="17"/>
      <c r="D828" s="17"/>
    </row>
    <row r="829" spans="1:4" ht="12.5" x14ac:dyDescent="0.25">
      <c r="A829" s="17"/>
      <c r="B829" s="17"/>
      <c r="C829" s="17"/>
      <c r="D829" s="17"/>
    </row>
    <row r="830" spans="1:4" ht="12.5" x14ac:dyDescent="0.25">
      <c r="A830" s="17"/>
      <c r="B830" s="17"/>
      <c r="C830" s="17"/>
      <c r="D830" s="17"/>
    </row>
    <row r="831" spans="1:4" ht="12.5" x14ac:dyDescent="0.25">
      <c r="A831" s="17"/>
      <c r="B831" s="17"/>
      <c r="C831" s="17"/>
      <c r="D831" s="17"/>
    </row>
    <row r="832" spans="1:4" ht="12.5" x14ac:dyDescent="0.25">
      <c r="A832" s="17"/>
      <c r="B832" s="17"/>
      <c r="C832" s="17"/>
      <c r="D832" s="17"/>
    </row>
    <row r="833" spans="1:4" ht="12.5" x14ac:dyDescent="0.25">
      <c r="A833" s="17"/>
      <c r="B833" s="17"/>
      <c r="C833" s="17"/>
      <c r="D833" s="17"/>
    </row>
    <row r="834" spans="1:4" ht="12.5" x14ac:dyDescent="0.25">
      <c r="A834" s="17"/>
      <c r="B834" s="17"/>
      <c r="C834" s="17"/>
      <c r="D834" s="17"/>
    </row>
    <row r="835" spans="1:4" ht="12.5" x14ac:dyDescent="0.25">
      <c r="A835" s="17"/>
      <c r="B835" s="17"/>
      <c r="C835" s="17"/>
      <c r="D835" s="17"/>
    </row>
    <row r="836" spans="1:4" ht="12.5" x14ac:dyDescent="0.25">
      <c r="A836" s="17"/>
      <c r="B836" s="17"/>
      <c r="C836" s="17"/>
      <c r="D836" s="17"/>
    </row>
    <row r="837" spans="1:4" ht="12.5" x14ac:dyDescent="0.25">
      <c r="A837" s="17"/>
      <c r="B837" s="17"/>
      <c r="C837" s="17"/>
      <c r="D837" s="17"/>
    </row>
    <row r="838" spans="1:4" ht="12.5" x14ac:dyDescent="0.25">
      <c r="A838" s="17"/>
      <c r="B838" s="17"/>
      <c r="C838" s="17"/>
      <c r="D838" s="17"/>
    </row>
    <row r="839" spans="1:4" ht="12.5" x14ac:dyDescent="0.25">
      <c r="A839" s="17"/>
      <c r="B839" s="17"/>
      <c r="C839" s="17"/>
      <c r="D839" s="17"/>
    </row>
    <row r="840" spans="1:4" ht="12.5" x14ac:dyDescent="0.25">
      <c r="A840" s="17"/>
      <c r="B840" s="17"/>
      <c r="C840" s="17"/>
      <c r="D840" s="17"/>
    </row>
    <row r="841" spans="1:4" ht="12.5" x14ac:dyDescent="0.25">
      <c r="A841" s="17"/>
      <c r="B841" s="17"/>
      <c r="C841" s="17"/>
      <c r="D841" s="17"/>
    </row>
    <row r="842" spans="1:4" ht="12.5" x14ac:dyDescent="0.25">
      <c r="A842" s="17"/>
      <c r="B842" s="17"/>
      <c r="C842" s="17"/>
      <c r="D842" s="17"/>
    </row>
    <row r="843" spans="1:4" ht="12.5" x14ac:dyDescent="0.25">
      <c r="A843" s="17"/>
      <c r="B843" s="17"/>
      <c r="C843" s="17"/>
      <c r="D843" s="17"/>
    </row>
    <row r="844" spans="1:4" ht="12.5" x14ac:dyDescent="0.25">
      <c r="A844" s="17"/>
      <c r="B844" s="17"/>
      <c r="C844" s="17"/>
      <c r="D844" s="17"/>
    </row>
    <row r="845" spans="1:4" ht="12.5" x14ac:dyDescent="0.25">
      <c r="A845" s="17"/>
      <c r="B845" s="17"/>
      <c r="C845" s="17"/>
      <c r="D845" s="17"/>
    </row>
    <row r="846" spans="1:4" ht="12.5" x14ac:dyDescent="0.25">
      <c r="A846" s="17"/>
      <c r="B846" s="17"/>
      <c r="C846" s="17"/>
      <c r="D846" s="17"/>
    </row>
    <row r="847" spans="1:4" ht="12.5" x14ac:dyDescent="0.25">
      <c r="A847" s="17"/>
      <c r="B847" s="17"/>
      <c r="C847" s="17"/>
      <c r="D847" s="17"/>
    </row>
    <row r="848" spans="1:4" ht="12.5" x14ac:dyDescent="0.25">
      <c r="A848" s="17"/>
      <c r="B848" s="17"/>
      <c r="C848" s="17"/>
      <c r="D848" s="17"/>
    </row>
    <row r="849" spans="1:4" ht="12.5" x14ac:dyDescent="0.25">
      <c r="A849" s="17"/>
      <c r="B849" s="17"/>
      <c r="C849" s="17"/>
      <c r="D849" s="17"/>
    </row>
    <row r="850" spans="1:4" ht="12.5" x14ac:dyDescent="0.25">
      <c r="A850" s="17"/>
      <c r="B850" s="17"/>
      <c r="C850" s="17"/>
      <c r="D850" s="17"/>
    </row>
    <row r="851" spans="1:4" ht="12.5" x14ac:dyDescent="0.25">
      <c r="A851" s="17"/>
      <c r="B851" s="17"/>
      <c r="C851" s="17"/>
      <c r="D851" s="17"/>
    </row>
    <row r="852" spans="1:4" ht="12.5" x14ac:dyDescent="0.25">
      <c r="A852" s="17"/>
      <c r="B852" s="17"/>
      <c r="C852" s="17"/>
      <c r="D852" s="17"/>
    </row>
    <row r="853" spans="1:4" ht="12.5" x14ac:dyDescent="0.25">
      <c r="A853" s="17"/>
      <c r="B853" s="17"/>
      <c r="C853" s="17"/>
      <c r="D853" s="17"/>
    </row>
    <row r="854" spans="1:4" ht="12.5" x14ac:dyDescent="0.25">
      <c r="A854" s="17"/>
      <c r="B854" s="17"/>
      <c r="C854" s="17"/>
      <c r="D854" s="17"/>
    </row>
    <row r="855" spans="1:4" ht="12.5" x14ac:dyDescent="0.25">
      <c r="A855" s="17"/>
      <c r="B855" s="17"/>
      <c r="C855" s="17"/>
      <c r="D855" s="17"/>
    </row>
    <row r="856" spans="1:4" ht="12.5" x14ac:dyDescent="0.25">
      <c r="A856" s="17"/>
      <c r="B856" s="17"/>
      <c r="C856" s="17"/>
      <c r="D856" s="17"/>
    </row>
    <row r="857" spans="1:4" ht="12.5" x14ac:dyDescent="0.25">
      <c r="A857" s="17"/>
      <c r="B857" s="17"/>
      <c r="C857" s="17"/>
      <c r="D857" s="17"/>
    </row>
    <row r="858" spans="1:4" ht="12.5" x14ac:dyDescent="0.25">
      <c r="A858" s="17"/>
      <c r="B858" s="17"/>
      <c r="C858" s="17"/>
      <c r="D858" s="17"/>
    </row>
    <row r="859" spans="1:4" ht="12.5" x14ac:dyDescent="0.25">
      <c r="A859" s="17"/>
      <c r="B859" s="17"/>
      <c r="C859" s="17"/>
      <c r="D859" s="17"/>
    </row>
    <row r="860" spans="1:4" ht="12.5" x14ac:dyDescent="0.25">
      <c r="A860" s="17"/>
      <c r="B860" s="17"/>
      <c r="C860" s="17"/>
      <c r="D860" s="17"/>
    </row>
    <row r="861" spans="1:4" ht="12.5" x14ac:dyDescent="0.25">
      <c r="A861" s="17"/>
      <c r="B861" s="17"/>
      <c r="C861" s="17"/>
      <c r="D861" s="17"/>
    </row>
    <row r="862" spans="1:4" ht="12.5" x14ac:dyDescent="0.25">
      <c r="A862" s="17"/>
      <c r="B862" s="17"/>
      <c r="C862" s="17"/>
      <c r="D862" s="17"/>
    </row>
    <row r="863" spans="1:4" ht="12.5" x14ac:dyDescent="0.25">
      <c r="A863" s="17"/>
      <c r="B863" s="17"/>
      <c r="C863" s="17"/>
      <c r="D863" s="17"/>
    </row>
    <row r="864" spans="1:4" ht="12.5" x14ac:dyDescent="0.25">
      <c r="A864" s="17"/>
      <c r="B864" s="17"/>
      <c r="C864" s="17"/>
      <c r="D864" s="17"/>
    </row>
    <row r="865" spans="1:4" ht="12.5" x14ac:dyDescent="0.25">
      <c r="A865" s="17"/>
      <c r="B865" s="17"/>
      <c r="C865" s="17"/>
      <c r="D865" s="17"/>
    </row>
    <row r="866" spans="1:4" ht="12.5" x14ac:dyDescent="0.25">
      <c r="A866" s="17"/>
      <c r="B866" s="17"/>
      <c r="C866" s="17"/>
      <c r="D866" s="17"/>
    </row>
    <row r="867" spans="1:4" ht="12.5" x14ac:dyDescent="0.25">
      <c r="A867" s="17"/>
      <c r="B867" s="17"/>
      <c r="C867" s="17"/>
      <c r="D867" s="17"/>
    </row>
    <row r="868" spans="1:4" ht="12.5" x14ac:dyDescent="0.25">
      <c r="A868" s="17"/>
      <c r="B868" s="17"/>
      <c r="C868" s="17"/>
      <c r="D868" s="17"/>
    </row>
    <row r="869" spans="1:4" ht="12.5" x14ac:dyDescent="0.25">
      <c r="A869" s="17"/>
      <c r="B869" s="17"/>
      <c r="C869" s="17"/>
      <c r="D869" s="17"/>
    </row>
    <row r="870" spans="1:4" ht="12.5" x14ac:dyDescent="0.25">
      <c r="A870" s="17"/>
      <c r="B870" s="17"/>
      <c r="C870" s="17"/>
      <c r="D870" s="17"/>
    </row>
    <row r="871" spans="1:4" ht="12.5" x14ac:dyDescent="0.25">
      <c r="A871" s="17"/>
      <c r="B871" s="17"/>
      <c r="C871" s="17"/>
      <c r="D871" s="17"/>
    </row>
    <row r="872" spans="1:4" ht="12.5" x14ac:dyDescent="0.25">
      <c r="A872" s="17"/>
      <c r="B872" s="17"/>
      <c r="C872" s="17"/>
      <c r="D872" s="17"/>
    </row>
    <row r="873" spans="1:4" ht="12.5" x14ac:dyDescent="0.25">
      <c r="A873" s="17"/>
      <c r="B873" s="17"/>
      <c r="C873" s="17"/>
      <c r="D873" s="17"/>
    </row>
    <row r="874" spans="1:4" ht="12.5" x14ac:dyDescent="0.25">
      <c r="A874" s="17"/>
      <c r="B874" s="17"/>
      <c r="C874" s="17"/>
      <c r="D874" s="17"/>
    </row>
    <row r="875" spans="1:4" ht="12.5" x14ac:dyDescent="0.25">
      <c r="A875" s="17"/>
      <c r="B875" s="17"/>
      <c r="C875" s="17"/>
      <c r="D875" s="17"/>
    </row>
    <row r="876" spans="1:4" ht="12.5" x14ac:dyDescent="0.25">
      <c r="A876" s="17"/>
      <c r="B876" s="17"/>
      <c r="C876" s="17"/>
      <c r="D876" s="17"/>
    </row>
    <row r="877" spans="1:4" ht="12.5" x14ac:dyDescent="0.25">
      <c r="A877" s="17"/>
      <c r="B877" s="17"/>
      <c r="C877" s="17"/>
      <c r="D877" s="17"/>
    </row>
    <row r="878" spans="1:4" ht="12.5" x14ac:dyDescent="0.25">
      <c r="A878" s="17"/>
      <c r="B878" s="17"/>
      <c r="C878" s="17"/>
      <c r="D878" s="17"/>
    </row>
    <row r="879" spans="1:4" ht="12.5" x14ac:dyDescent="0.25">
      <c r="A879" s="17"/>
      <c r="B879" s="17"/>
      <c r="C879" s="17"/>
      <c r="D879" s="17"/>
    </row>
    <row r="880" spans="1:4" ht="12.5" x14ac:dyDescent="0.25">
      <c r="A880" s="17"/>
      <c r="B880" s="17"/>
      <c r="C880" s="17"/>
      <c r="D880" s="17"/>
    </row>
    <row r="881" spans="1:4" ht="12.5" x14ac:dyDescent="0.25">
      <c r="A881" s="17"/>
      <c r="B881" s="17"/>
      <c r="C881" s="17"/>
      <c r="D881" s="17"/>
    </row>
    <row r="882" spans="1:4" ht="12.5" x14ac:dyDescent="0.25">
      <c r="A882" s="17"/>
      <c r="B882" s="17"/>
      <c r="C882" s="17"/>
      <c r="D882" s="17"/>
    </row>
    <row r="883" spans="1:4" ht="12.5" x14ac:dyDescent="0.25">
      <c r="A883" s="17"/>
      <c r="B883" s="17"/>
      <c r="C883" s="17"/>
      <c r="D883" s="17"/>
    </row>
    <row r="884" spans="1:4" ht="12.5" x14ac:dyDescent="0.25">
      <c r="A884" s="17"/>
      <c r="B884" s="17"/>
      <c r="C884" s="17"/>
      <c r="D884" s="17"/>
    </row>
    <row r="885" spans="1:4" ht="12.5" x14ac:dyDescent="0.25">
      <c r="A885" s="17"/>
      <c r="B885" s="17"/>
      <c r="C885" s="17"/>
      <c r="D885" s="17"/>
    </row>
    <row r="886" spans="1:4" ht="12.5" x14ac:dyDescent="0.25">
      <c r="A886" s="17"/>
      <c r="B886" s="17"/>
      <c r="C886" s="17"/>
      <c r="D886" s="17"/>
    </row>
    <row r="887" spans="1:4" ht="12.5" x14ac:dyDescent="0.25">
      <c r="A887" s="17"/>
      <c r="B887" s="17"/>
      <c r="C887" s="17"/>
      <c r="D887" s="17"/>
    </row>
    <row r="888" spans="1:4" ht="12.5" x14ac:dyDescent="0.25">
      <c r="A888" s="17"/>
      <c r="B888" s="17"/>
      <c r="C888" s="17"/>
      <c r="D888" s="17"/>
    </row>
    <row r="889" spans="1:4" ht="12.5" x14ac:dyDescent="0.25">
      <c r="A889" s="17"/>
      <c r="B889" s="17"/>
      <c r="C889" s="17"/>
      <c r="D889" s="17"/>
    </row>
    <row r="890" spans="1:4" ht="12.5" x14ac:dyDescent="0.25">
      <c r="A890" s="17"/>
      <c r="B890" s="17"/>
      <c r="C890" s="17"/>
      <c r="D890" s="17"/>
    </row>
    <row r="891" spans="1:4" ht="12.5" x14ac:dyDescent="0.25">
      <c r="A891" s="17"/>
      <c r="B891" s="17"/>
      <c r="C891" s="17"/>
      <c r="D891" s="17"/>
    </row>
    <row r="892" spans="1:4" ht="12.5" x14ac:dyDescent="0.25">
      <c r="A892" s="17"/>
      <c r="B892" s="17"/>
      <c r="C892" s="17"/>
      <c r="D892" s="17"/>
    </row>
    <row r="893" spans="1:4" ht="12.5" x14ac:dyDescent="0.25">
      <c r="A893" s="17"/>
      <c r="B893" s="17"/>
      <c r="C893" s="17"/>
      <c r="D893" s="17"/>
    </row>
    <row r="894" spans="1:4" ht="12.5" x14ac:dyDescent="0.25">
      <c r="A894" s="17"/>
      <c r="B894" s="17"/>
      <c r="C894" s="17"/>
      <c r="D894" s="17"/>
    </row>
    <row r="895" spans="1:4" ht="12.5" x14ac:dyDescent="0.25">
      <c r="A895" s="17"/>
      <c r="B895" s="17"/>
      <c r="C895" s="17"/>
      <c r="D895" s="17"/>
    </row>
    <row r="896" spans="1:4" ht="12.5" x14ac:dyDescent="0.25">
      <c r="A896" s="17"/>
      <c r="B896" s="17"/>
      <c r="C896" s="17"/>
      <c r="D896" s="17"/>
    </row>
    <row r="897" spans="1:4" ht="12.5" x14ac:dyDescent="0.25">
      <c r="A897" s="17"/>
      <c r="B897" s="17"/>
      <c r="C897" s="17"/>
      <c r="D897" s="17"/>
    </row>
    <row r="898" spans="1:4" ht="12.5" x14ac:dyDescent="0.25">
      <c r="A898" s="17"/>
      <c r="B898" s="17"/>
      <c r="C898" s="17"/>
      <c r="D898" s="17"/>
    </row>
    <row r="899" spans="1:4" ht="12.5" x14ac:dyDescent="0.25">
      <c r="A899" s="17"/>
      <c r="B899" s="17"/>
      <c r="C899" s="17"/>
      <c r="D899" s="17"/>
    </row>
    <row r="900" spans="1:4" ht="12.5" x14ac:dyDescent="0.25">
      <c r="A900" s="17"/>
      <c r="B900" s="17"/>
      <c r="C900" s="17"/>
      <c r="D900" s="17"/>
    </row>
    <row r="901" spans="1:4" ht="12.5" x14ac:dyDescent="0.25">
      <c r="A901" s="17"/>
      <c r="B901" s="17"/>
      <c r="C901" s="17"/>
      <c r="D901" s="17"/>
    </row>
    <row r="902" spans="1:4" ht="12.5" x14ac:dyDescent="0.25">
      <c r="A902" s="17"/>
      <c r="B902" s="17"/>
      <c r="C902" s="17"/>
      <c r="D902" s="17"/>
    </row>
    <row r="903" spans="1:4" ht="12.5" x14ac:dyDescent="0.25">
      <c r="A903" s="17"/>
      <c r="B903" s="17"/>
      <c r="C903" s="17"/>
      <c r="D903" s="17"/>
    </row>
    <row r="904" spans="1:4" ht="12.5" x14ac:dyDescent="0.25">
      <c r="A904" s="17"/>
      <c r="B904" s="17"/>
      <c r="C904" s="17"/>
      <c r="D904" s="17"/>
    </row>
    <row r="905" spans="1:4" ht="12.5" x14ac:dyDescent="0.25">
      <c r="A905" s="17"/>
      <c r="B905" s="17"/>
      <c r="C905" s="17"/>
      <c r="D905" s="17"/>
    </row>
    <row r="906" spans="1:4" ht="12.5" x14ac:dyDescent="0.25">
      <c r="A906" s="17"/>
      <c r="B906" s="17"/>
      <c r="C906" s="17"/>
      <c r="D906" s="17"/>
    </row>
    <row r="907" spans="1:4" ht="12.5" x14ac:dyDescent="0.25">
      <c r="A907" s="17"/>
      <c r="B907" s="17"/>
      <c r="C907" s="17"/>
      <c r="D907" s="17"/>
    </row>
    <row r="908" spans="1:4" ht="12.5" x14ac:dyDescent="0.25">
      <c r="A908" s="17"/>
      <c r="B908" s="17"/>
      <c r="C908" s="17"/>
      <c r="D908" s="17"/>
    </row>
    <row r="909" spans="1:4" ht="12.5" x14ac:dyDescent="0.25">
      <c r="A909" s="17"/>
      <c r="B909" s="17"/>
      <c r="C909" s="17"/>
      <c r="D909" s="17"/>
    </row>
    <row r="910" spans="1:4" ht="12.5" x14ac:dyDescent="0.25">
      <c r="A910" s="17"/>
      <c r="B910" s="17"/>
      <c r="C910" s="17"/>
      <c r="D910" s="17"/>
    </row>
    <row r="911" spans="1:4" ht="12.5" x14ac:dyDescent="0.25">
      <c r="A911" s="17"/>
      <c r="B911" s="17"/>
      <c r="C911" s="17"/>
      <c r="D911" s="17"/>
    </row>
    <row r="912" spans="1:4" ht="12.5" x14ac:dyDescent="0.25">
      <c r="A912" s="17"/>
      <c r="B912" s="17"/>
      <c r="C912" s="17"/>
      <c r="D912" s="17"/>
    </row>
    <row r="913" spans="1:4" ht="12.5" x14ac:dyDescent="0.25">
      <c r="A913" s="17"/>
      <c r="B913" s="17"/>
      <c r="C913" s="17"/>
      <c r="D913" s="17"/>
    </row>
    <row r="914" spans="1:4" ht="12.5" x14ac:dyDescent="0.25">
      <c r="A914" s="17"/>
      <c r="B914" s="17"/>
      <c r="C914" s="17"/>
      <c r="D914" s="17"/>
    </row>
    <row r="915" spans="1:4" ht="12.5" x14ac:dyDescent="0.25">
      <c r="A915" s="17"/>
      <c r="B915" s="17"/>
      <c r="C915" s="17"/>
      <c r="D915" s="17"/>
    </row>
    <row r="916" spans="1:4" ht="12.5" x14ac:dyDescent="0.25">
      <c r="A916" s="17"/>
      <c r="B916" s="17"/>
      <c r="C916" s="17"/>
      <c r="D916" s="17"/>
    </row>
    <row r="917" spans="1:4" ht="12.5" x14ac:dyDescent="0.25">
      <c r="A917" s="17"/>
      <c r="B917" s="17"/>
      <c r="C917" s="17"/>
      <c r="D917" s="17"/>
    </row>
    <row r="918" spans="1:4" ht="12.5" x14ac:dyDescent="0.25">
      <c r="A918" s="17"/>
      <c r="B918" s="17"/>
      <c r="C918" s="17"/>
      <c r="D918" s="17"/>
    </row>
    <row r="919" spans="1:4" ht="12.5" x14ac:dyDescent="0.25">
      <c r="A919" s="17"/>
      <c r="B919" s="17"/>
      <c r="C919" s="17"/>
      <c r="D919" s="17"/>
    </row>
    <row r="920" spans="1:4" ht="12.5" x14ac:dyDescent="0.25">
      <c r="A920" s="17"/>
      <c r="B920" s="17"/>
      <c r="C920" s="17"/>
      <c r="D920" s="17"/>
    </row>
    <row r="921" spans="1:4" ht="12.5" x14ac:dyDescent="0.25">
      <c r="A921" s="17"/>
      <c r="B921" s="17"/>
      <c r="C921" s="17"/>
      <c r="D921" s="17"/>
    </row>
    <row r="922" spans="1:4" ht="12.5" x14ac:dyDescent="0.25">
      <c r="A922" s="17"/>
      <c r="B922" s="17"/>
      <c r="C922" s="17"/>
      <c r="D922" s="17"/>
    </row>
    <row r="923" spans="1:4" ht="12.5" x14ac:dyDescent="0.25">
      <c r="A923" s="17"/>
      <c r="B923" s="17"/>
      <c r="C923" s="17"/>
      <c r="D923" s="17"/>
    </row>
    <row r="924" spans="1:4" ht="12.5" x14ac:dyDescent="0.25">
      <c r="A924" s="17"/>
      <c r="B924" s="17"/>
      <c r="C924" s="17"/>
      <c r="D924" s="17"/>
    </row>
    <row r="925" spans="1:4" ht="12.5" x14ac:dyDescent="0.25">
      <c r="A925" s="17"/>
      <c r="B925" s="17"/>
      <c r="C925" s="17"/>
      <c r="D925" s="17"/>
    </row>
    <row r="926" spans="1:4" ht="12.5" x14ac:dyDescent="0.25">
      <c r="A926" s="17"/>
      <c r="B926" s="17"/>
      <c r="C926" s="17"/>
      <c r="D926" s="17"/>
    </row>
    <row r="927" spans="1:4" ht="12.5" x14ac:dyDescent="0.25">
      <c r="A927" s="17"/>
      <c r="B927" s="17"/>
      <c r="C927" s="17"/>
      <c r="D927" s="17"/>
    </row>
    <row r="928" spans="1:4" ht="12.5" x14ac:dyDescent="0.25">
      <c r="A928" s="17"/>
      <c r="B928" s="17"/>
      <c r="C928" s="17"/>
      <c r="D928" s="17"/>
    </row>
    <row r="929" spans="1:4" ht="12.5" x14ac:dyDescent="0.25">
      <c r="A929" s="17"/>
      <c r="B929" s="17"/>
      <c r="C929" s="17"/>
      <c r="D929" s="17"/>
    </row>
    <row r="930" spans="1:4" ht="12.5" x14ac:dyDescent="0.25">
      <c r="A930" s="17"/>
      <c r="B930" s="17"/>
      <c r="C930" s="17"/>
      <c r="D930" s="17"/>
    </row>
    <row r="931" spans="1:4" ht="12.5" x14ac:dyDescent="0.25">
      <c r="A931" s="17"/>
      <c r="B931" s="17"/>
      <c r="C931" s="17"/>
      <c r="D931" s="17"/>
    </row>
    <row r="932" spans="1:4" ht="12.5" x14ac:dyDescent="0.25">
      <c r="A932" s="17"/>
      <c r="B932" s="17"/>
      <c r="C932" s="17"/>
      <c r="D932" s="17"/>
    </row>
    <row r="933" spans="1:4" ht="12.5" x14ac:dyDescent="0.25">
      <c r="A933" s="17"/>
      <c r="B933" s="17"/>
      <c r="C933" s="17"/>
      <c r="D933" s="17"/>
    </row>
    <row r="934" spans="1:4" ht="12.5" x14ac:dyDescent="0.25">
      <c r="A934" s="17"/>
      <c r="B934" s="17"/>
      <c r="C934" s="17"/>
      <c r="D934" s="17"/>
    </row>
    <row r="935" spans="1:4" ht="12.5" x14ac:dyDescent="0.25">
      <c r="A935" s="17"/>
      <c r="B935" s="17"/>
      <c r="C935" s="17"/>
      <c r="D935" s="17"/>
    </row>
    <row r="936" spans="1:4" ht="12.5" x14ac:dyDescent="0.25">
      <c r="A936" s="17"/>
      <c r="B936" s="17"/>
      <c r="C936" s="17"/>
      <c r="D936" s="17"/>
    </row>
    <row r="937" spans="1:4" ht="12.5" x14ac:dyDescent="0.25">
      <c r="A937" s="17"/>
      <c r="B937" s="17"/>
      <c r="C937" s="17"/>
      <c r="D937" s="17"/>
    </row>
    <row r="938" spans="1:4" ht="12.5" x14ac:dyDescent="0.25">
      <c r="A938" s="17"/>
      <c r="B938" s="17"/>
      <c r="C938" s="17"/>
      <c r="D938" s="17"/>
    </row>
    <row r="939" spans="1:4" ht="12.5" x14ac:dyDescent="0.25">
      <c r="A939" s="17"/>
      <c r="B939" s="17"/>
      <c r="C939" s="17"/>
      <c r="D939" s="17"/>
    </row>
    <row r="940" spans="1:4" ht="12.5" x14ac:dyDescent="0.25">
      <c r="A940" s="17"/>
      <c r="B940" s="17"/>
      <c r="C940" s="17"/>
      <c r="D940" s="17"/>
    </row>
    <row r="941" spans="1:4" ht="12.5" x14ac:dyDescent="0.25">
      <c r="A941" s="17"/>
      <c r="B941" s="17"/>
      <c r="C941" s="17"/>
      <c r="D941" s="17"/>
    </row>
    <row r="942" spans="1:4" ht="12.5" x14ac:dyDescent="0.25">
      <c r="A942" s="17"/>
      <c r="B942" s="17"/>
      <c r="C942" s="17"/>
      <c r="D942" s="17"/>
    </row>
    <row r="943" spans="1:4" ht="12.5" x14ac:dyDescent="0.25">
      <c r="A943" s="17"/>
      <c r="B943" s="17"/>
      <c r="C943" s="17"/>
      <c r="D943" s="17"/>
    </row>
    <row r="944" spans="1:4" ht="12.5" x14ac:dyDescent="0.25">
      <c r="A944" s="17"/>
      <c r="B944" s="17"/>
      <c r="C944" s="17"/>
      <c r="D944" s="17"/>
    </row>
    <row r="945" spans="1:4" ht="12.5" x14ac:dyDescent="0.25">
      <c r="A945" s="17"/>
      <c r="B945" s="17"/>
      <c r="C945" s="17"/>
      <c r="D945" s="17"/>
    </row>
    <row r="946" spans="1:4" ht="12.5" x14ac:dyDescent="0.25">
      <c r="A946" s="17"/>
      <c r="B946" s="17"/>
      <c r="C946" s="17"/>
      <c r="D946" s="17"/>
    </row>
    <row r="947" spans="1:4" ht="12.5" x14ac:dyDescent="0.25">
      <c r="A947" s="17"/>
      <c r="B947" s="17"/>
      <c r="C947" s="17"/>
      <c r="D947" s="17"/>
    </row>
    <row r="948" spans="1:4" ht="12.5" x14ac:dyDescent="0.25">
      <c r="A948" s="17"/>
      <c r="B948" s="17"/>
      <c r="C948" s="17"/>
      <c r="D948" s="17"/>
    </row>
    <row r="949" spans="1:4" ht="12.5" x14ac:dyDescent="0.25">
      <c r="A949" s="17"/>
      <c r="B949" s="17"/>
      <c r="C949" s="17"/>
      <c r="D949" s="17"/>
    </row>
    <row r="950" spans="1:4" ht="12.5" x14ac:dyDescent="0.25">
      <c r="A950" s="17"/>
      <c r="B950" s="17"/>
      <c r="C950" s="17"/>
      <c r="D950" s="17"/>
    </row>
    <row r="951" spans="1:4" ht="12.5" x14ac:dyDescent="0.25">
      <c r="A951" s="17"/>
      <c r="B951" s="17"/>
      <c r="C951" s="17"/>
      <c r="D951" s="17"/>
    </row>
    <row r="952" spans="1:4" ht="12.5" x14ac:dyDescent="0.25">
      <c r="A952" s="17"/>
      <c r="B952" s="17"/>
      <c r="C952" s="17"/>
      <c r="D952" s="17"/>
    </row>
    <row r="953" spans="1:4" ht="12.5" x14ac:dyDescent="0.25">
      <c r="A953" s="17"/>
      <c r="B953" s="17"/>
      <c r="C953" s="17"/>
      <c r="D953" s="17"/>
    </row>
    <row r="954" spans="1:4" ht="12.5" x14ac:dyDescent="0.25">
      <c r="A954" s="17"/>
      <c r="B954" s="17"/>
      <c r="C954" s="17"/>
      <c r="D954" s="17"/>
    </row>
    <row r="955" spans="1:4" ht="12.5" x14ac:dyDescent="0.25">
      <c r="A955" s="17"/>
      <c r="B955" s="17"/>
      <c r="C955" s="17"/>
      <c r="D955" s="17"/>
    </row>
    <row r="956" spans="1:4" ht="12.5" x14ac:dyDescent="0.25">
      <c r="A956" s="17"/>
      <c r="B956" s="17"/>
      <c r="C956" s="17"/>
      <c r="D956" s="17"/>
    </row>
    <row r="957" spans="1:4" ht="12.5" x14ac:dyDescent="0.25">
      <c r="A957" s="17"/>
      <c r="B957" s="17"/>
      <c r="C957" s="17"/>
      <c r="D957" s="17"/>
    </row>
    <row r="958" spans="1:4" ht="12.5" x14ac:dyDescent="0.25">
      <c r="A958" s="17"/>
      <c r="B958" s="17"/>
      <c r="C958" s="17"/>
      <c r="D958" s="17"/>
    </row>
    <row r="959" spans="1:4" ht="12.5" x14ac:dyDescent="0.25">
      <c r="A959" s="17"/>
      <c r="B959" s="17"/>
      <c r="C959" s="17"/>
      <c r="D959" s="17"/>
    </row>
    <row r="960" spans="1:4" ht="12.5" x14ac:dyDescent="0.25">
      <c r="A960" s="17"/>
      <c r="B960" s="17"/>
      <c r="C960" s="17"/>
      <c r="D960" s="17"/>
    </row>
    <row r="961" spans="1:4" ht="12.5" x14ac:dyDescent="0.25">
      <c r="A961" s="17"/>
      <c r="B961" s="17"/>
      <c r="C961" s="17"/>
      <c r="D961" s="17"/>
    </row>
    <row r="962" spans="1:4" ht="12.5" x14ac:dyDescent="0.25">
      <c r="A962" s="17"/>
      <c r="B962" s="17"/>
      <c r="C962" s="17"/>
      <c r="D962" s="17"/>
    </row>
    <row r="963" spans="1:4" ht="12.5" x14ac:dyDescent="0.25">
      <c r="A963" s="17"/>
      <c r="B963" s="17"/>
      <c r="C963" s="17"/>
      <c r="D963" s="17"/>
    </row>
    <row r="964" spans="1:4" ht="12.5" x14ac:dyDescent="0.25">
      <c r="A964" s="17"/>
      <c r="B964" s="17"/>
      <c r="C964" s="17"/>
      <c r="D964" s="17"/>
    </row>
    <row r="965" spans="1:4" ht="12.5" x14ac:dyDescent="0.25">
      <c r="A965" s="17"/>
      <c r="B965" s="17"/>
      <c r="C965" s="17"/>
      <c r="D965" s="17"/>
    </row>
    <row r="966" spans="1:4" ht="12.5" x14ac:dyDescent="0.25">
      <c r="A966" s="17"/>
      <c r="B966" s="17"/>
      <c r="C966" s="17"/>
      <c r="D966" s="17"/>
    </row>
    <row r="967" spans="1:4" ht="12.5" x14ac:dyDescent="0.25">
      <c r="A967" s="17"/>
      <c r="B967" s="17"/>
      <c r="C967" s="17"/>
      <c r="D967" s="17"/>
    </row>
    <row r="968" spans="1:4" ht="12.5" x14ac:dyDescent="0.25">
      <c r="A968" s="17"/>
      <c r="B968" s="17"/>
      <c r="C968" s="17"/>
      <c r="D968" s="17"/>
    </row>
    <row r="969" spans="1:4" ht="12.5" x14ac:dyDescent="0.25">
      <c r="A969" s="17"/>
      <c r="B969" s="17"/>
      <c r="C969" s="17"/>
      <c r="D969" s="17"/>
    </row>
    <row r="970" spans="1:4" ht="12.5" x14ac:dyDescent="0.25">
      <c r="A970" s="17"/>
      <c r="B970" s="17"/>
      <c r="C970" s="17"/>
      <c r="D970" s="17"/>
    </row>
    <row r="971" spans="1:4" ht="12.5" x14ac:dyDescent="0.25">
      <c r="A971" s="17"/>
      <c r="B971" s="17"/>
      <c r="C971" s="17"/>
      <c r="D971" s="17"/>
    </row>
    <row r="972" spans="1:4" ht="12.5" x14ac:dyDescent="0.25">
      <c r="A972" s="17"/>
      <c r="B972" s="17"/>
      <c r="C972" s="17"/>
      <c r="D972" s="17"/>
    </row>
    <row r="973" spans="1:4" ht="12.5" x14ac:dyDescent="0.25">
      <c r="A973" s="17"/>
      <c r="B973" s="17"/>
      <c r="C973" s="17"/>
      <c r="D973" s="17"/>
    </row>
    <row r="974" spans="1:4" ht="12.5" x14ac:dyDescent="0.25">
      <c r="A974" s="17"/>
      <c r="B974" s="17"/>
      <c r="C974" s="17"/>
      <c r="D974" s="17"/>
    </row>
    <row r="975" spans="1:4" ht="12.5" x14ac:dyDescent="0.25">
      <c r="A975" s="17"/>
      <c r="B975" s="17"/>
      <c r="C975" s="17"/>
      <c r="D975" s="17"/>
    </row>
    <row r="976" spans="1:4" ht="12.5" x14ac:dyDescent="0.25">
      <c r="A976" s="17"/>
      <c r="B976" s="17"/>
      <c r="C976" s="17"/>
      <c r="D976" s="17"/>
    </row>
    <row r="977" spans="1:4" ht="12.5" x14ac:dyDescent="0.25">
      <c r="A977" s="17"/>
      <c r="B977" s="17"/>
      <c r="C977" s="17"/>
      <c r="D977" s="17"/>
    </row>
    <row r="978" spans="1:4" ht="12.5" x14ac:dyDescent="0.25">
      <c r="A978" s="17"/>
      <c r="B978" s="17"/>
      <c r="C978" s="17"/>
      <c r="D978" s="17"/>
    </row>
    <row r="979" spans="1:4" ht="12.5" x14ac:dyDescent="0.25">
      <c r="A979" s="17"/>
      <c r="B979" s="17"/>
      <c r="C979" s="17"/>
      <c r="D979" s="17"/>
    </row>
    <row r="980" spans="1:4" ht="12.5" x14ac:dyDescent="0.25">
      <c r="A980" s="17"/>
      <c r="B980" s="17"/>
      <c r="C980" s="17"/>
      <c r="D980" s="17"/>
    </row>
    <row r="981" spans="1:4" ht="12.5" x14ac:dyDescent="0.25">
      <c r="A981" s="17"/>
      <c r="B981" s="17"/>
      <c r="C981" s="17"/>
      <c r="D981" s="17"/>
    </row>
    <row r="982" spans="1:4" ht="12.5" x14ac:dyDescent="0.25">
      <c r="A982" s="17"/>
      <c r="B982" s="17"/>
      <c r="C982" s="17"/>
      <c r="D982" s="17"/>
    </row>
    <row r="983" spans="1:4" ht="12.5" x14ac:dyDescent="0.25">
      <c r="A983" s="17"/>
      <c r="B983" s="17"/>
      <c r="C983" s="17"/>
      <c r="D983" s="17"/>
    </row>
    <row r="984" spans="1:4" ht="12.5" x14ac:dyDescent="0.25">
      <c r="A984" s="17"/>
      <c r="B984" s="17"/>
      <c r="C984" s="17"/>
      <c r="D984" s="17"/>
    </row>
    <row r="985" spans="1:4" ht="12.5" x14ac:dyDescent="0.25">
      <c r="A985" s="17"/>
      <c r="B985" s="17"/>
      <c r="C985" s="17"/>
      <c r="D985" s="17"/>
    </row>
    <row r="986" spans="1:4" ht="12.5" x14ac:dyDescent="0.25">
      <c r="A986" s="17"/>
      <c r="B986" s="17"/>
      <c r="C986" s="17"/>
      <c r="D986" s="17"/>
    </row>
    <row r="987" spans="1:4" ht="12.5" x14ac:dyDescent="0.25">
      <c r="A987" s="17"/>
      <c r="B987" s="17"/>
      <c r="C987" s="17"/>
      <c r="D987" s="17"/>
    </row>
    <row r="988" spans="1:4" ht="12.5" x14ac:dyDescent="0.25">
      <c r="A988" s="17"/>
      <c r="B988" s="17"/>
      <c r="C988" s="17"/>
      <c r="D988" s="17"/>
    </row>
    <row r="989" spans="1:4" ht="12.5" x14ac:dyDescent="0.25">
      <c r="A989" s="17"/>
      <c r="B989" s="17"/>
      <c r="C989" s="17"/>
      <c r="D989" s="17"/>
    </row>
    <row r="990" spans="1:4" ht="12.5" x14ac:dyDescent="0.25">
      <c r="A990" s="17"/>
      <c r="B990" s="17"/>
      <c r="C990" s="17"/>
      <c r="D990" s="17"/>
    </row>
    <row r="991" spans="1:4" ht="12.5" x14ac:dyDescent="0.25">
      <c r="A991" s="17"/>
      <c r="B991" s="17"/>
      <c r="C991" s="17"/>
      <c r="D991" s="17"/>
    </row>
    <row r="992" spans="1:4" ht="12.5" x14ac:dyDescent="0.25">
      <c r="A992" s="17"/>
      <c r="B992" s="17"/>
      <c r="C992" s="17"/>
      <c r="D992" s="17"/>
    </row>
    <row r="993" spans="1:4" ht="12.5" x14ac:dyDescent="0.25">
      <c r="A993" s="17"/>
      <c r="B993" s="17"/>
      <c r="C993" s="17"/>
      <c r="D993" s="17"/>
    </row>
    <row r="994" spans="1:4" ht="12.5" x14ac:dyDescent="0.25">
      <c r="A994" s="17"/>
      <c r="B994" s="17"/>
      <c r="C994" s="17"/>
      <c r="D994" s="17"/>
    </row>
    <row r="995" spans="1:4" ht="12.5" x14ac:dyDescent="0.25">
      <c r="A995" s="17"/>
      <c r="B995" s="17"/>
      <c r="C995" s="17"/>
      <c r="D995" s="17"/>
    </row>
    <row r="996" spans="1:4" ht="12.5" x14ac:dyDescent="0.25">
      <c r="A996" s="17"/>
      <c r="B996" s="17"/>
      <c r="C996" s="17"/>
      <c r="D996" s="17"/>
    </row>
    <row r="997" spans="1:4" ht="12.5" x14ac:dyDescent="0.25">
      <c r="A997" s="17"/>
      <c r="B997" s="17"/>
      <c r="C997" s="17"/>
      <c r="D997" s="17"/>
    </row>
    <row r="998" spans="1:4" ht="12.5" x14ac:dyDescent="0.25">
      <c r="A998" s="17"/>
      <c r="B998" s="17"/>
      <c r="C998" s="17"/>
      <c r="D998" s="17"/>
    </row>
    <row r="999" spans="1:4" ht="12.5" x14ac:dyDescent="0.25">
      <c r="A999" s="17"/>
      <c r="B999" s="17"/>
      <c r="C999" s="17"/>
      <c r="D999" s="17"/>
    </row>
    <row r="1000" spans="1:4" ht="12.5" x14ac:dyDescent="0.25">
      <c r="A1000" s="17"/>
      <c r="B1000" s="17"/>
      <c r="C1000" s="17"/>
      <c r="D1000" s="1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CL365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" width="27.26953125" customWidth="1"/>
  </cols>
  <sheetData>
    <row r="1" spans="1:90" x14ac:dyDescent="0.3">
      <c r="A1" s="32" t="s">
        <v>166</v>
      </c>
      <c r="B1" s="33" t="s">
        <v>167</v>
      </c>
      <c r="C1" s="32" t="s">
        <v>168</v>
      </c>
      <c r="D1" s="32" t="s">
        <v>169</v>
      </c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</row>
    <row r="2" spans="1:90" ht="15.75" customHeight="1" x14ac:dyDescent="0.25">
      <c r="A2" s="17" t="str">
        <f ca="1">IFERROR(__xludf.DUMMYFUNCTION("VSTACK(
FILTER(Cisco!A2:D1000,Cisco!A2:A1000&lt;&gt;""""),
FILTER(Juniper!A2:D1000,Cisco!A2:A1000&lt;&gt;"""")
)"),"C8200L-1N-4T")</f>
        <v>C8200L-1N-4T</v>
      </c>
      <c r="B2" s="30">
        <f ca="1">IFERROR(__xludf.DUMMYFUNCTION("""COMPUTED_VALUE"""),20055.59)</f>
        <v>20055.59</v>
      </c>
      <c r="C2" s="30">
        <f ca="1">IFERROR(__xludf.DUMMYFUNCTION("""COMPUTED_VALUE"""),18000)</f>
        <v>18000</v>
      </c>
      <c r="D2" s="30">
        <f ca="1">IFERROR(__xludf.DUMMYFUNCTION("""COMPUTED_VALUE"""),18000)</f>
        <v>18000</v>
      </c>
    </row>
    <row r="3" spans="1:90" ht="15.75" customHeight="1" x14ac:dyDescent="0.25">
      <c r="A3" s="17" t="str">
        <f ca="1">IFERROR(__xludf.DUMMYFUNCTION("""COMPUTED_VALUE"""),"C8200-1N-4T")</f>
        <v>C8200-1N-4T</v>
      </c>
      <c r="B3" s="30">
        <f ca="1">IFERROR(__xludf.DUMMYFUNCTION("""COMPUTED_VALUE"""),26751.42)</f>
        <v>26751.42</v>
      </c>
      <c r="C3" s="30">
        <f ca="1">IFERROR(__xludf.DUMMYFUNCTION("""COMPUTED_VALUE"""),15000)</f>
        <v>15000</v>
      </c>
      <c r="D3" s="30">
        <f ca="1">IFERROR(__xludf.DUMMYFUNCTION("""COMPUTED_VALUE"""),15000)</f>
        <v>15000</v>
      </c>
    </row>
    <row r="4" spans="1:90" ht="15.75" customHeight="1" x14ac:dyDescent="0.25">
      <c r="A4" s="17" t="str">
        <f ca="1">IFERROR(__xludf.DUMMYFUNCTION("""COMPUTED_VALUE"""),"C8300-2N2S-4T2X")</f>
        <v>C8300-2N2S-4T2X</v>
      </c>
      <c r="B4" s="30">
        <f ca="1">IFERROR(__xludf.DUMMYFUNCTION("""COMPUTED_VALUE"""),87564.41)</f>
        <v>87564.41</v>
      </c>
      <c r="C4" s="17"/>
      <c r="D4" s="30">
        <f ca="1">IFERROR(__xludf.DUMMYFUNCTION("""COMPUTED_VALUE"""),87564.41)</f>
        <v>87564.41</v>
      </c>
    </row>
    <row r="5" spans="1:90" ht="15.75" customHeight="1" x14ac:dyDescent="0.25">
      <c r="A5" s="17" t="str">
        <f ca="1">IFERROR(__xludf.DUMMYFUNCTION("""COMPUTED_VALUE"""),"C8300-1N1S-4T2X")</f>
        <v>C8300-1N1S-4T2X</v>
      </c>
      <c r="B5" s="30">
        <f ca="1">IFERROR(__xludf.DUMMYFUNCTION("""COMPUTED_VALUE"""),71768.03)</f>
        <v>71768.03</v>
      </c>
      <c r="C5" s="17"/>
      <c r="D5" s="30">
        <f ca="1">IFERROR(__xludf.DUMMYFUNCTION("""COMPUTED_VALUE"""),71768.03)</f>
        <v>71768.03</v>
      </c>
    </row>
    <row r="6" spans="1:90" ht="15.75" customHeight="1" x14ac:dyDescent="0.25">
      <c r="A6" s="17" t="str">
        <f ca="1">IFERROR(__xludf.DUMMYFUNCTION("""COMPUTED_VALUE"""),"C8300-2N2S-6T")</f>
        <v>C8300-2N2S-6T</v>
      </c>
      <c r="B6" s="30">
        <f ca="1">IFERROR(__xludf.DUMMYFUNCTION("""COMPUTED_VALUE"""),46344.92)</f>
        <v>46344.92</v>
      </c>
      <c r="C6" s="17"/>
      <c r="D6" s="30">
        <f ca="1">IFERROR(__xludf.DUMMYFUNCTION("""COMPUTED_VALUE"""),46344.92)</f>
        <v>46344.92</v>
      </c>
    </row>
    <row r="7" spans="1:90" ht="15.75" customHeight="1" x14ac:dyDescent="0.25">
      <c r="A7" s="17" t="str">
        <f ca="1">IFERROR(__xludf.DUMMYFUNCTION("""COMPUTED_VALUE"""),"C8300-1N1S-6T")</f>
        <v>C8300-1N1S-6T</v>
      </c>
      <c r="B7" s="30">
        <f ca="1">IFERROR(__xludf.DUMMYFUNCTION("""COMPUTED_VALUE"""),36965.33)</f>
        <v>36965.33</v>
      </c>
      <c r="C7" s="17"/>
      <c r="D7" s="30">
        <f ca="1">IFERROR(__xludf.DUMMYFUNCTION("""COMPUTED_VALUE"""),36965.33)</f>
        <v>36965.33</v>
      </c>
    </row>
    <row r="8" spans="1:90" ht="15.75" customHeight="1" x14ac:dyDescent="0.25">
      <c r="A8" s="17" t="str">
        <f ca="1">IFERROR(__xludf.DUMMYFUNCTION("""COMPUTED_VALUE"""),"C8500-20X6C")</f>
        <v>C8500-20X6C</v>
      </c>
      <c r="B8" s="30">
        <f ca="1">IFERROR(__xludf.DUMMYFUNCTION("""COMPUTED_VALUE"""),534067.23)</f>
        <v>534067.23</v>
      </c>
      <c r="C8" s="17"/>
      <c r="D8" s="30">
        <f ca="1">IFERROR(__xludf.DUMMYFUNCTION("""COMPUTED_VALUE"""),534067.23)</f>
        <v>534067.23</v>
      </c>
    </row>
    <row r="9" spans="1:90" ht="15.75" customHeight="1" x14ac:dyDescent="0.25">
      <c r="A9" s="17" t="str">
        <f ca="1">IFERROR(__xludf.DUMMYFUNCTION("""COMPUTED_VALUE"""),"C8500-12X4QC")</f>
        <v>C8500-12X4QC</v>
      </c>
      <c r="B9" s="30">
        <f ca="1">IFERROR(__xludf.DUMMYFUNCTION("""COMPUTED_VALUE"""),284449)</f>
        <v>284449</v>
      </c>
      <c r="C9" s="17"/>
      <c r="D9" s="30">
        <f ca="1">IFERROR(__xludf.DUMMYFUNCTION("""COMPUTED_VALUE"""),284449)</f>
        <v>284449</v>
      </c>
    </row>
    <row r="10" spans="1:90" ht="15.75" customHeight="1" x14ac:dyDescent="0.25">
      <c r="A10" s="17" t="str">
        <f ca="1">IFERROR(__xludf.DUMMYFUNCTION("""COMPUTED_VALUE"""),"C8500-12X")</f>
        <v>C8500-12X</v>
      </c>
      <c r="B10" s="30">
        <f ca="1">IFERROR(__xludf.DUMMYFUNCTION("""COMPUTED_VALUE"""),198921.55)</f>
        <v>198921.55</v>
      </c>
      <c r="C10" s="17"/>
      <c r="D10" s="30">
        <f ca="1">IFERROR(__xludf.DUMMYFUNCTION("""COMPUTED_VALUE"""),198921.55)</f>
        <v>198921.55</v>
      </c>
    </row>
    <row r="11" spans="1:90" ht="15.75" customHeight="1" x14ac:dyDescent="0.25">
      <c r="A11" s="17" t="str">
        <f ca="1">IFERROR(__xludf.DUMMYFUNCTION("""COMPUTED_VALUE"""),"C8500L-8S4X")</f>
        <v>C8500L-8S4X</v>
      </c>
      <c r="B11" s="30">
        <f ca="1">IFERROR(__xludf.DUMMYFUNCTION("""COMPUTED_VALUE"""),92549.95)</f>
        <v>92549.95</v>
      </c>
      <c r="C11" s="17"/>
      <c r="D11" s="30">
        <f ca="1">IFERROR(__xludf.DUMMYFUNCTION("""COMPUTED_VALUE"""),92549.95)</f>
        <v>92549.95</v>
      </c>
    </row>
    <row r="12" spans="1:90" ht="15.75" customHeight="1" x14ac:dyDescent="0.25">
      <c r="A12" s="17" t="str">
        <f ca="1">IFERROR(__xludf.DUMMYFUNCTION("""COMPUTED_VALUE"""),"C9200-24T")</f>
        <v>C9200-24T</v>
      </c>
      <c r="B12" s="30">
        <f ca="1">IFERROR(__xludf.DUMMYFUNCTION("""COMPUTED_VALUE"""),10084.98)</f>
        <v>10084.98</v>
      </c>
      <c r="C12" s="17"/>
      <c r="D12" s="30">
        <f ca="1">IFERROR(__xludf.DUMMYFUNCTION("""COMPUTED_VALUE"""),10084.98)</f>
        <v>10084.98</v>
      </c>
    </row>
    <row r="13" spans="1:90" ht="15.75" customHeight="1" x14ac:dyDescent="0.25">
      <c r="A13" s="17" t="str">
        <f ca="1">IFERROR(__xludf.DUMMYFUNCTION("""COMPUTED_VALUE"""),"C9200-24P")</f>
        <v>C9200-24P</v>
      </c>
      <c r="B13" s="30">
        <f ca="1">IFERROR(__xludf.DUMMYFUNCTION("""COMPUTED_VALUE"""),11213.65)</f>
        <v>11213.65</v>
      </c>
      <c r="C13" s="17"/>
      <c r="D13" s="30">
        <f ca="1">IFERROR(__xludf.DUMMYFUNCTION("""COMPUTED_VALUE"""),11213.65)</f>
        <v>11213.65</v>
      </c>
    </row>
    <row r="14" spans="1:90" ht="15.75" customHeight="1" x14ac:dyDescent="0.25">
      <c r="A14" s="17" t="str">
        <f ca="1">IFERROR(__xludf.DUMMYFUNCTION("""COMPUTED_VALUE"""),"C9200-48T")</f>
        <v>C9200-48T</v>
      </c>
      <c r="B14" s="30">
        <f ca="1">IFERROR(__xludf.DUMMYFUNCTION("""COMPUTED_VALUE"""),15922.14)</f>
        <v>15922.14</v>
      </c>
      <c r="C14" s="17"/>
      <c r="D14" s="30">
        <f ca="1">IFERROR(__xludf.DUMMYFUNCTION("""COMPUTED_VALUE"""),15922.14)</f>
        <v>15922.14</v>
      </c>
    </row>
    <row r="15" spans="1:90" ht="15.75" customHeight="1" x14ac:dyDescent="0.25">
      <c r="A15" s="17" t="str">
        <f ca="1">IFERROR(__xludf.DUMMYFUNCTION("""COMPUTED_VALUE"""),"C9200-48P")</f>
        <v>C9200-48P</v>
      </c>
      <c r="B15" s="30">
        <f ca="1">IFERROR(__xludf.DUMMYFUNCTION("""COMPUTED_VALUE"""),20161.2)</f>
        <v>20161.2</v>
      </c>
      <c r="C15" s="17"/>
      <c r="D15" s="30">
        <f ca="1">IFERROR(__xludf.DUMMYFUNCTION("""COMPUTED_VALUE"""),20161.2)</f>
        <v>20161.2</v>
      </c>
    </row>
    <row r="16" spans="1:90" ht="15.75" customHeight="1" x14ac:dyDescent="0.25">
      <c r="A16" s="17" t="str">
        <f ca="1">IFERROR(__xludf.DUMMYFUNCTION("""COMPUTED_VALUE"""),"C9200L-24T-4G")</f>
        <v>C9200L-24T-4G</v>
      </c>
      <c r="B16" s="30">
        <f ca="1">IFERROR(__xludf.DUMMYFUNCTION("""COMPUTED_VALUE"""),6262.27)</f>
        <v>6262.27</v>
      </c>
      <c r="C16" s="17"/>
      <c r="D16" s="30">
        <f ca="1">IFERROR(__xludf.DUMMYFUNCTION("""COMPUTED_VALUE"""),6262.27)</f>
        <v>6262.27</v>
      </c>
    </row>
    <row r="17" spans="1:4" ht="15.75" customHeight="1" x14ac:dyDescent="0.25">
      <c r="A17" s="17" t="str">
        <f ca="1">IFERROR(__xludf.DUMMYFUNCTION("""COMPUTED_VALUE"""),"C9200L-24P-4G")</f>
        <v>C9200L-24P-4G</v>
      </c>
      <c r="B17" s="30">
        <f ca="1">IFERROR(__xludf.DUMMYFUNCTION("""COMPUTED_VALUE"""),7688.05)</f>
        <v>7688.05</v>
      </c>
      <c r="C17" s="17"/>
      <c r="D17" s="30">
        <f ca="1">IFERROR(__xludf.DUMMYFUNCTION("""COMPUTED_VALUE"""),7688.05)</f>
        <v>7688.05</v>
      </c>
    </row>
    <row r="18" spans="1:4" ht="15.75" customHeight="1" x14ac:dyDescent="0.25">
      <c r="A18" s="17" t="str">
        <f ca="1">IFERROR(__xludf.DUMMYFUNCTION("""COMPUTED_VALUE"""),"C9200L-48T-4G")</f>
        <v>C9200L-48T-4G</v>
      </c>
      <c r="B18" s="30">
        <f ca="1">IFERROR(__xludf.DUMMYFUNCTION("""COMPUTED_VALUE"""),11166.4)</f>
        <v>11166.4</v>
      </c>
      <c r="C18" s="17"/>
      <c r="D18" s="30">
        <f ca="1">IFERROR(__xludf.DUMMYFUNCTION("""COMPUTED_VALUE"""),11166.4)</f>
        <v>11166.4</v>
      </c>
    </row>
    <row r="19" spans="1:4" ht="15.75" customHeight="1" x14ac:dyDescent="0.25">
      <c r="A19" s="17" t="str">
        <f ca="1">IFERROR(__xludf.DUMMYFUNCTION("""COMPUTED_VALUE"""),"C9200L-48P-4G")</f>
        <v>C9200L-48P-4G</v>
      </c>
      <c r="B19" s="30">
        <f ca="1">IFERROR(__xludf.DUMMYFUNCTION("""COMPUTED_VALUE"""),15455.34)</f>
        <v>15455.34</v>
      </c>
      <c r="C19" s="17"/>
      <c r="D19" s="30">
        <f ca="1">IFERROR(__xludf.DUMMYFUNCTION("""COMPUTED_VALUE"""),15455.34)</f>
        <v>15455.34</v>
      </c>
    </row>
    <row r="20" spans="1:4" ht="15.75" customHeight="1" x14ac:dyDescent="0.25">
      <c r="A20" s="17" t="str">
        <f ca="1">IFERROR(__xludf.DUMMYFUNCTION("""COMPUTED_VALUE"""),"C9200L-24T-4X")</f>
        <v>C9200L-24T-4X</v>
      </c>
      <c r="B20" s="30">
        <f ca="1">IFERROR(__xludf.DUMMYFUNCTION("""COMPUTED_VALUE"""),8762.44)</f>
        <v>8762.44</v>
      </c>
      <c r="C20" s="17"/>
      <c r="D20" s="30">
        <f ca="1">IFERROR(__xludf.DUMMYFUNCTION("""COMPUTED_VALUE"""),8762.44)</f>
        <v>8762.44</v>
      </c>
    </row>
    <row r="21" spans="1:4" ht="15.75" customHeight="1" x14ac:dyDescent="0.25">
      <c r="A21" s="17" t="str">
        <f ca="1">IFERROR(__xludf.DUMMYFUNCTION("""COMPUTED_VALUE"""),"C9200L-24P-4X")</f>
        <v>C9200L-24P-4X</v>
      </c>
      <c r="B21" s="30">
        <f ca="1">IFERROR(__xludf.DUMMYFUNCTION("""COMPUTED_VALUE"""),10192.33)</f>
        <v>10192.33</v>
      </c>
      <c r="C21" s="17"/>
      <c r="D21" s="30">
        <f ca="1">IFERROR(__xludf.DUMMYFUNCTION("""COMPUTED_VALUE"""),10192.33)</f>
        <v>10192.33</v>
      </c>
    </row>
    <row r="22" spans="1:4" ht="12.5" x14ac:dyDescent="0.25">
      <c r="A22" s="17" t="str">
        <f ca="1">IFERROR(__xludf.DUMMYFUNCTION("""COMPUTED_VALUE"""),"C9200L-48T-4X")</f>
        <v>C9200L-48T-4X</v>
      </c>
      <c r="B22" s="30">
        <f ca="1">IFERROR(__xludf.DUMMYFUNCTION("""COMPUTED_VALUE"""),13666.57)</f>
        <v>13666.57</v>
      </c>
      <c r="C22" s="17"/>
      <c r="D22" s="30">
        <f ca="1">IFERROR(__xludf.DUMMYFUNCTION("""COMPUTED_VALUE"""),13666.57)</f>
        <v>13666.57</v>
      </c>
    </row>
    <row r="23" spans="1:4" ht="12.5" x14ac:dyDescent="0.25">
      <c r="A23" s="17" t="str">
        <f ca="1">IFERROR(__xludf.DUMMYFUNCTION("""COMPUTED_VALUE"""),"C9200L-48P-4X")</f>
        <v>C9200L-48P-4X</v>
      </c>
      <c r="B23" s="30">
        <f ca="1">IFERROR(__xludf.DUMMYFUNCTION("""COMPUTED_VALUE"""),17955.51)</f>
        <v>17955.509999999998</v>
      </c>
      <c r="C23" s="17"/>
      <c r="D23" s="30">
        <f ca="1">IFERROR(__xludf.DUMMYFUNCTION("""COMPUTED_VALUE"""),17955.51)</f>
        <v>17955.509999999998</v>
      </c>
    </row>
    <row r="24" spans="1:4" ht="12.5" x14ac:dyDescent="0.25">
      <c r="A24" s="17" t="str">
        <f ca="1">IFERROR(__xludf.DUMMYFUNCTION("""COMPUTED_VALUE"""),"C9200CX-8P-2X2G")</f>
        <v>C9200CX-8P-2X2G</v>
      </c>
      <c r="B24" s="30">
        <f ca="1">IFERROR(__xludf.DUMMYFUNCTION("""COMPUTED_VALUE"""),5144.72)</f>
        <v>5144.72</v>
      </c>
      <c r="C24" s="17"/>
      <c r="D24" s="30">
        <f ca="1">IFERROR(__xludf.DUMMYFUNCTION("""COMPUTED_VALUE"""),5144.72)</f>
        <v>5144.72</v>
      </c>
    </row>
    <row r="25" spans="1:4" ht="12.5" x14ac:dyDescent="0.25">
      <c r="A25" s="17" t="str">
        <f ca="1">IFERROR(__xludf.DUMMYFUNCTION("""COMPUTED_VALUE"""),"C9200CX-12T-2X2G")</f>
        <v>C9200CX-12T-2X2G</v>
      </c>
      <c r="B25" s="30">
        <f ca="1">IFERROR(__xludf.DUMMYFUNCTION("""COMPUTED_VALUE"""),4714.31)</f>
        <v>4714.3100000000004</v>
      </c>
      <c r="C25" s="17"/>
      <c r="D25" s="30">
        <f ca="1">IFERROR(__xludf.DUMMYFUNCTION("""COMPUTED_VALUE"""),4714.31)</f>
        <v>4714.3100000000004</v>
      </c>
    </row>
    <row r="26" spans="1:4" ht="12.5" x14ac:dyDescent="0.25">
      <c r="A26" s="17" t="str">
        <f ca="1">IFERROR(__xludf.DUMMYFUNCTION("""COMPUTED_VALUE"""),"C9200CX-12P-2X2G")</f>
        <v>C9200CX-12P-2X2G</v>
      </c>
      <c r="B26" s="30">
        <f ca="1">IFERROR(__xludf.DUMMYFUNCTION("""COMPUTED_VALUE"""),5606.95)</f>
        <v>5606.95</v>
      </c>
      <c r="C26" s="17"/>
      <c r="D26" s="30">
        <f ca="1">IFERROR(__xludf.DUMMYFUNCTION("""COMPUTED_VALUE"""),5606.95)</f>
        <v>5606.95</v>
      </c>
    </row>
    <row r="27" spans="1:4" ht="12.5" x14ac:dyDescent="0.25">
      <c r="A27" s="17" t="str">
        <f ca="1">IFERROR(__xludf.DUMMYFUNCTION("""COMPUTED_VALUE"""),"C9300L-24T-4G")</f>
        <v>C9300L-24T-4G</v>
      </c>
      <c r="B27" s="30">
        <f ca="1">IFERROR(__xludf.DUMMYFUNCTION("""COMPUTED_VALUE"""),13274.37)</f>
        <v>13274.37</v>
      </c>
      <c r="C27" s="17"/>
      <c r="D27" s="30">
        <f ca="1">IFERROR(__xludf.DUMMYFUNCTION("""COMPUTED_VALUE"""),13274.37)</f>
        <v>13274.37</v>
      </c>
    </row>
    <row r="28" spans="1:4" ht="12.5" x14ac:dyDescent="0.25">
      <c r="A28" s="17" t="str">
        <f ca="1">IFERROR(__xludf.DUMMYFUNCTION("""COMPUTED_VALUE"""),"C9300L-24P-4G")</f>
        <v>C9300L-24P-4G</v>
      </c>
      <c r="B28" s="30">
        <f ca="1">IFERROR(__xludf.DUMMYFUNCTION("""COMPUTED_VALUE"""),14219.2)</f>
        <v>14219.2</v>
      </c>
      <c r="C28" s="17"/>
      <c r="D28" s="30">
        <f ca="1">IFERROR(__xludf.DUMMYFUNCTION("""COMPUTED_VALUE"""),14219.2)</f>
        <v>14219.2</v>
      </c>
    </row>
    <row r="29" spans="1:4" ht="12.5" x14ac:dyDescent="0.25">
      <c r="A29" s="17" t="str">
        <f ca="1">IFERROR(__xludf.DUMMYFUNCTION("""COMPUTED_VALUE"""),"C9300L-24T-4X")</f>
        <v>C9300L-24T-4X</v>
      </c>
      <c r="B29" s="30">
        <f ca="1">IFERROR(__xludf.DUMMYFUNCTION("""COMPUTED_VALUE"""),16104.69)</f>
        <v>16104.69</v>
      </c>
      <c r="C29" s="17"/>
      <c r="D29" s="30">
        <f ca="1">IFERROR(__xludf.DUMMYFUNCTION("""COMPUTED_VALUE"""),16104.69)</f>
        <v>16104.69</v>
      </c>
    </row>
    <row r="30" spans="1:4" ht="12.5" x14ac:dyDescent="0.25">
      <c r="A30" s="17" t="str">
        <f ca="1">IFERROR(__xludf.DUMMYFUNCTION("""COMPUTED_VALUE"""),"C9300L-24P-4X")</f>
        <v>C9300L-24P-4X</v>
      </c>
      <c r="B30" s="30">
        <f ca="1">IFERROR(__xludf.DUMMYFUNCTION("""COMPUTED_VALUE"""),17045.38)</f>
        <v>17045.38</v>
      </c>
      <c r="C30" s="17"/>
      <c r="D30" s="30">
        <f ca="1">IFERROR(__xludf.DUMMYFUNCTION("""COMPUTED_VALUE"""),17045.38)</f>
        <v>17045.38</v>
      </c>
    </row>
    <row r="31" spans="1:4" ht="12.5" x14ac:dyDescent="0.25">
      <c r="A31" s="17" t="str">
        <f ca="1">IFERROR(__xludf.DUMMYFUNCTION("""COMPUTED_VALUE"""),"C9300L-48T-4G")</f>
        <v>C9300L-48T-4G</v>
      </c>
      <c r="B31" s="30">
        <f ca="1">IFERROR(__xludf.DUMMYFUNCTION("""COMPUTED_VALUE"""),19434.02)</f>
        <v>19434.02</v>
      </c>
      <c r="C31" s="17"/>
      <c r="D31" s="30">
        <f ca="1">IFERROR(__xludf.DUMMYFUNCTION("""COMPUTED_VALUE"""),19434.02)</f>
        <v>19434.02</v>
      </c>
    </row>
    <row r="32" spans="1:4" ht="12.5" x14ac:dyDescent="0.25">
      <c r="A32" s="17" t="str">
        <f ca="1">IFERROR(__xludf.DUMMYFUNCTION("""COMPUTED_VALUE"""),"C9300L-48P-4G")</f>
        <v>C9300L-48P-4G</v>
      </c>
      <c r="B32" s="30">
        <f ca="1">IFERROR(__xludf.DUMMYFUNCTION("""COMPUTED_VALUE"""),22071.94)</f>
        <v>22071.94</v>
      </c>
      <c r="C32" s="17"/>
      <c r="D32" s="30">
        <f ca="1">IFERROR(__xludf.DUMMYFUNCTION("""COMPUTED_VALUE"""),22071.94)</f>
        <v>22071.94</v>
      </c>
    </row>
    <row r="33" spans="1:4" ht="12.5" x14ac:dyDescent="0.25">
      <c r="A33" s="17" t="str">
        <f ca="1">IFERROR(__xludf.DUMMYFUNCTION("""COMPUTED_VALUE"""),"C9300L-48T-4X")</f>
        <v>C9300L-48T-4X</v>
      </c>
      <c r="B33" s="30">
        <f ca="1">IFERROR(__xludf.DUMMYFUNCTION("""COMPUTED_VALUE"""),22260.23)</f>
        <v>22260.23</v>
      </c>
      <c r="C33" s="17"/>
      <c r="D33" s="30">
        <f ca="1">IFERROR(__xludf.DUMMYFUNCTION("""COMPUTED_VALUE"""),22260.23)</f>
        <v>22260.23</v>
      </c>
    </row>
    <row r="34" spans="1:4" ht="12.5" x14ac:dyDescent="0.25">
      <c r="A34" s="17" t="str">
        <f ca="1">IFERROR(__xludf.DUMMYFUNCTION("""COMPUTED_VALUE"""),"C9300L-48P-4X")</f>
        <v>C9300L-48P-4X</v>
      </c>
      <c r="B34" s="30">
        <f ca="1">IFERROR(__xludf.DUMMYFUNCTION("""COMPUTED_VALUE"""),24901.12)</f>
        <v>24901.119999999999</v>
      </c>
      <c r="C34" s="17"/>
      <c r="D34" s="30">
        <f ca="1">IFERROR(__xludf.DUMMYFUNCTION("""COMPUTED_VALUE"""),24901.12)</f>
        <v>24901.119999999999</v>
      </c>
    </row>
    <row r="35" spans="1:4" ht="12.5" x14ac:dyDescent="0.25">
      <c r="A35" s="17" t="str">
        <f ca="1">IFERROR(__xludf.DUMMYFUNCTION("""COMPUTED_VALUE"""),"C9300-24T")</f>
        <v>C9300-24T</v>
      </c>
      <c r="B35" s="30">
        <f ca="1">IFERROR(__xludf.DUMMYFUNCTION("""COMPUTED_VALUE"""),17547.66)</f>
        <v>17547.66</v>
      </c>
      <c r="C35" s="17"/>
      <c r="D35" s="30">
        <f ca="1">IFERROR(__xludf.DUMMYFUNCTION("""COMPUTED_VALUE"""),17547.66)</f>
        <v>17547.66</v>
      </c>
    </row>
    <row r="36" spans="1:4" ht="12.5" x14ac:dyDescent="0.25">
      <c r="A36" s="17" t="str">
        <f ca="1">IFERROR(__xludf.DUMMYFUNCTION("""COMPUTED_VALUE"""),"C9300-24P")</f>
        <v>C9300-24P</v>
      </c>
      <c r="B36" s="30">
        <f ca="1">IFERROR(__xludf.DUMMYFUNCTION("""COMPUTED_VALUE"""),19038.33)</f>
        <v>19038.330000000002</v>
      </c>
      <c r="C36" s="17"/>
      <c r="D36" s="30">
        <f ca="1">IFERROR(__xludf.DUMMYFUNCTION("""COMPUTED_VALUE"""),19038.33)</f>
        <v>19038.330000000002</v>
      </c>
    </row>
    <row r="37" spans="1:4" ht="12.5" x14ac:dyDescent="0.25">
      <c r="A37" s="17" t="str">
        <f ca="1">IFERROR(__xludf.DUMMYFUNCTION("""COMPUTED_VALUE"""),"C9300-24U")</f>
        <v>C9300-24U</v>
      </c>
      <c r="B37" s="30">
        <f ca="1">IFERROR(__xludf.DUMMYFUNCTION("""COMPUTED_VALUE"""),19965.21)</f>
        <v>19965.21</v>
      </c>
      <c r="C37" s="17"/>
      <c r="D37" s="30">
        <f ca="1">IFERROR(__xludf.DUMMYFUNCTION("""COMPUTED_VALUE"""),19965.21)</f>
        <v>19965.21</v>
      </c>
    </row>
    <row r="38" spans="1:4" ht="12.5" x14ac:dyDescent="0.25">
      <c r="A38" s="17" t="str">
        <f ca="1">IFERROR(__xludf.DUMMYFUNCTION("""COMPUTED_VALUE"""),"C9300-24H")</f>
        <v>C9300-24H</v>
      </c>
      <c r="B38" s="30">
        <f ca="1">IFERROR(__xludf.DUMMYFUNCTION("""COMPUTED_VALUE"""),20515.29)</f>
        <v>20515.29</v>
      </c>
      <c r="C38" s="17"/>
      <c r="D38" s="30">
        <f ca="1">IFERROR(__xludf.DUMMYFUNCTION("""COMPUTED_VALUE"""),20515.29)</f>
        <v>20515.29</v>
      </c>
    </row>
    <row r="39" spans="1:4" ht="12.5" x14ac:dyDescent="0.25">
      <c r="A39" s="17" t="str">
        <f ca="1">IFERROR(__xludf.DUMMYFUNCTION("""COMPUTED_VALUE"""),"C9300-24S")</f>
        <v>C9300-24S</v>
      </c>
      <c r="B39" s="30">
        <f ca="1">IFERROR(__xludf.DUMMYFUNCTION("""COMPUTED_VALUE"""),48735.58)</f>
        <v>48735.58</v>
      </c>
      <c r="C39" s="17"/>
      <c r="D39" s="30">
        <f ca="1">IFERROR(__xludf.DUMMYFUNCTION("""COMPUTED_VALUE"""),48735.58)</f>
        <v>48735.58</v>
      </c>
    </row>
    <row r="40" spans="1:4" ht="12.5" x14ac:dyDescent="0.25">
      <c r="A40" s="17" t="str">
        <f ca="1">IFERROR(__xludf.DUMMYFUNCTION("""COMPUTED_VALUE"""),"C9300-24UB")</f>
        <v>C9300-24UB</v>
      </c>
      <c r="B40" s="30">
        <f ca="1">IFERROR(__xludf.DUMMYFUNCTION("""COMPUTED_VALUE"""),24477.78)</f>
        <v>24477.78</v>
      </c>
      <c r="C40" s="17"/>
      <c r="D40" s="30">
        <f ca="1">IFERROR(__xludf.DUMMYFUNCTION("""COMPUTED_VALUE"""),24477.78)</f>
        <v>24477.78</v>
      </c>
    </row>
    <row r="41" spans="1:4" ht="12.5" x14ac:dyDescent="0.25">
      <c r="A41" s="17" t="str">
        <f ca="1">IFERROR(__xludf.DUMMYFUNCTION("""COMPUTED_VALUE"""),"C9300-48T")</f>
        <v>C9300-48T</v>
      </c>
      <c r="B41" s="30">
        <f ca="1">IFERROR(__xludf.DUMMYFUNCTION("""COMPUTED_VALUE"""),25854.11)</f>
        <v>25854.11</v>
      </c>
      <c r="C41" s="17"/>
      <c r="D41" s="30">
        <f ca="1">IFERROR(__xludf.DUMMYFUNCTION("""COMPUTED_VALUE"""),25854.11)</f>
        <v>25854.11</v>
      </c>
    </row>
    <row r="42" spans="1:4" ht="12.5" x14ac:dyDescent="0.25">
      <c r="A42" s="17" t="str">
        <f ca="1">IFERROR(__xludf.DUMMYFUNCTION("""COMPUTED_VALUE"""),"C9300-48P")</f>
        <v>C9300-48P</v>
      </c>
      <c r="B42" s="30">
        <f ca="1">IFERROR(__xludf.DUMMYFUNCTION("""COMPUTED_VALUE"""),28776.34)</f>
        <v>28776.34</v>
      </c>
      <c r="C42" s="17"/>
      <c r="D42" s="30">
        <f ca="1">IFERROR(__xludf.DUMMYFUNCTION("""COMPUTED_VALUE"""),28776.34)</f>
        <v>28776.34</v>
      </c>
    </row>
    <row r="43" spans="1:4" ht="12.5" x14ac:dyDescent="0.25">
      <c r="A43" s="17" t="str">
        <f ca="1">IFERROR(__xludf.DUMMYFUNCTION("""COMPUTED_VALUE"""),"C9300-48U")</f>
        <v>C9300-48U</v>
      </c>
      <c r="B43" s="30">
        <f ca="1">IFERROR(__xludf.DUMMYFUNCTION("""COMPUTED_VALUE"""),30632.82)</f>
        <v>30632.82</v>
      </c>
      <c r="C43" s="17"/>
      <c r="D43" s="30">
        <f ca="1">IFERROR(__xludf.DUMMYFUNCTION("""COMPUTED_VALUE"""),30632.82)</f>
        <v>30632.82</v>
      </c>
    </row>
    <row r="44" spans="1:4" ht="12.5" x14ac:dyDescent="0.25">
      <c r="A44" s="17" t="str">
        <f ca="1">IFERROR(__xludf.DUMMYFUNCTION("""COMPUTED_VALUE"""),"C9300-48H")</f>
        <v>C9300-48H</v>
      </c>
      <c r="B44" s="30">
        <f ca="1">IFERROR(__xludf.DUMMYFUNCTION("""COMPUTED_VALUE"""),31600.93)</f>
        <v>31600.93</v>
      </c>
      <c r="C44" s="17"/>
      <c r="D44" s="30">
        <f ca="1">IFERROR(__xludf.DUMMYFUNCTION("""COMPUTED_VALUE"""),31600.93)</f>
        <v>31600.93</v>
      </c>
    </row>
    <row r="45" spans="1:4" ht="12.5" x14ac:dyDescent="0.25">
      <c r="A45" s="17" t="str">
        <f ca="1">IFERROR(__xludf.DUMMYFUNCTION("""COMPUTED_VALUE"""),"C9300-48S")</f>
        <v>C9300-48S</v>
      </c>
      <c r="B45" s="30">
        <f ca="1">IFERROR(__xludf.DUMMYFUNCTION("""COMPUTED_VALUE"""),55867.65)</f>
        <v>55867.65</v>
      </c>
      <c r="C45" s="17"/>
      <c r="D45" s="30">
        <f ca="1">IFERROR(__xludf.DUMMYFUNCTION("""COMPUTED_VALUE"""),55867.65)</f>
        <v>55867.65</v>
      </c>
    </row>
    <row r="46" spans="1:4" ht="12.5" x14ac:dyDescent="0.25">
      <c r="A46" s="17" t="str">
        <f ca="1">IFERROR(__xludf.DUMMYFUNCTION("""COMPUTED_VALUE"""),"C9300-48UB")</f>
        <v>C9300-48UB</v>
      </c>
      <c r="B46" s="30">
        <f ca="1">IFERROR(__xludf.DUMMYFUNCTION("""COMPUTED_VALUE"""),36714.46)</f>
        <v>36714.46</v>
      </c>
      <c r="C46" s="17"/>
      <c r="D46" s="30">
        <f ca="1">IFERROR(__xludf.DUMMYFUNCTION("""COMPUTED_VALUE"""),36714.46)</f>
        <v>36714.46</v>
      </c>
    </row>
    <row r="47" spans="1:4" ht="12.5" x14ac:dyDescent="0.25">
      <c r="A47" s="17" t="str">
        <f ca="1">IFERROR(__xludf.DUMMYFUNCTION("""COMPUTED_VALUE"""),"C1300-8T-E-2G")</f>
        <v>C1300-8T-E-2G</v>
      </c>
      <c r="B47" s="30">
        <f ca="1">IFERROR(__xludf.DUMMYFUNCTION("""COMPUTED_VALUE"""),466.11)</f>
        <v>466.11</v>
      </c>
      <c r="C47" s="17"/>
      <c r="D47" s="30">
        <f ca="1">IFERROR(__xludf.DUMMYFUNCTION("""COMPUTED_VALUE"""),466.11)</f>
        <v>466.11</v>
      </c>
    </row>
    <row r="48" spans="1:4" ht="12.5" x14ac:dyDescent="0.25">
      <c r="A48" s="17" t="str">
        <f ca="1">IFERROR(__xludf.DUMMYFUNCTION("""COMPUTED_VALUE"""),"C1300-8P-E-2G")</f>
        <v>C1300-8P-E-2G</v>
      </c>
      <c r="B48" s="30">
        <f ca="1">IFERROR(__xludf.DUMMYFUNCTION("""COMPUTED_VALUE"""),576.42)</f>
        <v>576.41999999999996</v>
      </c>
      <c r="C48" s="17"/>
      <c r="D48" s="30">
        <f ca="1">IFERROR(__xludf.DUMMYFUNCTION("""COMPUTED_VALUE"""),576.42)</f>
        <v>576.41999999999996</v>
      </c>
    </row>
    <row r="49" spans="1:4" ht="12.5" x14ac:dyDescent="0.25">
      <c r="A49" s="17" t="str">
        <f ca="1">IFERROR(__xludf.DUMMYFUNCTION("""COMPUTED_VALUE"""),"C1300-8FP-2G")</f>
        <v>C1300-8FP-2G</v>
      </c>
      <c r="B49" s="30">
        <f ca="1">IFERROR(__xludf.DUMMYFUNCTION("""COMPUTED_VALUE"""),765.31)</f>
        <v>765.31</v>
      </c>
      <c r="C49" s="17"/>
      <c r="D49" s="30">
        <f ca="1">IFERROR(__xludf.DUMMYFUNCTION("""COMPUTED_VALUE"""),765.31)</f>
        <v>765.31</v>
      </c>
    </row>
    <row r="50" spans="1:4" ht="12.5" x14ac:dyDescent="0.25">
      <c r="A50" s="17" t="str">
        <f ca="1">IFERROR(__xludf.DUMMYFUNCTION("""COMPUTED_VALUE"""),"C1300-16T-2G")</f>
        <v>C1300-16T-2G</v>
      </c>
      <c r="B50" s="30">
        <f ca="1">IFERROR(__xludf.DUMMYFUNCTION("""COMPUTED_VALUE"""),663.67)</f>
        <v>663.67</v>
      </c>
      <c r="C50" s="17"/>
      <c r="D50" s="30">
        <f ca="1">IFERROR(__xludf.DUMMYFUNCTION("""COMPUTED_VALUE"""),663.67)</f>
        <v>663.67</v>
      </c>
    </row>
    <row r="51" spans="1:4" ht="12.5" x14ac:dyDescent="0.25">
      <c r="A51" s="17" t="str">
        <f ca="1">IFERROR(__xludf.DUMMYFUNCTION("""COMPUTED_VALUE"""),"C1300-16P-2G")</f>
        <v>C1300-16P-2G</v>
      </c>
      <c r="B51" s="30">
        <f ca="1">IFERROR(__xludf.DUMMYFUNCTION("""COMPUTED_VALUE"""),962.86)</f>
        <v>962.86</v>
      </c>
      <c r="C51" s="17"/>
      <c r="D51" s="30">
        <f ca="1">IFERROR(__xludf.DUMMYFUNCTION("""COMPUTED_VALUE"""),962.86)</f>
        <v>962.86</v>
      </c>
    </row>
    <row r="52" spans="1:4" ht="12.5" x14ac:dyDescent="0.25">
      <c r="A52" s="17" t="str">
        <f ca="1">IFERROR(__xludf.DUMMYFUNCTION("""COMPUTED_VALUE"""),"C1300-16FP-2G")</f>
        <v>C1300-16FP-2G</v>
      </c>
      <c r="B52" s="30">
        <f ca="1">IFERROR(__xludf.DUMMYFUNCTION("""COMPUTED_VALUE"""),1364.85)</f>
        <v>1364.85</v>
      </c>
      <c r="C52" s="17"/>
      <c r="D52" s="30">
        <f ca="1">IFERROR(__xludf.DUMMYFUNCTION("""COMPUTED_VALUE"""),1364.85)</f>
        <v>1364.85</v>
      </c>
    </row>
    <row r="53" spans="1:4" ht="12.5" x14ac:dyDescent="0.25">
      <c r="A53" s="17" t="str">
        <f ca="1">IFERROR(__xludf.DUMMYFUNCTION("""COMPUTED_VALUE"""),"C1300-24T-4G")</f>
        <v>C1300-24T-4G</v>
      </c>
      <c r="B53" s="30">
        <f ca="1">IFERROR(__xludf.DUMMYFUNCTION("""COMPUTED_VALUE"""),925.31)</f>
        <v>925.31</v>
      </c>
      <c r="C53" s="17"/>
      <c r="D53" s="30">
        <f ca="1">IFERROR(__xludf.DUMMYFUNCTION("""COMPUTED_VALUE"""),925.31)</f>
        <v>925.31</v>
      </c>
    </row>
    <row r="54" spans="1:4" ht="12.5" x14ac:dyDescent="0.25">
      <c r="A54" s="17" t="str">
        <f ca="1">IFERROR(__xludf.DUMMYFUNCTION("""COMPUTED_VALUE"""),"C1300-24P-4G")</f>
        <v>C1300-24P-4G</v>
      </c>
      <c r="B54" s="30">
        <f ca="1">IFERROR(__xludf.DUMMYFUNCTION("""COMPUTED_VALUE"""),1316.32)</f>
        <v>1316.32</v>
      </c>
      <c r="C54" s="17"/>
      <c r="D54" s="30">
        <f ca="1">IFERROR(__xludf.DUMMYFUNCTION("""COMPUTED_VALUE"""),1316.32)</f>
        <v>1316.32</v>
      </c>
    </row>
    <row r="55" spans="1:4" ht="12.5" x14ac:dyDescent="0.25">
      <c r="A55" s="17" t="str">
        <f ca="1">IFERROR(__xludf.DUMMYFUNCTION("""COMPUTED_VALUE"""),"C1300-24FP-4G")</f>
        <v>C1300-24FP-4G</v>
      </c>
      <c r="B55" s="30">
        <f ca="1">IFERROR(__xludf.DUMMYFUNCTION("""COMPUTED_VALUE"""),1785.82)</f>
        <v>1785.82</v>
      </c>
      <c r="C55" s="17"/>
      <c r="D55" s="30">
        <f ca="1">IFERROR(__xludf.DUMMYFUNCTION("""COMPUTED_VALUE"""),1785.82)</f>
        <v>1785.82</v>
      </c>
    </row>
    <row r="56" spans="1:4" ht="12.5" x14ac:dyDescent="0.25">
      <c r="A56" s="17" t="str">
        <f ca="1">IFERROR(__xludf.DUMMYFUNCTION("""COMPUTED_VALUE"""),"C1300-48T-4G")</f>
        <v>C1300-48T-4G</v>
      </c>
      <c r="B56" s="30">
        <f ca="1">IFERROR(__xludf.DUMMYFUNCTION("""COMPUTED_VALUE"""),1446.81)</f>
        <v>1446.81</v>
      </c>
      <c r="C56" s="17"/>
      <c r="D56" s="30">
        <f ca="1">IFERROR(__xludf.DUMMYFUNCTION("""COMPUTED_VALUE"""),1446.81)</f>
        <v>1446.81</v>
      </c>
    </row>
    <row r="57" spans="1:4" ht="12.5" x14ac:dyDescent="0.25">
      <c r="A57" s="17" t="str">
        <f ca="1">IFERROR(__xludf.DUMMYFUNCTION("""COMPUTED_VALUE"""),"C1300-48P-4G")</f>
        <v>C1300-48P-4G</v>
      </c>
      <c r="B57" s="30">
        <f ca="1">IFERROR(__xludf.DUMMYFUNCTION("""COMPUTED_VALUE"""),2394.09)</f>
        <v>2394.09</v>
      </c>
      <c r="C57" s="17"/>
      <c r="D57" s="30">
        <f ca="1">IFERROR(__xludf.DUMMYFUNCTION("""COMPUTED_VALUE"""),2394.09)</f>
        <v>2394.09</v>
      </c>
    </row>
    <row r="58" spans="1:4" ht="12.5" x14ac:dyDescent="0.25">
      <c r="A58" s="17" t="str">
        <f ca="1">IFERROR(__xludf.DUMMYFUNCTION("""COMPUTED_VALUE"""),"C1300-48FP-4G")</f>
        <v>C1300-48FP-4G</v>
      </c>
      <c r="B58" s="30">
        <f ca="1">IFERROR(__xludf.DUMMYFUNCTION("""COMPUTED_VALUE"""),2990.63)</f>
        <v>2990.63</v>
      </c>
      <c r="C58" s="17"/>
      <c r="D58" s="30">
        <f ca="1">IFERROR(__xludf.DUMMYFUNCTION("""COMPUTED_VALUE"""),2990.63)</f>
        <v>2990.63</v>
      </c>
    </row>
    <row r="59" spans="1:4" ht="12.5" x14ac:dyDescent="0.25">
      <c r="A59" s="17" t="str">
        <f ca="1">IFERROR(__xludf.DUMMYFUNCTION("""COMPUTED_VALUE"""),"C1300-16P-4X")</f>
        <v>C1300-16P-4X</v>
      </c>
      <c r="B59" s="30">
        <f ca="1">IFERROR(__xludf.DUMMYFUNCTION("""COMPUTED_VALUE"""),1047.05)</f>
        <v>1047.05</v>
      </c>
      <c r="C59" s="17"/>
      <c r="D59" s="30">
        <f ca="1">IFERROR(__xludf.DUMMYFUNCTION("""COMPUTED_VALUE"""),1047.05)</f>
        <v>1047.05</v>
      </c>
    </row>
    <row r="60" spans="1:4" ht="12.5" x14ac:dyDescent="0.25">
      <c r="A60" s="17" t="str">
        <f ca="1">IFERROR(__xludf.DUMMYFUNCTION("""COMPUTED_VALUE"""),"C1300-24T-4X")</f>
        <v>C1300-24T-4X</v>
      </c>
      <c r="B60" s="30">
        <f ca="1">IFERROR(__xludf.DUMMYFUNCTION("""COMPUTED_VALUE"""),1403.2)</f>
        <v>1403.2</v>
      </c>
      <c r="C60" s="17"/>
      <c r="D60" s="30">
        <f ca="1">IFERROR(__xludf.DUMMYFUNCTION("""COMPUTED_VALUE"""),1403.2)</f>
        <v>1403.2</v>
      </c>
    </row>
    <row r="61" spans="1:4" ht="12.5" x14ac:dyDescent="0.25">
      <c r="A61" s="17" t="str">
        <f ca="1">IFERROR(__xludf.DUMMYFUNCTION("""COMPUTED_VALUE"""),"C1300-24P-4X")</f>
        <v>C1300-24P-4X</v>
      </c>
      <c r="B61" s="30">
        <f ca="1">IFERROR(__xludf.DUMMYFUNCTION("""COMPUTED_VALUE"""),1674.32)</f>
        <v>1674.32</v>
      </c>
      <c r="C61" s="17"/>
      <c r="D61" s="30">
        <f ca="1">IFERROR(__xludf.DUMMYFUNCTION("""COMPUTED_VALUE"""),1674.32)</f>
        <v>1674.32</v>
      </c>
    </row>
    <row r="62" spans="1:4" ht="12.5" x14ac:dyDescent="0.25">
      <c r="A62" s="17" t="str">
        <f ca="1">IFERROR(__xludf.DUMMYFUNCTION("""COMPUTED_VALUE"""),"C1300-24FP-4X")</f>
        <v>C1300-24FP-4X</v>
      </c>
      <c r="B62" s="30">
        <f ca="1">IFERROR(__xludf.DUMMYFUNCTION("""COMPUTED_VALUE"""),2278.26)</f>
        <v>2278.2600000000002</v>
      </c>
      <c r="C62" s="17"/>
      <c r="D62" s="30">
        <f ca="1">IFERROR(__xludf.DUMMYFUNCTION("""COMPUTED_VALUE"""),2278.26)</f>
        <v>2278.2600000000002</v>
      </c>
    </row>
    <row r="63" spans="1:4" ht="12.5" x14ac:dyDescent="0.25">
      <c r="A63" s="17" t="str">
        <f ca="1">IFERROR(__xludf.DUMMYFUNCTION("""COMPUTED_VALUE"""),"C1300-48T-4X")</f>
        <v>C1300-48T-4X</v>
      </c>
      <c r="B63" s="30">
        <f ca="1">IFERROR(__xludf.DUMMYFUNCTION("""COMPUTED_VALUE"""),2202.72)</f>
        <v>2202.7199999999998</v>
      </c>
      <c r="C63" s="17"/>
      <c r="D63" s="30">
        <f ca="1">IFERROR(__xludf.DUMMYFUNCTION("""COMPUTED_VALUE"""),2202.72)</f>
        <v>2202.7199999999998</v>
      </c>
    </row>
    <row r="64" spans="1:4" ht="12.5" x14ac:dyDescent="0.25">
      <c r="A64" s="17" t="str">
        <f ca="1">IFERROR(__xludf.DUMMYFUNCTION("""COMPUTED_VALUE"""),"C1300-48P-4X")</f>
        <v>C1300-48P-4X</v>
      </c>
      <c r="B64" s="30">
        <f ca="1">IFERROR(__xludf.DUMMYFUNCTION("""COMPUTED_VALUE"""),2733.04)</f>
        <v>2733.04</v>
      </c>
      <c r="C64" s="17"/>
      <c r="D64" s="30">
        <f ca="1">IFERROR(__xludf.DUMMYFUNCTION("""COMPUTED_VALUE"""),2733.04)</f>
        <v>2733.04</v>
      </c>
    </row>
    <row r="65" spans="1:4" ht="12.5" x14ac:dyDescent="0.25">
      <c r="A65" s="17" t="str">
        <f ca="1">IFERROR(__xludf.DUMMYFUNCTION("""COMPUTED_VALUE"""),"C1300-48FP-4X")</f>
        <v>C1300-48FP-4X</v>
      </c>
      <c r="B65" s="30">
        <f ca="1">IFERROR(__xludf.DUMMYFUNCTION("""COMPUTED_VALUE"""),3526.47)</f>
        <v>3526.47</v>
      </c>
      <c r="C65" s="17"/>
      <c r="D65" s="30">
        <f ca="1">IFERROR(__xludf.DUMMYFUNCTION("""COMPUTED_VALUE"""),3526.47)</f>
        <v>3526.47</v>
      </c>
    </row>
    <row r="66" spans="1:4" ht="12.5" x14ac:dyDescent="0.25">
      <c r="A66" s="17" t="str">
        <f ca="1">IFERROR(__xludf.DUMMYFUNCTION("""COMPUTED_VALUE"""),"C1300-12XT-2X")</f>
        <v>C1300-12XT-2X</v>
      </c>
      <c r="B66" s="30">
        <f ca="1">IFERROR(__xludf.DUMMYFUNCTION("""COMPUTED_VALUE"""),2418.18)</f>
        <v>2418.1799999999998</v>
      </c>
      <c r="C66" s="17"/>
      <c r="D66" s="30">
        <f ca="1">IFERROR(__xludf.DUMMYFUNCTION("""COMPUTED_VALUE"""),2418.18)</f>
        <v>2418.1799999999998</v>
      </c>
    </row>
    <row r="67" spans="1:4" ht="12.5" x14ac:dyDescent="0.25">
      <c r="A67" s="17" t="str">
        <f ca="1">IFERROR(__xludf.DUMMYFUNCTION("""COMPUTED_VALUE"""),"C1300-12XS")</f>
        <v>C1300-12XS</v>
      </c>
      <c r="B67" s="30">
        <f ca="1">IFERROR(__xludf.DUMMYFUNCTION("""COMPUTED_VALUE"""),2462.89)</f>
        <v>2462.89</v>
      </c>
      <c r="C67" s="17"/>
      <c r="D67" s="30">
        <f ca="1">IFERROR(__xludf.DUMMYFUNCTION("""COMPUTED_VALUE"""),2462.89)</f>
        <v>2462.89</v>
      </c>
    </row>
    <row r="68" spans="1:4" ht="12.5" x14ac:dyDescent="0.25">
      <c r="A68" s="17" t="str">
        <f ca="1">IFERROR(__xludf.DUMMYFUNCTION("""COMPUTED_VALUE"""),"C1300-16XTS")</f>
        <v>C1300-16XTS</v>
      </c>
      <c r="B68" s="30">
        <f ca="1">IFERROR(__xludf.DUMMYFUNCTION("""COMPUTED_VALUE"""),3849.34)</f>
        <v>3849.34</v>
      </c>
      <c r="C68" s="17"/>
      <c r="D68" s="30">
        <f ca="1">IFERROR(__xludf.DUMMYFUNCTION("""COMPUTED_VALUE"""),3849.34)</f>
        <v>3849.34</v>
      </c>
    </row>
    <row r="69" spans="1:4" ht="12.5" x14ac:dyDescent="0.25">
      <c r="A69" s="17" t="str">
        <f ca="1">IFERROR(__xludf.DUMMYFUNCTION("""COMPUTED_VALUE"""),"C1300-24XS")</f>
        <v>C1300-24XS</v>
      </c>
      <c r="B69" s="30">
        <f ca="1">IFERROR(__xludf.DUMMYFUNCTION("""COMPUTED_VALUE"""),3983.44)</f>
        <v>3983.44</v>
      </c>
      <c r="C69" s="17"/>
      <c r="D69" s="30">
        <f ca="1">IFERROR(__xludf.DUMMYFUNCTION("""COMPUTED_VALUE"""),3983.44)</f>
        <v>3983.44</v>
      </c>
    </row>
    <row r="70" spans="1:4" ht="12.5" x14ac:dyDescent="0.25">
      <c r="A70" s="17" t="str">
        <f ca="1">IFERROR(__xludf.DUMMYFUNCTION("""COMPUTED_VALUE"""),"C1300-24XT")</f>
        <v>C1300-24XT</v>
      </c>
      <c r="B70" s="30">
        <f ca="1">IFERROR(__xludf.DUMMYFUNCTION("""COMPUTED_VALUE"""),5118.44)</f>
        <v>5118.4399999999996</v>
      </c>
      <c r="C70" s="17"/>
      <c r="D70" s="30">
        <f ca="1">IFERROR(__xludf.DUMMYFUNCTION("""COMPUTED_VALUE"""),5118.44)</f>
        <v>5118.4399999999996</v>
      </c>
    </row>
    <row r="71" spans="1:4" ht="12.5" x14ac:dyDescent="0.25">
      <c r="A71" s="17" t="str">
        <f ca="1">IFERROR(__xludf.DUMMYFUNCTION("""COMPUTED_VALUE"""),"C1300-24XTS")</f>
        <v>C1300-24XTS</v>
      </c>
      <c r="B71" s="30">
        <f ca="1">IFERROR(__xludf.DUMMYFUNCTION("""COMPUTED_VALUE"""),4937.7)</f>
        <v>4937.7</v>
      </c>
      <c r="C71" s="17"/>
      <c r="D71" s="30">
        <f ca="1">IFERROR(__xludf.DUMMYFUNCTION("""COMPUTED_VALUE"""),4937.7)</f>
        <v>4937.7</v>
      </c>
    </row>
    <row r="72" spans="1:4" ht="12.5" x14ac:dyDescent="0.25">
      <c r="A72" s="17" t="str">
        <f ca="1">IFERROR(__xludf.DUMMYFUNCTION("""COMPUTED_VALUE"""),"C1300X-24T-4X")</f>
        <v>C1300X-24T-4X</v>
      </c>
      <c r="B72" s="30">
        <f ca="1">IFERROR(__xludf.DUMMYFUNCTION("""COMPUTED_VALUE"""),1187.92)</f>
        <v>1187.92</v>
      </c>
      <c r="C72" s="17"/>
      <c r="D72" s="30">
        <f ca="1">IFERROR(__xludf.DUMMYFUNCTION("""COMPUTED_VALUE"""),1187.92)</f>
        <v>1187.92</v>
      </c>
    </row>
    <row r="73" spans="1:4" ht="12.5" x14ac:dyDescent="0.25">
      <c r="A73" s="17" t="str">
        <f ca="1">IFERROR(__xludf.DUMMYFUNCTION("""COMPUTED_VALUE"""),"C1300X-48T-4X")</f>
        <v>C1300X-48T-4X</v>
      </c>
      <c r="B73" s="30">
        <f ca="1">IFERROR(__xludf.DUMMYFUNCTION("""COMPUTED_VALUE"""),1723.05)</f>
        <v>1723.05</v>
      </c>
      <c r="C73" s="17"/>
      <c r="D73" s="30">
        <f ca="1">IFERROR(__xludf.DUMMYFUNCTION("""COMPUTED_VALUE"""),1723.05)</f>
        <v>1723.05</v>
      </c>
    </row>
    <row r="74" spans="1:4" ht="12.5" x14ac:dyDescent="0.25">
      <c r="A74" s="17" t="str">
        <f ca="1">IFERROR(__xludf.DUMMYFUNCTION("""COMPUTED_VALUE"""),"C1300X-24P-4X")</f>
        <v>C1300X-24P-4X</v>
      </c>
      <c r="B74" s="30">
        <f ca="1">IFERROR(__xludf.DUMMYFUNCTION("""COMPUTED_VALUE"""),1925.65)</f>
        <v>1925.65</v>
      </c>
      <c r="C74" s="17"/>
      <c r="D74" s="30">
        <f ca="1">IFERROR(__xludf.DUMMYFUNCTION("""COMPUTED_VALUE"""),1925.65)</f>
        <v>1925.65</v>
      </c>
    </row>
    <row r="75" spans="1:4" ht="12.5" x14ac:dyDescent="0.25">
      <c r="A75" s="17" t="str">
        <f ca="1">IFERROR(__xludf.DUMMYFUNCTION("""COMPUTED_VALUE"""),"C1300X-48P-4X")</f>
        <v>C1300X-48P-4X</v>
      </c>
      <c r="B75" s="30">
        <f ca="1">IFERROR(__xludf.DUMMYFUNCTION("""COMPUTED_VALUE"""),2982.58)</f>
        <v>2982.58</v>
      </c>
      <c r="C75" s="17"/>
      <c r="D75" s="30">
        <f ca="1">IFERROR(__xludf.DUMMYFUNCTION("""COMPUTED_VALUE"""),2982.58)</f>
        <v>2982.58</v>
      </c>
    </row>
    <row r="76" spans="1:4" ht="12.5" x14ac:dyDescent="0.25">
      <c r="A76" s="17" t="str">
        <f ca="1">IFERROR(__xludf.DUMMYFUNCTION("""COMPUTED_VALUE"""),"C9500-32C")</f>
        <v>C9500-32C</v>
      </c>
      <c r="B76" s="30">
        <f ca="1">IFERROR(__xludf.DUMMYFUNCTION("""COMPUTED_VALUE"""),85280.32)</f>
        <v>85280.320000000007</v>
      </c>
      <c r="C76" s="17"/>
      <c r="D76" s="30">
        <f ca="1">IFERROR(__xludf.DUMMYFUNCTION("""COMPUTED_VALUE"""),85280.32)</f>
        <v>85280.320000000007</v>
      </c>
    </row>
    <row r="77" spans="1:4" ht="12.5" x14ac:dyDescent="0.25">
      <c r="A77" s="17" t="str">
        <f ca="1">IFERROR(__xludf.DUMMYFUNCTION("""COMPUTED_VALUE"""),"C9500-32QC")</f>
        <v>C9500-32QC</v>
      </c>
      <c r="B77" s="30">
        <f ca="1">IFERROR(__xludf.DUMMYFUNCTION("""COMPUTED_VALUE"""),76987.18)</f>
        <v>76987.179999999993</v>
      </c>
      <c r="C77" s="17"/>
      <c r="D77" s="30">
        <f ca="1">IFERROR(__xludf.DUMMYFUNCTION("""COMPUTED_VALUE"""),76987.18)</f>
        <v>76987.179999999993</v>
      </c>
    </row>
    <row r="78" spans="1:4" ht="12.5" x14ac:dyDescent="0.25">
      <c r="A78" s="17" t="str">
        <f ca="1">IFERROR(__xludf.DUMMYFUNCTION("""COMPUTED_VALUE"""),"C9500-48Y4C")</f>
        <v>C9500-48Y4C</v>
      </c>
      <c r="B78" s="30">
        <f ca="1">IFERROR(__xludf.DUMMYFUNCTION("""COMPUTED_VALUE"""),65076.01)</f>
        <v>65076.01</v>
      </c>
      <c r="C78" s="17"/>
      <c r="D78" s="30">
        <f ca="1">IFERROR(__xludf.DUMMYFUNCTION("""COMPUTED_VALUE"""),65076.01)</f>
        <v>65076.01</v>
      </c>
    </row>
    <row r="79" spans="1:4" ht="12.5" x14ac:dyDescent="0.25">
      <c r="A79" s="17" t="str">
        <f ca="1">IFERROR(__xludf.DUMMYFUNCTION("""COMPUTED_VALUE"""),"C9500-24Y4C")</f>
        <v>C9500-24Y4C</v>
      </c>
      <c r="B79" s="30">
        <f ca="1">IFERROR(__xludf.DUMMYFUNCTION("""COMPUTED_VALUE"""),54433.3)</f>
        <v>54433.3</v>
      </c>
      <c r="C79" s="17"/>
      <c r="D79" s="30">
        <f ca="1">IFERROR(__xludf.DUMMYFUNCTION("""COMPUTED_VALUE"""),54433.3)</f>
        <v>54433.3</v>
      </c>
    </row>
    <row r="80" spans="1:4" ht="12.5" x14ac:dyDescent="0.25">
      <c r="A80" s="17" t="str">
        <f ca="1">IFERROR(__xludf.DUMMYFUNCTION("""COMPUTED_VALUE"""),"C9500X-28C8D")</f>
        <v>C9500X-28C8D</v>
      </c>
      <c r="B80" s="30">
        <f ca="1">IFERROR(__xludf.DUMMYFUNCTION("""COMPUTED_VALUE"""),166221.42)</f>
        <v>166221.42000000001</v>
      </c>
      <c r="C80" s="17"/>
      <c r="D80" s="30">
        <f ca="1">IFERROR(__xludf.DUMMYFUNCTION("""COMPUTED_VALUE"""),166221.42)</f>
        <v>166221.42000000001</v>
      </c>
    </row>
    <row r="81" spans="1:4" ht="12.5" x14ac:dyDescent="0.25">
      <c r="A81" s="17" t="str">
        <f ca="1">IFERROR(__xludf.DUMMYFUNCTION("""COMPUTED_VALUE"""),"C9500X-60L4D")</f>
        <v>C9500X-60L4D</v>
      </c>
      <c r="B81" s="30">
        <f ca="1">IFERROR(__xludf.DUMMYFUNCTION("""COMPUTED_VALUE"""),127832.66)</f>
        <v>127832.66</v>
      </c>
      <c r="C81" s="17"/>
      <c r="D81" s="30">
        <f ca="1">IFERROR(__xludf.DUMMYFUNCTION("""COMPUTED_VALUE"""),127832.66)</f>
        <v>127832.66</v>
      </c>
    </row>
    <row r="82" spans="1:4" ht="12.5" x14ac:dyDescent="0.25">
      <c r="A82" s="17" t="str">
        <f ca="1">IFERROR(__xludf.DUMMYFUNCTION("""COMPUTED_VALUE"""),"APIC-CLUSTERG5")</f>
        <v>APIC-CLUSTERG5</v>
      </c>
      <c r="B82" s="30">
        <f ca="1">IFERROR(__xludf.DUMMYFUNCTION("""COMPUTED_VALUE"""),161856.78)</f>
        <v>161856.78</v>
      </c>
      <c r="C82" s="17"/>
      <c r="D82" s="30">
        <f ca="1">IFERROR(__xludf.DUMMYFUNCTION("""COMPUTED_VALUE"""),161856.78)</f>
        <v>161856.78</v>
      </c>
    </row>
    <row r="83" spans="1:4" ht="12.5" x14ac:dyDescent="0.25">
      <c r="A83" s="17" t="str">
        <f ca="1">IFERROR(__xludf.DUMMYFUNCTION("""COMPUTED_VALUE"""),"N9K-C9504")</f>
        <v>N9K-C9504</v>
      </c>
      <c r="B83" s="30">
        <f ca="1">IFERROR(__xludf.DUMMYFUNCTION("""COMPUTED_VALUE"""),361526.13)</f>
        <v>361526.13</v>
      </c>
      <c r="C83" s="17"/>
      <c r="D83" s="30">
        <f ca="1">IFERROR(__xludf.DUMMYFUNCTION("""COMPUTED_VALUE"""),361526.13)</f>
        <v>361526.13</v>
      </c>
    </row>
    <row r="84" spans="1:4" ht="12.5" x14ac:dyDescent="0.25">
      <c r="A84" s="17" t="str">
        <f ca="1">IFERROR(__xludf.DUMMYFUNCTION("""COMPUTED_VALUE"""),"N9K-X9736C-FX3=")</f>
        <v>N9K-X9736C-FX3=</v>
      </c>
      <c r="B84" s="30">
        <f ca="1">IFERROR(__xludf.DUMMYFUNCTION("""COMPUTED_VALUE"""),56066.35)</f>
        <v>56066.35</v>
      </c>
      <c r="C84" s="17"/>
      <c r="D84" s="30">
        <f ca="1">IFERROR(__xludf.DUMMYFUNCTION("""COMPUTED_VALUE"""),56066.35)</f>
        <v>56066.35</v>
      </c>
    </row>
    <row r="85" spans="1:4" ht="12.5" x14ac:dyDescent="0.25">
      <c r="A85" s="17" t="str">
        <f ca="1">IFERROR(__xludf.DUMMYFUNCTION("""COMPUTED_VALUE"""),"N9K-C93600CD-GX")</f>
        <v>N9K-C93600CD-GX</v>
      </c>
      <c r="B85" s="30">
        <f ca="1">IFERROR(__xludf.DUMMYFUNCTION("""COMPUTED_VALUE"""),118659.89)</f>
        <v>118659.89</v>
      </c>
      <c r="C85" s="17"/>
      <c r="D85" s="30">
        <f ca="1">IFERROR(__xludf.DUMMYFUNCTION("""COMPUTED_VALUE"""),118659.89)</f>
        <v>118659.89</v>
      </c>
    </row>
    <row r="86" spans="1:4" ht="12.5" x14ac:dyDescent="0.25">
      <c r="A86" s="17" t="str">
        <f ca="1">IFERROR(__xludf.DUMMYFUNCTION("""COMPUTED_VALUE"""),"N9K-C93180YC-FX3")</f>
        <v>N9K-C93180YC-FX3</v>
      </c>
      <c r="B86" s="30">
        <f ca="1">IFERROR(__xludf.DUMMYFUNCTION("""COMPUTED_VALUE"""),69697.92)</f>
        <v>69697.919999999998</v>
      </c>
      <c r="C86" s="17"/>
      <c r="D86" s="30">
        <f ca="1">IFERROR(__xludf.DUMMYFUNCTION("""COMPUTED_VALUE"""),69697.92)</f>
        <v>69697.919999999998</v>
      </c>
    </row>
    <row r="87" spans="1:4" ht="12.5" x14ac:dyDescent="0.25">
      <c r="A87" s="17" t="str">
        <f ca="1">IFERROR(__xludf.DUMMYFUNCTION("""COMPUTED_VALUE"""),"N9K-C9348GC-FX3")</f>
        <v>N9K-C9348GC-FX3</v>
      </c>
      <c r="B87" s="30">
        <f ca="1">IFERROR(__xludf.DUMMYFUNCTION("""COMPUTED_VALUE"""),30084.92)</f>
        <v>30084.92</v>
      </c>
      <c r="C87" s="17"/>
      <c r="D87" s="30">
        <f ca="1">IFERROR(__xludf.DUMMYFUNCTION("""COMPUTED_VALUE"""),30084.92)</f>
        <v>30084.92</v>
      </c>
    </row>
    <row r="88" spans="1:4" ht="12.5" x14ac:dyDescent="0.25">
      <c r="A88" s="17" t="str">
        <f ca="1">IFERROR(__xludf.DUMMYFUNCTION("""COMPUTED_VALUE"""),"QSFP-100G-LR-S=")</f>
        <v>QSFP-100G-LR-S=</v>
      </c>
      <c r="B88" s="30">
        <f ca="1">IFERROR(__xludf.DUMMYFUNCTION("""COMPUTED_VALUE"""),4130.83)</f>
        <v>4130.83</v>
      </c>
      <c r="C88" s="17"/>
      <c r="D88" s="30">
        <f ca="1">IFERROR(__xludf.DUMMYFUNCTION("""COMPUTED_VALUE"""),4130.83)</f>
        <v>4130.83</v>
      </c>
    </row>
    <row r="89" spans="1:4" ht="12.5" x14ac:dyDescent="0.25">
      <c r="A89" s="17" t="str">
        <f ca="1">IFERROR(__xludf.DUMMYFUNCTION("""COMPUTED_VALUE"""),"C1161X-8P")</f>
        <v>C1161X-8P</v>
      </c>
      <c r="B89" s="30">
        <f ca="1">IFERROR(__xludf.DUMMYFUNCTION("""COMPUTED_VALUE"""),10544.1899999999)</f>
        <v>10544.1899999999</v>
      </c>
      <c r="C89" s="17"/>
      <c r="D89" s="30">
        <f ca="1">IFERROR(__xludf.DUMMYFUNCTION("""COMPUTED_VALUE"""),10544.1899999999)</f>
        <v>10544.1899999999</v>
      </c>
    </row>
    <row r="90" spans="1:4" ht="12.5" x14ac:dyDescent="0.25">
      <c r="A90" s="17" t="str">
        <f ca="1">IFERROR(__xludf.DUMMYFUNCTION("""COMPUTED_VALUE"""),"C1127-8PLTEP")</f>
        <v>C1127-8PLTEP</v>
      </c>
      <c r="B90" s="30">
        <f ca="1">IFERROR(__xludf.DUMMYFUNCTION("""COMPUTED_VALUE"""),9119.72)</f>
        <v>9119.7199999999993</v>
      </c>
      <c r="C90" s="17"/>
      <c r="D90" s="30">
        <f ca="1">IFERROR(__xludf.DUMMYFUNCTION("""COMPUTED_VALUE"""),9119.72)</f>
        <v>9119.7199999999993</v>
      </c>
    </row>
    <row r="91" spans="1:4" ht="12.5" x14ac:dyDescent="0.25">
      <c r="A91" s="17" t="str">
        <f ca="1">IFERROR(__xludf.DUMMYFUNCTION("""COMPUTED_VALUE"""),"C1117-4P")</f>
        <v>C1117-4P</v>
      </c>
      <c r="B91" s="30">
        <f ca="1">IFERROR(__xludf.DUMMYFUNCTION("""COMPUTED_VALUE"""),8670.43999999999)</f>
        <v>8670.4399999999896</v>
      </c>
      <c r="C91" s="17"/>
      <c r="D91" s="30">
        <f ca="1">IFERROR(__xludf.DUMMYFUNCTION("""COMPUTED_VALUE"""),8670.43999999999)</f>
        <v>8670.4399999999896</v>
      </c>
    </row>
    <row r="92" spans="1:4" ht="12.5" x14ac:dyDescent="0.25">
      <c r="A92" s="17" t="str">
        <f ca="1">IFERROR(__xludf.DUMMYFUNCTION("""COMPUTED_VALUE"""),"C1109-4PLTE2P")</f>
        <v>C1109-4PLTE2P</v>
      </c>
      <c r="B92" s="30">
        <f ca="1">IFERROR(__xludf.DUMMYFUNCTION("""COMPUTED_VALUE"""),9255.74)</f>
        <v>9255.74</v>
      </c>
      <c r="C92" s="17"/>
      <c r="D92" s="30">
        <f ca="1">IFERROR(__xludf.DUMMYFUNCTION("""COMPUTED_VALUE"""),9255.74)</f>
        <v>9255.74</v>
      </c>
    </row>
    <row r="93" spans="1:4" ht="12.5" x14ac:dyDescent="0.25">
      <c r="A93" s="17" t="str">
        <f ca="1">IFERROR(__xludf.DUMMYFUNCTION("""COMPUTED_VALUE"""),"C1161-8P")</f>
        <v>C1161-8P</v>
      </c>
      <c r="B93" s="30">
        <f ca="1">IFERROR(__xludf.DUMMYFUNCTION("""COMPUTED_VALUE"""),9295.63)</f>
        <v>9295.6299999999992</v>
      </c>
      <c r="C93" s="17"/>
      <c r="D93" s="30">
        <f ca="1">IFERROR(__xludf.DUMMYFUNCTION("""COMPUTED_VALUE"""),9295.63)</f>
        <v>9295.6299999999992</v>
      </c>
    </row>
    <row r="94" spans="1:4" ht="12.5" x14ac:dyDescent="0.25">
      <c r="A94" s="17" t="str">
        <f ca="1">IFERROR(__xludf.DUMMYFUNCTION("""COMPUTED_VALUE"""),"C1131-8PWS")</f>
        <v>C1131-8PWS</v>
      </c>
      <c r="B94" s="30">
        <f ca="1">IFERROR(__xludf.DUMMYFUNCTION("""COMPUTED_VALUE"""),9167.72)</f>
        <v>9167.7199999999993</v>
      </c>
      <c r="C94" s="17"/>
      <c r="D94" s="30">
        <f ca="1">IFERROR(__xludf.DUMMYFUNCTION("""COMPUTED_VALUE"""),9167.72)</f>
        <v>9167.7199999999993</v>
      </c>
    </row>
    <row r="95" spans="1:4" ht="12.5" x14ac:dyDescent="0.25">
      <c r="A95" s="17" t="str">
        <f ca="1">IFERROR(__xludf.DUMMYFUNCTION("""COMPUTED_VALUE"""),"C1131X-8PWS")</f>
        <v>C1131X-8PWS</v>
      </c>
      <c r="B95" s="30">
        <f ca="1">IFERROR(__xludf.DUMMYFUNCTION("""COMPUTED_VALUE"""),9409.5)</f>
        <v>9409.5</v>
      </c>
      <c r="C95" s="17"/>
      <c r="D95" s="30">
        <f ca="1">IFERROR(__xludf.DUMMYFUNCTION("""COMPUTED_VALUE"""),9409.5)</f>
        <v>9409.5</v>
      </c>
    </row>
    <row r="96" spans="1:4" ht="12.5" x14ac:dyDescent="0.25">
      <c r="A96" s="17" t="str">
        <f ca="1">IFERROR(__xludf.DUMMYFUNCTION("""COMPUTED_VALUE"""),"C1121-4P")</f>
        <v>C1121-4P</v>
      </c>
      <c r="B96" s="30">
        <f ca="1">IFERROR(__xludf.DUMMYFUNCTION("""COMPUTED_VALUE"""),8116.29999999999)</f>
        <v>8116.2999999999902</v>
      </c>
      <c r="C96" s="17"/>
      <c r="D96" s="30">
        <f ca="1">IFERROR(__xludf.DUMMYFUNCTION("""COMPUTED_VALUE"""),8116.29999999999)</f>
        <v>8116.2999999999902</v>
      </c>
    </row>
    <row r="97" spans="1:4" ht="12.5" x14ac:dyDescent="0.25">
      <c r="A97" s="17" t="str">
        <f ca="1">IFERROR(__xludf.DUMMYFUNCTION("""COMPUTED_VALUE"""),"C1121-8P")</f>
        <v>C1121-8P</v>
      </c>
      <c r="B97" s="30">
        <f ca="1">IFERROR(__xludf.DUMMYFUNCTION("""COMPUTED_VALUE"""),8446.06)</f>
        <v>8446.06</v>
      </c>
      <c r="C97" s="17"/>
      <c r="D97" s="30">
        <f ca="1">IFERROR(__xludf.DUMMYFUNCTION("""COMPUTED_VALUE"""),8446.06)</f>
        <v>8446.06</v>
      </c>
    </row>
    <row r="98" spans="1:4" ht="12.5" x14ac:dyDescent="0.25">
      <c r="A98" s="17" t="str">
        <f ca="1">IFERROR(__xludf.DUMMYFUNCTION("""COMPUTED_VALUE"""),"C1116-4P")</f>
        <v>C1116-4P</v>
      </c>
      <c r="B98" s="30">
        <f ca="1">IFERROR(__xludf.DUMMYFUNCTION("""COMPUTED_VALUE"""),8670.43999999999)</f>
        <v>8670.4399999999896</v>
      </c>
      <c r="C98" s="17"/>
      <c r="D98" s="30">
        <f ca="1">IFERROR(__xludf.DUMMYFUNCTION("""COMPUTED_VALUE"""),8670.43999999999)</f>
        <v>8670.4399999999896</v>
      </c>
    </row>
    <row r="99" spans="1:4" ht="12.5" x14ac:dyDescent="0.25">
      <c r="A99" s="17" t="str">
        <f ca="1">IFERROR(__xludf.DUMMYFUNCTION("""COMPUTED_VALUE"""),"C1112-8P")</f>
        <v>C1112-8P</v>
      </c>
      <c r="B99" s="30">
        <f ca="1">IFERROR(__xludf.DUMMYFUNCTION("""COMPUTED_VALUE"""),9786.58)</f>
        <v>9786.58</v>
      </c>
      <c r="C99" s="17"/>
      <c r="D99" s="30">
        <f ca="1">IFERROR(__xludf.DUMMYFUNCTION("""COMPUTED_VALUE"""),9786.58)</f>
        <v>9786.58</v>
      </c>
    </row>
    <row r="100" spans="1:4" ht="12.5" x14ac:dyDescent="0.25">
      <c r="A100" s="17" t="str">
        <f ca="1">IFERROR(__xludf.DUMMYFUNCTION("""COMPUTED_VALUE"""),"C8355-G2 (Default Routing)")</f>
        <v>C8355-G2 (Default Routing)</v>
      </c>
      <c r="B100" s="30">
        <f ca="1">IFERROR(__xludf.DUMMYFUNCTION("""COMPUTED_VALUE"""),26043.76)</f>
        <v>26043.759999999998</v>
      </c>
      <c r="C100" s="17"/>
      <c r="D100" s="30">
        <f ca="1">IFERROR(__xludf.DUMMYFUNCTION("""COMPUTED_VALUE"""),26043.76)</f>
        <v>26043.759999999998</v>
      </c>
    </row>
    <row r="101" spans="1:4" ht="12.5" x14ac:dyDescent="0.25">
      <c r="A101" s="17" t="str">
        <f ca="1">IFERROR(__xludf.DUMMYFUNCTION("""COMPUTED_VALUE"""),"C8355-G2 (Adv Routing)")</f>
        <v>C8355-G2 (Adv Routing)</v>
      </c>
      <c r="B101" s="30">
        <f ca="1">IFERROR(__xludf.DUMMYFUNCTION("""COMPUTED_VALUE"""),36123.7599999999)</f>
        <v>36123.7599999999</v>
      </c>
      <c r="C101" s="17"/>
      <c r="D101" s="30">
        <f ca="1">IFERROR(__xludf.DUMMYFUNCTION("""COMPUTED_VALUE"""),36123.7599999999)</f>
        <v>36123.7599999999</v>
      </c>
    </row>
    <row r="102" spans="1:4" ht="12.5" x14ac:dyDescent="0.25">
      <c r="A102" s="17" t="str">
        <f ca="1">IFERROR(__xludf.DUMMYFUNCTION("""COMPUTED_VALUE"""),"C8355-G2 (SDWAN)")</f>
        <v>C8355-G2 (SDWAN)</v>
      </c>
      <c r="B102" s="30">
        <f ca="1">IFERROR(__xludf.DUMMYFUNCTION("""COMPUTED_VALUE"""),40227.7599999999)</f>
        <v>40227.7599999999</v>
      </c>
      <c r="C102" s="17"/>
      <c r="D102" s="30">
        <f ca="1">IFERROR(__xludf.DUMMYFUNCTION("""COMPUTED_VALUE"""),40227.7599999999)</f>
        <v>40227.7599999999</v>
      </c>
    </row>
    <row r="103" spans="1:4" ht="12.5" x14ac:dyDescent="0.25">
      <c r="A103" s="17" t="str">
        <f ca="1">IFERROR(__xludf.DUMMYFUNCTION("""COMPUTED_VALUE"""),"C8355-G2 (Full Adds On)")</f>
        <v>C8355-G2 (Full Adds On)</v>
      </c>
      <c r="B103" s="30">
        <f ca="1">IFERROR(__xludf.DUMMYFUNCTION("""COMPUTED_VALUE"""),42063.7599999999)</f>
        <v>42063.7599999999</v>
      </c>
      <c r="C103" s="17"/>
      <c r="D103" s="30">
        <f ca="1">IFERROR(__xludf.DUMMYFUNCTION("""COMPUTED_VALUE"""),42063.7599999999)</f>
        <v>42063.7599999999</v>
      </c>
    </row>
    <row r="104" spans="1:4" ht="12.5" x14ac:dyDescent="0.25">
      <c r="A104" s="17" t="str">
        <f ca="1">IFERROR(__xludf.DUMMYFUNCTION("""COMPUTED_VALUE"""),"C8375-E-G2 (Default Routing)")</f>
        <v>C8375-E-G2 (Default Routing)</v>
      </c>
      <c r="B104" s="30">
        <f ca="1">IFERROR(__xludf.DUMMYFUNCTION("""COMPUTED_VALUE"""),44396.56)</f>
        <v>44396.56</v>
      </c>
      <c r="C104" s="17"/>
      <c r="D104" s="30">
        <f ca="1">IFERROR(__xludf.DUMMYFUNCTION("""COMPUTED_VALUE"""),44396.56)</f>
        <v>44396.56</v>
      </c>
    </row>
    <row r="105" spans="1:4" ht="12.5" x14ac:dyDescent="0.25">
      <c r="A105" s="17" t="str">
        <f ca="1">IFERROR(__xludf.DUMMYFUNCTION("""COMPUTED_VALUE"""),"C8375-E-G2 (Adv Routing)")</f>
        <v>C8375-E-G2 (Adv Routing)</v>
      </c>
      <c r="B105" s="30">
        <f ca="1">IFERROR(__xludf.DUMMYFUNCTION("""COMPUTED_VALUE"""),54476.56)</f>
        <v>54476.56</v>
      </c>
      <c r="C105" s="17"/>
      <c r="D105" s="30">
        <f ca="1">IFERROR(__xludf.DUMMYFUNCTION("""COMPUTED_VALUE"""),54476.56)</f>
        <v>54476.56</v>
      </c>
    </row>
    <row r="106" spans="1:4" ht="12.5" x14ac:dyDescent="0.25">
      <c r="A106" s="17" t="str">
        <f ca="1">IFERROR(__xludf.DUMMYFUNCTION("""COMPUTED_VALUE"""),"C8375-E-G2 (SDWAN)")</f>
        <v>C8375-E-G2 (SDWAN)</v>
      </c>
      <c r="B106" s="30">
        <f ca="1">IFERROR(__xludf.DUMMYFUNCTION("""COMPUTED_VALUE"""),58580.56)</f>
        <v>58580.56</v>
      </c>
      <c r="C106" s="17"/>
      <c r="D106" s="30">
        <f ca="1">IFERROR(__xludf.DUMMYFUNCTION("""COMPUTED_VALUE"""),58580.56)</f>
        <v>58580.56</v>
      </c>
    </row>
    <row r="107" spans="1:4" ht="12.5" x14ac:dyDescent="0.25">
      <c r="A107" s="17" t="str">
        <f ca="1">IFERROR(__xludf.DUMMYFUNCTION("""COMPUTED_VALUE"""),"C8375-E-G2 (Full Adds On)")</f>
        <v>C8375-E-G2 (Full Adds On)</v>
      </c>
      <c r="B107" s="30">
        <f ca="1">IFERROR(__xludf.DUMMYFUNCTION("""COMPUTED_VALUE"""),60416.56)</f>
        <v>60416.56</v>
      </c>
      <c r="C107" s="17"/>
      <c r="D107" s="30">
        <f ca="1">IFERROR(__xludf.DUMMYFUNCTION("""COMPUTED_VALUE"""),60416.56)</f>
        <v>60416.56</v>
      </c>
    </row>
    <row r="108" spans="1:4" ht="12.5" x14ac:dyDescent="0.25">
      <c r="A108" s="17" t="str">
        <f ca="1">IFERROR(__xludf.DUMMYFUNCTION("""COMPUTED_VALUE"""),"C8550-G2 (Default Routing)")</f>
        <v>C8550-G2 (Default Routing)</v>
      </c>
      <c r="B108" s="30">
        <f ca="1">IFERROR(__xludf.DUMMYFUNCTION("""COMPUTED_VALUE"""),182038.62)</f>
        <v>182038.62</v>
      </c>
      <c r="C108" s="17"/>
      <c r="D108" s="30">
        <f ca="1">IFERROR(__xludf.DUMMYFUNCTION("""COMPUTED_VALUE"""),182038.62)</f>
        <v>182038.62</v>
      </c>
    </row>
    <row r="109" spans="1:4" ht="12.5" x14ac:dyDescent="0.25">
      <c r="A109" s="17" t="str">
        <f ca="1">IFERROR(__xludf.DUMMYFUNCTION("""COMPUTED_VALUE"""),"C8550-G2 (Adv Routing)")</f>
        <v>C8550-G2 (Adv Routing)</v>
      </c>
      <c r="B109" s="30">
        <f ca="1">IFERROR(__xludf.DUMMYFUNCTION("""COMPUTED_VALUE"""),215638.62)</f>
        <v>215638.62</v>
      </c>
      <c r="C109" s="17"/>
      <c r="D109" s="30">
        <f ca="1">IFERROR(__xludf.DUMMYFUNCTION("""COMPUTED_VALUE"""),215638.62)</f>
        <v>215638.62</v>
      </c>
    </row>
    <row r="110" spans="1:4" ht="12.5" x14ac:dyDescent="0.25">
      <c r="A110" s="17" t="str">
        <f ca="1">IFERROR(__xludf.DUMMYFUNCTION("""COMPUTED_VALUE"""),"C8550-G2 (SDWAN)")</f>
        <v>C8550-G2 (SDWAN)</v>
      </c>
      <c r="B110" s="30">
        <f ca="1">IFERROR(__xludf.DUMMYFUNCTION("""COMPUTED_VALUE"""),237226.62)</f>
        <v>237226.62</v>
      </c>
      <c r="C110" s="17"/>
      <c r="D110" s="30">
        <f ca="1">IFERROR(__xludf.DUMMYFUNCTION("""COMPUTED_VALUE"""),237226.62)</f>
        <v>237226.62</v>
      </c>
    </row>
    <row r="111" spans="1:4" ht="12.5" x14ac:dyDescent="0.25">
      <c r="A111" s="17" t="str">
        <f ca="1">IFERROR(__xludf.DUMMYFUNCTION("""COMPUTED_VALUE"""),"C8570-G2 (Default Routing)")</f>
        <v>C8570-G2 (Default Routing)</v>
      </c>
      <c r="B111" s="30">
        <f ca="1">IFERROR(__xludf.DUMMYFUNCTION("""COMPUTED_VALUE"""),254910.54)</f>
        <v>254910.54</v>
      </c>
      <c r="C111" s="17"/>
      <c r="D111" s="30">
        <f ca="1">IFERROR(__xludf.DUMMYFUNCTION("""COMPUTED_VALUE"""),254910.54)</f>
        <v>254910.54</v>
      </c>
    </row>
    <row r="112" spans="1:4" ht="12.5" x14ac:dyDescent="0.25">
      <c r="A112" s="17" t="str">
        <f ca="1">IFERROR(__xludf.DUMMYFUNCTION("""COMPUTED_VALUE"""),"C8570-G2 (Adv Routing)")</f>
        <v>C8570-G2 (Adv Routing)</v>
      </c>
      <c r="B112" s="30">
        <f ca="1">IFERROR(__xludf.DUMMYFUNCTION("""COMPUTED_VALUE"""),288510.54)</f>
        <v>288510.53999999998</v>
      </c>
      <c r="C112" s="17"/>
      <c r="D112" s="30">
        <f ca="1">IFERROR(__xludf.DUMMYFUNCTION("""COMPUTED_VALUE"""),288510.54)</f>
        <v>288510.53999999998</v>
      </c>
    </row>
    <row r="113" spans="1:4" ht="12.5" x14ac:dyDescent="0.25">
      <c r="A113" s="17" t="str">
        <f ca="1">IFERROR(__xludf.DUMMYFUNCTION("""COMPUTED_VALUE"""),"C8570-G2 (SDWAN)")</f>
        <v>C8570-G2 (SDWAN)</v>
      </c>
      <c r="B113" s="30">
        <f ca="1">IFERROR(__xludf.DUMMYFUNCTION("""COMPUTED_VALUE"""),310098.54)</f>
        <v>310098.53999999998</v>
      </c>
      <c r="C113" s="17"/>
      <c r="D113" s="30">
        <f ca="1">IFERROR(__xludf.DUMMYFUNCTION("""COMPUTED_VALUE"""),310098.54)</f>
        <v>310098.53999999998</v>
      </c>
    </row>
    <row r="114" spans="1:4" ht="12.5" x14ac:dyDescent="0.25">
      <c r="A114" s="17" t="str">
        <f ca="1">IFERROR(__xludf.DUMMYFUNCTION("""COMPUTED_VALUE"""),"C8455-G2 (Default Routing)")</f>
        <v>C8455-G2 (Default Routing)</v>
      </c>
      <c r="B114" s="30">
        <f ca="1">IFERROR(__xludf.DUMMYFUNCTION("""COMPUTED_VALUE"""),60581.28)</f>
        <v>60581.279999999999</v>
      </c>
      <c r="C114" s="17"/>
      <c r="D114" s="30">
        <f ca="1">IFERROR(__xludf.DUMMYFUNCTION("""COMPUTED_VALUE"""),60581.28)</f>
        <v>60581.279999999999</v>
      </c>
    </row>
    <row r="115" spans="1:4" ht="12.5" x14ac:dyDescent="0.25">
      <c r="A115" s="17" t="str">
        <f ca="1">IFERROR(__xludf.DUMMYFUNCTION("""COMPUTED_VALUE"""),"C8455-G2 (Adv Routing)")</f>
        <v>C8455-G2 (Adv Routing)</v>
      </c>
      <c r="B115" s="30">
        <f ca="1">IFERROR(__xludf.DUMMYFUNCTION("""COMPUTED_VALUE"""),94181.28)</f>
        <v>94181.28</v>
      </c>
      <c r="C115" s="17"/>
      <c r="D115" s="30">
        <f ca="1">IFERROR(__xludf.DUMMYFUNCTION("""COMPUTED_VALUE"""),94181.28)</f>
        <v>94181.28</v>
      </c>
    </row>
    <row r="116" spans="1:4" ht="12.5" x14ac:dyDescent="0.25">
      <c r="A116" s="17" t="str">
        <f ca="1">IFERROR(__xludf.DUMMYFUNCTION("""COMPUTED_VALUE"""),"C8455-G2 (SDWAN)")</f>
        <v>C8455-G2 (SDWAN)</v>
      </c>
      <c r="B116" s="30">
        <f ca="1">IFERROR(__xludf.DUMMYFUNCTION("""COMPUTED_VALUE"""),115769.28)</f>
        <v>115769.28</v>
      </c>
      <c r="C116" s="17"/>
      <c r="D116" s="30">
        <f ca="1">IFERROR(__xludf.DUMMYFUNCTION("""COMPUTED_VALUE"""),115769.28)</f>
        <v>115769.28</v>
      </c>
    </row>
    <row r="117" spans="1:4" ht="12.5" x14ac:dyDescent="0.25">
      <c r="A117" s="17" t="str">
        <f ca="1">IFERROR(__xludf.DUMMYFUNCTION("""COMPUTED_VALUE"""),"C8455-G2 (Full Adds On)")</f>
        <v>C8455-G2 (Full Adds On)</v>
      </c>
      <c r="B117" s="30">
        <f ca="1">IFERROR(__xludf.DUMMYFUNCTION("""COMPUTED_VALUE"""),119441.28)</f>
        <v>119441.28</v>
      </c>
      <c r="C117" s="17"/>
      <c r="D117" s="30">
        <f ca="1">IFERROR(__xludf.DUMMYFUNCTION("""COMPUTED_VALUE"""),119441.28)</f>
        <v>119441.28</v>
      </c>
    </row>
    <row r="118" spans="1:4" ht="12.5" x14ac:dyDescent="0.25">
      <c r="A118" s="17" t="str">
        <f ca="1">IFERROR(__xludf.DUMMYFUNCTION("""COMPUTED_VALUE"""),"C8475-G2 (Default Routing)")</f>
        <v>C8475-G2 (Default Routing)</v>
      </c>
      <c r="B118" s="30">
        <f ca="1">IFERROR(__xludf.DUMMYFUNCTION("""COMPUTED_VALUE"""),109166.7)</f>
        <v>109166.7</v>
      </c>
      <c r="C118" s="17"/>
      <c r="D118" s="30">
        <f ca="1">IFERROR(__xludf.DUMMYFUNCTION("""COMPUTED_VALUE"""),109166.7)</f>
        <v>109166.7</v>
      </c>
    </row>
    <row r="119" spans="1:4" ht="12.5" x14ac:dyDescent="0.25">
      <c r="A119" s="17" t="str">
        <f ca="1">IFERROR(__xludf.DUMMYFUNCTION("""COMPUTED_VALUE"""),"C8475-G2 (Adv Routing)")</f>
        <v>C8475-G2 (Adv Routing)</v>
      </c>
      <c r="B119" s="30">
        <f ca="1">IFERROR(__xludf.DUMMYFUNCTION("""COMPUTED_VALUE"""),142766.7)</f>
        <v>142766.70000000001</v>
      </c>
      <c r="C119" s="17"/>
      <c r="D119" s="30">
        <f ca="1">IFERROR(__xludf.DUMMYFUNCTION("""COMPUTED_VALUE"""),142766.7)</f>
        <v>142766.70000000001</v>
      </c>
    </row>
    <row r="120" spans="1:4" ht="12.5" x14ac:dyDescent="0.25">
      <c r="A120" s="17" t="str">
        <f ca="1">IFERROR(__xludf.DUMMYFUNCTION("""COMPUTED_VALUE"""),"C8475-G2 (SDWAN)")</f>
        <v>C8475-G2 (SDWAN)</v>
      </c>
      <c r="B120" s="30">
        <f ca="1">IFERROR(__xludf.DUMMYFUNCTION("""COMPUTED_VALUE"""),164354.7)</f>
        <v>164354.70000000001</v>
      </c>
      <c r="C120" s="17"/>
      <c r="D120" s="30">
        <f ca="1">IFERROR(__xludf.DUMMYFUNCTION("""COMPUTED_VALUE"""),164354.7)</f>
        <v>164354.70000000001</v>
      </c>
    </row>
    <row r="121" spans="1:4" ht="12.5" x14ac:dyDescent="0.25">
      <c r="A121" s="17" t="str">
        <f ca="1">IFERROR(__xludf.DUMMYFUNCTION("""COMPUTED_VALUE"""),"C8475-G2 (Full Adds On)")</f>
        <v>C8475-G2 (Full Adds On)</v>
      </c>
      <c r="B121" s="30">
        <f ca="1">IFERROR(__xludf.DUMMYFUNCTION("""COMPUTED_VALUE"""),168026.7)</f>
        <v>168026.7</v>
      </c>
      <c r="C121" s="17"/>
      <c r="D121" s="30">
        <f ca="1">IFERROR(__xludf.DUMMYFUNCTION("""COMPUTED_VALUE"""),168026.7)</f>
        <v>168026.7</v>
      </c>
    </row>
    <row r="122" spans="1:4" ht="12.5" x14ac:dyDescent="0.25">
      <c r="A122" s="17" t="str">
        <f ca="1">IFERROR(__xludf.DUMMYFUNCTION("""COMPUTED_VALUE"""),"C8235-E-G2 (Default Routing)")</f>
        <v>C8235-E-G2 (Default Routing)</v>
      </c>
      <c r="B122" s="30">
        <f ca="1">IFERROR(__xludf.DUMMYFUNCTION("""COMPUTED_VALUE"""),13967.14)</f>
        <v>13967.14</v>
      </c>
      <c r="C122" s="17"/>
      <c r="D122" s="30">
        <f ca="1">IFERROR(__xludf.DUMMYFUNCTION("""COMPUTED_VALUE"""),13967.14)</f>
        <v>13967.14</v>
      </c>
    </row>
    <row r="123" spans="1:4" ht="12.5" x14ac:dyDescent="0.25">
      <c r="A123" s="17" t="str">
        <f ca="1">IFERROR(__xludf.DUMMYFUNCTION("""COMPUTED_VALUE"""),"C8235-E-G2 (Adv Routing)")</f>
        <v>C8235-E-G2 (Adv Routing)</v>
      </c>
      <c r="B123" s="30">
        <f ca="1">IFERROR(__xludf.DUMMYFUNCTION("""COMPUTED_VALUE"""),17999.14)</f>
        <v>17999.14</v>
      </c>
      <c r="C123" s="17"/>
      <c r="D123" s="30">
        <f ca="1">IFERROR(__xludf.DUMMYFUNCTION("""COMPUTED_VALUE"""),17999.14)</f>
        <v>17999.14</v>
      </c>
    </row>
    <row r="124" spans="1:4" ht="12.5" x14ac:dyDescent="0.25">
      <c r="A124" s="17" t="str">
        <f ca="1">IFERROR(__xludf.DUMMYFUNCTION("""COMPUTED_VALUE"""),"C8235-E-G2 (SDWAN)")</f>
        <v>C8235-E-G2 (SDWAN)</v>
      </c>
      <c r="B124" s="30">
        <f ca="1">IFERROR(__xludf.DUMMYFUNCTION("""COMPUTED_VALUE"""),18647.14)</f>
        <v>18647.14</v>
      </c>
      <c r="C124" s="17"/>
      <c r="D124" s="30">
        <f ca="1">IFERROR(__xludf.DUMMYFUNCTION("""COMPUTED_VALUE"""),18647.14)</f>
        <v>18647.14</v>
      </c>
    </row>
    <row r="125" spans="1:4" ht="12.5" x14ac:dyDescent="0.25">
      <c r="A125" s="17" t="str">
        <f ca="1">IFERROR(__xludf.DUMMYFUNCTION("""COMPUTED_VALUE"""),"C8235-E-G2 (Full Adds On)")</f>
        <v>C8235-E-G2 (Full Adds On)</v>
      </c>
      <c r="B125" s="30">
        <f ca="1">IFERROR(__xludf.DUMMYFUNCTION("""COMPUTED_VALUE"""),19295.14)</f>
        <v>19295.14</v>
      </c>
      <c r="C125" s="17"/>
      <c r="D125" s="30">
        <f ca="1">IFERROR(__xludf.DUMMYFUNCTION("""COMPUTED_VALUE"""),19295.14)</f>
        <v>19295.14</v>
      </c>
    </row>
    <row r="126" spans="1:4" ht="12.5" x14ac:dyDescent="0.25">
      <c r="A126" s="17" t="str">
        <f ca="1">IFERROR(__xludf.DUMMYFUNCTION("""COMPUTED_VALUE"""),"C8231-E-G2 (Default Routing)")</f>
        <v>C8231-E-G2 (Default Routing)</v>
      </c>
      <c r="B126" s="30">
        <f ca="1">IFERROR(__xludf.DUMMYFUNCTION("""COMPUTED_VALUE"""),11093.35)</f>
        <v>11093.35</v>
      </c>
      <c r="C126" s="17"/>
      <c r="D126" s="30">
        <f ca="1">IFERROR(__xludf.DUMMYFUNCTION("""COMPUTED_VALUE"""),11093.35)</f>
        <v>11093.35</v>
      </c>
    </row>
    <row r="127" spans="1:4" ht="12.5" x14ac:dyDescent="0.25">
      <c r="A127" s="17" t="str">
        <f ca="1">IFERROR(__xludf.DUMMYFUNCTION("""COMPUTED_VALUE"""),"C8231-E-G2 (Adv Routing)")</f>
        <v>C8231-E-G2 (Adv Routing)</v>
      </c>
      <c r="B127" s="30">
        <f ca="1">IFERROR(__xludf.DUMMYFUNCTION("""COMPUTED_VALUE"""),15125.35)</f>
        <v>15125.35</v>
      </c>
      <c r="C127" s="17"/>
      <c r="D127" s="30">
        <f ca="1">IFERROR(__xludf.DUMMYFUNCTION("""COMPUTED_VALUE"""),15125.35)</f>
        <v>15125.35</v>
      </c>
    </row>
    <row r="128" spans="1:4" ht="12.5" x14ac:dyDescent="0.25">
      <c r="A128" s="17" t="str">
        <f ca="1">IFERROR(__xludf.DUMMYFUNCTION("""COMPUTED_VALUE"""),"C8231-E-G2 (SDWAN)")</f>
        <v>C8231-E-G2 (SDWAN)</v>
      </c>
      <c r="B128" s="30">
        <f ca="1">IFERROR(__xludf.DUMMYFUNCTION("""COMPUTED_VALUE"""),15773.35)</f>
        <v>15773.35</v>
      </c>
      <c r="C128" s="17"/>
      <c r="D128" s="30">
        <f ca="1">IFERROR(__xludf.DUMMYFUNCTION("""COMPUTED_VALUE"""),15773.35)</f>
        <v>15773.35</v>
      </c>
    </row>
    <row r="129" spans="1:4" ht="12.5" x14ac:dyDescent="0.25">
      <c r="A129" s="17" t="str">
        <f ca="1">IFERROR(__xludf.DUMMYFUNCTION("""COMPUTED_VALUE"""),"C8231-E-G2 (Full Adds On)")</f>
        <v>C8231-E-G2 (Full Adds On)</v>
      </c>
      <c r="B129" s="30">
        <f ca="1">IFERROR(__xludf.DUMMYFUNCTION("""COMPUTED_VALUE"""),16421.35)</f>
        <v>16421.349999999999</v>
      </c>
      <c r="C129" s="17"/>
      <c r="D129" s="30">
        <f ca="1">IFERROR(__xludf.DUMMYFUNCTION("""COMPUTED_VALUE"""),16421.35)</f>
        <v>16421.349999999999</v>
      </c>
    </row>
    <row r="130" spans="1:4" ht="12.5" x14ac:dyDescent="0.25">
      <c r="A130" s="17" t="str">
        <f ca="1">IFERROR(__xludf.DUMMYFUNCTION("""COMPUTED_VALUE"""),"C8235-G2 (Default Routing)")</f>
        <v>C8235-G2 (Default Routing)</v>
      </c>
      <c r="B130" s="30">
        <f ca="1">IFERROR(__xludf.DUMMYFUNCTION("""COMPUTED_VALUE"""),11149.27)</f>
        <v>11149.27</v>
      </c>
      <c r="C130" s="17"/>
      <c r="D130" s="30">
        <f ca="1">IFERROR(__xludf.DUMMYFUNCTION("""COMPUTED_VALUE"""),11149.27)</f>
        <v>11149.27</v>
      </c>
    </row>
    <row r="131" spans="1:4" ht="12.5" x14ac:dyDescent="0.25">
      <c r="A131" s="17" t="str">
        <f ca="1">IFERROR(__xludf.DUMMYFUNCTION("""COMPUTED_VALUE"""),"C8235-G2 (Adv Routing)")</f>
        <v>C8235-G2 (Adv Routing)</v>
      </c>
      <c r="B131" s="30">
        <f ca="1">IFERROR(__xludf.DUMMYFUNCTION("""COMPUTED_VALUE"""),15181.27)</f>
        <v>15181.27</v>
      </c>
      <c r="C131" s="17"/>
      <c r="D131" s="30">
        <f ca="1">IFERROR(__xludf.DUMMYFUNCTION("""COMPUTED_VALUE"""),15181.27)</f>
        <v>15181.27</v>
      </c>
    </row>
    <row r="132" spans="1:4" ht="12.5" x14ac:dyDescent="0.25">
      <c r="A132" s="17" t="str">
        <f ca="1">IFERROR(__xludf.DUMMYFUNCTION("""COMPUTED_VALUE"""),"C8235-G2 (SDWAN)")</f>
        <v>C8235-G2 (SDWAN)</v>
      </c>
      <c r="B132" s="30">
        <f ca="1">IFERROR(__xludf.DUMMYFUNCTION("""COMPUTED_VALUE"""),15829.27)</f>
        <v>15829.27</v>
      </c>
      <c r="C132" s="17"/>
      <c r="D132" s="30">
        <f ca="1">IFERROR(__xludf.DUMMYFUNCTION("""COMPUTED_VALUE"""),15829.27)</f>
        <v>15829.27</v>
      </c>
    </row>
    <row r="133" spans="1:4" ht="12.5" x14ac:dyDescent="0.25">
      <c r="A133" s="17" t="str">
        <f ca="1">IFERROR(__xludf.DUMMYFUNCTION("""COMPUTED_VALUE"""),"C8235-G2 (Full Adds On)")</f>
        <v>C8235-G2 (Full Adds On)</v>
      </c>
      <c r="B133" s="30">
        <f ca="1">IFERROR(__xludf.DUMMYFUNCTION("""COMPUTED_VALUE"""),16477.27)</f>
        <v>16477.27</v>
      </c>
      <c r="C133" s="17"/>
      <c r="D133" s="30">
        <f ca="1">IFERROR(__xludf.DUMMYFUNCTION("""COMPUTED_VALUE"""),16477.27)</f>
        <v>16477.27</v>
      </c>
    </row>
    <row r="134" spans="1:4" ht="12.5" x14ac:dyDescent="0.25">
      <c r="A134" s="17" t="str">
        <f ca="1">IFERROR(__xludf.DUMMYFUNCTION("""COMPUTED_VALUE"""),"C8231-G2 (Default Routing)")</f>
        <v>C8231-G2 (Default Routing)</v>
      </c>
      <c r="B134" s="30">
        <f ca="1">IFERROR(__xludf.DUMMYFUNCTION("""COMPUTED_VALUE"""),6976.88)</f>
        <v>6976.88</v>
      </c>
      <c r="C134" s="17"/>
      <c r="D134" s="30">
        <f ca="1">IFERROR(__xludf.DUMMYFUNCTION("""COMPUTED_VALUE"""),6976.88)</f>
        <v>6976.88</v>
      </c>
    </row>
    <row r="135" spans="1:4" ht="12.5" x14ac:dyDescent="0.25">
      <c r="A135" s="17" t="str">
        <f ca="1">IFERROR(__xludf.DUMMYFUNCTION("""COMPUTED_VALUE"""),"C8231-G2 (Adv Routing)")</f>
        <v>C8231-G2 (Adv Routing)</v>
      </c>
      <c r="B135" s="30">
        <f ca="1">IFERROR(__xludf.DUMMYFUNCTION("""COMPUTED_VALUE"""),11008.88)</f>
        <v>11008.88</v>
      </c>
      <c r="C135" s="17"/>
      <c r="D135" s="30">
        <f ca="1">IFERROR(__xludf.DUMMYFUNCTION("""COMPUTED_VALUE"""),11008.88)</f>
        <v>11008.88</v>
      </c>
    </row>
    <row r="136" spans="1:4" ht="12.5" x14ac:dyDescent="0.25">
      <c r="A136" s="17" t="str">
        <f ca="1">IFERROR(__xludf.DUMMYFUNCTION("""COMPUTED_VALUE"""),"C8231-G2 (SDWAN)")</f>
        <v>C8231-G2 (SDWAN)</v>
      </c>
      <c r="B136" s="30">
        <f ca="1">IFERROR(__xludf.DUMMYFUNCTION("""COMPUTED_VALUE"""),11656.88)</f>
        <v>11656.88</v>
      </c>
      <c r="C136" s="17"/>
      <c r="D136" s="30">
        <f ca="1">IFERROR(__xludf.DUMMYFUNCTION("""COMPUTED_VALUE"""),11656.88)</f>
        <v>11656.88</v>
      </c>
    </row>
    <row r="137" spans="1:4" ht="12.5" x14ac:dyDescent="0.25">
      <c r="A137" s="17" t="str">
        <f ca="1">IFERROR(__xludf.DUMMYFUNCTION("""COMPUTED_VALUE"""),"C8231-G2 (Full Adds On)")</f>
        <v>C8231-G2 (Full Adds On)</v>
      </c>
      <c r="B137" s="30">
        <f ca="1">IFERROR(__xludf.DUMMYFUNCTION("""COMPUTED_VALUE"""),12304.88)</f>
        <v>12304.88</v>
      </c>
      <c r="C137" s="17"/>
      <c r="D137" s="30">
        <f ca="1">IFERROR(__xludf.DUMMYFUNCTION("""COMPUTED_VALUE"""),12304.88)</f>
        <v>12304.88</v>
      </c>
    </row>
    <row r="138" spans="1:4" ht="12.5" x14ac:dyDescent="0.25">
      <c r="A138" s="17" t="str">
        <f ca="1">IFERROR(__xludf.DUMMYFUNCTION("""COMPUTED_VALUE"""),"C8130-G2 (Default Routing)")</f>
        <v>C8130-G2 (Default Routing)</v>
      </c>
      <c r="B138" s="30">
        <f ca="1">IFERROR(__xludf.DUMMYFUNCTION("""COMPUTED_VALUE"""),2222.15)</f>
        <v>2222.15</v>
      </c>
      <c r="C138" s="17"/>
      <c r="D138" s="30">
        <f ca="1">IFERROR(__xludf.DUMMYFUNCTION("""COMPUTED_VALUE"""),2222.15)</f>
        <v>2222.15</v>
      </c>
    </row>
    <row r="139" spans="1:4" ht="12.5" x14ac:dyDescent="0.25">
      <c r="A139" s="17" t="str">
        <f ca="1">IFERROR(__xludf.DUMMYFUNCTION("""COMPUTED_VALUE"""),"C8130-G2 (Adv Routing)")</f>
        <v>C8130-G2 (Adv Routing)</v>
      </c>
      <c r="B139" s="30">
        <f ca="1">IFERROR(__xludf.DUMMYFUNCTION("""COMPUTED_VALUE"""),3902.15)</f>
        <v>3902.15</v>
      </c>
      <c r="C139" s="17"/>
      <c r="D139" s="30">
        <f ca="1">IFERROR(__xludf.DUMMYFUNCTION("""COMPUTED_VALUE"""),3902.15)</f>
        <v>3902.15</v>
      </c>
    </row>
    <row r="140" spans="1:4" ht="12.5" x14ac:dyDescent="0.25">
      <c r="A140" s="17" t="str">
        <f ca="1">IFERROR(__xludf.DUMMYFUNCTION("""COMPUTED_VALUE"""),"C8131-G2 (Default Routing)")</f>
        <v>C8131-G2 (Default Routing)</v>
      </c>
      <c r="B140" s="30">
        <f ca="1">IFERROR(__xludf.DUMMYFUNCTION("""COMPUTED_VALUE"""),2688.89)</f>
        <v>2688.89</v>
      </c>
      <c r="C140" s="17"/>
      <c r="D140" s="30">
        <f ca="1">IFERROR(__xludf.DUMMYFUNCTION("""COMPUTED_VALUE"""),2688.89)</f>
        <v>2688.89</v>
      </c>
    </row>
    <row r="141" spans="1:4" ht="12.5" x14ac:dyDescent="0.25">
      <c r="A141" s="17" t="str">
        <f ca="1">IFERROR(__xludf.DUMMYFUNCTION("""COMPUTED_VALUE"""),"C8131-G2 (Adv Routing)")</f>
        <v>C8131-G2 (Adv Routing)</v>
      </c>
      <c r="B141" s="30">
        <f ca="1">IFERROR(__xludf.DUMMYFUNCTION("""COMPUTED_VALUE"""),4368.88999999999)</f>
        <v>4368.8899999999903</v>
      </c>
      <c r="C141" s="17"/>
      <c r="D141" s="30">
        <f ca="1">IFERROR(__xludf.DUMMYFUNCTION("""COMPUTED_VALUE"""),4368.88999999999)</f>
        <v>4368.8899999999903</v>
      </c>
    </row>
    <row r="142" spans="1:4" ht="12.5" x14ac:dyDescent="0.25">
      <c r="A142" s="17" t="str">
        <f ca="1">IFERROR(__xludf.DUMMYFUNCTION("""COMPUTED_VALUE"""),"C8131-G2 (SDWAN)")</f>
        <v>C8131-G2 (SDWAN)</v>
      </c>
      <c r="B142" s="30">
        <f ca="1">IFERROR(__xludf.DUMMYFUNCTION("""COMPUTED_VALUE"""),4704.88999999999)</f>
        <v>4704.8899999999903</v>
      </c>
      <c r="C142" s="17"/>
      <c r="D142" s="30">
        <f ca="1">IFERROR(__xludf.DUMMYFUNCTION("""COMPUTED_VALUE"""),4704.88999999999)</f>
        <v>4704.8899999999903</v>
      </c>
    </row>
    <row r="143" spans="1:4" ht="12.5" x14ac:dyDescent="0.25">
      <c r="A143" s="17" t="str">
        <f ca="1">IFERROR(__xludf.DUMMYFUNCTION("""COMPUTED_VALUE"""),"C8131-G2 (Full Adds On)")</f>
        <v>C8131-G2 (Full Adds On)</v>
      </c>
      <c r="B143" s="30">
        <f ca="1">IFERROR(__xludf.DUMMYFUNCTION("""COMPUTED_VALUE"""),5028.88999999999)</f>
        <v>5028.8899999999903</v>
      </c>
      <c r="C143" s="17"/>
      <c r="D143" s="30">
        <f ca="1">IFERROR(__xludf.DUMMYFUNCTION("""COMPUTED_VALUE"""),5028.88999999999)</f>
        <v>5028.8899999999903</v>
      </c>
    </row>
    <row r="144" spans="1:4" ht="12.5" x14ac:dyDescent="0.25">
      <c r="A144" s="17" t="str">
        <f ca="1">IFERROR(__xludf.DUMMYFUNCTION("""COMPUTED_VALUE"""),"C8140-G2 (Default Routing)")</f>
        <v>C8140-G2 (Default Routing)</v>
      </c>
      <c r="B144" s="30">
        <f ca="1">IFERROR(__xludf.DUMMYFUNCTION("""COMPUTED_VALUE"""),2692.95)</f>
        <v>2692.95</v>
      </c>
      <c r="C144" s="17"/>
      <c r="D144" s="30">
        <f ca="1">IFERROR(__xludf.DUMMYFUNCTION("""COMPUTED_VALUE"""),2692.95)</f>
        <v>2692.95</v>
      </c>
    </row>
    <row r="145" spans="1:4" ht="12.5" x14ac:dyDescent="0.25">
      <c r="A145" s="17" t="str">
        <f ca="1">IFERROR(__xludf.DUMMYFUNCTION("""COMPUTED_VALUE"""),"C8140-G2 (Adv Routing)")</f>
        <v>C8140-G2 (Adv Routing)</v>
      </c>
      <c r="B145" s="30">
        <f ca="1">IFERROR(__xludf.DUMMYFUNCTION("""COMPUTED_VALUE"""),4372.95)</f>
        <v>4372.95</v>
      </c>
      <c r="C145" s="17"/>
      <c r="D145" s="30">
        <f ca="1">IFERROR(__xludf.DUMMYFUNCTION("""COMPUTED_VALUE"""),4372.95)</f>
        <v>4372.95</v>
      </c>
    </row>
    <row r="146" spans="1:4" ht="12.5" x14ac:dyDescent="0.25">
      <c r="A146" s="17" t="str">
        <f ca="1">IFERROR(__xludf.DUMMYFUNCTION("""COMPUTED_VALUE"""),"C8151-G2 (Default Routing)")</f>
        <v>C8151-G2 (Default Routing)</v>
      </c>
      <c r="B146" s="30">
        <f ca="1">IFERROR(__xludf.DUMMYFUNCTION("""COMPUTED_VALUE"""),3477.61)</f>
        <v>3477.61</v>
      </c>
      <c r="C146" s="17"/>
      <c r="D146" s="30">
        <f ca="1">IFERROR(__xludf.DUMMYFUNCTION("""COMPUTED_VALUE"""),3477.61)</f>
        <v>3477.61</v>
      </c>
    </row>
    <row r="147" spans="1:4" ht="12.5" x14ac:dyDescent="0.25">
      <c r="A147" s="17" t="str">
        <f ca="1">IFERROR(__xludf.DUMMYFUNCTION("""COMPUTED_VALUE"""),"C8151-G2 (Adv Routing)")</f>
        <v>C8151-G2 (Adv Routing)</v>
      </c>
      <c r="B147" s="30">
        <f ca="1">IFERROR(__xludf.DUMMYFUNCTION("""COMPUTED_VALUE"""),5157.61)</f>
        <v>5157.6099999999997</v>
      </c>
      <c r="C147" s="17"/>
      <c r="D147" s="30">
        <f ca="1">IFERROR(__xludf.DUMMYFUNCTION("""COMPUTED_VALUE"""),5157.61)</f>
        <v>5157.6099999999997</v>
      </c>
    </row>
    <row r="148" spans="1:4" ht="12.5" x14ac:dyDescent="0.25">
      <c r="A148" s="17" t="str">
        <f ca="1">IFERROR(__xludf.DUMMYFUNCTION("""COMPUTED_VALUE"""),"C8151-G2 (SDWAN)")</f>
        <v>C8151-G2 (SDWAN)</v>
      </c>
      <c r="B148" s="30">
        <f ca="1">IFERROR(__xludf.DUMMYFUNCTION("""COMPUTED_VALUE"""),5493.61)</f>
        <v>5493.61</v>
      </c>
      <c r="C148" s="17"/>
      <c r="D148" s="30">
        <f ca="1">IFERROR(__xludf.DUMMYFUNCTION("""COMPUTED_VALUE"""),5493.61)</f>
        <v>5493.61</v>
      </c>
    </row>
    <row r="149" spans="1:4" ht="12.5" x14ac:dyDescent="0.25">
      <c r="A149" s="17" t="str">
        <f ca="1">IFERROR(__xludf.DUMMYFUNCTION("""COMPUTED_VALUE"""),"C8151-G2 (Full Adds On)")</f>
        <v>C8151-G2 (Full Adds On)</v>
      </c>
      <c r="B149" s="30">
        <f ca="1">IFERROR(__xludf.DUMMYFUNCTION("""COMPUTED_VALUE"""),5817.61)</f>
        <v>5817.61</v>
      </c>
      <c r="C149" s="17"/>
      <c r="D149" s="30">
        <f ca="1">IFERROR(__xludf.DUMMYFUNCTION("""COMPUTED_VALUE"""),5817.61)</f>
        <v>5817.61</v>
      </c>
    </row>
    <row r="150" spans="1:4" ht="12.5" x14ac:dyDescent="0.25">
      <c r="A150" s="17" t="str">
        <f ca="1">IFERROR(__xludf.DUMMYFUNCTION("""COMPUTED_VALUE"""),"C8161-G2 (Default Routing)")</f>
        <v>C8161-G2 (Default Routing)</v>
      </c>
      <c r="B150" s="30">
        <f ca="1">IFERROR(__xludf.DUMMYFUNCTION("""COMPUTED_VALUE"""),4101.2)</f>
        <v>4101.2</v>
      </c>
      <c r="C150" s="17"/>
      <c r="D150" s="30">
        <f ca="1">IFERROR(__xludf.DUMMYFUNCTION("""COMPUTED_VALUE"""),4101.2)</f>
        <v>4101.2</v>
      </c>
    </row>
    <row r="151" spans="1:4" ht="12.5" x14ac:dyDescent="0.25">
      <c r="A151" s="17" t="str">
        <f ca="1">IFERROR(__xludf.DUMMYFUNCTION("""COMPUTED_VALUE"""),"C8161-G2 (Adv Routing)")</f>
        <v>C8161-G2 (Adv Routing)</v>
      </c>
      <c r="B151" s="30">
        <f ca="1">IFERROR(__xludf.DUMMYFUNCTION("""COMPUTED_VALUE"""),5781.2)</f>
        <v>5781.2</v>
      </c>
      <c r="C151" s="17"/>
      <c r="D151" s="30">
        <f ca="1">IFERROR(__xludf.DUMMYFUNCTION("""COMPUTED_VALUE"""),5781.2)</f>
        <v>5781.2</v>
      </c>
    </row>
    <row r="152" spans="1:4" ht="12.5" x14ac:dyDescent="0.25">
      <c r="A152" s="17" t="str">
        <f ca="1">IFERROR(__xludf.DUMMYFUNCTION("""COMPUTED_VALUE"""),"C8161-G2 (SDWAN)")</f>
        <v>C8161-G2 (SDWAN)</v>
      </c>
      <c r="B152" s="30">
        <f ca="1">IFERROR(__xludf.DUMMYFUNCTION("""COMPUTED_VALUE"""),6117.2)</f>
        <v>6117.2</v>
      </c>
      <c r="C152" s="17"/>
      <c r="D152" s="30">
        <f ca="1">IFERROR(__xludf.DUMMYFUNCTION("""COMPUTED_VALUE"""),6117.2)</f>
        <v>6117.2</v>
      </c>
    </row>
    <row r="153" spans="1:4" ht="12.5" x14ac:dyDescent="0.25">
      <c r="A153" s="17" t="str">
        <f ca="1">IFERROR(__xludf.DUMMYFUNCTION("""COMPUTED_VALUE"""),"C8161-G2 (Full Adds On)")</f>
        <v>C8161-G2 (Full Adds On)</v>
      </c>
      <c r="B153" s="30">
        <f ca="1">IFERROR(__xludf.DUMMYFUNCTION("""COMPUTED_VALUE"""),6441.2)</f>
        <v>6441.2</v>
      </c>
      <c r="C153" s="17"/>
      <c r="D153" s="30">
        <f ca="1">IFERROR(__xludf.DUMMYFUNCTION("""COMPUTED_VALUE"""),6441.2)</f>
        <v>6441.2</v>
      </c>
    </row>
    <row r="154" spans="1:4" ht="12.5" x14ac:dyDescent="0.25">
      <c r="A154" s="17" t="str">
        <f ca="1">IFERROR(__xludf.DUMMYFUNCTION("""COMPUTED_VALUE"""),"100GQSFP-LR4-4=")</f>
        <v>100GQSFP-LR4-4=</v>
      </c>
      <c r="B154" s="30">
        <f ca="1">IFERROR(__xludf.DUMMYFUNCTION("""COMPUTED_VALUE"""),36510.54)</f>
        <v>36510.54</v>
      </c>
      <c r="C154" s="17"/>
      <c r="D154" s="30">
        <f ca="1">IFERROR(__xludf.DUMMYFUNCTION("""COMPUTED_VALUE"""),36510.54)</f>
        <v>36510.54</v>
      </c>
    </row>
    <row r="155" spans="1:4" ht="12.5" x14ac:dyDescent="0.25">
      <c r="A155" s="17" t="str">
        <f ca="1">IFERROR(__xludf.DUMMYFUNCTION("""COMPUTED_VALUE"""),"QSFP-100G-ER4L-S=")</f>
        <v>QSFP-100G-ER4L-S=</v>
      </c>
      <c r="B155" s="30">
        <f ca="1">IFERROR(__xludf.DUMMYFUNCTION("""COMPUTED_VALUE"""),91270.27)</f>
        <v>91270.27</v>
      </c>
      <c r="C155" s="17"/>
      <c r="D155" s="30">
        <f ca="1">IFERROR(__xludf.DUMMYFUNCTION("""COMPUTED_VALUE"""),91270.27)</f>
        <v>91270.27</v>
      </c>
    </row>
    <row r="156" spans="1:4" ht="12.5" x14ac:dyDescent="0.25">
      <c r="A156" s="17" t="str">
        <f ca="1">IFERROR(__xludf.DUMMYFUNCTION("""COMPUTED_VALUE"""),"QSFP-100G-ZR4-S=")</f>
        <v>QSFP-100G-ZR4-S=</v>
      </c>
      <c r="B156" s="30">
        <f ca="1">IFERROR(__xludf.DUMMYFUNCTION("""COMPUTED_VALUE"""),36190)</f>
        <v>36190</v>
      </c>
      <c r="C156" s="17"/>
      <c r="D156" s="30">
        <f ca="1">IFERROR(__xludf.DUMMYFUNCTION("""COMPUTED_VALUE"""),36190)</f>
        <v>36190</v>
      </c>
    </row>
    <row r="157" spans="1:4" ht="12.5" x14ac:dyDescent="0.25">
      <c r="A157" s="17" t="str">
        <f ca="1">IFERROR(__xludf.DUMMYFUNCTION("""COMPUTED_VALUE"""),"SFP-10G-SR=")</f>
        <v>SFP-10G-SR=</v>
      </c>
      <c r="B157" s="30">
        <f ca="1">IFERROR(__xludf.DUMMYFUNCTION("""COMPUTED_VALUE"""),1210.94)</f>
        <v>1210.94</v>
      </c>
      <c r="C157" s="17"/>
      <c r="D157" s="30">
        <f ca="1">IFERROR(__xludf.DUMMYFUNCTION("""COMPUTED_VALUE"""),1210.94)</f>
        <v>1210.94</v>
      </c>
    </row>
    <row r="158" spans="1:4" ht="12.5" x14ac:dyDescent="0.25">
      <c r="A158" s="17" t="str">
        <f ca="1">IFERROR(__xludf.DUMMYFUNCTION("""COMPUTED_VALUE"""),"SFP-10G-LR=")</f>
        <v>SFP-10G-LR=</v>
      </c>
      <c r="B158" s="30">
        <f ca="1">IFERROR(__xludf.DUMMYFUNCTION("""COMPUTED_VALUE"""),4861.99)</f>
        <v>4861.99</v>
      </c>
      <c r="C158" s="17"/>
      <c r="D158" s="30">
        <f ca="1">IFERROR(__xludf.DUMMYFUNCTION("""COMPUTED_VALUE"""),4861.99)</f>
        <v>4861.99</v>
      </c>
    </row>
    <row r="159" spans="1:4" ht="12.5" x14ac:dyDescent="0.25">
      <c r="A159" s="17" t="str">
        <f ca="1">IFERROR(__xludf.DUMMYFUNCTION("""COMPUTED_VALUE"""),"SFP-10G-ER=")</f>
        <v>SFP-10G-ER=</v>
      </c>
      <c r="B159" s="30">
        <f ca="1">IFERROR(__xludf.DUMMYFUNCTION("""COMPUTED_VALUE"""),12170.18)</f>
        <v>12170.18</v>
      </c>
      <c r="C159" s="17"/>
      <c r="D159" s="30">
        <f ca="1">IFERROR(__xludf.DUMMYFUNCTION("""COMPUTED_VALUE"""),12170.18)</f>
        <v>12170.18</v>
      </c>
    </row>
    <row r="160" spans="1:4" ht="12.5" x14ac:dyDescent="0.25">
      <c r="A160" s="17" t="str">
        <f ca="1">IFERROR(__xludf.DUMMYFUNCTION("""COMPUTED_VALUE"""),"SFP-10G-ZR=")</f>
        <v>SFP-10G-ZR=</v>
      </c>
      <c r="B160" s="30">
        <f ca="1">IFERROR(__xludf.DUMMYFUNCTION("""COMPUTED_VALUE"""),19472.29)</f>
        <v>19472.29</v>
      </c>
      <c r="C160" s="17"/>
      <c r="D160" s="30">
        <f ca="1">IFERROR(__xludf.DUMMYFUNCTION("""COMPUTED_VALUE"""),19472.29)</f>
        <v>19472.29</v>
      </c>
    </row>
    <row r="161" spans="1:4" ht="12.5" x14ac:dyDescent="0.25">
      <c r="A161" s="17" t="str">
        <f ca="1">IFERROR(__xludf.DUMMYFUNCTION("""COMPUTED_VALUE"""),"GLC-LH-SMD=")</f>
        <v>GLC-LH-SMD=</v>
      </c>
      <c r="B161" s="30">
        <f ca="1">IFERROR(__xludf.DUMMYFUNCTION("""COMPUTED_VALUE"""),1210.94)</f>
        <v>1210.94</v>
      </c>
      <c r="C161" s="17"/>
      <c r="D161" s="30">
        <f ca="1">IFERROR(__xludf.DUMMYFUNCTION("""COMPUTED_VALUE"""),1210.94)</f>
        <v>1210.94</v>
      </c>
    </row>
    <row r="162" spans="1:4" ht="12.5" x14ac:dyDescent="0.25">
      <c r="A162" s="17" t="str">
        <f ca="1">IFERROR(__xludf.DUMMYFUNCTION("""COMPUTED_VALUE"""),"GLC-EX-SMD=")</f>
        <v>GLC-EX-SMD=</v>
      </c>
      <c r="B162" s="30">
        <f ca="1">IFERROR(__xludf.DUMMYFUNCTION("""COMPUTED_VALUE"""),2427.96)</f>
        <v>2427.96</v>
      </c>
      <c r="C162" s="17"/>
      <c r="D162" s="30">
        <f ca="1">IFERROR(__xludf.DUMMYFUNCTION("""COMPUTED_VALUE"""),2427.96)</f>
        <v>2427.96</v>
      </c>
    </row>
    <row r="163" spans="1:4" ht="12.5" x14ac:dyDescent="0.25">
      <c r="A163" s="17" t="str">
        <f ca="1">IFERROR(__xludf.DUMMYFUNCTION("""COMPUTED_VALUE"""),"GLC-ZX-SMD=")</f>
        <v>GLC-ZX-SMD=</v>
      </c>
      <c r="B163" s="30">
        <f ca="1">IFERROR(__xludf.DUMMYFUNCTION("""COMPUTED_VALUE"""),4861.99)</f>
        <v>4861.99</v>
      </c>
      <c r="C163" s="17"/>
      <c r="D163" s="30">
        <f ca="1">IFERROR(__xludf.DUMMYFUNCTION("""COMPUTED_VALUE"""),4861.99)</f>
        <v>4861.99</v>
      </c>
    </row>
    <row r="164" spans="1:4" ht="12.5" x14ac:dyDescent="0.25">
      <c r="A164" s="17" t="str">
        <f ca="1">IFERROR(__xludf.DUMMYFUNCTION("""COMPUTED_VALUE"""),"GLC-TE=")</f>
        <v>GLC-TE=</v>
      </c>
      <c r="B164" s="30">
        <f ca="1">IFERROR(__xludf.DUMMYFUNCTION("""COMPUTED_VALUE"""),547.66)</f>
        <v>547.66</v>
      </c>
      <c r="C164" s="17"/>
      <c r="D164" s="30">
        <f ca="1">IFERROR(__xludf.DUMMYFUNCTION("""COMPUTED_VALUE"""),547.66)</f>
        <v>547.66</v>
      </c>
    </row>
    <row r="165" spans="1:4" ht="12.5" x14ac:dyDescent="0.25">
      <c r="A165" s="17" t="str">
        <f ca="1">IFERROR(__xludf.DUMMYFUNCTION("""COMPUTED_VALUE"""),"SFP-10G-SR-S=")</f>
        <v>SFP-10G-SR-S=</v>
      </c>
      <c r="B165" s="30">
        <f ca="1">IFERROR(__xludf.DUMMYFUNCTION("""COMPUTED_VALUE"""),851.91)</f>
        <v>851.91</v>
      </c>
      <c r="C165" s="17"/>
      <c r="D165" s="30">
        <f ca="1">IFERROR(__xludf.DUMMYFUNCTION("""COMPUTED_VALUE"""),851.91)</f>
        <v>851.91</v>
      </c>
    </row>
    <row r="166" spans="1:4" ht="12.5" x14ac:dyDescent="0.25">
      <c r="A166" s="17" t="str">
        <f ca="1">IFERROR(__xludf.DUMMYFUNCTION("""COMPUTED_VALUE"""),"SFP-10G-LR-S=")</f>
        <v>SFP-10G-LR-S=</v>
      </c>
      <c r="B166" s="30">
        <f ca="1">IFERROR(__xludf.DUMMYFUNCTION("""COMPUTED_VALUE"""),2434.04)</f>
        <v>2434.04</v>
      </c>
      <c r="C166" s="17"/>
      <c r="D166" s="30">
        <f ca="1">IFERROR(__xludf.DUMMYFUNCTION("""COMPUTED_VALUE"""),2434.04)</f>
        <v>2434.04</v>
      </c>
    </row>
    <row r="167" spans="1:4" ht="12.5" x14ac:dyDescent="0.25">
      <c r="A167" s="17" t="str">
        <f ca="1">IFERROR(__xludf.DUMMYFUNCTION("""COMPUTED_VALUE"""),"SFP-10G-ER-S=")</f>
        <v>SFP-10G-ER-S=</v>
      </c>
      <c r="B167" s="30">
        <f ca="1">IFERROR(__xludf.DUMMYFUNCTION("""COMPUTED_VALUE"""),9614.44)</f>
        <v>9614.44</v>
      </c>
      <c r="C167" s="17"/>
      <c r="D167" s="30">
        <f ca="1">IFERROR(__xludf.DUMMYFUNCTION("""COMPUTED_VALUE"""),9614.44)</f>
        <v>9614.44</v>
      </c>
    </row>
    <row r="168" spans="1:4" ht="12.5" x14ac:dyDescent="0.25">
      <c r="A168" s="17" t="str">
        <f ca="1">IFERROR(__xludf.DUMMYFUNCTION("""COMPUTED_VALUE"""),"SFP-10G-ZR-S=")</f>
        <v>SFP-10G-ZR-S=</v>
      </c>
      <c r="B168" s="30">
        <f ca="1">IFERROR(__xludf.DUMMYFUNCTION("""COMPUTED_VALUE"""),13265.5)</f>
        <v>13265.5</v>
      </c>
      <c r="C168" s="17"/>
      <c r="D168" s="30">
        <f ca="1">IFERROR(__xludf.DUMMYFUNCTION("""COMPUTED_VALUE"""),13265.5)</f>
        <v>13265.5</v>
      </c>
    </row>
    <row r="169" spans="1:4" ht="12.5" x14ac:dyDescent="0.25">
      <c r="A169" s="17" t="str">
        <f ca="1">IFERROR(__xludf.DUMMYFUNCTION("""COMPUTED_VALUE"""),"GLC-SX-MMD=")</f>
        <v>GLC-SX-MMD=</v>
      </c>
      <c r="B169" s="30">
        <f ca="1">IFERROR(__xludf.DUMMYFUNCTION("""COMPUTED_VALUE"""),608.51)</f>
        <v>608.51</v>
      </c>
      <c r="C169" s="17"/>
      <c r="D169" s="30">
        <f ca="1">IFERROR(__xludf.DUMMYFUNCTION("""COMPUTED_VALUE"""),608.51)</f>
        <v>608.51</v>
      </c>
    </row>
    <row r="170" spans="1:4" ht="12.5" x14ac:dyDescent="0.25">
      <c r="A170" s="17" t="str">
        <f ca="1">IFERROR(__xludf.DUMMYFUNCTION("""COMPUTED_VALUE"""),"C9136I")</f>
        <v>C9136I</v>
      </c>
      <c r="B170" s="30">
        <f ca="1">IFERROR(__xludf.DUMMYFUNCTION("""COMPUTED_VALUE"""),5585.79)</f>
        <v>5585.79</v>
      </c>
      <c r="C170" s="17"/>
      <c r="D170" s="30">
        <f ca="1">IFERROR(__xludf.DUMMYFUNCTION("""COMPUTED_VALUE"""),5585.79)</f>
        <v>5585.79</v>
      </c>
    </row>
    <row r="171" spans="1:4" ht="12.5" x14ac:dyDescent="0.25">
      <c r="A171" s="17" t="str">
        <f ca="1">IFERROR(__xludf.DUMMYFUNCTION("""COMPUTED_VALUE"""),"CW9162I")</f>
        <v>CW9162I</v>
      </c>
      <c r="B171" s="30">
        <f ca="1">IFERROR(__xludf.DUMMYFUNCTION("""COMPUTED_VALUE"""),3076.63)</f>
        <v>3076.63</v>
      </c>
      <c r="C171" s="17"/>
      <c r="D171" s="30">
        <f ca="1">IFERROR(__xludf.DUMMYFUNCTION("""COMPUTED_VALUE"""),3076.63)</f>
        <v>3076.63</v>
      </c>
    </row>
    <row r="172" spans="1:4" ht="12.5" x14ac:dyDescent="0.25">
      <c r="A172" s="17" t="str">
        <f ca="1">IFERROR(__xludf.DUMMYFUNCTION("""COMPUTED_VALUE"""),"CW9164I")</f>
        <v>CW9164I</v>
      </c>
      <c r="B172" s="30">
        <f ca="1">IFERROR(__xludf.DUMMYFUNCTION("""COMPUTED_VALUE"""),4438.98)</f>
        <v>4438.9799999999996</v>
      </c>
      <c r="C172" s="17"/>
      <c r="D172" s="30">
        <f ca="1">IFERROR(__xludf.DUMMYFUNCTION("""COMPUTED_VALUE"""),4438.98)</f>
        <v>4438.9799999999996</v>
      </c>
    </row>
    <row r="173" spans="1:4" ht="12.5" x14ac:dyDescent="0.25">
      <c r="A173" s="17" t="str">
        <f ca="1">IFERROR(__xludf.DUMMYFUNCTION("""COMPUTED_VALUE"""),"CW9166I")</f>
        <v>CW9166I</v>
      </c>
      <c r="B173" s="30">
        <f ca="1">IFERROR(__xludf.DUMMYFUNCTION("""COMPUTED_VALUE"""),4870.07)</f>
        <v>4870.07</v>
      </c>
      <c r="C173" s="17"/>
      <c r="D173" s="30">
        <f ca="1">IFERROR(__xludf.DUMMYFUNCTION("""COMPUTED_VALUE"""),4870.07)</f>
        <v>4870.07</v>
      </c>
    </row>
    <row r="174" spans="1:4" ht="12.5" x14ac:dyDescent="0.25">
      <c r="A174" s="17" t="str">
        <f ca="1">IFERROR(__xludf.DUMMYFUNCTION("""COMPUTED_VALUE"""),"CW9166D1")</f>
        <v>CW9166D1</v>
      </c>
      <c r="B174" s="30">
        <f ca="1">IFERROR(__xludf.DUMMYFUNCTION("""COMPUTED_VALUE"""),5301.15)</f>
        <v>5301.15</v>
      </c>
      <c r="C174" s="17"/>
      <c r="D174" s="30">
        <f ca="1">IFERROR(__xludf.DUMMYFUNCTION("""COMPUTED_VALUE"""),5301.15)</f>
        <v>5301.15</v>
      </c>
    </row>
    <row r="175" spans="1:4" ht="12.5" x14ac:dyDescent="0.25">
      <c r="A175" s="17" t="str">
        <f ca="1">IFERROR(__xludf.DUMMYFUNCTION("""COMPUTED_VALUE"""),"CW9172I")</f>
        <v>CW9172I</v>
      </c>
      <c r="B175" s="30">
        <f ca="1">IFERROR(__xludf.DUMMYFUNCTION("""COMPUTED_VALUE"""),3173.83)</f>
        <v>3173.83</v>
      </c>
      <c r="C175" s="17"/>
      <c r="D175" s="30">
        <f ca="1">IFERROR(__xludf.DUMMYFUNCTION("""COMPUTED_VALUE"""),3173.83)</f>
        <v>3173.83</v>
      </c>
    </row>
    <row r="176" spans="1:4" ht="12.5" x14ac:dyDescent="0.25">
      <c r="A176" s="17" t="str">
        <f ca="1">IFERROR(__xludf.DUMMYFUNCTION("""COMPUTED_VALUE"""),"CW9172H")</f>
        <v>CW9172H</v>
      </c>
      <c r="B176" s="30">
        <f ca="1">IFERROR(__xludf.DUMMYFUNCTION("""COMPUTED_VALUE"""),2870.81)</f>
        <v>2870.81</v>
      </c>
      <c r="C176" s="17"/>
      <c r="D176" s="30">
        <f ca="1">IFERROR(__xludf.DUMMYFUNCTION("""COMPUTED_VALUE"""),2870.81)</f>
        <v>2870.81</v>
      </c>
    </row>
    <row r="177" spans="1:4" ht="12.5" x14ac:dyDescent="0.25">
      <c r="A177" s="17" t="str">
        <f ca="1">IFERROR(__xludf.DUMMYFUNCTION("""COMPUTED_VALUE"""),"CW9176I")</f>
        <v>CW9176I</v>
      </c>
      <c r="B177" s="30">
        <f ca="1">IFERROR(__xludf.DUMMYFUNCTION("""COMPUTED_VALUE"""),4982.70999999999)</f>
        <v>4982.70999999999</v>
      </c>
      <c r="C177" s="17"/>
      <c r="D177" s="30">
        <f ca="1">IFERROR(__xludf.DUMMYFUNCTION("""COMPUTED_VALUE"""),4982.70999999999)</f>
        <v>4982.70999999999</v>
      </c>
    </row>
    <row r="178" spans="1:4" ht="12.5" x14ac:dyDescent="0.25">
      <c r="A178" s="17" t="str">
        <f ca="1">IFERROR(__xludf.DUMMYFUNCTION("""COMPUTED_VALUE"""),"CW9176D1")</f>
        <v>CW9176D1</v>
      </c>
      <c r="B178" s="30">
        <f ca="1">IFERROR(__xludf.DUMMYFUNCTION("""COMPUTED_VALUE"""),5437.05)</f>
        <v>5437.05</v>
      </c>
      <c r="C178" s="17"/>
      <c r="D178" s="30">
        <f ca="1">IFERROR(__xludf.DUMMYFUNCTION("""COMPUTED_VALUE"""),5437.05)</f>
        <v>5437.05</v>
      </c>
    </row>
    <row r="179" spans="1:4" ht="12.5" x14ac:dyDescent="0.25">
      <c r="A179" s="17" t="str">
        <f ca="1">IFERROR(__xludf.DUMMYFUNCTION("""COMPUTED_VALUE"""),"CW9178I")</f>
        <v>CW9178I</v>
      </c>
      <c r="B179" s="30">
        <f ca="1">IFERROR(__xludf.DUMMYFUNCTION("""COMPUTED_VALUE"""),5737.19)</f>
        <v>5737.19</v>
      </c>
      <c r="C179" s="17"/>
      <c r="D179" s="30">
        <f ca="1">IFERROR(__xludf.DUMMYFUNCTION("""COMPUTED_VALUE"""),5737.19)</f>
        <v>5737.19</v>
      </c>
    </row>
    <row r="180" spans="1:4" ht="12.5" x14ac:dyDescent="0.25">
      <c r="A180" s="17" t="str">
        <f ca="1">IFERROR(__xludf.DUMMYFUNCTION("""COMPUTED_VALUE"""),"C9124AXI")</f>
        <v>C9124AXI</v>
      </c>
      <c r="B180" s="30">
        <f ca="1">IFERROR(__xludf.DUMMYFUNCTION("""COMPUTED_VALUE"""),6120.74)</f>
        <v>6120.74</v>
      </c>
      <c r="C180" s="17"/>
      <c r="D180" s="30">
        <f ca="1">IFERROR(__xludf.DUMMYFUNCTION("""COMPUTED_VALUE"""),6120.74)</f>
        <v>6120.74</v>
      </c>
    </row>
    <row r="181" spans="1:4" ht="12.5" x14ac:dyDescent="0.25">
      <c r="A181" s="17" t="str">
        <f ca="1">IFERROR(__xludf.DUMMYFUNCTION("""COMPUTED_VALUE"""),"C9124AXD")</f>
        <v>C9124AXD</v>
      </c>
      <c r="B181" s="30">
        <f ca="1">IFERROR(__xludf.DUMMYFUNCTION("""COMPUTED_VALUE"""),6448.46999999999)</f>
        <v>6448.4699999999903</v>
      </c>
      <c r="C181" s="17"/>
      <c r="D181" s="30">
        <f ca="1">IFERROR(__xludf.DUMMYFUNCTION("""COMPUTED_VALUE"""),6448.46999999999)</f>
        <v>6448.4699999999903</v>
      </c>
    </row>
    <row r="182" spans="1:4" ht="12.5" x14ac:dyDescent="0.25">
      <c r="A182" s="17" t="str">
        <f ca="1">IFERROR(__xludf.DUMMYFUNCTION("""COMPUTED_VALUE"""),"C9124AXE")</f>
        <v>C9124AXE</v>
      </c>
      <c r="B182" s="30">
        <f ca="1">IFERROR(__xludf.DUMMYFUNCTION("""COMPUTED_VALUE"""),6448.46999999999)</f>
        <v>6448.4699999999903</v>
      </c>
      <c r="C182" s="17"/>
      <c r="D182" s="30">
        <f ca="1">IFERROR(__xludf.DUMMYFUNCTION("""COMPUTED_VALUE"""),6448.46999999999)</f>
        <v>6448.4699999999903</v>
      </c>
    </row>
    <row r="183" spans="1:4" ht="12.5" x14ac:dyDescent="0.25">
      <c r="A183" s="17" t="str">
        <f ca="1">IFERROR(__xludf.DUMMYFUNCTION("""COMPUTED_VALUE"""),"CW9163E")</f>
        <v>CW9163E</v>
      </c>
      <c r="B183" s="30">
        <f ca="1">IFERROR(__xludf.DUMMYFUNCTION("""COMPUTED_VALUE"""),5659.86)</f>
        <v>5659.86</v>
      </c>
      <c r="C183" s="17"/>
      <c r="D183" s="30">
        <f ca="1">IFERROR(__xludf.DUMMYFUNCTION("""COMPUTED_VALUE"""),5659.86)</f>
        <v>5659.86</v>
      </c>
    </row>
    <row r="184" spans="1:4" ht="12.5" x14ac:dyDescent="0.25">
      <c r="A184" s="17" t="str">
        <f ca="1">IFERROR(__xludf.DUMMYFUNCTION("""COMPUTED_VALUE"""),"EX4200-24T")</f>
        <v>EX4200-24T</v>
      </c>
      <c r="B184" s="30">
        <f ca="1">IFERROR(__xludf.DUMMYFUNCTION("""COMPUTED_VALUE"""),10000)</f>
        <v>10000</v>
      </c>
      <c r="C184" s="30">
        <f ca="1">IFERROR(__xludf.DUMMYFUNCTION("""COMPUTED_VALUE"""),26500)</f>
        <v>26500</v>
      </c>
      <c r="D184" s="30">
        <f ca="1">IFERROR(__xludf.DUMMYFUNCTION("""COMPUTED_VALUE"""),26500)</f>
        <v>26500</v>
      </c>
    </row>
    <row r="185" spans="1:4" ht="12.5" x14ac:dyDescent="0.25">
      <c r="A185" s="17" t="str">
        <f ca="1">IFERROR(__xludf.DUMMYFUNCTION("""COMPUTED_VALUE"""),"EX4300-48S")</f>
        <v>EX4300-48S</v>
      </c>
      <c r="B185" s="30">
        <f ca="1">IFERROR(__xludf.DUMMYFUNCTION("""COMPUTED_VALUE"""),20000)</f>
        <v>20000</v>
      </c>
      <c r="C185" s="30">
        <f ca="1">IFERROR(__xludf.DUMMYFUNCTION("""COMPUTED_VALUE"""),32500)</f>
        <v>32500</v>
      </c>
      <c r="D185" s="30">
        <f ca="1">IFERROR(__xludf.DUMMYFUNCTION("""COMPUTED_VALUE"""),32500)</f>
        <v>32500</v>
      </c>
    </row>
    <row r="186" spans="1:4" ht="12.5" x14ac:dyDescent="0.25">
      <c r="A186" s="17" t="str">
        <f ca="1">IFERROR(__xludf.DUMMYFUNCTION("""COMPUTED_VALUE"""),"EX4600")</f>
        <v>EX4600</v>
      </c>
      <c r="B186" s="30">
        <f ca="1">IFERROR(__xludf.DUMMYFUNCTION("""COMPUTED_VALUE"""),30000)</f>
        <v>30000</v>
      </c>
      <c r="C186" s="30">
        <f ca="1">IFERROR(__xludf.DUMMYFUNCTION("""COMPUTED_VALUE"""),192000)</f>
        <v>192000</v>
      </c>
      <c r="D186" s="30">
        <f ca="1">IFERROR(__xludf.DUMMYFUNCTION("""COMPUTED_VALUE"""),192000)</f>
        <v>192000</v>
      </c>
    </row>
    <row r="187" spans="1:4" ht="12.5" x14ac:dyDescent="0.25">
      <c r="A187" s="17"/>
      <c r="B187" s="17"/>
      <c r="C187" s="17"/>
      <c r="D187" s="17"/>
    </row>
    <row r="188" spans="1:4" ht="12.5" x14ac:dyDescent="0.25">
      <c r="A188" s="17"/>
      <c r="B188" s="17"/>
      <c r="C188" s="17"/>
      <c r="D188" s="17"/>
    </row>
    <row r="189" spans="1:4" ht="12.5" x14ac:dyDescent="0.25">
      <c r="A189" s="17"/>
      <c r="B189" s="17"/>
      <c r="C189" s="17"/>
      <c r="D189" s="17"/>
    </row>
    <row r="190" spans="1:4" ht="12.5" x14ac:dyDescent="0.25">
      <c r="A190" s="17"/>
      <c r="B190" s="17"/>
      <c r="C190" s="17"/>
      <c r="D190" s="17"/>
    </row>
    <row r="191" spans="1:4" ht="12.5" x14ac:dyDescent="0.25">
      <c r="A191" s="17"/>
      <c r="B191" s="17"/>
      <c r="C191" s="17"/>
      <c r="D191" s="17"/>
    </row>
    <row r="192" spans="1:4" ht="12.5" x14ac:dyDescent="0.25">
      <c r="A192" s="17"/>
      <c r="B192" s="17"/>
      <c r="C192" s="17"/>
      <c r="D192" s="17"/>
    </row>
    <row r="193" spans="1:4" ht="12.5" x14ac:dyDescent="0.25">
      <c r="A193" s="17"/>
      <c r="B193" s="17"/>
      <c r="C193" s="17"/>
      <c r="D193" s="17"/>
    </row>
    <row r="194" spans="1:4" ht="12.5" x14ac:dyDescent="0.25">
      <c r="A194" s="17"/>
      <c r="B194" s="17"/>
      <c r="C194" s="17"/>
      <c r="D194" s="17"/>
    </row>
    <row r="195" spans="1:4" ht="12.5" x14ac:dyDescent="0.25">
      <c r="A195" s="17"/>
      <c r="B195" s="17"/>
      <c r="C195" s="17"/>
      <c r="D195" s="17"/>
    </row>
    <row r="196" spans="1:4" ht="12.5" x14ac:dyDescent="0.25">
      <c r="A196" s="17"/>
      <c r="B196" s="17"/>
      <c r="C196" s="17"/>
      <c r="D196" s="17"/>
    </row>
    <row r="197" spans="1:4" ht="12.5" x14ac:dyDescent="0.25">
      <c r="A197" s="17"/>
      <c r="B197" s="17"/>
      <c r="C197" s="17"/>
      <c r="D197" s="17"/>
    </row>
    <row r="198" spans="1:4" ht="12.5" x14ac:dyDescent="0.25">
      <c r="A198" s="17"/>
      <c r="B198" s="17"/>
      <c r="C198" s="17"/>
      <c r="D198" s="17"/>
    </row>
    <row r="199" spans="1:4" ht="12.5" x14ac:dyDescent="0.25">
      <c r="A199" s="17"/>
      <c r="B199" s="17"/>
      <c r="C199" s="17"/>
      <c r="D199" s="17"/>
    </row>
    <row r="200" spans="1:4" ht="12.5" x14ac:dyDescent="0.25">
      <c r="A200" s="17"/>
      <c r="B200" s="17"/>
      <c r="C200" s="17"/>
      <c r="D200" s="17"/>
    </row>
    <row r="201" spans="1:4" ht="12.5" x14ac:dyDescent="0.25">
      <c r="A201" s="17"/>
      <c r="B201" s="17"/>
      <c r="C201" s="17"/>
      <c r="D201" s="17"/>
    </row>
    <row r="202" spans="1:4" ht="12.5" x14ac:dyDescent="0.25">
      <c r="A202" s="17"/>
      <c r="B202" s="17"/>
      <c r="C202" s="17"/>
      <c r="D202" s="17"/>
    </row>
    <row r="203" spans="1:4" ht="12.5" x14ac:dyDescent="0.25">
      <c r="A203" s="17"/>
      <c r="B203" s="17"/>
      <c r="C203" s="17"/>
      <c r="D203" s="17"/>
    </row>
    <row r="204" spans="1:4" ht="12.5" x14ac:dyDescent="0.25">
      <c r="A204" s="17"/>
      <c r="B204" s="17"/>
      <c r="C204" s="17"/>
      <c r="D204" s="17"/>
    </row>
    <row r="205" spans="1:4" ht="12.5" x14ac:dyDescent="0.25">
      <c r="A205" s="17"/>
      <c r="B205" s="17"/>
      <c r="C205" s="17"/>
      <c r="D205" s="17"/>
    </row>
    <row r="206" spans="1:4" ht="12.5" x14ac:dyDescent="0.25">
      <c r="A206" s="17"/>
      <c r="B206" s="17"/>
      <c r="C206" s="17"/>
      <c r="D206" s="17"/>
    </row>
    <row r="207" spans="1:4" ht="12.5" x14ac:dyDescent="0.25">
      <c r="A207" s="17"/>
      <c r="B207" s="17"/>
      <c r="C207" s="17"/>
      <c r="D207" s="17"/>
    </row>
    <row r="208" spans="1:4" ht="12.5" x14ac:dyDescent="0.25">
      <c r="A208" s="17"/>
      <c r="B208" s="17"/>
      <c r="C208" s="17"/>
      <c r="D208" s="17"/>
    </row>
    <row r="209" spans="1:4" ht="12.5" x14ac:dyDescent="0.25">
      <c r="A209" s="17"/>
      <c r="B209" s="17"/>
      <c r="C209" s="17"/>
      <c r="D209" s="17"/>
    </row>
    <row r="210" spans="1:4" ht="12.5" x14ac:dyDescent="0.25">
      <c r="A210" s="17"/>
      <c r="B210" s="17"/>
      <c r="C210" s="17"/>
      <c r="D210" s="17"/>
    </row>
    <row r="211" spans="1:4" ht="12.5" x14ac:dyDescent="0.25">
      <c r="A211" s="17"/>
      <c r="B211" s="17"/>
      <c r="C211" s="17"/>
      <c r="D211" s="17"/>
    </row>
    <row r="212" spans="1:4" ht="12.5" x14ac:dyDescent="0.25">
      <c r="A212" s="17"/>
      <c r="B212" s="17"/>
      <c r="C212" s="17"/>
      <c r="D212" s="17"/>
    </row>
    <row r="213" spans="1:4" ht="12.5" x14ac:dyDescent="0.25">
      <c r="A213" s="17"/>
      <c r="B213" s="17"/>
      <c r="C213" s="17"/>
      <c r="D213" s="17"/>
    </row>
    <row r="214" spans="1:4" ht="12.5" x14ac:dyDescent="0.25">
      <c r="A214" s="17"/>
      <c r="B214" s="17"/>
      <c r="C214" s="17"/>
      <c r="D214" s="17"/>
    </row>
    <row r="215" spans="1:4" ht="12.5" x14ac:dyDescent="0.25">
      <c r="A215" s="17"/>
      <c r="B215" s="17"/>
      <c r="C215" s="17"/>
      <c r="D215" s="17"/>
    </row>
    <row r="216" spans="1:4" ht="12.5" x14ac:dyDescent="0.25">
      <c r="A216" s="17"/>
      <c r="B216" s="17"/>
      <c r="C216" s="17"/>
      <c r="D216" s="17"/>
    </row>
    <row r="217" spans="1:4" ht="12.5" x14ac:dyDescent="0.25">
      <c r="A217" s="17"/>
      <c r="B217" s="17"/>
      <c r="C217" s="17"/>
      <c r="D217" s="17"/>
    </row>
    <row r="218" spans="1:4" ht="12.5" x14ac:dyDescent="0.25">
      <c r="A218" s="17"/>
      <c r="B218" s="17"/>
      <c r="C218" s="17"/>
      <c r="D218" s="17"/>
    </row>
    <row r="219" spans="1:4" ht="12.5" x14ac:dyDescent="0.25">
      <c r="A219" s="17"/>
      <c r="B219" s="17"/>
      <c r="C219" s="17"/>
      <c r="D219" s="17"/>
    </row>
    <row r="220" spans="1:4" ht="12.5" x14ac:dyDescent="0.25">
      <c r="A220" s="17"/>
      <c r="B220" s="17"/>
      <c r="C220" s="17"/>
      <c r="D220" s="17"/>
    </row>
    <row r="221" spans="1:4" ht="12.5" x14ac:dyDescent="0.25">
      <c r="A221" s="17"/>
      <c r="B221" s="17"/>
      <c r="C221" s="17"/>
      <c r="D221" s="17"/>
    </row>
    <row r="222" spans="1:4" ht="12.5" x14ac:dyDescent="0.25">
      <c r="A222" s="17"/>
      <c r="B222" s="17"/>
      <c r="C222" s="17"/>
      <c r="D222" s="17"/>
    </row>
    <row r="223" spans="1:4" ht="12.5" x14ac:dyDescent="0.25">
      <c r="A223" s="17"/>
      <c r="B223" s="17"/>
      <c r="C223" s="17"/>
      <c r="D223" s="17"/>
    </row>
    <row r="224" spans="1:4" ht="12.5" x14ac:dyDescent="0.25">
      <c r="A224" s="17"/>
      <c r="B224" s="17"/>
      <c r="C224" s="17"/>
      <c r="D224" s="17"/>
    </row>
    <row r="225" spans="1:4" ht="12.5" x14ac:dyDescent="0.25">
      <c r="A225" s="17"/>
      <c r="B225" s="17"/>
      <c r="C225" s="17"/>
      <c r="D225" s="17"/>
    </row>
    <row r="226" spans="1:4" ht="12.5" x14ac:dyDescent="0.25">
      <c r="A226" s="17"/>
      <c r="B226" s="17"/>
      <c r="C226" s="17"/>
      <c r="D226" s="17"/>
    </row>
    <row r="227" spans="1:4" ht="12.5" x14ac:dyDescent="0.25">
      <c r="A227" s="17"/>
      <c r="B227" s="17"/>
      <c r="C227" s="17"/>
      <c r="D227" s="17"/>
    </row>
    <row r="228" spans="1:4" ht="12.5" x14ac:dyDescent="0.25">
      <c r="A228" s="17"/>
      <c r="B228" s="17"/>
      <c r="C228" s="17"/>
      <c r="D228" s="17"/>
    </row>
    <row r="229" spans="1:4" ht="12.5" x14ac:dyDescent="0.25">
      <c r="A229" s="17"/>
      <c r="B229" s="17"/>
      <c r="C229" s="17"/>
      <c r="D229" s="17"/>
    </row>
    <row r="230" spans="1:4" ht="12.5" x14ac:dyDescent="0.25">
      <c r="A230" s="17"/>
      <c r="B230" s="17"/>
      <c r="C230" s="17"/>
      <c r="D230" s="17"/>
    </row>
    <row r="231" spans="1:4" ht="12.5" x14ac:dyDescent="0.25">
      <c r="A231" s="17"/>
      <c r="B231" s="17"/>
      <c r="C231" s="17"/>
      <c r="D231" s="17"/>
    </row>
    <row r="232" spans="1:4" ht="12.5" x14ac:dyDescent="0.25">
      <c r="A232" s="17"/>
      <c r="B232" s="17"/>
      <c r="C232" s="17"/>
      <c r="D232" s="17"/>
    </row>
    <row r="233" spans="1:4" ht="12.5" x14ac:dyDescent="0.25">
      <c r="A233" s="17"/>
      <c r="B233" s="17"/>
      <c r="C233" s="17"/>
      <c r="D233" s="17"/>
    </row>
    <row r="234" spans="1:4" ht="12.5" x14ac:dyDescent="0.25">
      <c r="A234" s="17"/>
      <c r="B234" s="17"/>
      <c r="C234" s="17"/>
      <c r="D234" s="17"/>
    </row>
    <row r="235" spans="1:4" ht="12.5" x14ac:dyDescent="0.25">
      <c r="A235" s="17"/>
      <c r="B235" s="17"/>
      <c r="C235" s="17"/>
      <c r="D235" s="17"/>
    </row>
    <row r="236" spans="1:4" ht="12.5" x14ac:dyDescent="0.25">
      <c r="A236" s="17"/>
      <c r="B236" s="17"/>
      <c r="C236" s="17"/>
      <c r="D236" s="17"/>
    </row>
    <row r="237" spans="1:4" ht="12.5" x14ac:dyDescent="0.25">
      <c r="A237" s="17"/>
      <c r="B237" s="17"/>
      <c r="C237" s="17"/>
      <c r="D237" s="17"/>
    </row>
    <row r="238" spans="1:4" ht="12.5" x14ac:dyDescent="0.25">
      <c r="A238" s="17"/>
      <c r="B238" s="17"/>
      <c r="C238" s="17"/>
      <c r="D238" s="17"/>
    </row>
    <row r="239" spans="1:4" ht="12.5" x14ac:dyDescent="0.25">
      <c r="A239" s="17"/>
      <c r="B239" s="17"/>
      <c r="C239" s="17"/>
      <c r="D239" s="17"/>
    </row>
    <row r="240" spans="1:4" ht="12.5" x14ac:dyDescent="0.25">
      <c r="A240" s="17"/>
      <c r="B240" s="17"/>
      <c r="C240" s="17"/>
      <c r="D240" s="17"/>
    </row>
    <row r="241" spans="1:4" ht="12.5" x14ac:dyDescent="0.25">
      <c r="A241" s="17"/>
      <c r="B241" s="17"/>
      <c r="C241" s="17"/>
      <c r="D241" s="17"/>
    </row>
    <row r="242" spans="1:4" ht="12.5" x14ac:dyDescent="0.25">
      <c r="A242" s="17"/>
      <c r="B242" s="17"/>
      <c r="C242" s="17"/>
      <c r="D242" s="17"/>
    </row>
    <row r="243" spans="1:4" ht="12.5" x14ac:dyDescent="0.25">
      <c r="A243" s="17"/>
      <c r="B243" s="17"/>
      <c r="C243" s="17"/>
      <c r="D243" s="17"/>
    </row>
    <row r="244" spans="1:4" ht="12.5" x14ac:dyDescent="0.25">
      <c r="A244" s="17"/>
      <c r="B244" s="17"/>
      <c r="C244" s="17"/>
      <c r="D244" s="17"/>
    </row>
    <row r="245" spans="1:4" ht="12.5" x14ac:dyDescent="0.25">
      <c r="A245" s="17"/>
      <c r="B245" s="17"/>
      <c r="C245" s="17"/>
      <c r="D245" s="17"/>
    </row>
    <row r="246" spans="1:4" ht="12.5" x14ac:dyDescent="0.25">
      <c r="A246" s="17"/>
      <c r="B246" s="17"/>
      <c r="C246" s="17"/>
      <c r="D246" s="17"/>
    </row>
    <row r="247" spans="1:4" ht="12.5" x14ac:dyDescent="0.25">
      <c r="A247" s="17"/>
      <c r="B247" s="17"/>
      <c r="C247" s="17"/>
      <c r="D247" s="17"/>
    </row>
    <row r="248" spans="1:4" ht="12.5" x14ac:dyDescent="0.25">
      <c r="A248" s="17"/>
      <c r="B248" s="17"/>
      <c r="C248" s="17"/>
      <c r="D248" s="17"/>
    </row>
    <row r="249" spans="1:4" ht="12.5" x14ac:dyDescent="0.25">
      <c r="A249" s="17"/>
      <c r="B249" s="17"/>
      <c r="C249" s="17"/>
      <c r="D249" s="17"/>
    </row>
    <row r="250" spans="1:4" ht="12.5" x14ac:dyDescent="0.25">
      <c r="A250" s="17"/>
      <c r="B250" s="17"/>
      <c r="C250" s="17"/>
      <c r="D250" s="17"/>
    </row>
    <row r="251" spans="1:4" ht="12.5" x14ac:dyDescent="0.25">
      <c r="A251" s="17"/>
      <c r="B251" s="17"/>
      <c r="C251" s="17"/>
      <c r="D251" s="17"/>
    </row>
    <row r="252" spans="1:4" ht="12.5" x14ac:dyDescent="0.25">
      <c r="A252" s="17"/>
      <c r="B252" s="17"/>
      <c r="C252" s="17"/>
      <c r="D252" s="17"/>
    </row>
    <row r="253" spans="1:4" ht="12.5" x14ac:dyDescent="0.25">
      <c r="A253" s="17"/>
      <c r="B253" s="17"/>
      <c r="C253" s="17"/>
      <c r="D253" s="17"/>
    </row>
    <row r="254" spans="1:4" ht="12.5" x14ac:dyDescent="0.25">
      <c r="A254" s="17"/>
      <c r="B254" s="17"/>
      <c r="C254" s="17"/>
      <c r="D254" s="17"/>
    </row>
    <row r="255" spans="1:4" ht="12.5" x14ac:dyDescent="0.25">
      <c r="A255" s="17"/>
      <c r="B255" s="17"/>
      <c r="C255" s="17"/>
      <c r="D255" s="17"/>
    </row>
    <row r="256" spans="1:4" ht="12.5" x14ac:dyDescent="0.25">
      <c r="A256" s="17"/>
      <c r="B256" s="17"/>
      <c r="C256" s="17"/>
      <c r="D256" s="17"/>
    </row>
    <row r="257" spans="1:4" ht="12.5" x14ac:dyDescent="0.25">
      <c r="A257" s="17"/>
      <c r="B257" s="17"/>
      <c r="C257" s="17"/>
      <c r="D257" s="17"/>
    </row>
    <row r="258" spans="1:4" ht="12.5" x14ac:dyDescent="0.25">
      <c r="A258" s="17"/>
      <c r="B258" s="17"/>
      <c r="C258" s="17"/>
      <c r="D258" s="17"/>
    </row>
    <row r="259" spans="1:4" ht="12.5" x14ac:dyDescent="0.25">
      <c r="A259" s="17"/>
      <c r="B259" s="17"/>
      <c r="C259" s="17"/>
      <c r="D259" s="17"/>
    </row>
    <row r="260" spans="1:4" ht="12.5" x14ac:dyDescent="0.25">
      <c r="A260" s="17"/>
      <c r="B260" s="17"/>
      <c r="C260" s="17"/>
      <c r="D260" s="17"/>
    </row>
    <row r="261" spans="1:4" ht="12.5" x14ac:dyDescent="0.25">
      <c r="A261" s="17"/>
      <c r="B261" s="17"/>
      <c r="C261" s="17"/>
      <c r="D261" s="17"/>
    </row>
    <row r="262" spans="1:4" ht="12.5" x14ac:dyDescent="0.25">
      <c r="A262" s="17"/>
      <c r="B262" s="17"/>
      <c r="C262" s="17"/>
      <c r="D262" s="17"/>
    </row>
    <row r="263" spans="1:4" ht="12.5" x14ac:dyDescent="0.25">
      <c r="A263" s="17"/>
      <c r="B263" s="17"/>
      <c r="C263" s="17"/>
      <c r="D263" s="17"/>
    </row>
    <row r="264" spans="1:4" ht="12.5" x14ac:dyDescent="0.25">
      <c r="A264" s="17"/>
      <c r="B264" s="17"/>
      <c r="C264" s="17"/>
      <c r="D264" s="17"/>
    </row>
    <row r="265" spans="1:4" ht="12.5" x14ac:dyDescent="0.25">
      <c r="A265" s="17"/>
      <c r="B265" s="17"/>
      <c r="C265" s="17"/>
      <c r="D265" s="17"/>
    </row>
    <row r="266" spans="1:4" ht="12.5" x14ac:dyDescent="0.25">
      <c r="A266" s="17"/>
      <c r="B266" s="17"/>
      <c r="C266" s="17"/>
      <c r="D266" s="17"/>
    </row>
    <row r="267" spans="1:4" ht="12.5" x14ac:dyDescent="0.25">
      <c r="A267" s="17"/>
      <c r="B267" s="17"/>
      <c r="C267" s="17"/>
      <c r="D267" s="17"/>
    </row>
    <row r="268" spans="1:4" ht="12.5" x14ac:dyDescent="0.25">
      <c r="A268" s="17"/>
      <c r="B268" s="17"/>
      <c r="C268" s="17"/>
      <c r="D268" s="17"/>
    </row>
    <row r="269" spans="1:4" ht="12.5" x14ac:dyDescent="0.25">
      <c r="A269" s="17"/>
      <c r="B269" s="17"/>
      <c r="C269" s="17"/>
      <c r="D269" s="17"/>
    </row>
    <row r="270" spans="1:4" ht="12.5" x14ac:dyDescent="0.25">
      <c r="A270" s="17"/>
      <c r="B270" s="17"/>
      <c r="C270" s="17"/>
      <c r="D270" s="17"/>
    </row>
    <row r="271" spans="1:4" ht="12.5" x14ac:dyDescent="0.25">
      <c r="A271" s="17"/>
      <c r="B271" s="17"/>
      <c r="C271" s="17"/>
      <c r="D271" s="17"/>
    </row>
    <row r="272" spans="1:4" ht="12.5" x14ac:dyDescent="0.25">
      <c r="A272" s="17"/>
      <c r="B272" s="17"/>
      <c r="C272" s="17"/>
      <c r="D272" s="17"/>
    </row>
    <row r="273" spans="1:4" ht="12.5" x14ac:dyDescent="0.25">
      <c r="A273" s="17"/>
      <c r="B273" s="17"/>
      <c r="C273" s="17"/>
      <c r="D273" s="17"/>
    </row>
    <row r="274" spans="1:4" ht="12.5" x14ac:dyDescent="0.25">
      <c r="A274" s="17"/>
      <c r="B274" s="17"/>
      <c r="C274" s="17"/>
      <c r="D274" s="17"/>
    </row>
    <row r="275" spans="1:4" ht="12.5" x14ac:dyDescent="0.25">
      <c r="A275" s="17"/>
      <c r="B275" s="17"/>
      <c r="C275" s="17"/>
      <c r="D275" s="17"/>
    </row>
    <row r="276" spans="1:4" ht="12.5" x14ac:dyDescent="0.25">
      <c r="A276" s="17"/>
      <c r="B276" s="17"/>
      <c r="C276" s="17"/>
      <c r="D276" s="17"/>
    </row>
    <row r="277" spans="1:4" ht="12.5" x14ac:dyDescent="0.25">
      <c r="A277" s="17"/>
      <c r="B277" s="17"/>
      <c r="C277" s="17"/>
      <c r="D277" s="17"/>
    </row>
    <row r="278" spans="1:4" ht="12.5" x14ac:dyDescent="0.25">
      <c r="A278" s="17"/>
      <c r="B278" s="17"/>
      <c r="C278" s="17"/>
      <c r="D278" s="17"/>
    </row>
    <row r="279" spans="1:4" ht="12.5" x14ac:dyDescent="0.25">
      <c r="A279" s="17"/>
      <c r="B279" s="17"/>
      <c r="C279" s="17"/>
      <c r="D279" s="17"/>
    </row>
    <row r="280" spans="1:4" ht="12.5" x14ac:dyDescent="0.25">
      <c r="A280" s="17"/>
      <c r="B280" s="17"/>
      <c r="C280" s="17"/>
      <c r="D280" s="17"/>
    </row>
    <row r="281" spans="1:4" ht="12.5" x14ac:dyDescent="0.25">
      <c r="A281" s="17"/>
      <c r="B281" s="17"/>
      <c r="C281" s="17"/>
      <c r="D281" s="17"/>
    </row>
    <row r="282" spans="1:4" ht="12.5" x14ac:dyDescent="0.25">
      <c r="A282" s="17"/>
      <c r="B282" s="17"/>
      <c r="C282" s="17"/>
      <c r="D282" s="17"/>
    </row>
    <row r="283" spans="1:4" ht="12.5" x14ac:dyDescent="0.25">
      <c r="A283" s="17"/>
      <c r="B283" s="17"/>
      <c r="C283" s="17"/>
      <c r="D283" s="17"/>
    </row>
    <row r="284" spans="1:4" ht="12.5" x14ac:dyDescent="0.25">
      <c r="A284" s="17"/>
      <c r="B284" s="17"/>
      <c r="C284" s="17"/>
      <c r="D284" s="17"/>
    </row>
    <row r="285" spans="1:4" ht="12.5" x14ac:dyDescent="0.25">
      <c r="A285" s="17"/>
      <c r="B285" s="17"/>
      <c r="C285" s="17"/>
      <c r="D285" s="17"/>
    </row>
    <row r="286" spans="1:4" ht="12.5" x14ac:dyDescent="0.25">
      <c r="A286" s="17"/>
      <c r="B286" s="17"/>
      <c r="C286" s="17"/>
      <c r="D286" s="17"/>
    </row>
    <row r="287" spans="1:4" ht="12.5" x14ac:dyDescent="0.25">
      <c r="A287" s="17"/>
      <c r="B287" s="17"/>
      <c r="C287" s="17"/>
      <c r="D287" s="17"/>
    </row>
    <row r="288" spans="1:4" ht="12.5" x14ac:dyDescent="0.25">
      <c r="A288" s="17"/>
      <c r="B288" s="17"/>
      <c r="C288" s="17"/>
      <c r="D288" s="17"/>
    </row>
    <row r="289" spans="1:4" ht="12.5" x14ac:dyDescent="0.25">
      <c r="A289" s="17"/>
      <c r="B289" s="17"/>
      <c r="C289" s="17"/>
      <c r="D289" s="17"/>
    </row>
    <row r="290" spans="1:4" ht="12.5" x14ac:dyDescent="0.25">
      <c r="A290" s="17"/>
      <c r="B290" s="17"/>
      <c r="C290" s="17"/>
      <c r="D290" s="17"/>
    </row>
    <row r="291" spans="1:4" ht="12.5" x14ac:dyDescent="0.25">
      <c r="A291" s="17"/>
      <c r="B291" s="17"/>
      <c r="C291" s="17"/>
      <c r="D291" s="17"/>
    </row>
    <row r="292" spans="1:4" ht="12.5" x14ac:dyDescent="0.25">
      <c r="A292" s="17"/>
      <c r="B292" s="17"/>
      <c r="C292" s="17"/>
      <c r="D292" s="17"/>
    </row>
    <row r="293" spans="1:4" ht="12.5" x14ac:dyDescent="0.25">
      <c r="A293" s="17"/>
      <c r="B293" s="17"/>
      <c r="C293" s="17"/>
      <c r="D293" s="17"/>
    </row>
    <row r="294" spans="1:4" ht="12.5" x14ac:dyDescent="0.25">
      <c r="A294" s="17"/>
      <c r="B294" s="17"/>
      <c r="C294" s="17"/>
      <c r="D294" s="17"/>
    </row>
    <row r="295" spans="1:4" ht="12.5" x14ac:dyDescent="0.25">
      <c r="A295" s="17"/>
      <c r="B295" s="17"/>
      <c r="C295" s="17"/>
      <c r="D295" s="17"/>
    </row>
    <row r="296" spans="1:4" ht="12.5" x14ac:dyDescent="0.25">
      <c r="A296" s="17"/>
      <c r="B296" s="17"/>
      <c r="C296" s="17"/>
      <c r="D296" s="17"/>
    </row>
    <row r="297" spans="1:4" ht="12.5" x14ac:dyDescent="0.25">
      <c r="A297" s="17"/>
      <c r="B297" s="17"/>
      <c r="C297" s="17"/>
      <c r="D297" s="17"/>
    </row>
    <row r="298" spans="1:4" ht="12.5" x14ac:dyDescent="0.25">
      <c r="A298" s="17"/>
      <c r="B298" s="17"/>
      <c r="C298" s="17"/>
      <c r="D298" s="17"/>
    </row>
    <row r="299" spans="1:4" ht="12.5" x14ac:dyDescent="0.25">
      <c r="A299" s="17"/>
      <c r="B299" s="17"/>
      <c r="C299" s="17"/>
      <c r="D299" s="17"/>
    </row>
    <row r="300" spans="1:4" ht="12.5" x14ac:dyDescent="0.25">
      <c r="A300" s="17"/>
      <c r="B300" s="17"/>
      <c r="C300" s="17"/>
      <c r="D300" s="17"/>
    </row>
    <row r="301" spans="1:4" ht="12.5" x14ac:dyDescent="0.25">
      <c r="A301" s="17"/>
      <c r="B301" s="17"/>
      <c r="C301" s="17"/>
      <c r="D301" s="17"/>
    </row>
    <row r="302" spans="1:4" ht="12.5" x14ac:dyDescent="0.25">
      <c r="A302" s="17"/>
      <c r="B302" s="17"/>
      <c r="C302" s="17"/>
      <c r="D302" s="17"/>
    </row>
    <row r="303" spans="1:4" ht="12.5" x14ac:dyDescent="0.25">
      <c r="A303" s="17"/>
      <c r="B303" s="17"/>
      <c r="C303" s="17"/>
      <c r="D303" s="17"/>
    </row>
    <row r="304" spans="1:4" ht="12.5" x14ac:dyDescent="0.25">
      <c r="A304" s="17"/>
      <c r="B304" s="17"/>
      <c r="C304" s="17"/>
      <c r="D304" s="17"/>
    </row>
    <row r="305" spans="1:4" ht="12.5" x14ac:dyDescent="0.25">
      <c r="A305" s="17"/>
      <c r="B305" s="17"/>
      <c r="C305" s="17"/>
      <c r="D305" s="17"/>
    </row>
    <row r="306" spans="1:4" ht="12.5" x14ac:dyDescent="0.25">
      <c r="A306" s="17"/>
      <c r="B306" s="17"/>
      <c r="C306" s="17"/>
      <c r="D306" s="17"/>
    </row>
    <row r="307" spans="1:4" ht="12.5" x14ac:dyDescent="0.25">
      <c r="A307" s="17"/>
      <c r="B307" s="17"/>
      <c r="C307" s="17"/>
      <c r="D307" s="17"/>
    </row>
    <row r="308" spans="1:4" ht="12.5" x14ac:dyDescent="0.25">
      <c r="A308" s="17"/>
      <c r="B308" s="17"/>
      <c r="C308" s="17"/>
      <c r="D308" s="17"/>
    </row>
    <row r="309" spans="1:4" ht="12.5" x14ac:dyDescent="0.25">
      <c r="A309" s="17"/>
      <c r="B309" s="17"/>
      <c r="C309" s="17"/>
      <c r="D309" s="17"/>
    </row>
    <row r="310" spans="1:4" ht="12.5" x14ac:dyDescent="0.25">
      <c r="A310" s="17"/>
      <c r="B310" s="17"/>
      <c r="C310" s="17"/>
      <c r="D310" s="17"/>
    </row>
    <row r="311" spans="1:4" ht="12.5" x14ac:dyDescent="0.25">
      <c r="A311" s="17"/>
      <c r="B311" s="17"/>
      <c r="C311" s="17"/>
      <c r="D311" s="17"/>
    </row>
    <row r="312" spans="1:4" ht="12.5" x14ac:dyDescent="0.25">
      <c r="A312" s="17"/>
      <c r="B312" s="17"/>
      <c r="C312" s="17"/>
      <c r="D312" s="17"/>
    </row>
    <row r="313" spans="1:4" ht="12.5" x14ac:dyDescent="0.25">
      <c r="A313" s="17"/>
      <c r="B313" s="17"/>
      <c r="C313" s="17"/>
      <c r="D313" s="17"/>
    </row>
    <row r="314" spans="1:4" ht="12.5" x14ac:dyDescent="0.25">
      <c r="A314" s="17"/>
      <c r="B314" s="17"/>
      <c r="C314" s="17"/>
      <c r="D314" s="17"/>
    </row>
    <row r="315" spans="1:4" ht="12.5" x14ac:dyDescent="0.25">
      <c r="A315" s="17"/>
      <c r="B315" s="17"/>
      <c r="C315" s="17"/>
      <c r="D315" s="17"/>
    </row>
    <row r="316" spans="1:4" ht="12.5" x14ac:dyDescent="0.25">
      <c r="A316" s="17"/>
      <c r="B316" s="17"/>
      <c r="C316" s="17"/>
      <c r="D316" s="17"/>
    </row>
    <row r="317" spans="1:4" ht="12.5" x14ac:dyDescent="0.25">
      <c r="A317" s="17"/>
      <c r="B317" s="17"/>
      <c r="C317" s="17"/>
      <c r="D317" s="17"/>
    </row>
    <row r="318" spans="1:4" ht="12.5" x14ac:dyDescent="0.25">
      <c r="A318" s="17"/>
      <c r="B318" s="17"/>
      <c r="C318" s="17"/>
      <c r="D318" s="17"/>
    </row>
    <row r="319" spans="1:4" ht="12.5" x14ac:dyDescent="0.25">
      <c r="A319" s="17"/>
      <c r="B319" s="17"/>
      <c r="C319" s="17"/>
      <c r="D319" s="17"/>
    </row>
    <row r="320" spans="1:4" ht="12.5" x14ac:dyDescent="0.25">
      <c r="A320" s="17"/>
      <c r="B320" s="17"/>
      <c r="C320" s="17"/>
      <c r="D320" s="17"/>
    </row>
    <row r="321" spans="1:4" ht="12.5" x14ac:dyDescent="0.25">
      <c r="A321" s="17"/>
      <c r="B321" s="17"/>
      <c r="C321" s="17"/>
      <c r="D321" s="17"/>
    </row>
    <row r="322" spans="1:4" ht="12.5" x14ac:dyDescent="0.25">
      <c r="A322" s="17"/>
      <c r="B322" s="17"/>
      <c r="C322" s="17"/>
      <c r="D322" s="17"/>
    </row>
    <row r="323" spans="1:4" ht="12.5" x14ac:dyDescent="0.25">
      <c r="A323" s="17"/>
      <c r="B323" s="17"/>
      <c r="C323" s="17"/>
      <c r="D323" s="17"/>
    </row>
    <row r="324" spans="1:4" ht="12.5" x14ac:dyDescent="0.25">
      <c r="A324" s="17"/>
      <c r="B324" s="17"/>
      <c r="C324" s="17"/>
      <c r="D324" s="17"/>
    </row>
    <row r="325" spans="1:4" ht="12.5" x14ac:dyDescent="0.25">
      <c r="A325" s="17"/>
      <c r="B325" s="17"/>
      <c r="C325" s="17"/>
      <c r="D325" s="17"/>
    </row>
    <row r="326" spans="1:4" ht="12.5" x14ac:dyDescent="0.25">
      <c r="A326" s="17"/>
      <c r="B326" s="17"/>
      <c r="C326" s="17"/>
      <c r="D326" s="17"/>
    </row>
    <row r="327" spans="1:4" ht="12.5" x14ac:dyDescent="0.25">
      <c r="A327" s="17"/>
      <c r="B327" s="17"/>
      <c r="C327" s="17"/>
      <c r="D327" s="17"/>
    </row>
    <row r="328" spans="1:4" ht="12.5" x14ac:dyDescent="0.25">
      <c r="A328" s="17"/>
      <c r="B328" s="17"/>
      <c r="C328" s="17"/>
      <c r="D328" s="17"/>
    </row>
    <row r="329" spans="1:4" ht="12.5" x14ac:dyDescent="0.25">
      <c r="A329" s="17"/>
      <c r="B329" s="17"/>
      <c r="C329" s="17"/>
      <c r="D329" s="17"/>
    </row>
    <row r="330" spans="1:4" ht="12.5" x14ac:dyDescent="0.25">
      <c r="A330" s="17"/>
      <c r="B330" s="17"/>
      <c r="C330" s="17"/>
      <c r="D330" s="17"/>
    </row>
    <row r="331" spans="1:4" ht="12.5" x14ac:dyDescent="0.25">
      <c r="A331" s="17"/>
      <c r="B331" s="17"/>
      <c r="C331" s="17"/>
      <c r="D331" s="17"/>
    </row>
    <row r="332" spans="1:4" ht="12.5" x14ac:dyDescent="0.25">
      <c r="A332" s="17"/>
      <c r="B332" s="17"/>
      <c r="C332" s="17"/>
      <c r="D332" s="17"/>
    </row>
    <row r="333" spans="1:4" ht="12.5" x14ac:dyDescent="0.25">
      <c r="A333" s="17"/>
      <c r="B333" s="17"/>
      <c r="C333" s="17"/>
      <c r="D333" s="17"/>
    </row>
    <row r="334" spans="1:4" ht="12.5" x14ac:dyDescent="0.25">
      <c r="A334" s="17"/>
      <c r="B334" s="17"/>
      <c r="C334" s="17"/>
      <c r="D334" s="17"/>
    </row>
    <row r="335" spans="1:4" ht="12.5" x14ac:dyDescent="0.25">
      <c r="A335" s="17"/>
      <c r="B335" s="17"/>
      <c r="C335" s="17"/>
      <c r="D335" s="17"/>
    </row>
    <row r="336" spans="1:4" ht="12.5" x14ac:dyDescent="0.25">
      <c r="A336" s="17"/>
      <c r="B336" s="17"/>
      <c r="C336" s="17"/>
      <c r="D336" s="17"/>
    </row>
    <row r="337" spans="1:4" ht="12.5" x14ac:dyDescent="0.25">
      <c r="A337" s="17"/>
      <c r="B337" s="17"/>
      <c r="C337" s="17"/>
      <c r="D337" s="17"/>
    </row>
    <row r="338" spans="1:4" ht="12.5" x14ac:dyDescent="0.25">
      <c r="A338" s="17"/>
      <c r="B338" s="17"/>
      <c r="C338" s="17"/>
      <c r="D338" s="17"/>
    </row>
    <row r="339" spans="1:4" ht="12.5" x14ac:dyDescent="0.25">
      <c r="A339" s="17"/>
      <c r="B339" s="17"/>
      <c r="C339" s="17"/>
      <c r="D339" s="17"/>
    </row>
    <row r="340" spans="1:4" ht="12.5" x14ac:dyDescent="0.25">
      <c r="A340" s="17"/>
      <c r="B340" s="17"/>
      <c r="C340" s="17"/>
      <c r="D340" s="17"/>
    </row>
    <row r="341" spans="1:4" ht="12.5" x14ac:dyDescent="0.25">
      <c r="A341" s="17"/>
      <c r="B341" s="17"/>
      <c r="C341" s="17"/>
      <c r="D341" s="17"/>
    </row>
    <row r="342" spans="1:4" ht="12.5" x14ac:dyDescent="0.25">
      <c r="A342" s="17"/>
      <c r="B342" s="17"/>
      <c r="C342" s="17"/>
      <c r="D342" s="17"/>
    </row>
    <row r="343" spans="1:4" ht="12.5" x14ac:dyDescent="0.25">
      <c r="A343" s="17"/>
      <c r="B343" s="17"/>
      <c r="C343" s="17"/>
      <c r="D343" s="17"/>
    </row>
    <row r="344" spans="1:4" ht="12.5" x14ac:dyDescent="0.25">
      <c r="A344" s="17"/>
      <c r="B344" s="17"/>
      <c r="C344" s="17"/>
      <c r="D344" s="17"/>
    </row>
    <row r="345" spans="1:4" ht="12.5" x14ac:dyDescent="0.25">
      <c r="A345" s="17"/>
      <c r="B345" s="17"/>
      <c r="C345" s="17"/>
      <c r="D345" s="17"/>
    </row>
    <row r="346" spans="1:4" ht="12.5" x14ac:dyDescent="0.25">
      <c r="A346" s="17"/>
      <c r="B346" s="17"/>
      <c r="C346" s="17"/>
      <c r="D346" s="17"/>
    </row>
    <row r="347" spans="1:4" ht="12.5" x14ac:dyDescent="0.25">
      <c r="A347" s="17"/>
      <c r="B347" s="17"/>
      <c r="C347" s="17"/>
      <c r="D347" s="17"/>
    </row>
    <row r="348" spans="1:4" ht="12.5" x14ac:dyDescent="0.25">
      <c r="A348" s="17"/>
      <c r="B348" s="17"/>
      <c r="C348" s="17"/>
      <c r="D348" s="17"/>
    </row>
    <row r="349" spans="1:4" ht="12.5" x14ac:dyDescent="0.25">
      <c r="A349" s="17"/>
      <c r="B349" s="17"/>
      <c r="C349" s="17"/>
      <c r="D349" s="17"/>
    </row>
    <row r="350" spans="1:4" ht="12.5" x14ac:dyDescent="0.25">
      <c r="A350" s="17"/>
      <c r="B350" s="17"/>
      <c r="C350" s="17"/>
      <c r="D350" s="17"/>
    </row>
    <row r="351" spans="1:4" ht="12.5" x14ac:dyDescent="0.25">
      <c r="A351" s="17"/>
      <c r="B351" s="17"/>
      <c r="C351" s="17"/>
      <c r="D351" s="17"/>
    </row>
    <row r="352" spans="1:4" ht="12.5" x14ac:dyDescent="0.25">
      <c r="A352" s="17"/>
      <c r="B352" s="17"/>
      <c r="C352" s="17"/>
      <c r="D352" s="17"/>
    </row>
    <row r="353" spans="1:4" ht="12.5" x14ac:dyDescent="0.25">
      <c r="A353" s="17"/>
      <c r="B353" s="17"/>
      <c r="C353" s="17"/>
      <c r="D353" s="17"/>
    </row>
    <row r="354" spans="1:4" ht="12.5" x14ac:dyDescent="0.25">
      <c r="A354" s="17"/>
      <c r="B354" s="17"/>
      <c r="C354" s="17"/>
      <c r="D354" s="17"/>
    </row>
    <row r="355" spans="1:4" ht="12.5" x14ac:dyDescent="0.25">
      <c r="A355" s="17"/>
      <c r="B355" s="17"/>
      <c r="C355" s="17"/>
      <c r="D355" s="17"/>
    </row>
    <row r="356" spans="1:4" ht="12.5" x14ac:dyDescent="0.25">
      <c r="A356" s="17"/>
      <c r="B356" s="17"/>
      <c r="C356" s="17"/>
      <c r="D356" s="17"/>
    </row>
    <row r="357" spans="1:4" ht="12.5" x14ac:dyDescent="0.25">
      <c r="A357" s="17"/>
      <c r="B357" s="17"/>
      <c r="C357" s="17"/>
      <c r="D357" s="17"/>
    </row>
    <row r="358" spans="1:4" ht="12.5" x14ac:dyDescent="0.25">
      <c r="A358" s="17"/>
      <c r="B358" s="17"/>
      <c r="C358" s="17"/>
      <c r="D358" s="17"/>
    </row>
    <row r="359" spans="1:4" ht="12.5" x14ac:dyDescent="0.25">
      <c r="A359" s="17"/>
      <c r="B359" s="17"/>
      <c r="C359" s="17"/>
      <c r="D359" s="17"/>
    </row>
    <row r="360" spans="1:4" ht="12.5" x14ac:dyDescent="0.25">
      <c r="A360" s="17"/>
      <c r="B360" s="17"/>
      <c r="C360" s="17"/>
      <c r="D360" s="17"/>
    </row>
    <row r="361" spans="1:4" ht="12.5" x14ac:dyDescent="0.25">
      <c r="A361" s="17"/>
      <c r="B361" s="17"/>
      <c r="C361" s="17"/>
      <c r="D361" s="17"/>
    </row>
    <row r="362" spans="1:4" ht="12.5" x14ac:dyDescent="0.25">
      <c r="A362" s="17"/>
      <c r="B362" s="17"/>
      <c r="C362" s="17"/>
      <c r="D362" s="17"/>
    </row>
    <row r="363" spans="1:4" ht="12.5" x14ac:dyDescent="0.25">
      <c r="A363" s="17"/>
      <c r="B363" s="17"/>
      <c r="C363" s="17"/>
      <c r="D363" s="17"/>
    </row>
    <row r="364" spans="1:4" ht="12.5" x14ac:dyDescent="0.25">
      <c r="A364" s="17"/>
      <c r="B364" s="17"/>
      <c r="C364" s="17"/>
      <c r="D364" s="17"/>
    </row>
    <row r="365" spans="1:4" ht="12.5" x14ac:dyDescent="0.25">
      <c r="A365" s="17"/>
      <c r="B365" s="17"/>
      <c r="C365" s="17"/>
      <c r="D365" s="17"/>
    </row>
  </sheetData>
  <conditionalFormatting sqref="D2:D1000">
    <cfRule type="expression" dxfId="0" priority="1">
      <formula>B2&lt;&gt;D2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1" width="27.36328125" customWidth="1"/>
  </cols>
  <sheetData>
    <row r="1" spans="1:27" ht="15.75" customHeight="1" x14ac:dyDescent="0.25">
      <c r="A1" s="34" t="s">
        <v>170</v>
      </c>
      <c r="B1" s="34" t="s">
        <v>171</v>
      </c>
      <c r="C1" s="34" t="s">
        <v>172</v>
      </c>
      <c r="D1" s="34" t="s">
        <v>173</v>
      </c>
      <c r="E1" s="34" t="s">
        <v>174</v>
      </c>
      <c r="F1" s="34" t="s">
        <v>175</v>
      </c>
      <c r="G1" s="34" t="s">
        <v>176</v>
      </c>
      <c r="H1" s="34" t="s">
        <v>177</v>
      </c>
      <c r="I1" s="34" t="s">
        <v>178</v>
      </c>
      <c r="J1" s="34" t="s">
        <v>179</v>
      </c>
      <c r="K1" s="34" t="s">
        <v>180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.75" customHeight="1" x14ac:dyDescent="0.25">
      <c r="A2" s="36" t="s">
        <v>181</v>
      </c>
      <c r="B2" s="36" t="s">
        <v>181</v>
      </c>
      <c r="C2" s="36" t="s">
        <v>182</v>
      </c>
      <c r="D2" s="36" t="s">
        <v>182</v>
      </c>
      <c r="E2" s="36" t="s">
        <v>183</v>
      </c>
      <c r="F2" s="36" t="s">
        <v>184</v>
      </c>
      <c r="G2" s="36" t="s">
        <v>181</v>
      </c>
      <c r="H2" s="36" t="s">
        <v>185</v>
      </c>
      <c r="I2" s="36" t="s">
        <v>186</v>
      </c>
      <c r="J2" s="36" t="s">
        <v>187</v>
      </c>
      <c r="K2" s="36" t="s">
        <v>186</v>
      </c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 spans="1:27" ht="15.75" customHeight="1" x14ac:dyDescent="0.25">
      <c r="A3" s="36" t="s">
        <v>188</v>
      </c>
      <c r="B3" s="36" t="s">
        <v>188</v>
      </c>
      <c r="C3" s="36" t="s">
        <v>189</v>
      </c>
      <c r="D3" s="36" t="s">
        <v>189</v>
      </c>
      <c r="E3" s="36" t="s">
        <v>190</v>
      </c>
      <c r="F3" s="36" t="s">
        <v>191</v>
      </c>
      <c r="G3" s="36" t="s">
        <v>188</v>
      </c>
      <c r="H3" s="36" t="s">
        <v>192</v>
      </c>
      <c r="I3" s="36" t="s">
        <v>193</v>
      </c>
      <c r="J3" s="36" t="s">
        <v>194</v>
      </c>
      <c r="K3" s="36" t="s">
        <v>193</v>
      </c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 spans="1:27" ht="15.75" customHeight="1" x14ac:dyDescent="0.25">
      <c r="A4" s="36" t="s">
        <v>195</v>
      </c>
      <c r="B4" s="36" t="s">
        <v>195</v>
      </c>
      <c r="C4" s="36" t="s">
        <v>196</v>
      </c>
      <c r="D4" s="36" t="s">
        <v>196</v>
      </c>
      <c r="E4" s="36" t="s">
        <v>197</v>
      </c>
      <c r="F4" s="36" t="s">
        <v>198</v>
      </c>
      <c r="G4" s="36" t="s">
        <v>195</v>
      </c>
      <c r="H4" s="36" t="s">
        <v>199</v>
      </c>
      <c r="I4" s="37"/>
      <c r="J4" s="36" t="s">
        <v>200</v>
      </c>
      <c r="K4" s="36" t="s">
        <v>201</v>
      </c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 spans="1:27" ht="15.75" customHeight="1" x14ac:dyDescent="0.25">
      <c r="A5" s="36" t="s">
        <v>202</v>
      </c>
      <c r="B5" s="36" t="s">
        <v>202</v>
      </c>
      <c r="C5" s="36" t="s">
        <v>203</v>
      </c>
      <c r="D5" s="36" t="s">
        <v>203</v>
      </c>
      <c r="E5" s="36" t="s">
        <v>204</v>
      </c>
      <c r="F5" s="37"/>
      <c r="G5" s="36" t="s">
        <v>202</v>
      </c>
      <c r="H5" s="36" t="s">
        <v>205</v>
      </c>
      <c r="I5" s="37"/>
      <c r="J5" s="36" t="s">
        <v>206</v>
      </c>
      <c r="K5" s="36" t="s">
        <v>207</v>
      </c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 spans="1:27" ht="15.75" customHeight="1" x14ac:dyDescent="0.25">
      <c r="A6" s="36" t="s">
        <v>208</v>
      </c>
      <c r="B6" s="37"/>
      <c r="C6" s="36" t="s">
        <v>209</v>
      </c>
      <c r="D6" s="36" t="s">
        <v>209</v>
      </c>
      <c r="E6" s="37"/>
      <c r="F6" s="37"/>
      <c r="G6" s="37"/>
      <c r="H6" s="36" t="s">
        <v>210</v>
      </c>
      <c r="I6" s="37"/>
      <c r="J6" s="36" t="s">
        <v>211</v>
      </c>
      <c r="K6" s="37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 spans="1:27" ht="15.75" customHeight="1" x14ac:dyDescent="0.25">
      <c r="A7" s="36" t="s">
        <v>212</v>
      </c>
      <c r="B7" s="37"/>
      <c r="C7" s="36" t="s">
        <v>213</v>
      </c>
      <c r="D7" s="36" t="s">
        <v>213</v>
      </c>
      <c r="E7" s="37"/>
      <c r="F7" s="37"/>
      <c r="G7" s="37"/>
      <c r="H7" s="36" t="s">
        <v>214</v>
      </c>
      <c r="I7" s="37"/>
      <c r="J7" s="36" t="s">
        <v>215</v>
      </c>
      <c r="K7" s="37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</row>
    <row r="8" spans="1:27" ht="15.75" customHeight="1" x14ac:dyDescent="0.25">
      <c r="A8" s="37"/>
      <c r="B8" s="37"/>
      <c r="C8" s="36" t="s">
        <v>214</v>
      </c>
      <c r="D8" s="36" t="s">
        <v>214</v>
      </c>
      <c r="E8" s="37"/>
      <c r="F8" s="37"/>
      <c r="G8" s="37"/>
      <c r="H8" s="37"/>
      <c r="I8" s="37"/>
      <c r="J8" s="37"/>
      <c r="K8" s="37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</row>
    <row r="9" spans="1:27" ht="15.75" customHeight="1" x14ac:dyDescent="0.25">
      <c r="A9" s="36"/>
      <c r="B9" s="37"/>
      <c r="C9" s="36" t="s">
        <v>216</v>
      </c>
      <c r="D9" s="36" t="s">
        <v>216</v>
      </c>
      <c r="E9" s="37"/>
      <c r="F9" s="37"/>
      <c r="G9" s="37"/>
      <c r="H9" s="36"/>
      <c r="I9" s="37"/>
      <c r="J9" s="36"/>
      <c r="K9" s="37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</row>
    <row r="10" spans="1:27" ht="15.75" customHeight="1" x14ac:dyDescent="0.25">
      <c r="A10" s="37"/>
      <c r="B10" s="37"/>
      <c r="C10" s="36" t="s">
        <v>217</v>
      </c>
      <c r="D10" s="36" t="s">
        <v>217</v>
      </c>
      <c r="E10" s="37"/>
      <c r="F10" s="37"/>
      <c r="G10" s="37"/>
      <c r="H10" s="37"/>
      <c r="I10" s="37"/>
      <c r="J10" s="37"/>
      <c r="K10" s="37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 spans="1:27" ht="15.75" customHeight="1" x14ac:dyDescent="0.25">
      <c r="A11" s="35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 spans="1:27" ht="15.75" customHeight="1" x14ac:dyDescent="0.25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 spans="1:27" ht="15.75" customHeight="1" x14ac:dyDescent="0.25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 spans="1:27" ht="15.75" customHeight="1" x14ac:dyDescent="0.25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 spans="1:27" ht="15.75" customHeight="1" x14ac:dyDescent="0.25">
      <c r="A15" s="35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 spans="1:27" ht="15.75" customHeight="1" x14ac:dyDescent="0.25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 spans="1:27" ht="15.75" customHeight="1" x14ac:dyDescent="0.25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 spans="1:27" ht="15.75" customHeight="1" x14ac:dyDescent="0.25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 spans="1:27" ht="15.75" customHeight="1" x14ac:dyDescent="0.25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</row>
    <row r="20" spans="1:27" ht="15.75" customHeight="1" x14ac:dyDescent="0.25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 spans="1:27" ht="15.75" customHeight="1" x14ac:dyDescent="0.25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</row>
    <row r="22" spans="1:27" ht="12.5" x14ac:dyDescent="0.25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 spans="1:27" ht="12.5" x14ac:dyDescent="0.25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</row>
    <row r="24" spans="1:27" ht="12.5" x14ac:dyDescent="0.25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</row>
    <row r="25" spans="1:27" ht="12.5" x14ac:dyDescent="0.25">
      <c r="A25" s="35"/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</row>
    <row r="26" spans="1:27" ht="12.5" x14ac:dyDescent="0.25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</row>
    <row r="27" spans="1:27" ht="12.5" x14ac:dyDescent="0.25">
      <c r="A27" s="35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</row>
    <row r="28" spans="1:27" ht="12.5" x14ac:dyDescent="0.25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</row>
    <row r="29" spans="1:27" ht="12.5" x14ac:dyDescent="0.25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 spans="1:27" ht="12.5" x14ac:dyDescent="0.25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 spans="1:27" ht="12.5" x14ac:dyDescent="0.25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 spans="1:27" ht="12.5" x14ac:dyDescent="0.25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 spans="1:27" ht="12.5" x14ac:dyDescent="0.25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 spans="1:27" ht="12.5" x14ac:dyDescent="0.25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 spans="1:27" ht="12.5" x14ac:dyDescent="0.25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</row>
    <row r="36" spans="1:27" ht="12.5" x14ac:dyDescent="0.25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</row>
    <row r="37" spans="1:27" ht="12.5" x14ac:dyDescent="0.25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</row>
    <row r="38" spans="1:27" ht="12.5" x14ac:dyDescent="0.25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</row>
    <row r="39" spans="1:27" ht="12.5" x14ac:dyDescent="0.25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</row>
    <row r="40" spans="1:27" ht="12.5" x14ac:dyDescent="0.25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 spans="1:27" ht="12.5" x14ac:dyDescent="0.25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 spans="1:27" ht="12.5" x14ac:dyDescent="0.25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 spans="1:27" ht="12.5" x14ac:dyDescent="0.25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 spans="1:27" ht="12.5" x14ac:dyDescent="0.25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 spans="1:27" ht="12.5" x14ac:dyDescent="0.25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 spans="1:27" ht="12.5" x14ac:dyDescent="0.25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 spans="1:27" ht="12.5" x14ac:dyDescent="0.25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 spans="1:27" ht="12.5" x14ac:dyDescent="0.25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 spans="1:27" ht="12.5" x14ac:dyDescent="0.25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</row>
    <row r="50" spans="1:27" ht="12.5" x14ac:dyDescent="0.25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</row>
    <row r="51" spans="1:27" ht="12.5" x14ac:dyDescent="0.25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</row>
    <row r="52" spans="1:27" ht="12.5" x14ac:dyDescent="0.25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</row>
    <row r="53" spans="1:27" ht="12.5" x14ac:dyDescent="0.25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 spans="1:27" ht="12.5" x14ac:dyDescent="0.25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</row>
    <row r="55" spans="1:27" ht="12.5" x14ac:dyDescent="0.2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</row>
    <row r="56" spans="1:27" ht="12.5" x14ac:dyDescent="0.25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</row>
    <row r="57" spans="1:27" ht="12.5" x14ac:dyDescent="0.25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</row>
    <row r="58" spans="1:27" ht="12.5" x14ac:dyDescent="0.25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</row>
    <row r="59" spans="1:27" ht="12.5" x14ac:dyDescent="0.25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</row>
    <row r="60" spans="1:27" ht="12.5" x14ac:dyDescent="0.25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</row>
    <row r="61" spans="1:27" ht="12.5" x14ac:dyDescent="0.25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</row>
    <row r="62" spans="1:27" ht="12.5" x14ac:dyDescent="0.25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</row>
    <row r="63" spans="1:27" ht="12.5" x14ac:dyDescent="0.25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</row>
    <row r="64" spans="1:27" ht="12.5" x14ac:dyDescent="0.25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</row>
    <row r="65" spans="1:27" ht="12.5" x14ac:dyDescent="0.25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</row>
    <row r="66" spans="1:27" ht="12.5" x14ac:dyDescent="0.25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2.5" x14ac:dyDescent="0.25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</row>
    <row r="68" spans="1:27" ht="12.5" x14ac:dyDescent="0.25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</row>
    <row r="69" spans="1:27" ht="12.5" x14ac:dyDescent="0.25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</row>
    <row r="70" spans="1:27" ht="12.5" x14ac:dyDescent="0.25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</row>
    <row r="71" spans="1:27" ht="12.5" x14ac:dyDescent="0.25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</row>
    <row r="72" spans="1:27" ht="12.5" x14ac:dyDescent="0.25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</row>
    <row r="73" spans="1:27" ht="12.5" x14ac:dyDescent="0.25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</row>
    <row r="74" spans="1:27" ht="12.5" x14ac:dyDescent="0.25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</row>
    <row r="75" spans="1:27" ht="12.5" x14ac:dyDescent="0.2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</row>
    <row r="76" spans="1:27" ht="12.5" x14ac:dyDescent="0.25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</row>
    <row r="77" spans="1:27" ht="12.5" x14ac:dyDescent="0.25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</row>
    <row r="78" spans="1:27" ht="12.5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</row>
    <row r="79" spans="1:27" ht="12.5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</row>
    <row r="80" spans="1:27" ht="12.5" x14ac:dyDescent="0.25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</row>
    <row r="81" spans="1:27" ht="12.5" x14ac:dyDescent="0.25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</row>
    <row r="82" spans="1:27" ht="12.5" x14ac:dyDescent="0.25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</row>
    <row r="83" spans="1:27" ht="12.5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</row>
    <row r="84" spans="1:27" ht="12.5" x14ac:dyDescent="0.25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</row>
    <row r="85" spans="1:27" ht="12.5" x14ac:dyDescent="0.2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</row>
    <row r="86" spans="1:27" ht="12.5" x14ac:dyDescent="0.25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</row>
    <row r="87" spans="1:27" ht="12.5" x14ac:dyDescent="0.25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</row>
    <row r="88" spans="1:27" ht="12.5" x14ac:dyDescent="0.25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</row>
    <row r="89" spans="1:27" ht="12.5" x14ac:dyDescent="0.25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</row>
    <row r="90" spans="1:27" ht="12.5" x14ac:dyDescent="0.25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</row>
    <row r="91" spans="1:27" ht="12.5" x14ac:dyDescent="0.25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</row>
    <row r="92" spans="1:27" ht="12.5" x14ac:dyDescent="0.25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</row>
    <row r="93" spans="1:27" ht="12.5" x14ac:dyDescent="0.25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</row>
    <row r="94" spans="1:27" ht="12.5" x14ac:dyDescent="0.25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 spans="1:27" ht="12.5" x14ac:dyDescent="0.2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 spans="1:27" ht="12.5" x14ac:dyDescent="0.25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 spans="1:27" ht="12.5" x14ac:dyDescent="0.25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</row>
    <row r="98" spans="1:27" ht="12.5" x14ac:dyDescent="0.25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</row>
    <row r="99" spans="1:27" ht="12.5" x14ac:dyDescent="0.25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 spans="1:27" ht="12.5" x14ac:dyDescent="0.25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</row>
    <row r="101" spans="1:27" ht="12.5" x14ac:dyDescent="0.25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</row>
    <row r="102" spans="1:27" ht="12.5" x14ac:dyDescent="0.25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 spans="1:27" ht="12.5" x14ac:dyDescent="0.25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 spans="1:27" ht="12.5" x14ac:dyDescent="0.25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 spans="1:27" ht="12.5" x14ac:dyDescent="0.2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</row>
    <row r="106" spans="1:27" ht="12.5" x14ac:dyDescent="0.25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</row>
    <row r="107" spans="1:27" ht="12.5" x14ac:dyDescent="0.25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 spans="1:27" ht="12.5" x14ac:dyDescent="0.25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 spans="1:27" ht="12.5" x14ac:dyDescent="0.25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 spans="1:27" ht="12.5" x14ac:dyDescent="0.25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 spans="1:27" ht="12.5" x14ac:dyDescent="0.25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</row>
    <row r="112" spans="1:27" ht="12.5" x14ac:dyDescent="0.25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 spans="1:27" ht="12.5" x14ac:dyDescent="0.25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</row>
    <row r="114" spans="1:27" ht="12.5" x14ac:dyDescent="0.25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</row>
    <row r="115" spans="1:27" ht="12.5" x14ac:dyDescent="0.2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</row>
    <row r="116" spans="1:27" ht="12.5" x14ac:dyDescent="0.25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</row>
    <row r="117" spans="1:27" ht="12.5" x14ac:dyDescent="0.25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</row>
    <row r="118" spans="1:27" ht="12.5" x14ac:dyDescent="0.25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</row>
    <row r="119" spans="1:27" ht="12.5" x14ac:dyDescent="0.25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</row>
    <row r="120" spans="1:27" ht="12.5" x14ac:dyDescent="0.25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</row>
    <row r="121" spans="1:27" ht="12.5" x14ac:dyDescent="0.25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</row>
    <row r="122" spans="1:27" ht="12.5" x14ac:dyDescent="0.25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</row>
    <row r="123" spans="1:27" ht="12.5" x14ac:dyDescent="0.25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</row>
    <row r="124" spans="1:27" ht="12.5" x14ac:dyDescent="0.25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</row>
    <row r="125" spans="1:27" ht="12.5" x14ac:dyDescent="0.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</row>
    <row r="126" spans="1:27" ht="12.5" x14ac:dyDescent="0.25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</row>
    <row r="127" spans="1:27" ht="12.5" x14ac:dyDescent="0.25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</row>
    <row r="128" spans="1:27" ht="12.5" x14ac:dyDescent="0.25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</row>
    <row r="129" spans="1:27" ht="12.5" x14ac:dyDescent="0.25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</row>
    <row r="130" spans="1:27" ht="12.5" x14ac:dyDescent="0.25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</row>
    <row r="131" spans="1:27" ht="12.5" x14ac:dyDescent="0.25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</row>
    <row r="132" spans="1:27" ht="12.5" x14ac:dyDescent="0.25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</row>
    <row r="133" spans="1:27" ht="12.5" x14ac:dyDescent="0.25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</row>
    <row r="134" spans="1:27" ht="12.5" x14ac:dyDescent="0.25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</row>
    <row r="135" spans="1:27" ht="12.5" x14ac:dyDescent="0.2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</row>
    <row r="136" spans="1:27" ht="12.5" x14ac:dyDescent="0.25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</row>
    <row r="137" spans="1:27" ht="12.5" x14ac:dyDescent="0.25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</row>
    <row r="138" spans="1:27" ht="12.5" x14ac:dyDescent="0.25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</row>
    <row r="139" spans="1:27" ht="12.5" x14ac:dyDescent="0.25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</row>
    <row r="140" spans="1:27" ht="12.5" x14ac:dyDescent="0.25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</row>
    <row r="141" spans="1:27" ht="12.5" x14ac:dyDescent="0.25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</row>
    <row r="142" spans="1:27" ht="12.5" x14ac:dyDescent="0.25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</row>
    <row r="143" spans="1:27" ht="12.5" x14ac:dyDescent="0.25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</row>
    <row r="144" spans="1:27" ht="12.5" x14ac:dyDescent="0.25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</row>
    <row r="145" spans="1:27" ht="12.5" x14ac:dyDescent="0.2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</row>
    <row r="146" spans="1:27" ht="12.5" x14ac:dyDescent="0.25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</row>
    <row r="147" spans="1:27" ht="12.5" x14ac:dyDescent="0.25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</row>
    <row r="148" spans="1:27" ht="12.5" x14ac:dyDescent="0.25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</row>
    <row r="149" spans="1:27" ht="12.5" x14ac:dyDescent="0.25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</row>
    <row r="150" spans="1:27" ht="12.5" x14ac:dyDescent="0.25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</row>
    <row r="151" spans="1:27" ht="12.5" x14ac:dyDescent="0.25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</row>
    <row r="152" spans="1:27" ht="12.5" x14ac:dyDescent="0.25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</row>
    <row r="153" spans="1:27" ht="12.5" x14ac:dyDescent="0.25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</row>
    <row r="154" spans="1:27" ht="12.5" x14ac:dyDescent="0.25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</row>
    <row r="155" spans="1:27" ht="12.5" x14ac:dyDescent="0.2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</row>
    <row r="156" spans="1:27" ht="12.5" x14ac:dyDescent="0.25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</row>
    <row r="157" spans="1:27" ht="12.5" x14ac:dyDescent="0.25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</row>
    <row r="158" spans="1:27" ht="12.5" x14ac:dyDescent="0.25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</row>
    <row r="159" spans="1:27" ht="12.5" x14ac:dyDescent="0.25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</row>
    <row r="160" spans="1:27" ht="12.5" x14ac:dyDescent="0.25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</row>
    <row r="161" spans="1:27" ht="12.5" x14ac:dyDescent="0.25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</row>
    <row r="162" spans="1:27" ht="12.5" x14ac:dyDescent="0.25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</row>
    <row r="163" spans="1:27" ht="12.5" x14ac:dyDescent="0.25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</row>
    <row r="164" spans="1:27" ht="12.5" x14ac:dyDescent="0.25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</row>
    <row r="165" spans="1:27" ht="12.5" x14ac:dyDescent="0.2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</row>
    <row r="166" spans="1:27" ht="12.5" x14ac:dyDescent="0.25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</row>
    <row r="167" spans="1:27" ht="12.5" x14ac:dyDescent="0.25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</row>
    <row r="168" spans="1:27" ht="12.5" x14ac:dyDescent="0.25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</row>
    <row r="169" spans="1:27" ht="12.5" x14ac:dyDescent="0.25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</row>
    <row r="170" spans="1:27" ht="12.5" x14ac:dyDescent="0.25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</row>
    <row r="171" spans="1:27" ht="12.5" x14ac:dyDescent="0.25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</row>
    <row r="172" spans="1:27" ht="12.5" x14ac:dyDescent="0.25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</row>
    <row r="173" spans="1:27" ht="12.5" x14ac:dyDescent="0.25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</row>
    <row r="174" spans="1:27" ht="12.5" x14ac:dyDescent="0.25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</row>
    <row r="175" spans="1:27" ht="12.5" x14ac:dyDescent="0.2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</row>
    <row r="176" spans="1:27" ht="12.5" x14ac:dyDescent="0.25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</row>
    <row r="177" spans="1:27" ht="12.5" x14ac:dyDescent="0.25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</row>
    <row r="178" spans="1:27" ht="12.5" x14ac:dyDescent="0.25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</row>
    <row r="179" spans="1:27" ht="12.5" x14ac:dyDescent="0.25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</row>
    <row r="180" spans="1:27" ht="12.5" x14ac:dyDescent="0.25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</row>
    <row r="181" spans="1:27" ht="12.5" x14ac:dyDescent="0.25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</row>
    <row r="182" spans="1:27" ht="12.5" x14ac:dyDescent="0.25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</row>
    <row r="183" spans="1:27" ht="12.5" x14ac:dyDescent="0.25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</row>
    <row r="184" spans="1:27" ht="12.5" x14ac:dyDescent="0.25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</row>
    <row r="185" spans="1:27" ht="12.5" x14ac:dyDescent="0.2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</row>
    <row r="186" spans="1:27" ht="12.5" x14ac:dyDescent="0.25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</row>
    <row r="187" spans="1:27" ht="12.5" x14ac:dyDescent="0.25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</row>
    <row r="188" spans="1:27" ht="12.5" x14ac:dyDescent="0.25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</row>
    <row r="189" spans="1:27" ht="12.5" x14ac:dyDescent="0.25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</row>
    <row r="190" spans="1:27" ht="12.5" x14ac:dyDescent="0.25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</row>
    <row r="191" spans="1:27" ht="12.5" x14ac:dyDescent="0.25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</row>
    <row r="192" spans="1:27" ht="12.5" x14ac:dyDescent="0.25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</row>
    <row r="193" spans="1:27" ht="12.5" x14ac:dyDescent="0.25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</row>
    <row r="194" spans="1:27" ht="12.5" x14ac:dyDescent="0.25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</row>
    <row r="195" spans="1:27" ht="12.5" x14ac:dyDescent="0.2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</row>
    <row r="196" spans="1:27" ht="12.5" x14ac:dyDescent="0.25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</row>
    <row r="197" spans="1:27" ht="12.5" x14ac:dyDescent="0.25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</row>
    <row r="198" spans="1:27" ht="12.5" x14ac:dyDescent="0.25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</row>
    <row r="199" spans="1:27" ht="12.5" x14ac:dyDescent="0.25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</row>
    <row r="200" spans="1:27" ht="12.5" x14ac:dyDescent="0.25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</row>
    <row r="201" spans="1:27" ht="12.5" x14ac:dyDescent="0.25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</row>
    <row r="202" spans="1:27" ht="12.5" x14ac:dyDescent="0.25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</row>
    <row r="203" spans="1:27" ht="12.5" x14ac:dyDescent="0.25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</row>
    <row r="204" spans="1:27" ht="12.5" x14ac:dyDescent="0.25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</row>
    <row r="205" spans="1:27" ht="12.5" x14ac:dyDescent="0.2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</row>
    <row r="206" spans="1:27" ht="12.5" x14ac:dyDescent="0.25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</row>
    <row r="207" spans="1:27" ht="12.5" x14ac:dyDescent="0.25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</row>
    <row r="208" spans="1:27" ht="12.5" x14ac:dyDescent="0.25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</row>
    <row r="209" spans="1:27" ht="12.5" x14ac:dyDescent="0.25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</row>
    <row r="210" spans="1:27" ht="12.5" x14ac:dyDescent="0.25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</row>
    <row r="211" spans="1:27" ht="12.5" x14ac:dyDescent="0.25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</row>
    <row r="212" spans="1:27" ht="12.5" x14ac:dyDescent="0.25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</row>
    <row r="213" spans="1:27" ht="12.5" x14ac:dyDescent="0.25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</row>
    <row r="214" spans="1:27" ht="12.5" x14ac:dyDescent="0.25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</row>
    <row r="215" spans="1:27" ht="12.5" x14ac:dyDescent="0.2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</row>
    <row r="216" spans="1:27" ht="12.5" x14ac:dyDescent="0.25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</row>
    <row r="217" spans="1:27" ht="12.5" x14ac:dyDescent="0.25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</row>
    <row r="218" spans="1:27" ht="12.5" x14ac:dyDescent="0.25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</row>
    <row r="219" spans="1:27" ht="12.5" x14ac:dyDescent="0.25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</row>
    <row r="220" spans="1:27" ht="12.5" x14ac:dyDescent="0.25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</row>
    <row r="221" spans="1:27" ht="12.5" x14ac:dyDescent="0.25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</row>
    <row r="222" spans="1:27" ht="12.5" x14ac:dyDescent="0.25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</row>
    <row r="223" spans="1:27" ht="12.5" x14ac:dyDescent="0.25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</row>
    <row r="224" spans="1:27" ht="12.5" x14ac:dyDescent="0.25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</row>
    <row r="225" spans="1:27" ht="12.5" x14ac:dyDescent="0.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</row>
    <row r="226" spans="1:27" ht="12.5" x14ac:dyDescent="0.25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</row>
    <row r="227" spans="1:27" ht="12.5" x14ac:dyDescent="0.25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</row>
    <row r="228" spans="1:27" ht="12.5" x14ac:dyDescent="0.25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</row>
    <row r="229" spans="1:27" ht="12.5" x14ac:dyDescent="0.25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</row>
    <row r="230" spans="1:27" ht="12.5" x14ac:dyDescent="0.25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</row>
    <row r="231" spans="1:27" ht="12.5" x14ac:dyDescent="0.25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</row>
    <row r="232" spans="1:27" ht="12.5" x14ac:dyDescent="0.25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</row>
    <row r="233" spans="1:27" ht="12.5" x14ac:dyDescent="0.25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</row>
    <row r="234" spans="1:27" ht="12.5" x14ac:dyDescent="0.25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</row>
    <row r="235" spans="1:27" ht="12.5" x14ac:dyDescent="0.2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</row>
    <row r="236" spans="1:27" ht="12.5" x14ac:dyDescent="0.25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</row>
    <row r="237" spans="1:27" ht="12.5" x14ac:dyDescent="0.25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</row>
    <row r="238" spans="1:27" ht="12.5" x14ac:dyDescent="0.25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</row>
    <row r="239" spans="1:27" ht="12.5" x14ac:dyDescent="0.25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</row>
    <row r="240" spans="1:27" ht="12.5" x14ac:dyDescent="0.25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</row>
    <row r="241" spans="1:27" ht="12.5" x14ac:dyDescent="0.25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</row>
    <row r="242" spans="1:27" ht="12.5" x14ac:dyDescent="0.25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</row>
    <row r="243" spans="1:27" ht="12.5" x14ac:dyDescent="0.25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</row>
    <row r="244" spans="1:27" ht="12.5" x14ac:dyDescent="0.25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</row>
    <row r="245" spans="1:27" ht="12.5" x14ac:dyDescent="0.2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</row>
    <row r="246" spans="1:27" ht="12.5" x14ac:dyDescent="0.25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</row>
    <row r="247" spans="1:27" ht="12.5" x14ac:dyDescent="0.25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</row>
    <row r="248" spans="1:27" ht="12.5" x14ac:dyDescent="0.25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</row>
    <row r="249" spans="1:27" ht="12.5" x14ac:dyDescent="0.25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</row>
    <row r="250" spans="1:27" ht="12.5" x14ac:dyDescent="0.25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</row>
    <row r="251" spans="1:27" ht="12.5" x14ac:dyDescent="0.25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</row>
    <row r="252" spans="1:27" ht="12.5" x14ac:dyDescent="0.25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</row>
    <row r="253" spans="1:27" ht="12.5" x14ac:dyDescent="0.25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</row>
    <row r="254" spans="1:27" ht="12.5" x14ac:dyDescent="0.25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</row>
    <row r="255" spans="1:27" ht="12.5" x14ac:dyDescent="0.2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</row>
    <row r="256" spans="1:27" ht="12.5" x14ac:dyDescent="0.25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</row>
    <row r="257" spans="1:27" ht="12.5" x14ac:dyDescent="0.25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</row>
    <row r="258" spans="1:27" ht="12.5" x14ac:dyDescent="0.25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</row>
    <row r="259" spans="1:27" ht="12.5" x14ac:dyDescent="0.25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</row>
    <row r="260" spans="1:27" ht="12.5" x14ac:dyDescent="0.25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</row>
    <row r="261" spans="1:27" ht="12.5" x14ac:dyDescent="0.25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</row>
    <row r="262" spans="1:27" ht="12.5" x14ac:dyDescent="0.25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</row>
    <row r="263" spans="1:27" ht="12.5" x14ac:dyDescent="0.25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</row>
    <row r="264" spans="1:27" ht="12.5" x14ac:dyDescent="0.25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</row>
    <row r="265" spans="1:27" ht="12.5" x14ac:dyDescent="0.2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</row>
    <row r="266" spans="1:27" ht="12.5" x14ac:dyDescent="0.25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</row>
    <row r="267" spans="1:27" ht="12.5" x14ac:dyDescent="0.25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</row>
    <row r="268" spans="1:27" ht="12.5" x14ac:dyDescent="0.25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</row>
    <row r="269" spans="1:27" ht="12.5" x14ac:dyDescent="0.25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</row>
    <row r="270" spans="1:27" ht="12.5" x14ac:dyDescent="0.25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</row>
    <row r="271" spans="1:27" ht="12.5" x14ac:dyDescent="0.25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</row>
    <row r="272" spans="1:27" ht="12.5" x14ac:dyDescent="0.25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</row>
    <row r="273" spans="1:27" ht="12.5" x14ac:dyDescent="0.25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</row>
    <row r="274" spans="1:27" ht="12.5" x14ac:dyDescent="0.25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</row>
    <row r="275" spans="1:27" ht="12.5" x14ac:dyDescent="0.2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</row>
    <row r="276" spans="1:27" ht="12.5" x14ac:dyDescent="0.25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</row>
    <row r="277" spans="1:27" ht="12.5" x14ac:dyDescent="0.25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</row>
    <row r="278" spans="1:27" ht="12.5" x14ac:dyDescent="0.25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</row>
    <row r="279" spans="1:27" ht="12.5" x14ac:dyDescent="0.25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</row>
    <row r="280" spans="1:27" ht="12.5" x14ac:dyDescent="0.25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</row>
    <row r="281" spans="1:27" ht="12.5" x14ac:dyDescent="0.25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</row>
    <row r="282" spans="1:27" ht="12.5" x14ac:dyDescent="0.25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</row>
    <row r="283" spans="1:27" ht="12.5" x14ac:dyDescent="0.25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</row>
    <row r="284" spans="1:27" ht="12.5" x14ac:dyDescent="0.25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</row>
    <row r="285" spans="1:27" ht="12.5" x14ac:dyDescent="0.2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</row>
    <row r="286" spans="1:27" ht="12.5" x14ac:dyDescent="0.25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</row>
    <row r="287" spans="1:27" ht="12.5" x14ac:dyDescent="0.25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</row>
    <row r="288" spans="1:27" ht="12.5" x14ac:dyDescent="0.25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</row>
    <row r="289" spans="1:27" ht="12.5" x14ac:dyDescent="0.25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</row>
    <row r="290" spans="1:27" ht="12.5" x14ac:dyDescent="0.25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</row>
    <row r="291" spans="1:27" ht="12.5" x14ac:dyDescent="0.25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</row>
    <row r="292" spans="1:27" ht="12.5" x14ac:dyDescent="0.25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</row>
    <row r="293" spans="1:27" ht="12.5" x14ac:dyDescent="0.25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</row>
    <row r="294" spans="1:27" ht="12.5" x14ac:dyDescent="0.25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</row>
    <row r="295" spans="1:27" ht="12.5" x14ac:dyDescent="0.2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</row>
    <row r="296" spans="1:27" ht="12.5" x14ac:dyDescent="0.25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</row>
    <row r="297" spans="1:27" ht="12.5" x14ac:dyDescent="0.25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</row>
    <row r="298" spans="1:27" ht="12.5" x14ac:dyDescent="0.25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</row>
    <row r="299" spans="1:27" ht="12.5" x14ac:dyDescent="0.25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</row>
    <row r="300" spans="1:27" ht="12.5" x14ac:dyDescent="0.25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</row>
    <row r="301" spans="1:27" ht="12.5" x14ac:dyDescent="0.25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</row>
    <row r="302" spans="1:27" ht="12.5" x14ac:dyDescent="0.25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</row>
    <row r="303" spans="1:27" ht="12.5" x14ac:dyDescent="0.25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</row>
    <row r="304" spans="1:27" ht="12.5" x14ac:dyDescent="0.25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</row>
    <row r="305" spans="1:27" ht="12.5" x14ac:dyDescent="0.2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</row>
    <row r="306" spans="1:27" ht="12.5" x14ac:dyDescent="0.25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</row>
    <row r="307" spans="1:27" ht="12.5" x14ac:dyDescent="0.25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</row>
    <row r="308" spans="1:27" ht="12.5" x14ac:dyDescent="0.25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</row>
    <row r="309" spans="1:27" ht="12.5" x14ac:dyDescent="0.25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</row>
    <row r="310" spans="1:27" ht="12.5" x14ac:dyDescent="0.25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</row>
    <row r="311" spans="1:27" ht="12.5" x14ac:dyDescent="0.25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</row>
    <row r="312" spans="1:27" ht="12.5" x14ac:dyDescent="0.25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</row>
    <row r="313" spans="1:27" ht="12.5" x14ac:dyDescent="0.25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</row>
    <row r="314" spans="1:27" ht="12.5" x14ac:dyDescent="0.25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</row>
    <row r="315" spans="1:27" ht="12.5" x14ac:dyDescent="0.2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</row>
    <row r="316" spans="1:27" ht="12.5" x14ac:dyDescent="0.25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</row>
    <row r="317" spans="1:27" ht="12.5" x14ac:dyDescent="0.25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</row>
    <row r="318" spans="1:27" ht="12.5" x14ac:dyDescent="0.25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</row>
    <row r="319" spans="1:27" ht="12.5" x14ac:dyDescent="0.25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</row>
    <row r="320" spans="1:27" ht="12.5" x14ac:dyDescent="0.25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</row>
    <row r="321" spans="1:27" ht="12.5" x14ac:dyDescent="0.25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</row>
    <row r="322" spans="1:27" ht="12.5" x14ac:dyDescent="0.25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</row>
    <row r="323" spans="1:27" ht="12.5" x14ac:dyDescent="0.25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</row>
    <row r="324" spans="1:27" ht="12.5" x14ac:dyDescent="0.25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</row>
    <row r="325" spans="1:27" ht="12.5" x14ac:dyDescent="0.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</row>
    <row r="326" spans="1:27" ht="12.5" x14ac:dyDescent="0.25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</row>
    <row r="327" spans="1:27" ht="12.5" x14ac:dyDescent="0.25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</row>
    <row r="328" spans="1:27" ht="12.5" x14ac:dyDescent="0.25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</row>
    <row r="329" spans="1:27" ht="12.5" x14ac:dyDescent="0.25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</row>
    <row r="330" spans="1:27" ht="12.5" x14ac:dyDescent="0.25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</row>
    <row r="331" spans="1:27" ht="12.5" x14ac:dyDescent="0.25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</row>
    <row r="332" spans="1:27" ht="12.5" x14ac:dyDescent="0.25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</row>
    <row r="333" spans="1:27" ht="12.5" x14ac:dyDescent="0.25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</row>
    <row r="334" spans="1:27" ht="12.5" x14ac:dyDescent="0.25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</row>
    <row r="335" spans="1:27" ht="12.5" x14ac:dyDescent="0.2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</row>
    <row r="336" spans="1:27" ht="12.5" x14ac:dyDescent="0.25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</row>
    <row r="337" spans="1:27" ht="12.5" x14ac:dyDescent="0.25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</row>
    <row r="338" spans="1:27" ht="12.5" x14ac:dyDescent="0.25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</row>
    <row r="339" spans="1:27" ht="12.5" x14ac:dyDescent="0.25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</row>
    <row r="340" spans="1:27" ht="12.5" x14ac:dyDescent="0.25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</row>
    <row r="341" spans="1:27" ht="12.5" x14ac:dyDescent="0.25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</row>
    <row r="342" spans="1:27" ht="12.5" x14ac:dyDescent="0.25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</row>
    <row r="343" spans="1:27" ht="12.5" x14ac:dyDescent="0.25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</row>
    <row r="344" spans="1:27" ht="12.5" x14ac:dyDescent="0.25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</row>
    <row r="345" spans="1:27" ht="12.5" x14ac:dyDescent="0.2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</row>
    <row r="346" spans="1:27" ht="12.5" x14ac:dyDescent="0.25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</row>
    <row r="347" spans="1:27" ht="12.5" x14ac:dyDescent="0.25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</row>
    <row r="348" spans="1:27" ht="12.5" x14ac:dyDescent="0.25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</row>
    <row r="349" spans="1:27" ht="12.5" x14ac:dyDescent="0.25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</row>
    <row r="350" spans="1:27" ht="12.5" x14ac:dyDescent="0.25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</row>
    <row r="351" spans="1:27" ht="12.5" x14ac:dyDescent="0.25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</row>
    <row r="352" spans="1:27" ht="12.5" x14ac:dyDescent="0.25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</row>
    <row r="353" spans="1:27" ht="12.5" x14ac:dyDescent="0.25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</row>
    <row r="354" spans="1:27" ht="12.5" x14ac:dyDescent="0.25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</row>
    <row r="355" spans="1:27" ht="12.5" x14ac:dyDescent="0.2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</row>
    <row r="356" spans="1:27" ht="12.5" x14ac:dyDescent="0.25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</row>
    <row r="357" spans="1:27" ht="12.5" x14ac:dyDescent="0.25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</row>
    <row r="358" spans="1:27" ht="12.5" x14ac:dyDescent="0.25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</row>
    <row r="359" spans="1:27" ht="12.5" x14ac:dyDescent="0.25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</row>
    <row r="360" spans="1:27" ht="12.5" x14ac:dyDescent="0.25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</row>
    <row r="361" spans="1:27" ht="12.5" x14ac:dyDescent="0.25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</row>
    <row r="362" spans="1:27" ht="12.5" x14ac:dyDescent="0.25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</row>
    <row r="363" spans="1:27" ht="12.5" x14ac:dyDescent="0.25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</row>
    <row r="364" spans="1:27" ht="12.5" x14ac:dyDescent="0.25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</row>
    <row r="365" spans="1:27" ht="12.5" x14ac:dyDescent="0.2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</row>
    <row r="366" spans="1:27" ht="12.5" x14ac:dyDescent="0.25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</row>
    <row r="367" spans="1:27" ht="12.5" x14ac:dyDescent="0.25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</row>
    <row r="368" spans="1:27" ht="12.5" x14ac:dyDescent="0.25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</row>
    <row r="369" spans="1:27" ht="12.5" x14ac:dyDescent="0.25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</row>
    <row r="370" spans="1:27" ht="12.5" x14ac:dyDescent="0.25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</row>
    <row r="371" spans="1:27" ht="12.5" x14ac:dyDescent="0.25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</row>
    <row r="372" spans="1:27" ht="12.5" x14ac:dyDescent="0.25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</row>
    <row r="373" spans="1:27" ht="12.5" x14ac:dyDescent="0.25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</row>
    <row r="374" spans="1:27" ht="12.5" x14ac:dyDescent="0.25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</row>
    <row r="375" spans="1:27" ht="12.5" x14ac:dyDescent="0.2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</row>
    <row r="376" spans="1:27" ht="12.5" x14ac:dyDescent="0.25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</row>
    <row r="377" spans="1:27" ht="12.5" x14ac:dyDescent="0.25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</row>
    <row r="378" spans="1:27" ht="12.5" x14ac:dyDescent="0.25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</row>
    <row r="379" spans="1:27" ht="12.5" x14ac:dyDescent="0.25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</row>
    <row r="380" spans="1:27" ht="12.5" x14ac:dyDescent="0.25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</row>
    <row r="381" spans="1:27" ht="12.5" x14ac:dyDescent="0.25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</row>
    <row r="382" spans="1:27" ht="12.5" x14ac:dyDescent="0.25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</row>
    <row r="383" spans="1:27" ht="12.5" x14ac:dyDescent="0.25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</row>
    <row r="384" spans="1:27" ht="12.5" x14ac:dyDescent="0.25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</row>
    <row r="385" spans="1:27" ht="12.5" x14ac:dyDescent="0.2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</row>
    <row r="386" spans="1:27" ht="12.5" x14ac:dyDescent="0.25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</row>
    <row r="387" spans="1:27" ht="12.5" x14ac:dyDescent="0.25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</row>
    <row r="388" spans="1:27" ht="12.5" x14ac:dyDescent="0.25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</row>
    <row r="389" spans="1:27" ht="12.5" x14ac:dyDescent="0.25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</row>
    <row r="390" spans="1:27" ht="12.5" x14ac:dyDescent="0.25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</row>
    <row r="391" spans="1:27" ht="12.5" x14ac:dyDescent="0.25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</row>
    <row r="392" spans="1:27" ht="12.5" x14ac:dyDescent="0.25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</row>
    <row r="393" spans="1:27" ht="12.5" x14ac:dyDescent="0.25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</row>
    <row r="394" spans="1:27" ht="12.5" x14ac:dyDescent="0.25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</row>
    <row r="395" spans="1:27" ht="12.5" x14ac:dyDescent="0.2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</row>
    <row r="396" spans="1:27" ht="12.5" x14ac:dyDescent="0.25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</row>
    <row r="397" spans="1:27" ht="12.5" x14ac:dyDescent="0.25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</row>
    <row r="398" spans="1:27" ht="12.5" x14ac:dyDescent="0.25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</row>
    <row r="399" spans="1:27" ht="12.5" x14ac:dyDescent="0.25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</row>
    <row r="400" spans="1:27" ht="12.5" x14ac:dyDescent="0.25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</row>
    <row r="401" spans="1:27" ht="12.5" x14ac:dyDescent="0.25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</row>
    <row r="402" spans="1:27" ht="12.5" x14ac:dyDescent="0.25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</row>
    <row r="403" spans="1:27" ht="12.5" x14ac:dyDescent="0.25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</row>
    <row r="404" spans="1:27" ht="12.5" x14ac:dyDescent="0.25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</row>
    <row r="405" spans="1:27" ht="12.5" x14ac:dyDescent="0.2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</row>
    <row r="406" spans="1:27" ht="12.5" x14ac:dyDescent="0.25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</row>
    <row r="407" spans="1:27" ht="12.5" x14ac:dyDescent="0.25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</row>
    <row r="408" spans="1:27" ht="12.5" x14ac:dyDescent="0.25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</row>
    <row r="409" spans="1:27" ht="12.5" x14ac:dyDescent="0.25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</row>
    <row r="410" spans="1:27" ht="12.5" x14ac:dyDescent="0.25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</row>
    <row r="411" spans="1:27" ht="12.5" x14ac:dyDescent="0.25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</row>
    <row r="412" spans="1:27" ht="12.5" x14ac:dyDescent="0.25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</row>
    <row r="413" spans="1:27" ht="12.5" x14ac:dyDescent="0.25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</row>
    <row r="414" spans="1:27" ht="12.5" x14ac:dyDescent="0.25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</row>
    <row r="415" spans="1:27" ht="12.5" x14ac:dyDescent="0.2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</row>
    <row r="416" spans="1:27" ht="12.5" x14ac:dyDescent="0.25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</row>
    <row r="417" spans="1:27" ht="12.5" x14ac:dyDescent="0.25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</row>
    <row r="418" spans="1:27" ht="12.5" x14ac:dyDescent="0.25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</row>
    <row r="419" spans="1:27" ht="12.5" x14ac:dyDescent="0.25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</row>
    <row r="420" spans="1:27" ht="12.5" x14ac:dyDescent="0.25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</row>
    <row r="421" spans="1:27" ht="12.5" x14ac:dyDescent="0.25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</row>
    <row r="422" spans="1:27" ht="12.5" x14ac:dyDescent="0.25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</row>
    <row r="423" spans="1:27" ht="12.5" x14ac:dyDescent="0.25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</row>
    <row r="424" spans="1:27" ht="12.5" x14ac:dyDescent="0.25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</row>
    <row r="425" spans="1:27" ht="12.5" x14ac:dyDescent="0.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</row>
    <row r="426" spans="1:27" ht="12.5" x14ac:dyDescent="0.25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</row>
    <row r="427" spans="1:27" ht="12.5" x14ac:dyDescent="0.25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</row>
    <row r="428" spans="1:27" ht="12.5" x14ac:dyDescent="0.25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</row>
    <row r="429" spans="1:27" ht="12.5" x14ac:dyDescent="0.25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</row>
    <row r="430" spans="1:27" ht="12.5" x14ac:dyDescent="0.25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</row>
    <row r="431" spans="1:27" ht="12.5" x14ac:dyDescent="0.25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</row>
    <row r="432" spans="1:27" ht="12.5" x14ac:dyDescent="0.25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</row>
    <row r="433" spans="1:27" ht="12.5" x14ac:dyDescent="0.25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</row>
    <row r="434" spans="1:27" ht="12.5" x14ac:dyDescent="0.25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</row>
    <row r="435" spans="1:27" ht="12.5" x14ac:dyDescent="0.2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</row>
    <row r="436" spans="1:27" ht="12.5" x14ac:dyDescent="0.25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</row>
    <row r="437" spans="1:27" ht="12.5" x14ac:dyDescent="0.25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</row>
    <row r="438" spans="1:27" ht="12.5" x14ac:dyDescent="0.25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</row>
    <row r="439" spans="1:27" ht="12.5" x14ac:dyDescent="0.25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</row>
    <row r="440" spans="1:27" ht="12.5" x14ac:dyDescent="0.25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</row>
    <row r="441" spans="1:27" ht="12.5" x14ac:dyDescent="0.25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</row>
    <row r="442" spans="1:27" ht="12.5" x14ac:dyDescent="0.25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</row>
    <row r="443" spans="1:27" ht="12.5" x14ac:dyDescent="0.25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</row>
    <row r="444" spans="1:27" ht="12.5" x14ac:dyDescent="0.25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</row>
    <row r="445" spans="1:27" ht="12.5" x14ac:dyDescent="0.2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</row>
    <row r="446" spans="1:27" ht="12.5" x14ac:dyDescent="0.25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</row>
    <row r="447" spans="1:27" ht="12.5" x14ac:dyDescent="0.25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</row>
    <row r="448" spans="1:27" ht="12.5" x14ac:dyDescent="0.25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</row>
    <row r="449" spans="1:27" ht="12.5" x14ac:dyDescent="0.25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</row>
    <row r="450" spans="1:27" ht="12.5" x14ac:dyDescent="0.25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</row>
    <row r="451" spans="1:27" ht="12.5" x14ac:dyDescent="0.25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</row>
    <row r="452" spans="1:27" ht="12.5" x14ac:dyDescent="0.25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</row>
    <row r="453" spans="1:27" ht="12.5" x14ac:dyDescent="0.25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</row>
    <row r="454" spans="1:27" ht="12.5" x14ac:dyDescent="0.25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</row>
    <row r="455" spans="1:27" ht="12.5" x14ac:dyDescent="0.2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</row>
    <row r="456" spans="1:27" ht="12.5" x14ac:dyDescent="0.25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</row>
    <row r="457" spans="1:27" ht="12.5" x14ac:dyDescent="0.25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</row>
    <row r="458" spans="1:27" ht="12.5" x14ac:dyDescent="0.25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</row>
    <row r="459" spans="1:27" ht="12.5" x14ac:dyDescent="0.25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</row>
    <row r="460" spans="1:27" ht="12.5" x14ac:dyDescent="0.25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</row>
    <row r="461" spans="1:27" ht="12.5" x14ac:dyDescent="0.25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</row>
    <row r="462" spans="1:27" ht="12.5" x14ac:dyDescent="0.25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</row>
    <row r="463" spans="1:27" ht="12.5" x14ac:dyDescent="0.25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</row>
    <row r="464" spans="1:27" ht="12.5" x14ac:dyDescent="0.25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</row>
    <row r="465" spans="1:27" ht="12.5" x14ac:dyDescent="0.2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</row>
    <row r="466" spans="1:27" ht="12.5" x14ac:dyDescent="0.25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</row>
    <row r="467" spans="1:27" ht="12.5" x14ac:dyDescent="0.25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</row>
    <row r="468" spans="1:27" ht="12.5" x14ac:dyDescent="0.25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</row>
    <row r="469" spans="1:27" ht="12.5" x14ac:dyDescent="0.25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</row>
    <row r="470" spans="1:27" ht="12.5" x14ac:dyDescent="0.25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</row>
    <row r="471" spans="1:27" ht="12.5" x14ac:dyDescent="0.25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</row>
    <row r="472" spans="1:27" ht="12.5" x14ac:dyDescent="0.25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</row>
    <row r="473" spans="1:27" ht="12.5" x14ac:dyDescent="0.25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</row>
    <row r="474" spans="1:27" ht="12.5" x14ac:dyDescent="0.25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</row>
    <row r="475" spans="1:27" ht="12.5" x14ac:dyDescent="0.2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</row>
    <row r="476" spans="1:27" ht="12.5" x14ac:dyDescent="0.25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</row>
    <row r="477" spans="1:27" ht="12.5" x14ac:dyDescent="0.25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</row>
    <row r="478" spans="1:27" ht="12.5" x14ac:dyDescent="0.25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</row>
    <row r="479" spans="1:27" ht="12.5" x14ac:dyDescent="0.25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</row>
    <row r="480" spans="1:27" ht="12.5" x14ac:dyDescent="0.25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</row>
    <row r="481" spans="1:27" ht="12.5" x14ac:dyDescent="0.25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</row>
    <row r="482" spans="1:27" ht="12.5" x14ac:dyDescent="0.25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</row>
    <row r="483" spans="1:27" ht="12.5" x14ac:dyDescent="0.25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</row>
    <row r="484" spans="1:27" ht="12.5" x14ac:dyDescent="0.25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</row>
    <row r="485" spans="1:27" ht="12.5" x14ac:dyDescent="0.2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</row>
    <row r="486" spans="1:27" ht="12.5" x14ac:dyDescent="0.25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</row>
    <row r="487" spans="1:27" ht="12.5" x14ac:dyDescent="0.25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</row>
    <row r="488" spans="1:27" ht="12.5" x14ac:dyDescent="0.25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</row>
    <row r="489" spans="1:27" ht="12.5" x14ac:dyDescent="0.25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</row>
    <row r="490" spans="1:27" ht="12.5" x14ac:dyDescent="0.25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</row>
    <row r="491" spans="1:27" ht="12.5" x14ac:dyDescent="0.25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</row>
    <row r="492" spans="1:27" ht="12.5" x14ac:dyDescent="0.25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</row>
    <row r="493" spans="1:27" ht="12.5" x14ac:dyDescent="0.25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</row>
    <row r="494" spans="1:27" ht="12.5" x14ac:dyDescent="0.25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</row>
    <row r="495" spans="1:27" ht="12.5" x14ac:dyDescent="0.2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</row>
    <row r="496" spans="1:27" ht="12.5" x14ac:dyDescent="0.25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</row>
    <row r="497" spans="1:27" ht="12.5" x14ac:dyDescent="0.25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</row>
    <row r="498" spans="1:27" ht="12.5" x14ac:dyDescent="0.25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</row>
    <row r="499" spans="1:27" ht="12.5" x14ac:dyDescent="0.25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</row>
    <row r="500" spans="1:27" ht="12.5" x14ac:dyDescent="0.25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</row>
    <row r="501" spans="1:27" ht="12.5" x14ac:dyDescent="0.25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</row>
    <row r="502" spans="1:27" ht="12.5" x14ac:dyDescent="0.25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</row>
    <row r="503" spans="1:27" ht="12.5" x14ac:dyDescent="0.25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</row>
    <row r="504" spans="1:27" ht="12.5" x14ac:dyDescent="0.25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</row>
    <row r="505" spans="1:27" ht="12.5" x14ac:dyDescent="0.2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</row>
    <row r="506" spans="1:27" ht="12.5" x14ac:dyDescent="0.25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</row>
    <row r="507" spans="1:27" ht="12.5" x14ac:dyDescent="0.25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</row>
    <row r="508" spans="1:27" ht="12.5" x14ac:dyDescent="0.25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</row>
    <row r="509" spans="1:27" ht="12.5" x14ac:dyDescent="0.25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</row>
    <row r="510" spans="1:27" ht="12.5" x14ac:dyDescent="0.25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</row>
    <row r="511" spans="1:27" ht="12.5" x14ac:dyDescent="0.25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</row>
    <row r="512" spans="1:27" ht="12.5" x14ac:dyDescent="0.25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</row>
    <row r="513" spans="1:27" ht="12.5" x14ac:dyDescent="0.25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</row>
    <row r="514" spans="1:27" ht="12.5" x14ac:dyDescent="0.25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</row>
    <row r="515" spans="1:27" ht="12.5" x14ac:dyDescent="0.2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</row>
    <row r="516" spans="1:27" ht="12.5" x14ac:dyDescent="0.25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</row>
    <row r="517" spans="1:27" ht="12.5" x14ac:dyDescent="0.25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</row>
    <row r="518" spans="1:27" ht="12.5" x14ac:dyDescent="0.25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</row>
    <row r="519" spans="1:27" ht="12.5" x14ac:dyDescent="0.25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</row>
    <row r="520" spans="1:27" ht="12.5" x14ac:dyDescent="0.25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</row>
    <row r="521" spans="1:27" ht="12.5" x14ac:dyDescent="0.25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</row>
    <row r="522" spans="1:27" ht="12.5" x14ac:dyDescent="0.25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</row>
    <row r="523" spans="1:27" ht="12.5" x14ac:dyDescent="0.25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</row>
    <row r="524" spans="1:27" ht="12.5" x14ac:dyDescent="0.25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</row>
    <row r="525" spans="1:27" ht="12.5" x14ac:dyDescent="0.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</row>
    <row r="526" spans="1:27" ht="12.5" x14ac:dyDescent="0.25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</row>
    <row r="527" spans="1:27" ht="12.5" x14ac:dyDescent="0.25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</row>
    <row r="528" spans="1:27" ht="12.5" x14ac:dyDescent="0.25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</row>
    <row r="529" spans="1:27" ht="12.5" x14ac:dyDescent="0.25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</row>
    <row r="530" spans="1:27" ht="12.5" x14ac:dyDescent="0.25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</row>
    <row r="531" spans="1:27" ht="12.5" x14ac:dyDescent="0.25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</row>
    <row r="532" spans="1:27" ht="12.5" x14ac:dyDescent="0.25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</row>
    <row r="533" spans="1:27" ht="12.5" x14ac:dyDescent="0.25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</row>
    <row r="534" spans="1:27" ht="12.5" x14ac:dyDescent="0.25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</row>
    <row r="535" spans="1:27" ht="12.5" x14ac:dyDescent="0.2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</row>
    <row r="536" spans="1:27" ht="12.5" x14ac:dyDescent="0.25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</row>
    <row r="537" spans="1:27" ht="12.5" x14ac:dyDescent="0.25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</row>
    <row r="538" spans="1:27" ht="12.5" x14ac:dyDescent="0.25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</row>
    <row r="539" spans="1:27" ht="12.5" x14ac:dyDescent="0.25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</row>
    <row r="540" spans="1:27" ht="12.5" x14ac:dyDescent="0.25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</row>
    <row r="541" spans="1:27" ht="12.5" x14ac:dyDescent="0.25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</row>
    <row r="542" spans="1:27" ht="12.5" x14ac:dyDescent="0.25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</row>
    <row r="543" spans="1:27" ht="12.5" x14ac:dyDescent="0.25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</row>
    <row r="544" spans="1:27" ht="12.5" x14ac:dyDescent="0.25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</row>
    <row r="545" spans="1:27" ht="12.5" x14ac:dyDescent="0.2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</row>
    <row r="546" spans="1:27" ht="12.5" x14ac:dyDescent="0.25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</row>
    <row r="547" spans="1:27" ht="12.5" x14ac:dyDescent="0.25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</row>
    <row r="548" spans="1:27" ht="12.5" x14ac:dyDescent="0.25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</row>
    <row r="549" spans="1:27" ht="12.5" x14ac:dyDescent="0.25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</row>
    <row r="550" spans="1:27" ht="12.5" x14ac:dyDescent="0.25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</row>
    <row r="551" spans="1:27" ht="12.5" x14ac:dyDescent="0.25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</row>
    <row r="552" spans="1:27" ht="12.5" x14ac:dyDescent="0.25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</row>
    <row r="553" spans="1:27" ht="12.5" x14ac:dyDescent="0.25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</row>
    <row r="554" spans="1:27" ht="12.5" x14ac:dyDescent="0.25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</row>
    <row r="555" spans="1:27" ht="12.5" x14ac:dyDescent="0.2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</row>
    <row r="556" spans="1:27" ht="12.5" x14ac:dyDescent="0.25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</row>
    <row r="557" spans="1:27" ht="12.5" x14ac:dyDescent="0.25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</row>
    <row r="558" spans="1:27" ht="12.5" x14ac:dyDescent="0.25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</row>
    <row r="559" spans="1:27" ht="12.5" x14ac:dyDescent="0.25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</row>
    <row r="560" spans="1:27" ht="12.5" x14ac:dyDescent="0.25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</row>
    <row r="561" spans="1:27" ht="12.5" x14ac:dyDescent="0.25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</row>
    <row r="562" spans="1:27" ht="12.5" x14ac:dyDescent="0.25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</row>
    <row r="563" spans="1:27" ht="12.5" x14ac:dyDescent="0.25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</row>
    <row r="564" spans="1:27" ht="12.5" x14ac:dyDescent="0.25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</row>
    <row r="565" spans="1:27" ht="12.5" x14ac:dyDescent="0.2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</row>
    <row r="566" spans="1:27" ht="12.5" x14ac:dyDescent="0.25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</row>
    <row r="567" spans="1:27" ht="12.5" x14ac:dyDescent="0.25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</row>
    <row r="568" spans="1:27" ht="12.5" x14ac:dyDescent="0.25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</row>
    <row r="569" spans="1:27" ht="12.5" x14ac:dyDescent="0.25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</row>
    <row r="570" spans="1:27" ht="12.5" x14ac:dyDescent="0.25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</row>
    <row r="571" spans="1:27" ht="12.5" x14ac:dyDescent="0.25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</row>
    <row r="572" spans="1:27" ht="12.5" x14ac:dyDescent="0.25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</row>
    <row r="573" spans="1:27" ht="12.5" x14ac:dyDescent="0.25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</row>
    <row r="574" spans="1:27" ht="12.5" x14ac:dyDescent="0.25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</row>
    <row r="575" spans="1:27" ht="12.5" x14ac:dyDescent="0.2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</row>
    <row r="576" spans="1:27" ht="12.5" x14ac:dyDescent="0.25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</row>
    <row r="577" spans="1:27" ht="12.5" x14ac:dyDescent="0.25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</row>
    <row r="578" spans="1:27" ht="12.5" x14ac:dyDescent="0.25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</row>
    <row r="579" spans="1:27" ht="12.5" x14ac:dyDescent="0.25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</row>
    <row r="580" spans="1:27" ht="12.5" x14ac:dyDescent="0.25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</row>
    <row r="581" spans="1:27" ht="12.5" x14ac:dyDescent="0.25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</row>
    <row r="582" spans="1:27" ht="12.5" x14ac:dyDescent="0.25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</row>
    <row r="583" spans="1:27" ht="12.5" x14ac:dyDescent="0.25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</row>
    <row r="584" spans="1:27" ht="12.5" x14ac:dyDescent="0.25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</row>
    <row r="585" spans="1:27" ht="12.5" x14ac:dyDescent="0.2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</row>
    <row r="586" spans="1:27" ht="12.5" x14ac:dyDescent="0.25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</row>
    <row r="587" spans="1:27" ht="12.5" x14ac:dyDescent="0.25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</row>
    <row r="588" spans="1:27" ht="12.5" x14ac:dyDescent="0.25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</row>
    <row r="589" spans="1:27" ht="12.5" x14ac:dyDescent="0.25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</row>
    <row r="590" spans="1:27" ht="12.5" x14ac:dyDescent="0.25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</row>
    <row r="591" spans="1:27" ht="12.5" x14ac:dyDescent="0.25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</row>
    <row r="592" spans="1:27" ht="12.5" x14ac:dyDescent="0.25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</row>
    <row r="593" spans="1:27" ht="12.5" x14ac:dyDescent="0.25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</row>
    <row r="594" spans="1:27" ht="12.5" x14ac:dyDescent="0.25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</row>
    <row r="595" spans="1:27" ht="12.5" x14ac:dyDescent="0.2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</row>
    <row r="596" spans="1:27" ht="12.5" x14ac:dyDescent="0.25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</row>
    <row r="597" spans="1:27" ht="12.5" x14ac:dyDescent="0.25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</row>
    <row r="598" spans="1:27" ht="12.5" x14ac:dyDescent="0.25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</row>
    <row r="599" spans="1:27" ht="12.5" x14ac:dyDescent="0.25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</row>
    <row r="600" spans="1:27" ht="12.5" x14ac:dyDescent="0.25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</row>
    <row r="601" spans="1:27" ht="12.5" x14ac:dyDescent="0.25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</row>
    <row r="602" spans="1:27" ht="12.5" x14ac:dyDescent="0.25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</row>
    <row r="603" spans="1:27" ht="12.5" x14ac:dyDescent="0.25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</row>
    <row r="604" spans="1:27" ht="12.5" x14ac:dyDescent="0.25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</row>
    <row r="605" spans="1:27" ht="12.5" x14ac:dyDescent="0.2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</row>
    <row r="606" spans="1:27" ht="12.5" x14ac:dyDescent="0.25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</row>
    <row r="607" spans="1:27" ht="12.5" x14ac:dyDescent="0.25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</row>
    <row r="608" spans="1:27" ht="12.5" x14ac:dyDescent="0.25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</row>
    <row r="609" spans="1:27" ht="12.5" x14ac:dyDescent="0.25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</row>
    <row r="610" spans="1:27" ht="12.5" x14ac:dyDescent="0.25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</row>
    <row r="611" spans="1:27" ht="12.5" x14ac:dyDescent="0.25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</row>
    <row r="612" spans="1:27" ht="12.5" x14ac:dyDescent="0.25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</row>
    <row r="613" spans="1:27" ht="12.5" x14ac:dyDescent="0.25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</row>
    <row r="614" spans="1:27" ht="12.5" x14ac:dyDescent="0.25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</row>
    <row r="615" spans="1:27" ht="12.5" x14ac:dyDescent="0.2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</row>
    <row r="616" spans="1:27" ht="12.5" x14ac:dyDescent="0.25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</row>
    <row r="617" spans="1:27" ht="12.5" x14ac:dyDescent="0.25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</row>
    <row r="618" spans="1:27" ht="12.5" x14ac:dyDescent="0.25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</row>
    <row r="619" spans="1:27" ht="12.5" x14ac:dyDescent="0.25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</row>
    <row r="620" spans="1:27" ht="12.5" x14ac:dyDescent="0.25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</row>
    <row r="621" spans="1:27" ht="12.5" x14ac:dyDescent="0.25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</row>
    <row r="622" spans="1:27" ht="12.5" x14ac:dyDescent="0.25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</row>
    <row r="623" spans="1:27" ht="12.5" x14ac:dyDescent="0.25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</row>
    <row r="624" spans="1:27" ht="12.5" x14ac:dyDescent="0.25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</row>
    <row r="625" spans="1:27" ht="12.5" x14ac:dyDescent="0.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</row>
    <row r="626" spans="1:27" ht="12.5" x14ac:dyDescent="0.25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</row>
    <row r="627" spans="1:27" ht="12.5" x14ac:dyDescent="0.25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</row>
    <row r="628" spans="1:27" ht="12.5" x14ac:dyDescent="0.25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</row>
    <row r="629" spans="1:27" ht="12.5" x14ac:dyDescent="0.25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</row>
    <row r="630" spans="1:27" ht="12.5" x14ac:dyDescent="0.25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</row>
    <row r="631" spans="1:27" ht="12.5" x14ac:dyDescent="0.25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</row>
    <row r="632" spans="1:27" ht="12.5" x14ac:dyDescent="0.25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</row>
    <row r="633" spans="1:27" ht="12.5" x14ac:dyDescent="0.25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</row>
    <row r="634" spans="1:27" ht="12.5" x14ac:dyDescent="0.25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</row>
    <row r="635" spans="1:27" ht="12.5" x14ac:dyDescent="0.2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</row>
    <row r="636" spans="1:27" ht="12.5" x14ac:dyDescent="0.25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</row>
    <row r="637" spans="1:27" ht="12.5" x14ac:dyDescent="0.25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</row>
    <row r="638" spans="1:27" ht="12.5" x14ac:dyDescent="0.25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</row>
    <row r="639" spans="1:27" ht="12.5" x14ac:dyDescent="0.25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</row>
    <row r="640" spans="1:27" ht="12.5" x14ac:dyDescent="0.25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</row>
    <row r="641" spans="1:27" ht="12.5" x14ac:dyDescent="0.25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</row>
    <row r="642" spans="1:27" ht="12.5" x14ac:dyDescent="0.25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</row>
    <row r="643" spans="1:27" ht="12.5" x14ac:dyDescent="0.25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</row>
    <row r="644" spans="1:27" ht="12.5" x14ac:dyDescent="0.25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</row>
    <row r="645" spans="1:27" ht="12.5" x14ac:dyDescent="0.2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</row>
    <row r="646" spans="1:27" ht="12.5" x14ac:dyDescent="0.25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</row>
    <row r="647" spans="1:27" ht="12.5" x14ac:dyDescent="0.25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</row>
    <row r="648" spans="1:27" ht="12.5" x14ac:dyDescent="0.25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</row>
    <row r="649" spans="1:27" ht="12.5" x14ac:dyDescent="0.25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</row>
    <row r="650" spans="1:27" ht="12.5" x14ac:dyDescent="0.25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</row>
    <row r="651" spans="1:27" ht="12.5" x14ac:dyDescent="0.25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</row>
    <row r="652" spans="1:27" ht="12.5" x14ac:dyDescent="0.25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</row>
    <row r="653" spans="1:27" ht="12.5" x14ac:dyDescent="0.25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</row>
    <row r="654" spans="1:27" ht="12.5" x14ac:dyDescent="0.25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</row>
    <row r="655" spans="1:27" ht="12.5" x14ac:dyDescent="0.2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</row>
    <row r="656" spans="1:27" ht="12.5" x14ac:dyDescent="0.25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</row>
    <row r="657" spans="1:27" ht="12.5" x14ac:dyDescent="0.25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</row>
    <row r="658" spans="1:27" ht="12.5" x14ac:dyDescent="0.25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</row>
    <row r="659" spans="1:27" ht="12.5" x14ac:dyDescent="0.25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</row>
    <row r="660" spans="1:27" ht="12.5" x14ac:dyDescent="0.25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</row>
    <row r="661" spans="1:27" ht="12.5" x14ac:dyDescent="0.25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</row>
    <row r="662" spans="1:27" ht="12.5" x14ac:dyDescent="0.25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</row>
    <row r="663" spans="1:27" ht="12.5" x14ac:dyDescent="0.25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</row>
    <row r="664" spans="1:27" ht="12.5" x14ac:dyDescent="0.25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</row>
    <row r="665" spans="1:27" ht="12.5" x14ac:dyDescent="0.2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</row>
    <row r="666" spans="1:27" ht="12.5" x14ac:dyDescent="0.25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</row>
    <row r="667" spans="1:27" ht="12.5" x14ac:dyDescent="0.25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</row>
    <row r="668" spans="1:27" ht="12.5" x14ac:dyDescent="0.25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</row>
    <row r="669" spans="1:27" ht="12.5" x14ac:dyDescent="0.25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</row>
    <row r="670" spans="1:27" ht="12.5" x14ac:dyDescent="0.25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</row>
    <row r="671" spans="1:27" ht="12.5" x14ac:dyDescent="0.25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</row>
    <row r="672" spans="1:27" ht="12.5" x14ac:dyDescent="0.25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</row>
    <row r="673" spans="1:27" ht="12.5" x14ac:dyDescent="0.25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</row>
    <row r="674" spans="1:27" ht="12.5" x14ac:dyDescent="0.25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</row>
    <row r="675" spans="1:27" ht="12.5" x14ac:dyDescent="0.2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</row>
    <row r="676" spans="1:27" ht="12.5" x14ac:dyDescent="0.25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</row>
    <row r="677" spans="1:27" ht="12.5" x14ac:dyDescent="0.25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</row>
    <row r="678" spans="1:27" ht="12.5" x14ac:dyDescent="0.25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</row>
    <row r="679" spans="1:27" ht="12.5" x14ac:dyDescent="0.25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</row>
    <row r="680" spans="1:27" ht="12.5" x14ac:dyDescent="0.25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</row>
    <row r="681" spans="1:27" ht="12.5" x14ac:dyDescent="0.25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</row>
    <row r="682" spans="1:27" ht="12.5" x14ac:dyDescent="0.25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</row>
    <row r="683" spans="1:27" ht="12.5" x14ac:dyDescent="0.25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</row>
    <row r="684" spans="1:27" ht="12.5" x14ac:dyDescent="0.25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</row>
    <row r="685" spans="1:27" ht="12.5" x14ac:dyDescent="0.2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</row>
    <row r="686" spans="1:27" ht="12.5" x14ac:dyDescent="0.25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</row>
    <row r="687" spans="1:27" ht="12.5" x14ac:dyDescent="0.25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</row>
    <row r="688" spans="1:27" ht="12.5" x14ac:dyDescent="0.25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</row>
    <row r="689" spans="1:27" ht="12.5" x14ac:dyDescent="0.25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</row>
    <row r="690" spans="1:27" ht="12.5" x14ac:dyDescent="0.25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</row>
    <row r="691" spans="1:27" ht="12.5" x14ac:dyDescent="0.25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</row>
    <row r="692" spans="1:27" ht="12.5" x14ac:dyDescent="0.25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</row>
    <row r="693" spans="1:27" ht="12.5" x14ac:dyDescent="0.25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</row>
    <row r="694" spans="1:27" ht="12.5" x14ac:dyDescent="0.25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</row>
    <row r="695" spans="1:27" ht="12.5" x14ac:dyDescent="0.2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</row>
    <row r="696" spans="1:27" ht="12.5" x14ac:dyDescent="0.25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</row>
    <row r="697" spans="1:27" ht="12.5" x14ac:dyDescent="0.25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</row>
    <row r="698" spans="1:27" ht="12.5" x14ac:dyDescent="0.25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</row>
    <row r="699" spans="1:27" ht="12.5" x14ac:dyDescent="0.25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</row>
    <row r="700" spans="1:27" ht="12.5" x14ac:dyDescent="0.25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</row>
    <row r="701" spans="1:27" ht="12.5" x14ac:dyDescent="0.25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</row>
    <row r="702" spans="1:27" ht="12.5" x14ac:dyDescent="0.25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</row>
    <row r="703" spans="1:27" ht="12.5" x14ac:dyDescent="0.25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</row>
    <row r="704" spans="1:27" ht="12.5" x14ac:dyDescent="0.25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</row>
    <row r="705" spans="1:27" ht="12.5" x14ac:dyDescent="0.2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</row>
    <row r="706" spans="1:27" ht="12.5" x14ac:dyDescent="0.25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</row>
    <row r="707" spans="1:27" ht="12.5" x14ac:dyDescent="0.25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</row>
    <row r="708" spans="1:27" ht="12.5" x14ac:dyDescent="0.25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</row>
    <row r="709" spans="1:27" ht="12.5" x14ac:dyDescent="0.25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</row>
    <row r="710" spans="1:27" ht="12.5" x14ac:dyDescent="0.25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</row>
    <row r="711" spans="1:27" ht="12.5" x14ac:dyDescent="0.25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</row>
    <row r="712" spans="1:27" ht="12.5" x14ac:dyDescent="0.25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</row>
    <row r="713" spans="1:27" ht="12.5" x14ac:dyDescent="0.25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</row>
    <row r="714" spans="1:27" ht="12.5" x14ac:dyDescent="0.25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</row>
    <row r="715" spans="1:27" ht="12.5" x14ac:dyDescent="0.2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</row>
    <row r="716" spans="1:27" ht="12.5" x14ac:dyDescent="0.25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</row>
    <row r="717" spans="1:27" ht="12.5" x14ac:dyDescent="0.25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</row>
    <row r="718" spans="1:27" ht="12.5" x14ac:dyDescent="0.25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</row>
    <row r="719" spans="1:27" ht="12.5" x14ac:dyDescent="0.25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</row>
    <row r="720" spans="1:27" ht="12.5" x14ac:dyDescent="0.25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</row>
    <row r="721" spans="1:27" ht="12.5" x14ac:dyDescent="0.25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</row>
    <row r="722" spans="1:27" ht="12.5" x14ac:dyDescent="0.25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</row>
    <row r="723" spans="1:27" ht="12.5" x14ac:dyDescent="0.25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</row>
    <row r="724" spans="1:27" ht="12.5" x14ac:dyDescent="0.25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</row>
    <row r="725" spans="1:27" ht="12.5" x14ac:dyDescent="0.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</row>
    <row r="726" spans="1:27" ht="12.5" x14ac:dyDescent="0.25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</row>
    <row r="727" spans="1:27" ht="12.5" x14ac:dyDescent="0.25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</row>
    <row r="728" spans="1:27" ht="12.5" x14ac:dyDescent="0.25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</row>
    <row r="729" spans="1:27" ht="12.5" x14ac:dyDescent="0.25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</row>
    <row r="730" spans="1:27" ht="12.5" x14ac:dyDescent="0.25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</row>
    <row r="731" spans="1:27" ht="12.5" x14ac:dyDescent="0.25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</row>
    <row r="732" spans="1:27" ht="12.5" x14ac:dyDescent="0.25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</row>
    <row r="733" spans="1:27" ht="12.5" x14ac:dyDescent="0.25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</row>
    <row r="734" spans="1:27" ht="12.5" x14ac:dyDescent="0.25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</row>
    <row r="735" spans="1:27" ht="12.5" x14ac:dyDescent="0.2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</row>
    <row r="736" spans="1:27" ht="12.5" x14ac:dyDescent="0.25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</row>
    <row r="737" spans="1:27" ht="12.5" x14ac:dyDescent="0.25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</row>
    <row r="738" spans="1:27" ht="12.5" x14ac:dyDescent="0.25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</row>
    <row r="739" spans="1:27" ht="12.5" x14ac:dyDescent="0.25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</row>
    <row r="740" spans="1:27" ht="12.5" x14ac:dyDescent="0.25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</row>
    <row r="741" spans="1:27" ht="12.5" x14ac:dyDescent="0.25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</row>
    <row r="742" spans="1:27" ht="12.5" x14ac:dyDescent="0.25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</row>
    <row r="743" spans="1:27" ht="12.5" x14ac:dyDescent="0.25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</row>
    <row r="744" spans="1:27" ht="12.5" x14ac:dyDescent="0.25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</row>
    <row r="745" spans="1:27" ht="12.5" x14ac:dyDescent="0.2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</row>
    <row r="746" spans="1:27" ht="12.5" x14ac:dyDescent="0.25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</row>
    <row r="747" spans="1:27" ht="12.5" x14ac:dyDescent="0.25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</row>
    <row r="748" spans="1:27" ht="12.5" x14ac:dyDescent="0.25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</row>
    <row r="749" spans="1:27" ht="12.5" x14ac:dyDescent="0.25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</row>
    <row r="750" spans="1:27" ht="12.5" x14ac:dyDescent="0.25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</row>
    <row r="751" spans="1:27" ht="12.5" x14ac:dyDescent="0.25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</row>
    <row r="752" spans="1:27" ht="12.5" x14ac:dyDescent="0.25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</row>
    <row r="753" spans="1:27" ht="12.5" x14ac:dyDescent="0.25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</row>
    <row r="754" spans="1:27" ht="12.5" x14ac:dyDescent="0.25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</row>
    <row r="755" spans="1:27" ht="12.5" x14ac:dyDescent="0.2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</row>
    <row r="756" spans="1:27" ht="12.5" x14ac:dyDescent="0.25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</row>
    <row r="757" spans="1:27" ht="12.5" x14ac:dyDescent="0.25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</row>
    <row r="758" spans="1:27" ht="12.5" x14ac:dyDescent="0.25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</row>
    <row r="759" spans="1:27" ht="12.5" x14ac:dyDescent="0.25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</row>
    <row r="760" spans="1:27" ht="12.5" x14ac:dyDescent="0.25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</row>
    <row r="761" spans="1:27" ht="12.5" x14ac:dyDescent="0.25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</row>
    <row r="762" spans="1:27" ht="12.5" x14ac:dyDescent="0.25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</row>
    <row r="763" spans="1:27" ht="12.5" x14ac:dyDescent="0.25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</row>
    <row r="764" spans="1:27" ht="12.5" x14ac:dyDescent="0.25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</row>
    <row r="765" spans="1:27" ht="12.5" x14ac:dyDescent="0.25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</row>
    <row r="766" spans="1:27" ht="12.5" x14ac:dyDescent="0.25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</row>
    <row r="767" spans="1:27" ht="12.5" x14ac:dyDescent="0.25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</row>
    <row r="768" spans="1:27" ht="12.5" x14ac:dyDescent="0.25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</row>
    <row r="769" spans="1:27" ht="12.5" x14ac:dyDescent="0.25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</row>
    <row r="770" spans="1:27" ht="12.5" x14ac:dyDescent="0.25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</row>
    <row r="771" spans="1:27" ht="12.5" x14ac:dyDescent="0.25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</row>
    <row r="772" spans="1:27" ht="12.5" x14ac:dyDescent="0.25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</row>
    <row r="773" spans="1:27" ht="12.5" x14ac:dyDescent="0.25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</row>
    <row r="774" spans="1:27" ht="12.5" x14ac:dyDescent="0.25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</row>
    <row r="775" spans="1:27" ht="12.5" x14ac:dyDescent="0.25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</row>
    <row r="776" spans="1:27" ht="12.5" x14ac:dyDescent="0.25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</row>
    <row r="777" spans="1:27" ht="12.5" x14ac:dyDescent="0.25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</row>
    <row r="778" spans="1:27" ht="12.5" x14ac:dyDescent="0.25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</row>
    <row r="779" spans="1:27" ht="12.5" x14ac:dyDescent="0.25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</row>
    <row r="780" spans="1:27" ht="12.5" x14ac:dyDescent="0.25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</row>
    <row r="781" spans="1:27" ht="12.5" x14ac:dyDescent="0.25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</row>
    <row r="782" spans="1:27" ht="12.5" x14ac:dyDescent="0.25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</row>
    <row r="783" spans="1:27" ht="12.5" x14ac:dyDescent="0.25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</row>
    <row r="784" spans="1:27" ht="12.5" x14ac:dyDescent="0.25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</row>
    <row r="785" spans="1:27" ht="12.5" x14ac:dyDescent="0.25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</row>
    <row r="786" spans="1:27" ht="12.5" x14ac:dyDescent="0.25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</row>
    <row r="787" spans="1:27" ht="12.5" x14ac:dyDescent="0.25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</row>
    <row r="788" spans="1:27" ht="12.5" x14ac:dyDescent="0.25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</row>
    <row r="789" spans="1:27" ht="12.5" x14ac:dyDescent="0.25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</row>
    <row r="790" spans="1:27" ht="12.5" x14ac:dyDescent="0.25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</row>
    <row r="791" spans="1:27" ht="12.5" x14ac:dyDescent="0.25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</row>
    <row r="792" spans="1:27" ht="12.5" x14ac:dyDescent="0.25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</row>
    <row r="793" spans="1:27" ht="12.5" x14ac:dyDescent="0.25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</row>
    <row r="794" spans="1:27" ht="12.5" x14ac:dyDescent="0.25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</row>
    <row r="795" spans="1:27" ht="12.5" x14ac:dyDescent="0.25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</row>
    <row r="796" spans="1:27" ht="12.5" x14ac:dyDescent="0.25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</row>
    <row r="797" spans="1:27" ht="12.5" x14ac:dyDescent="0.25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</row>
    <row r="798" spans="1:27" ht="12.5" x14ac:dyDescent="0.25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</row>
    <row r="799" spans="1:27" ht="12.5" x14ac:dyDescent="0.25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</row>
    <row r="800" spans="1:27" ht="12.5" x14ac:dyDescent="0.25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</row>
    <row r="801" spans="1:27" ht="12.5" x14ac:dyDescent="0.25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</row>
    <row r="802" spans="1:27" ht="12.5" x14ac:dyDescent="0.25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</row>
    <row r="803" spans="1:27" ht="12.5" x14ac:dyDescent="0.25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</row>
    <row r="804" spans="1:27" ht="12.5" x14ac:dyDescent="0.25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</row>
    <row r="805" spans="1:27" ht="12.5" x14ac:dyDescent="0.25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</row>
    <row r="806" spans="1:27" ht="12.5" x14ac:dyDescent="0.25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</row>
    <row r="807" spans="1:27" ht="12.5" x14ac:dyDescent="0.25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</row>
    <row r="808" spans="1:27" ht="12.5" x14ac:dyDescent="0.25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</row>
    <row r="809" spans="1:27" ht="12.5" x14ac:dyDescent="0.25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</row>
    <row r="810" spans="1:27" ht="12.5" x14ac:dyDescent="0.25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</row>
    <row r="811" spans="1:27" ht="12.5" x14ac:dyDescent="0.25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</row>
    <row r="812" spans="1:27" ht="12.5" x14ac:dyDescent="0.25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</row>
    <row r="813" spans="1:27" ht="12.5" x14ac:dyDescent="0.25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</row>
    <row r="814" spans="1:27" ht="12.5" x14ac:dyDescent="0.25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</row>
    <row r="815" spans="1:27" ht="12.5" x14ac:dyDescent="0.25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</row>
    <row r="816" spans="1:27" ht="12.5" x14ac:dyDescent="0.25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</row>
    <row r="817" spans="1:27" ht="12.5" x14ac:dyDescent="0.25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</row>
    <row r="818" spans="1:27" ht="12.5" x14ac:dyDescent="0.25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</row>
    <row r="819" spans="1:27" ht="12.5" x14ac:dyDescent="0.25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</row>
    <row r="820" spans="1:27" ht="12.5" x14ac:dyDescent="0.25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</row>
    <row r="821" spans="1:27" ht="12.5" x14ac:dyDescent="0.25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</row>
    <row r="822" spans="1:27" ht="12.5" x14ac:dyDescent="0.25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</row>
    <row r="823" spans="1:27" ht="12.5" x14ac:dyDescent="0.25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</row>
    <row r="824" spans="1:27" ht="12.5" x14ac:dyDescent="0.25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</row>
    <row r="825" spans="1:27" ht="12.5" x14ac:dyDescent="0.25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</row>
    <row r="826" spans="1:27" ht="12.5" x14ac:dyDescent="0.25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</row>
    <row r="827" spans="1:27" ht="12.5" x14ac:dyDescent="0.25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</row>
    <row r="828" spans="1:27" ht="12.5" x14ac:dyDescent="0.25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</row>
    <row r="829" spans="1:27" ht="12.5" x14ac:dyDescent="0.25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</row>
    <row r="830" spans="1:27" ht="12.5" x14ac:dyDescent="0.25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</row>
    <row r="831" spans="1:27" ht="12.5" x14ac:dyDescent="0.25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</row>
    <row r="832" spans="1:27" ht="12.5" x14ac:dyDescent="0.25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</row>
    <row r="833" spans="1:27" ht="12.5" x14ac:dyDescent="0.25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</row>
    <row r="834" spans="1:27" ht="12.5" x14ac:dyDescent="0.25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</row>
    <row r="835" spans="1:27" ht="12.5" x14ac:dyDescent="0.25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</row>
    <row r="836" spans="1:27" ht="12.5" x14ac:dyDescent="0.25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</row>
    <row r="837" spans="1:27" ht="12.5" x14ac:dyDescent="0.25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</row>
    <row r="838" spans="1:27" ht="12.5" x14ac:dyDescent="0.25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</row>
    <row r="839" spans="1:27" ht="12.5" x14ac:dyDescent="0.25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</row>
    <row r="840" spans="1:27" ht="12.5" x14ac:dyDescent="0.25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</row>
    <row r="841" spans="1:27" ht="12.5" x14ac:dyDescent="0.25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</row>
    <row r="842" spans="1:27" ht="12.5" x14ac:dyDescent="0.25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</row>
    <row r="843" spans="1:27" ht="12.5" x14ac:dyDescent="0.25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</row>
    <row r="844" spans="1:27" ht="12.5" x14ac:dyDescent="0.25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</row>
    <row r="845" spans="1:27" ht="12.5" x14ac:dyDescent="0.25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</row>
    <row r="846" spans="1:27" ht="12.5" x14ac:dyDescent="0.25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</row>
    <row r="847" spans="1:27" ht="12.5" x14ac:dyDescent="0.25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</row>
    <row r="848" spans="1:27" ht="12.5" x14ac:dyDescent="0.25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</row>
    <row r="849" spans="1:27" ht="12.5" x14ac:dyDescent="0.25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</row>
    <row r="850" spans="1:27" ht="12.5" x14ac:dyDescent="0.25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</row>
    <row r="851" spans="1:27" ht="12.5" x14ac:dyDescent="0.25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</row>
    <row r="852" spans="1:27" ht="12.5" x14ac:dyDescent="0.25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</row>
    <row r="853" spans="1:27" ht="12.5" x14ac:dyDescent="0.25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</row>
    <row r="854" spans="1:27" ht="12.5" x14ac:dyDescent="0.25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</row>
    <row r="855" spans="1:27" ht="12.5" x14ac:dyDescent="0.25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</row>
    <row r="856" spans="1:27" ht="12.5" x14ac:dyDescent="0.25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</row>
    <row r="857" spans="1:27" ht="12.5" x14ac:dyDescent="0.25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</row>
    <row r="858" spans="1:27" ht="12.5" x14ac:dyDescent="0.25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</row>
    <row r="859" spans="1:27" ht="12.5" x14ac:dyDescent="0.25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</row>
    <row r="860" spans="1:27" ht="12.5" x14ac:dyDescent="0.25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</row>
    <row r="861" spans="1:27" ht="12.5" x14ac:dyDescent="0.25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</row>
    <row r="862" spans="1:27" ht="12.5" x14ac:dyDescent="0.25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</row>
    <row r="863" spans="1:27" ht="12.5" x14ac:dyDescent="0.25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</row>
    <row r="864" spans="1:27" ht="12.5" x14ac:dyDescent="0.25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</row>
    <row r="865" spans="1:27" ht="12.5" x14ac:dyDescent="0.25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</row>
    <row r="866" spans="1:27" ht="12.5" x14ac:dyDescent="0.25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</row>
    <row r="867" spans="1:27" ht="12.5" x14ac:dyDescent="0.25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</row>
    <row r="868" spans="1:27" ht="12.5" x14ac:dyDescent="0.25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</row>
    <row r="869" spans="1:27" ht="12.5" x14ac:dyDescent="0.25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</row>
    <row r="870" spans="1:27" ht="12.5" x14ac:dyDescent="0.25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</row>
    <row r="871" spans="1:27" ht="12.5" x14ac:dyDescent="0.25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</row>
    <row r="872" spans="1:27" ht="12.5" x14ac:dyDescent="0.25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</row>
    <row r="873" spans="1:27" ht="12.5" x14ac:dyDescent="0.25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</row>
    <row r="874" spans="1:27" ht="12.5" x14ac:dyDescent="0.25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</row>
    <row r="875" spans="1:27" ht="12.5" x14ac:dyDescent="0.25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</row>
    <row r="876" spans="1:27" ht="12.5" x14ac:dyDescent="0.25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</row>
    <row r="877" spans="1:27" ht="12.5" x14ac:dyDescent="0.25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</row>
    <row r="878" spans="1:27" ht="12.5" x14ac:dyDescent="0.25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</row>
    <row r="879" spans="1:27" ht="12.5" x14ac:dyDescent="0.25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</row>
    <row r="880" spans="1:27" ht="12.5" x14ac:dyDescent="0.25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</row>
    <row r="881" spans="1:27" ht="12.5" x14ac:dyDescent="0.25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</row>
    <row r="882" spans="1:27" ht="12.5" x14ac:dyDescent="0.25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</row>
    <row r="883" spans="1:27" ht="12.5" x14ac:dyDescent="0.25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</row>
    <row r="884" spans="1:27" ht="12.5" x14ac:dyDescent="0.25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</row>
    <row r="885" spans="1:27" ht="12.5" x14ac:dyDescent="0.25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</row>
    <row r="886" spans="1:27" ht="12.5" x14ac:dyDescent="0.25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</row>
    <row r="887" spans="1:27" ht="12.5" x14ac:dyDescent="0.25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</row>
    <row r="888" spans="1:27" ht="12.5" x14ac:dyDescent="0.25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</row>
    <row r="889" spans="1:27" ht="12.5" x14ac:dyDescent="0.25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</row>
    <row r="890" spans="1:27" ht="12.5" x14ac:dyDescent="0.25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</row>
    <row r="891" spans="1:27" ht="12.5" x14ac:dyDescent="0.25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</row>
    <row r="892" spans="1:27" ht="12.5" x14ac:dyDescent="0.25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</row>
    <row r="893" spans="1:27" ht="12.5" x14ac:dyDescent="0.25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</row>
    <row r="894" spans="1:27" ht="12.5" x14ac:dyDescent="0.25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</row>
    <row r="895" spans="1:27" ht="12.5" x14ac:dyDescent="0.25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</row>
    <row r="896" spans="1:27" ht="12.5" x14ac:dyDescent="0.25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</row>
    <row r="897" spans="1:27" ht="12.5" x14ac:dyDescent="0.25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</row>
    <row r="898" spans="1:27" ht="12.5" x14ac:dyDescent="0.25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</row>
    <row r="899" spans="1:27" ht="12.5" x14ac:dyDescent="0.25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</row>
    <row r="900" spans="1:27" ht="12.5" x14ac:dyDescent="0.25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</row>
    <row r="901" spans="1:27" ht="12.5" x14ac:dyDescent="0.25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</row>
    <row r="902" spans="1:27" ht="12.5" x14ac:dyDescent="0.25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</row>
    <row r="903" spans="1:27" ht="12.5" x14ac:dyDescent="0.25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</row>
    <row r="904" spans="1:27" ht="12.5" x14ac:dyDescent="0.25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</row>
    <row r="905" spans="1:27" ht="12.5" x14ac:dyDescent="0.25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</row>
    <row r="906" spans="1:27" ht="12.5" x14ac:dyDescent="0.25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</row>
    <row r="907" spans="1:27" ht="12.5" x14ac:dyDescent="0.25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</row>
    <row r="908" spans="1:27" ht="12.5" x14ac:dyDescent="0.25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</row>
    <row r="909" spans="1:27" ht="12.5" x14ac:dyDescent="0.25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</row>
    <row r="910" spans="1:27" ht="12.5" x14ac:dyDescent="0.25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</row>
    <row r="911" spans="1:27" ht="12.5" x14ac:dyDescent="0.25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</row>
    <row r="912" spans="1:27" ht="12.5" x14ac:dyDescent="0.25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</row>
    <row r="913" spans="1:27" ht="12.5" x14ac:dyDescent="0.25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</row>
    <row r="914" spans="1:27" ht="12.5" x14ac:dyDescent="0.25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</row>
    <row r="915" spans="1:27" ht="12.5" x14ac:dyDescent="0.25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</row>
    <row r="916" spans="1:27" ht="12.5" x14ac:dyDescent="0.25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</row>
    <row r="917" spans="1:27" ht="12.5" x14ac:dyDescent="0.25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</row>
    <row r="918" spans="1:27" ht="12.5" x14ac:dyDescent="0.25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</row>
    <row r="919" spans="1:27" ht="12.5" x14ac:dyDescent="0.25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</row>
    <row r="920" spans="1:27" ht="12.5" x14ac:dyDescent="0.25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</row>
    <row r="921" spans="1:27" ht="12.5" x14ac:dyDescent="0.25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</row>
    <row r="922" spans="1:27" ht="12.5" x14ac:dyDescent="0.25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</row>
    <row r="923" spans="1:27" ht="12.5" x14ac:dyDescent="0.25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</row>
    <row r="924" spans="1:27" ht="12.5" x14ac:dyDescent="0.25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</row>
    <row r="925" spans="1:27" ht="12.5" x14ac:dyDescent="0.25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</row>
    <row r="926" spans="1:27" ht="12.5" x14ac:dyDescent="0.25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</row>
    <row r="927" spans="1:27" ht="12.5" x14ac:dyDescent="0.25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</row>
    <row r="928" spans="1:27" ht="12.5" x14ac:dyDescent="0.25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</row>
    <row r="929" spans="1:27" ht="12.5" x14ac:dyDescent="0.25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</row>
    <row r="930" spans="1:27" ht="12.5" x14ac:dyDescent="0.25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</row>
    <row r="931" spans="1:27" ht="12.5" x14ac:dyDescent="0.25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</row>
    <row r="932" spans="1:27" ht="12.5" x14ac:dyDescent="0.25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</row>
    <row r="933" spans="1:27" ht="12.5" x14ac:dyDescent="0.25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</row>
    <row r="934" spans="1:27" ht="12.5" x14ac:dyDescent="0.25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</row>
    <row r="935" spans="1:27" ht="12.5" x14ac:dyDescent="0.25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</row>
    <row r="936" spans="1:27" ht="12.5" x14ac:dyDescent="0.25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</row>
    <row r="937" spans="1:27" ht="12.5" x14ac:dyDescent="0.25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</row>
    <row r="938" spans="1:27" ht="12.5" x14ac:dyDescent="0.25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</row>
    <row r="939" spans="1:27" ht="12.5" x14ac:dyDescent="0.25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</row>
    <row r="940" spans="1:27" ht="12.5" x14ac:dyDescent="0.25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</row>
    <row r="941" spans="1:27" ht="12.5" x14ac:dyDescent="0.25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</row>
    <row r="942" spans="1:27" ht="12.5" x14ac:dyDescent="0.25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</row>
    <row r="943" spans="1:27" ht="12.5" x14ac:dyDescent="0.25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</row>
    <row r="944" spans="1:27" ht="12.5" x14ac:dyDescent="0.25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</row>
    <row r="945" spans="1:27" ht="12.5" x14ac:dyDescent="0.25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</row>
    <row r="946" spans="1:27" ht="12.5" x14ac:dyDescent="0.25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</row>
    <row r="947" spans="1:27" ht="12.5" x14ac:dyDescent="0.25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</row>
    <row r="948" spans="1:27" ht="12.5" x14ac:dyDescent="0.25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</row>
    <row r="949" spans="1:27" ht="12.5" x14ac:dyDescent="0.25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</row>
    <row r="950" spans="1:27" ht="12.5" x14ac:dyDescent="0.25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</row>
    <row r="951" spans="1:27" ht="12.5" x14ac:dyDescent="0.25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</row>
    <row r="952" spans="1:27" ht="12.5" x14ac:dyDescent="0.25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</row>
    <row r="953" spans="1:27" ht="12.5" x14ac:dyDescent="0.25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</row>
    <row r="954" spans="1:27" ht="12.5" x14ac:dyDescent="0.25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</row>
    <row r="955" spans="1:27" ht="12.5" x14ac:dyDescent="0.25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</row>
    <row r="956" spans="1:27" ht="12.5" x14ac:dyDescent="0.25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</row>
    <row r="957" spans="1:27" ht="12.5" x14ac:dyDescent="0.25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</row>
    <row r="958" spans="1:27" ht="12.5" x14ac:dyDescent="0.25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</row>
    <row r="959" spans="1:27" ht="12.5" x14ac:dyDescent="0.25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</row>
    <row r="960" spans="1:27" ht="12.5" x14ac:dyDescent="0.25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</row>
    <row r="961" spans="1:27" ht="12.5" x14ac:dyDescent="0.25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</row>
    <row r="962" spans="1:27" ht="12.5" x14ac:dyDescent="0.25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</row>
    <row r="963" spans="1:27" ht="12.5" x14ac:dyDescent="0.25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</row>
    <row r="964" spans="1:27" ht="12.5" x14ac:dyDescent="0.25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</row>
    <row r="965" spans="1:27" ht="12.5" x14ac:dyDescent="0.25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</row>
    <row r="966" spans="1:27" ht="12.5" x14ac:dyDescent="0.25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</row>
    <row r="967" spans="1:27" ht="12.5" x14ac:dyDescent="0.25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</row>
    <row r="968" spans="1:27" ht="12.5" x14ac:dyDescent="0.25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</row>
    <row r="969" spans="1:27" ht="12.5" x14ac:dyDescent="0.25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</row>
    <row r="970" spans="1:27" ht="12.5" x14ac:dyDescent="0.25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</row>
    <row r="971" spans="1:27" ht="12.5" x14ac:dyDescent="0.25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</row>
    <row r="972" spans="1:27" ht="12.5" x14ac:dyDescent="0.25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</row>
    <row r="973" spans="1:27" ht="12.5" x14ac:dyDescent="0.25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</row>
    <row r="974" spans="1:27" ht="12.5" x14ac:dyDescent="0.25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</row>
    <row r="975" spans="1:27" ht="12.5" x14ac:dyDescent="0.25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</row>
    <row r="976" spans="1:27" ht="12.5" x14ac:dyDescent="0.25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</row>
    <row r="977" spans="1:27" ht="12.5" x14ac:dyDescent="0.25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</row>
    <row r="978" spans="1:27" ht="12.5" x14ac:dyDescent="0.25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</row>
    <row r="979" spans="1:27" ht="12.5" x14ac:dyDescent="0.25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</row>
    <row r="980" spans="1:27" ht="12.5" x14ac:dyDescent="0.25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</row>
    <row r="981" spans="1:27" ht="12.5" x14ac:dyDescent="0.25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</row>
    <row r="982" spans="1:27" ht="12.5" x14ac:dyDescent="0.25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</row>
    <row r="983" spans="1:27" ht="12.5" x14ac:dyDescent="0.25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</row>
    <row r="984" spans="1:27" ht="12.5" x14ac:dyDescent="0.25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</row>
    <row r="985" spans="1:27" ht="12.5" x14ac:dyDescent="0.25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</row>
    <row r="986" spans="1:27" ht="12.5" x14ac:dyDescent="0.25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</row>
    <row r="987" spans="1:27" ht="12.5" x14ac:dyDescent="0.25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</row>
    <row r="988" spans="1:27" ht="12.5" x14ac:dyDescent="0.25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</row>
    <row r="989" spans="1:27" ht="12.5" x14ac:dyDescent="0.25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</row>
    <row r="990" spans="1:27" ht="12.5" x14ac:dyDescent="0.25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</row>
    <row r="991" spans="1:27" ht="12.5" x14ac:dyDescent="0.25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</row>
    <row r="992" spans="1:27" ht="12.5" x14ac:dyDescent="0.25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</row>
    <row r="993" spans="1:27" ht="12.5" x14ac:dyDescent="0.25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</row>
    <row r="994" spans="1:27" ht="12.5" x14ac:dyDescent="0.25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</row>
    <row r="995" spans="1:27" ht="12.5" x14ac:dyDescent="0.25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</row>
    <row r="996" spans="1:27" ht="12.5" x14ac:dyDescent="0.25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</row>
    <row r="997" spans="1:27" ht="12.5" x14ac:dyDescent="0.25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</row>
    <row r="998" spans="1:27" ht="12.5" x14ac:dyDescent="0.25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</row>
    <row r="999" spans="1:27" ht="12.5" x14ac:dyDescent="0.25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</row>
    <row r="1000" spans="1:27" ht="12.5" x14ac:dyDescent="0.25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Router</vt:lpstr>
      <vt:lpstr>SwitchCampus</vt:lpstr>
      <vt:lpstr>NexusSwitch</vt:lpstr>
      <vt:lpstr>ModularSwitch</vt:lpstr>
      <vt:lpstr>WiFi</vt:lpstr>
      <vt:lpstr>SFP</vt:lpstr>
      <vt:lpstr>AllDevices</vt:lpstr>
      <vt:lpstr>Cisco</vt:lpstr>
      <vt:lpstr>Juniper</vt:lpstr>
      <vt:lpstr>AllListPrice</vt:lpstr>
      <vt:lpstr>Specs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Dao Thi Kim Trang</dc:creator>
  <cp:lastModifiedBy>Dao Thi Kim Trang</cp:lastModifiedBy>
  <dcterms:created xsi:type="dcterms:W3CDTF">2026-04-26T07:18:29Z</dcterms:created>
  <dcterms:modified xsi:type="dcterms:W3CDTF">2026-04-26T07:18:30Z</dcterms:modified>
</cp:coreProperties>
</file>