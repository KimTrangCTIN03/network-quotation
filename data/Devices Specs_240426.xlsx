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ĐàoThịKimTrang\network-quotation-web\data\"/>
    </mc:Choice>
  </mc:AlternateContent>
  <xr:revisionPtr revIDLastSave="0" documentId="13_ncr:1_{E4BAF889-276A-4267-9E68-85AE07F3F4D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Router" sheetId="1" r:id="rId1"/>
    <sheet name="SwitchCampus" sheetId="2" r:id="rId2"/>
    <sheet name="ModularSwitch" sheetId="3" r:id="rId3"/>
    <sheet name="NexusSwitch" sheetId="4" r:id="rId4"/>
    <sheet name="WiFi" sheetId="5" r:id="rId5"/>
    <sheet name="AllDevices" sheetId="6" r:id="rId6"/>
    <sheet name="Cisco" sheetId="7" r:id="rId7"/>
    <sheet name="Juniper" sheetId="8" r:id="rId8"/>
    <sheet name="AllListPrice" sheetId="9" r:id="rId9"/>
    <sheet name="Specs" sheetId="10" r:id="rId10"/>
    <sheet name="SFP" sheetId="11" r:id="rId11"/>
    <sheet name="3rdSFP" sheetId="12" r:id="rId12"/>
  </sheets>
  <definedNames>
    <definedName name="_xlnm._FilterDatabase" localSheetId="5" hidden="1">AllDevices!$A$1:$Z$84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12" l="1"/>
  <c r="C12" i="12"/>
  <c r="A12" i="12"/>
  <c r="D11" i="12"/>
  <c r="C11" i="12"/>
  <c r="A11" i="12"/>
  <c r="D10" i="12"/>
  <c r="C10" i="12"/>
  <c r="A10" i="12"/>
  <c r="D9" i="12"/>
  <c r="B9" i="12"/>
  <c r="A9" i="12"/>
  <c r="D8" i="12"/>
  <c r="B8" i="12"/>
  <c r="A8" i="12"/>
  <c r="D7" i="12"/>
  <c r="B7" i="12"/>
  <c r="A7" i="12"/>
  <c r="D6" i="12"/>
  <c r="B6" i="12"/>
  <c r="A6" i="12"/>
  <c r="D5" i="12"/>
  <c r="B5" i="12"/>
  <c r="A5" i="12"/>
  <c r="D4" i="12"/>
  <c r="B4" i="12"/>
  <c r="A4" i="12"/>
  <c r="D3" i="12"/>
  <c r="B3" i="12"/>
  <c r="A3" i="12"/>
  <c r="D2" i="12"/>
  <c r="B2" i="12"/>
  <c r="A2" i="12"/>
  <c r="D1" i="12"/>
  <c r="C1" i="12"/>
  <c r="B1" i="12"/>
  <c r="A1" i="12"/>
  <c r="A3" i="11"/>
  <c r="A2" i="11"/>
  <c r="A1" i="11"/>
  <c r="D221" i="9"/>
  <c r="C221" i="9"/>
  <c r="A221" i="9"/>
  <c r="D220" i="9"/>
  <c r="C220" i="9"/>
  <c r="A220" i="9"/>
  <c r="D219" i="9"/>
  <c r="C219" i="9"/>
  <c r="A219" i="9"/>
  <c r="D218" i="9"/>
  <c r="B218" i="9"/>
  <c r="A218" i="9"/>
  <c r="D217" i="9"/>
  <c r="B217" i="9"/>
  <c r="A217" i="9"/>
  <c r="D216" i="9"/>
  <c r="B216" i="9"/>
  <c r="A216" i="9"/>
  <c r="D215" i="9"/>
  <c r="B215" i="9"/>
  <c r="A215" i="9"/>
  <c r="D214" i="9"/>
  <c r="B214" i="9"/>
  <c r="A214" i="9"/>
  <c r="D213" i="9"/>
  <c r="B213" i="9"/>
  <c r="A213" i="9"/>
  <c r="D212" i="9"/>
  <c r="B212" i="9"/>
  <c r="A212" i="9"/>
  <c r="D211" i="9"/>
  <c r="B211" i="9"/>
  <c r="A211" i="9"/>
  <c r="D210" i="9"/>
  <c r="C210" i="9"/>
  <c r="B210" i="9"/>
  <c r="A210" i="9"/>
  <c r="D209" i="9"/>
  <c r="C209" i="9"/>
  <c r="B209" i="9"/>
  <c r="A209" i="9"/>
  <c r="D208" i="9"/>
  <c r="C208" i="9"/>
  <c r="B208" i="9"/>
  <c r="A208" i="9"/>
  <c r="D207" i="9"/>
  <c r="B207" i="9"/>
  <c r="A207" i="9"/>
  <c r="D206" i="9"/>
  <c r="B206" i="9"/>
  <c r="A206" i="9"/>
  <c r="D205" i="9"/>
  <c r="B205" i="9"/>
  <c r="A205" i="9"/>
  <c r="D204" i="9"/>
  <c r="B204" i="9"/>
  <c r="A204" i="9"/>
  <c r="D203" i="9"/>
  <c r="B203" i="9"/>
  <c r="A203" i="9"/>
  <c r="D202" i="9"/>
  <c r="B202" i="9"/>
  <c r="A202" i="9"/>
  <c r="D201" i="9"/>
  <c r="B201" i="9"/>
  <c r="A201" i="9"/>
  <c r="D200" i="9"/>
  <c r="B200" i="9"/>
  <c r="A200" i="9"/>
  <c r="D199" i="9"/>
  <c r="B199" i="9"/>
  <c r="A199" i="9"/>
  <c r="D198" i="9"/>
  <c r="B198" i="9"/>
  <c r="A198" i="9"/>
  <c r="D197" i="9"/>
  <c r="B197" i="9"/>
  <c r="A197" i="9"/>
  <c r="D196" i="9"/>
  <c r="B196" i="9"/>
  <c r="A196" i="9"/>
  <c r="D195" i="9"/>
  <c r="B195" i="9"/>
  <c r="A195" i="9"/>
  <c r="D194" i="9"/>
  <c r="B194" i="9"/>
  <c r="A194" i="9"/>
  <c r="D193" i="9"/>
  <c r="B193" i="9"/>
  <c r="A193" i="9"/>
  <c r="D192" i="9"/>
  <c r="B192" i="9"/>
  <c r="A192" i="9"/>
  <c r="D191" i="9"/>
  <c r="B191" i="9"/>
  <c r="A191" i="9"/>
  <c r="D190" i="9"/>
  <c r="B190" i="9"/>
  <c r="A190" i="9"/>
  <c r="D189" i="9"/>
  <c r="B189" i="9"/>
  <c r="A189" i="9"/>
  <c r="D188" i="9"/>
  <c r="B188" i="9"/>
  <c r="A188" i="9"/>
  <c r="D187" i="9"/>
  <c r="B187" i="9"/>
  <c r="A187" i="9"/>
  <c r="D186" i="9"/>
  <c r="B186" i="9"/>
  <c r="A186" i="9"/>
  <c r="D185" i="9"/>
  <c r="B185" i="9"/>
  <c r="A185" i="9"/>
  <c r="D184" i="9"/>
  <c r="B184" i="9"/>
  <c r="A184" i="9"/>
  <c r="D183" i="9"/>
  <c r="B183" i="9"/>
  <c r="A183" i="9"/>
  <c r="D182" i="9"/>
  <c r="B182" i="9"/>
  <c r="A182" i="9"/>
  <c r="D181" i="9"/>
  <c r="B181" i="9"/>
  <c r="A181" i="9"/>
  <c r="D180" i="9"/>
  <c r="B180" i="9"/>
  <c r="A180" i="9"/>
  <c r="D179" i="9"/>
  <c r="B179" i="9"/>
  <c r="A179" i="9"/>
  <c r="D178" i="9"/>
  <c r="B178" i="9"/>
  <c r="A178" i="9"/>
  <c r="D177" i="9"/>
  <c r="B177" i="9"/>
  <c r="A177" i="9"/>
  <c r="D176" i="9"/>
  <c r="B176" i="9"/>
  <c r="A176" i="9"/>
  <c r="D175" i="9"/>
  <c r="B175" i="9"/>
  <c r="A175" i="9"/>
  <c r="D174" i="9"/>
  <c r="B174" i="9"/>
  <c r="A174" i="9"/>
  <c r="D173" i="9"/>
  <c r="B173" i="9"/>
  <c r="A173" i="9"/>
  <c r="D172" i="9"/>
  <c r="B172" i="9"/>
  <c r="A172" i="9"/>
  <c r="D171" i="9"/>
  <c r="B171" i="9"/>
  <c r="A171" i="9"/>
  <c r="D170" i="9"/>
  <c r="B170" i="9"/>
  <c r="A170" i="9"/>
  <c r="D169" i="9"/>
  <c r="B169" i="9"/>
  <c r="A169" i="9"/>
  <c r="D168" i="9"/>
  <c r="B168" i="9"/>
  <c r="A168" i="9"/>
  <c r="D167" i="9"/>
  <c r="B167" i="9"/>
  <c r="A167" i="9"/>
  <c r="D166" i="9"/>
  <c r="B166" i="9"/>
  <c r="A166" i="9"/>
  <c r="D165" i="9"/>
  <c r="B165" i="9"/>
  <c r="A165" i="9"/>
  <c r="D164" i="9"/>
  <c r="B164" i="9"/>
  <c r="A164" i="9"/>
  <c r="D163" i="9"/>
  <c r="B163" i="9"/>
  <c r="A163" i="9"/>
  <c r="D162" i="9"/>
  <c r="B162" i="9"/>
  <c r="A162" i="9"/>
  <c r="D161" i="9"/>
  <c r="B161" i="9"/>
  <c r="A161" i="9"/>
  <c r="D160" i="9"/>
  <c r="B160" i="9"/>
  <c r="A160" i="9"/>
  <c r="D159" i="9"/>
  <c r="B159" i="9"/>
  <c r="A159" i="9"/>
  <c r="D158" i="9"/>
  <c r="B158" i="9"/>
  <c r="A158" i="9"/>
  <c r="D157" i="9"/>
  <c r="B157" i="9"/>
  <c r="A157" i="9"/>
  <c r="D156" i="9"/>
  <c r="B156" i="9"/>
  <c r="A156" i="9"/>
  <c r="D155" i="9"/>
  <c r="B155" i="9"/>
  <c r="A155" i="9"/>
  <c r="D154" i="9"/>
  <c r="B154" i="9"/>
  <c r="A154" i="9"/>
  <c r="D153" i="9"/>
  <c r="B153" i="9"/>
  <c r="A153" i="9"/>
  <c r="D152" i="9"/>
  <c r="B152" i="9"/>
  <c r="A152" i="9"/>
  <c r="D151" i="9"/>
  <c r="B151" i="9"/>
  <c r="A151" i="9"/>
  <c r="D150" i="9"/>
  <c r="B150" i="9"/>
  <c r="A150" i="9"/>
  <c r="D149" i="9"/>
  <c r="B149" i="9"/>
  <c r="A149" i="9"/>
  <c r="D148" i="9"/>
  <c r="B148" i="9"/>
  <c r="A148" i="9"/>
  <c r="D147" i="9"/>
  <c r="B147" i="9"/>
  <c r="A147" i="9"/>
  <c r="D146" i="9"/>
  <c r="B146" i="9"/>
  <c r="A146" i="9"/>
  <c r="D145" i="9"/>
  <c r="B145" i="9"/>
  <c r="A145" i="9"/>
  <c r="D144" i="9"/>
  <c r="B144" i="9"/>
  <c r="A144" i="9"/>
  <c r="D143" i="9"/>
  <c r="B143" i="9"/>
  <c r="A143" i="9"/>
  <c r="D142" i="9"/>
  <c r="B142" i="9"/>
  <c r="A142" i="9"/>
  <c r="D141" i="9"/>
  <c r="B141" i="9"/>
  <c r="A141" i="9"/>
  <c r="D140" i="9"/>
  <c r="B140" i="9"/>
  <c r="A140" i="9"/>
  <c r="D139" i="9"/>
  <c r="B139" i="9"/>
  <c r="A139" i="9"/>
  <c r="D138" i="9"/>
  <c r="B138" i="9"/>
  <c r="A138" i="9"/>
  <c r="D137" i="9"/>
  <c r="B137" i="9"/>
  <c r="A137" i="9"/>
  <c r="D136" i="9"/>
  <c r="B136" i="9"/>
  <c r="A136" i="9"/>
  <c r="D135" i="9"/>
  <c r="B135" i="9"/>
  <c r="A135" i="9"/>
  <c r="D134" i="9"/>
  <c r="B134" i="9"/>
  <c r="A134" i="9"/>
  <c r="D133" i="9"/>
  <c r="B133" i="9"/>
  <c r="A133" i="9"/>
  <c r="D132" i="9"/>
  <c r="B132" i="9"/>
  <c r="A132" i="9"/>
  <c r="D131" i="9"/>
  <c r="B131" i="9"/>
  <c r="A131" i="9"/>
  <c r="D130" i="9"/>
  <c r="B130" i="9"/>
  <c r="A130" i="9"/>
  <c r="D129" i="9"/>
  <c r="B129" i="9"/>
  <c r="A129" i="9"/>
  <c r="D128" i="9"/>
  <c r="B128" i="9"/>
  <c r="A128" i="9"/>
  <c r="D127" i="9"/>
  <c r="B127" i="9"/>
  <c r="A127" i="9"/>
  <c r="D126" i="9"/>
  <c r="B126" i="9"/>
  <c r="A126" i="9"/>
  <c r="D125" i="9"/>
  <c r="B125" i="9"/>
  <c r="A125" i="9"/>
  <c r="D124" i="9"/>
  <c r="B124" i="9"/>
  <c r="A124" i="9"/>
  <c r="D123" i="9"/>
  <c r="B123" i="9"/>
  <c r="A123" i="9"/>
  <c r="D122" i="9"/>
  <c r="B122" i="9"/>
  <c r="A122" i="9"/>
  <c r="D121" i="9"/>
  <c r="B121" i="9"/>
  <c r="A121" i="9"/>
  <c r="D120" i="9"/>
  <c r="B120" i="9"/>
  <c r="A120" i="9"/>
  <c r="D119" i="9"/>
  <c r="B119" i="9"/>
  <c r="A119" i="9"/>
  <c r="D118" i="9"/>
  <c r="B118" i="9"/>
  <c r="A118" i="9"/>
  <c r="D117" i="9"/>
  <c r="B117" i="9"/>
  <c r="A117" i="9"/>
  <c r="D116" i="9"/>
  <c r="B116" i="9"/>
  <c r="A116" i="9"/>
  <c r="D115" i="9"/>
  <c r="B115" i="9"/>
  <c r="A115" i="9"/>
  <c r="D114" i="9"/>
  <c r="B114" i="9"/>
  <c r="A114" i="9"/>
  <c r="D113" i="9"/>
  <c r="B113" i="9"/>
  <c r="A113" i="9"/>
  <c r="D112" i="9"/>
  <c r="B112" i="9"/>
  <c r="A112" i="9"/>
  <c r="D111" i="9"/>
  <c r="B111" i="9"/>
  <c r="A111" i="9"/>
  <c r="D110" i="9"/>
  <c r="B110" i="9"/>
  <c r="A110" i="9"/>
  <c r="D109" i="9"/>
  <c r="B109" i="9"/>
  <c r="A109" i="9"/>
  <c r="D108" i="9"/>
  <c r="B108" i="9"/>
  <c r="A108" i="9"/>
  <c r="D107" i="9"/>
  <c r="B107" i="9"/>
  <c r="A107" i="9"/>
  <c r="D106" i="9"/>
  <c r="B106" i="9"/>
  <c r="A106" i="9"/>
  <c r="D105" i="9"/>
  <c r="B105" i="9"/>
  <c r="A105" i="9"/>
  <c r="D104" i="9"/>
  <c r="B104" i="9"/>
  <c r="A104" i="9"/>
  <c r="D103" i="9"/>
  <c r="B103" i="9"/>
  <c r="A103" i="9"/>
  <c r="D102" i="9"/>
  <c r="B102" i="9"/>
  <c r="A102" i="9"/>
  <c r="D101" i="9"/>
  <c r="B101" i="9"/>
  <c r="A101" i="9"/>
  <c r="D100" i="9"/>
  <c r="B100" i="9"/>
  <c r="A100" i="9"/>
  <c r="D99" i="9"/>
  <c r="B99" i="9"/>
  <c r="A99" i="9"/>
  <c r="D98" i="9"/>
  <c r="B98" i="9"/>
  <c r="A98" i="9"/>
  <c r="D97" i="9"/>
  <c r="B97" i="9"/>
  <c r="A97" i="9"/>
  <c r="D96" i="9"/>
  <c r="B96" i="9"/>
  <c r="A96" i="9"/>
  <c r="D95" i="9"/>
  <c r="B95" i="9"/>
  <c r="A95" i="9"/>
  <c r="D94" i="9"/>
  <c r="B94" i="9"/>
  <c r="A94" i="9"/>
  <c r="D93" i="9"/>
  <c r="B93" i="9"/>
  <c r="A93" i="9"/>
  <c r="D92" i="9"/>
  <c r="B92" i="9"/>
  <c r="A92" i="9"/>
  <c r="D91" i="9"/>
  <c r="C91" i="9"/>
  <c r="B91" i="9"/>
  <c r="A91" i="9"/>
  <c r="D90" i="9"/>
  <c r="C90" i="9"/>
  <c r="B90" i="9"/>
  <c r="A90" i="9"/>
  <c r="D89" i="9"/>
  <c r="C89" i="9"/>
  <c r="B89" i="9"/>
  <c r="A89" i="9"/>
  <c r="D88" i="9"/>
  <c r="B88" i="9"/>
  <c r="A88" i="9"/>
  <c r="D87" i="9"/>
  <c r="B87" i="9"/>
  <c r="A87" i="9"/>
  <c r="D86" i="9"/>
  <c r="B86" i="9"/>
  <c r="A86" i="9"/>
  <c r="D85" i="9"/>
  <c r="B85" i="9"/>
  <c r="A85" i="9"/>
  <c r="D84" i="9"/>
  <c r="B84" i="9"/>
  <c r="A84" i="9"/>
  <c r="D83" i="9"/>
  <c r="B83" i="9"/>
  <c r="A83" i="9"/>
  <c r="D82" i="9"/>
  <c r="B82" i="9"/>
  <c r="A82" i="9"/>
  <c r="D81" i="9"/>
  <c r="B81" i="9"/>
  <c r="A81" i="9"/>
  <c r="D80" i="9"/>
  <c r="B80" i="9"/>
  <c r="A80" i="9"/>
  <c r="D79" i="9"/>
  <c r="B79" i="9"/>
  <c r="A79" i="9"/>
  <c r="D78" i="9"/>
  <c r="B78" i="9"/>
  <c r="A78" i="9"/>
  <c r="D77" i="9"/>
  <c r="B77" i="9"/>
  <c r="A77" i="9"/>
  <c r="D76" i="9"/>
  <c r="B76" i="9"/>
  <c r="A76" i="9"/>
  <c r="D75" i="9"/>
  <c r="B75" i="9"/>
  <c r="A75" i="9"/>
  <c r="D74" i="9"/>
  <c r="B74" i="9"/>
  <c r="A74" i="9"/>
  <c r="D73" i="9"/>
  <c r="B73" i="9"/>
  <c r="A73" i="9"/>
  <c r="D72" i="9"/>
  <c r="B72" i="9"/>
  <c r="A72" i="9"/>
  <c r="D71" i="9"/>
  <c r="B71" i="9"/>
  <c r="A71" i="9"/>
  <c r="D70" i="9"/>
  <c r="B70" i="9"/>
  <c r="A70" i="9"/>
  <c r="D69" i="9"/>
  <c r="B69" i="9"/>
  <c r="A69" i="9"/>
  <c r="D68" i="9"/>
  <c r="B68" i="9"/>
  <c r="A68" i="9"/>
  <c r="D67" i="9"/>
  <c r="B67" i="9"/>
  <c r="A67" i="9"/>
  <c r="D66" i="9"/>
  <c r="B66" i="9"/>
  <c r="A66" i="9"/>
  <c r="D65" i="9"/>
  <c r="B65" i="9"/>
  <c r="A65" i="9"/>
  <c r="D64" i="9"/>
  <c r="B64" i="9"/>
  <c r="A64" i="9"/>
  <c r="D63" i="9"/>
  <c r="B63" i="9"/>
  <c r="A63" i="9"/>
  <c r="D62" i="9"/>
  <c r="B62" i="9"/>
  <c r="A62" i="9"/>
  <c r="D61" i="9"/>
  <c r="B61" i="9"/>
  <c r="A61" i="9"/>
  <c r="D60" i="9"/>
  <c r="B60" i="9"/>
  <c r="A60" i="9"/>
  <c r="D59" i="9"/>
  <c r="B59" i="9"/>
  <c r="A59" i="9"/>
  <c r="D58" i="9"/>
  <c r="B58" i="9"/>
  <c r="A58" i="9"/>
  <c r="D57" i="9"/>
  <c r="B57" i="9"/>
  <c r="A57" i="9"/>
  <c r="D56" i="9"/>
  <c r="B56" i="9"/>
  <c r="A56" i="9"/>
  <c r="D55" i="9"/>
  <c r="B55" i="9"/>
  <c r="A55" i="9"/>
  <c r="D54" i="9"/>
  <c r="B54" i="9"/>
  <c r="A54" i="9"/>
  <c r="D53" i="9"/>
  <c r="B53" i="9"/>
  <c r="A53" i="9"/>
  <c r="D52" i="9"/>
  <c r="B52" i="9"/>
  <c r="A52" i="9"/>
  <c r="D51" i="9"/>
  <c r="B51" i="9"/>
  <c r="A51" i="9"/>
  <c r="D50" i="9"/>
  <c r="B50" i="9"/>
  <c r="A50" i="9"/>
  <c r="D49" i="9"/>
  <c r="B49" i="9"/>
  <c r="A49" i="9"/>
  <c r="D48" i="9"/>
  <c r="B48" i="9"/>
  <c r="A48" i="9"/>
  <c r="D47" i="9"/>
  <c r="B47" i="9"/>
  <c r="A47" i="9"/>
  <c r="D46" i="9"/>
  <c r="B46" i="9"/>
  <c r="A46" i="9"/>
  <c r="D45" i="9"/>
  <c r="B45" i="9"/>
  <c r="A45" i="9"/>
  <c r="D44" i="9"/>
  <c r="B44" i="9"/>
  <c r="A44" i="9"/>
  <c r="D43" i="9"/>
  <c r="B43" i="9"/>
  <c r="A43" i="9"/>
  <c r="D42" i="9"/>
  <c r="B42" i="9"/>
  <c r="A42" i="9"/>
  <c r="D41" i="9"/>
  <c r="B41" i="9"/>
  <c r="A41" i="9"/>
  <c r="D40" i="9"/>
  <c r="B40" i="9"/>
  <c r="A40" i="9"/>
  <c r="D39" i="9"/>
  <c r="B39" i="9"/>
  <c r="A39" i="9"/>
  <c r="D38" i="9"/>
  <c r="B38" i="9"/>
  <c r="A38" i="9"/>
  <c r="D37" i="9"/>
  <c r="B37" i="9"/>
  <c r="A37" i="9"/>
  <c r="D36" i="9"/>
  <c r="B36" i="9"/>
  <c r="A36" i="9"/>
  <c r="D35" i="9"/>
  <c r="B35" i="9"/>
  <c r="A35" i="9"/>
  <c r="D34" i="9"/>
  <c r="B34" i="9"/>
  <c r="A34" i="9"/>
  <c r="D33" i="9"/>
  <c r="B33" i="9"/>
  <c r="A33" i="9"/>
  <c r="D32" i="9"/>
  <c r="B32" i="9"/>
  <c r="A32" i="9"/>
  <c r="D31" i="9"/>
  <c r="B31" i="9"/>
  <c r="A31" i="9"/>
  <c r="D30" i="9"/>
  <c r="B30" i="9"/>
  <c r="A30" i="9"/>
  <c r="D29" i="9"/>
  <c r="B29" i="9"/>
  <c r="A29" i="9"/>
  <c r="D28" i="9"/>
  <c r="B28" i="9"/>
  <c r="A28" i="9"/>
  <c r="D27" i="9"/>
  <c r="B27" i="9"/>
  <c r="A27" i="9"/>
  <c r="D26" i="9"/>
  <c r="B26" i="9"/>
  <c r="A26" i="9"/>
  <c r="D25" i="9"/>
  <c r="B25" i="9"/>
  <c r="A25" i="9"/>
  <c r="D24" i="9"/>
  <c r="B24" i="9"/>
  <c r="A24" i="9"/>
  <c r="D23" i="9"/>
  <c r="B23" i="9"/>
  <c r="A23" i="9"/>
  <c r="D22" i="9"/>
  <c r="B22" i="9"/>
  <c r="A22" i="9"/>
  <c r="D21" i="9"/>
  <c r="B21" i="9"/>
  <c r="A21" i="9"/>
  <c r="D20" i="9"/>
  <c r="B20" i="9"/>
  <c r="A20" i="9"/>
  <c r="D19" i="9"/>
  <c r="B19" i="9"/>
  <c r="A19" i="9"/>
  <c r="D18" i="9"/>
  <c r="B18" i="9"/>
  <c r="A18" i="9"/>
  <c r="D17" i="9"/>
  <c r="B17" i="9"/>
  <c r="A17" i="9"/>
  <c r="D16" i="9"/>
  <c r="B16" i="9"/>
  <c r="A16" i="9"/>
  <c r="D15" i="9"/>
  <c r="B15" i="9"/>
  <c r="A15" i="9"/>
  <c r="D14" i="9"/>
  <c r="B14" i="9"/>
  <c r="A14" i="9"/>
  <c r="D13" i="9"/>
  <c r="B13" i="9"/>
  <c r="A13" i="9"/>
  <c r="D12" i="9"/>
  <c r="B12" i="9"/>
  <c r="A12" i="9"/>
  <c r="D11" i="9"/>
  <c r="B11" i="9"/>
  <c r="A11" i="9"/>
  <c r="D10" i="9"/>
  <c r="B10" i="9"/>
  <c r="A10" i="9"/>
  <c r="D9" i="9"/>
  <c r="B9" i="9"/>
  <c r="A9" i="9"/>
  <c r="P14" i="4" s="1"/>
  <c r="D8" i="9"/>
  <c r="B8" i="9"/>
  <c r="A8" i="9"/>
  <c r="D7" i="9"/>
  <c r="B7" i="9"/>
  <c r="A7" i="9"/>
  <c r="D6" i="9"/>
  <c r="B6" i="9"/>
  <c r="A6" i="9"/>
  <c r="D5" i="9"/>
  <c r="B5" i="9"/>
  <c r="A5" i="9"/>
  <c r="D4" i="9"/>
  <c r="B4" i="9"/>
  <c r="A4" i="9"/>
  <c r="D3" i="9"/>
  <c r="C3" i="9"/>
  <c r="B3" i="9"/>
  <c r="A3" i="9"/>
  <c r="AJ12" i="5" s="1"/>
  <c r="D2" i="9"/>
  <c r="C2" i="9"/>
  <c r="B2" i="9"/>
  <c r="A2" i="9"/>
  <c r="D4" i="8"/>
  <c r="C4" i="8"/>
  <c r="B4" i="8"/>
  <c r="A4" i="8"/>
  <c r="D3" i="8"/>
  <c r="C3" i="8"/>
  <c r="B3" i="8"/>
  <c r="A3" i="8"/>
  <c r="D2" i="8"/>
  <c r="C2" i="8"/>
  <c r="B2" i="8"/>
  <c r="A2" i="8"/>
  <c r="D1" i="8"/>
  <c r="C1" i="8"/>
  <c r="B1" i="8"/>
  <c r="A1" i="8"/>
  <c r="C1000" i="7"/>
  <c r="C999" i="7"/>
  <c r="C998" i="7"/>
  <c r="C997" i="7"/>
  <c r="C996" i="7"/>
  <c r="C995" i="7"/>
  <c r="C994" i="7"/>
  <c r="C993" i="7"/>
  <c r="C992" i="7"/>
  <c r="C991" i="7"/>
  <c r="C990" i="7"/>
  <c r="C989" i="7"/>
  <c r="C988" i="7"/>
  <c r="C987" i="7"/>
  <c r="C986" i="7"/>
  <c r="C985" i="7"/>
  <c r="C984" i="7"/>
  <c r="C983" i="7"/>
  <c r="C982" i="7"/>
  <c r="C981" i="7"/>
  <c r="C980" i="7"/>
  <c r="C979" i="7"/>
  <c r="C978" i="7"/>
  <c r="C977" i="7"/>
  <c r="C976" i="7"/>
  <c r="C975" i="7"/>
  <c r="C974" i="7"/>
  <c r="C973" i="7"/>
  <c r="C972" i="7"/>
  <c r="C971" i="7"/>
  <c r="C970" i="7"/>
  <c r="C969" i="7"/>
  <c r="C968" i="7"/>
  <c r="C967" i="7"/>
  <c r="C966" i="7"/>
  <c r="C965" i="7"/>
  <c r="C964" i="7"/>
  <c r="C963" i="7"/>
  <c r="C962" i="7"/>
  <c r="C961" i="7"/>
  <c r="C960" i="7"/>
  <c r="C959" i="7"/>
  <c r="C958" i="7"/>
  <c r="C957" i="7"/>
  <c r="C956" i="7"/>
  <c r="C955" i="7"/>
  <c r="C954" i="7"/>
  <c r="C953" i="7"/>
  <c r="C952" i="7"/>
  <c r="C951" i="7"/>
  <c r="C950" i="7"/>
  <c r="C949" i="7"/>
  <c r="C948" i="7"/>
  <c r="C947" i="7"/>
  <c r="C946" i="7"/>
  <c r="C945" i="7"/>
  <c r="C944" i="7"/>
  <c r="C943" i="7"/>
  <c r="C942" i="7"/>
  <c r="C941" i="7"/>
  <c r="C940" i="7"/>
  <c r="C939" i="7"/>
  <c r="C938" i="7"/>
  <c r="C937" i="7"/>
  <c r="C936" i="7"/>
  <c r="C935" i="7"/>
  <c r="C934" i="7"/>
  <c r="C933" i="7"/>
  <c r="C932" i="7"/>
  <c r="C931" i="7"/>
  <c r="C930" i="7"/>
  <c r="C929" i="7"/>
  <c r="C928" i="7"/>
  <c r="C927" i="7"/>
  <c r="C926" i="7"/>
  <c r="C925" i="7"/>
  <c r="C924" i="7"/>
  <c r="C923" i="7"/>
  <c r="C922" i="7"/>
  <c r="C921" i="7"/>
  <c r="C920" i="7"/>
  <c r="C919" i="7"/>
  <c r="C918" i="7"/>
  <c r="C917" i="7"/>
  <c r="C916" i="7"/>
  <c r="C915" i="7"/>
  <c r="C914" i="7"/>
  <c r="C913" i="7"/>
  <c r="C912" i="7"/>
  <c r="C911" i="7"/>
  <c r="C910" i="7"/>
  <c r="C909" i="7"/>
  <c r="C908" i="7"/>
  <c r="C907" i="7"/>
  <c r="C906" i="7"/>
  <c r="C905" i="7"/>
  <c r="C904" i="7"/>
  <c r="C903" i="7"/>
  <c r="C902" i="7"/>
  <c r="C901" i="7"/>
  <c r="C900" i="7"/>
  <c r="C899" i="7"/>
  <c r="C898" i="7"/>
  <c r="C897" i="7"/>
  <c r="C896" i="7"/>
  <c r="C895" i="7"/>
  <c r="C894" i="7"/>
  <c r="C893" i="7"/>
  <c r="C892" i="7"/>
  <c r="C891" i="7"/>
  <c r="C890" i="7"/>
  <c r="C889" i="7"/>
  <c r="C888" i="7"/>
  <c r="C887" i="7"/>
  <c r="C886" i="7"/>
  <c r="C885" i="7"/>
  <c r="C884" i="7"/>
  <c r="C883" i="7"/>
  <c r="C882" i="7"/>
  <c r="C881" i="7"/>
  <c r="C880" i="7"/>
  <c r="C879" i="7"/>
  <c r="C878" i="7"/>
  <c r="C877" i="7"/>
  <c r="C876" i="7"/>
  <c r="C875" i="7"/>
  <c r="C874" i="7"/>
  <c r="C873" i="7"/>
  <c r="C872" i="7"/>
  <c r="C871" i="7"/>
  <c r="C870" i="7"/>
  <c r="C869" i="7"/>
  <c r="C868" i="7"/>
  <c r="C867" i="7"/>
  <c r="C866" i="7"/>
  <c r="C865" i="7"/>
  <c r="C864" i="7"/>
  <c r="C863" i="7"/>
  <c r="C862" i="7"/>
  <c r="C861" i="7"/>
  <c r="C860" i="7"/>
  <c r="C859" i="7"/>
  <c r="C858" i="7"/>
  <c r="C857" i="7"/>
  <c r="C856" i="7"/>
  <c r="C855" i="7"/>
  <c r="C854" i="7"/>
  <c r="C853" i="7"/>
  <c r="C852" i="7"/>
  <c r="C851" i="7"/>
  <c r="C850" i="7"/>
  <c r="C849" i="7"/>
  <c r="C848" i="7"/>
  <c r="C847" i="7"/>
  <c r="C846" i="7"/>
  <c r="C845" i="7"/>
  <c r="C844" i="7"/>
  <c r="C843" i="7"/>
  <c r="C842" i="7"/>
  <c r="C841" i="7"/>
  <c r="C840" i="7"/>
  <c r="C839" i="7"/>
  <c r="C838" i="7"/>
  <c r="C837" i="7"/>
  <c r="C836" i="7"/>
  <c r="C835" i="7"/>
  <c r="C834" i="7"/>
  <c r="C833" i="7"/>
  <c r="C832" i="7"/>
  <c r="C831" i="7"/>
  <c r="C830" i="7"/>
  <c r="C829" i="7"/>
  <c r="C828" i="7"/>
  <c r="C827" i="7"/>
  <c r="C826" i="7"/>
  <c r="C825" i="7"/>
  <c r="C824" i="7"/>
  <c r="C823" i="7"/>
  <c r="C822" i="7"/>
  <c r="C821" i="7"/>
  <c r="C820" i="7"/>
  <c r="C819" i="7"/>
  <c r="C818" i="7"/>
  <c r="C817" i="7"/>
  <c r="C816" i="7"/>
  <c r="C815" i="7"/>
  <c r="C814" i="7"/>
  <c r="C813" i="7"/>
  <c r="C812" i="7"/>
  <c r="C811" i="7"/>
  <c r="C810" i="7"/>
  <c r="C809" i="7"/>
  <c r="C808" i="7"/>
  <c r="C807" i="7"/>
  <c r="C806" i="7"/>
  <c r="C805" i="7"/>
  <c r="C804" i="7"/>
  <c r="C803" i="7"/>
  <c r="C802" i="7"/>
  <c r="C801" i="7"/>
  <c r="C800" i="7"/>
  <c r="C799" i="7"/>
  <c r="C798" i="7"/>
  <c r="C797" i="7"/>
  <c r="C796" i="7"/>
  <c r="C795" i="7"/>
  <c r="C794" i="7"/>
  <c r="C793" i="7"/>
  <c r="C792" i="7"/>
  <c r="C791" i="7"/>
  <c r="C790" i="7"/>
  <c r="C789" i="7"/>
  <c r="C788" i="7"/>
  <c r="C787" i="7"/>
  <c r="C786" i="7"/>
  <c r="C785" i="7"/>
  <c r="C784" i="7"/>
  <c r="C783" i="7"/>
  <c r="C782" i="7"/>
  <c r="C781" i="7"/>
  <c r="C780" i="7"/>
  <c r="C779" i="7"/>
  <c r="C778" i="7"/>
  <c r="C777" i="7"/>
  <c r="C776" i="7"/>
  <c r="C775" i="7"/>
  <c r="C774" i="7"/>
  <c r="C773" i="7"/>
  <c r="C772" i="7"/>
  <c r="C771" i="7"/>
  <c r="C770" i="7"/>
  <c r="C769" i="7"/>
  <c r="C768" i="7"/>
  <c r="C767" i="7"/>
  <c r="C766" i="7"/>
  <c r="C765" i="7"/>
  <c r="C764" i="7"/>
  <c r="C763" i="7"/>
  <c r="C762" i="7"/>
  <c r="C761" i="7"/>
  <c r="C760" i="7"/>
  <c r="C759" i="7"/>
  <c r="C758" i="7"/>
  <c r="C757" i="7"/>
  <c r="C756" i="7"/>
  <c r="C755" i="7"/>
  <c r="C754" i="7"/>
  <c r="C753" i="7"/>
  <c r="C752" i="7"/>
  <c r="C751" i="7"/>
  <c r="C750" i="7"/>
  <c r="C749" i="7"/>
  <c r="C748" i="7"/>
  <c r="C747" i="7"/>
  <c r="C746" i="7"/>
  <c r="C745" i="7"/>
  <c r="C744" i="7"/>
  <c r="C743" i="7"/>
  <c r="C742" i="7"/>
  <c r="C741" i="7"/>
  <c r="C740" i="7"/>
  <c r="C739" i="7"/>
  <c r="C738" i="7"/>
  <c r="C737" i="7"/>
  <c r="C736" i="7"/>
  <c r="C735" i="7"/>
  <c r="C734" i="7"/>
  <c r="C733" i="7"/>
  <c r="C732" i="7"/>
  <c r="C731" i="7"/>
  <c r="C730" i="7"/>
  <c r="C729" i="7"/>
  <c r="C728" i="7"/>
  <c r="C727" i="7"/>
  <c r="C726" i="7"/>
  <c r="C725" i="7"/>
  <c r="C724" i="7"/>
  <c r="C723" i="7"/>
  <c r="C722" i="7"/>
  <c r="C721" i="7"/>
  <c r="C720" i="7"/>
  <c r="C719" i="7"/>
  <c r="C718" i="7"/>
  <c r="C717" i="7"/>
  <c r="C716" i="7"/>
  <c r="C715" i="7"/>
  <c r="C714" i="7"/>
  <c r="C713" i="7"/>
  <c r="C712" i="7"/>
  <c r="C711" i="7"/>
  <c r="C710" i="7"/>
  <c r="C709" i="7"/>
  <c r="C708" i="7"/>
  <c r="C707" i="7"/>
  <c r="C706" i="7"/>
  <c r="C705" i="7"/>
  <c r="C704" i="7"/>
  <c r="C703" i="7"/>
  <c r="C702" i="7"/>
  <c r="C701" i="7"/>
  <c r="C700" i="7"/>
  <c r="C699" i="7"/>
  <c r="C698" i="7"/>
  <c r="C697" i="7"/>
  <c r="C696" i="7"/>
  <c r="C695" i="7"/>
  <c r="C694" i="7"/>
  <c r="C693" i="7"/>
  <c r="C692" i="7"/>
  <c r="C691" i="7"/>
  <c r="C690" i="7"/>
  <c r="C689" i="7"/>
  <c r="C688" i="7"/>
  <c r="C687" i="7"/>
  <c r="C686" i="7"/>
  <c r="C685" i="7"/>
  <c r="C684" i="7"/>
  <c r="C683" i="7"/>
  <c r="C682" i="7"/>
  <c r="C681" i="7"/>
  <c r="C680" i="7"/>
  <c r="C679" i="7"/>
  <c r="C678" i="7"/>
  <c r="C677" i="7"/>
  <c r="C676" i="7"/>
  <c r="C675" i="7"/>
  <c r="C674" i="7"/>
  <c r="C673" i="7"/>
  <c r="C672" i="7"/>
  <c r="C671" i="7"/>
  <c r="C670" i="7"/>
  <c r="C669" i="7"/>
  <c r="C668" i="7"/>
  <c r="C667" i="7"/>
  <c r="C666" i="7"/>
  <c r="C665" i="7"/>
  <c r="C664" i="7"/>
  <c r="C663" i="7"/>
  <c r="C662" i="7"/>
  <c r="C661" i="7"/>
  <c r="C660" i="7"/>
  <c r="C659" i="7"/>
  <c r="C658" i="7"/>
  <c r="C657" i="7"/>
  <c r="C656" i="7"/>
  <c r="C655" i="7"/>
  <c r="C654" i="7"/>
  <c r="C653" i="7"/>
  <c r="C652" i="7"/>
  <c r="C651" i="7"/>
  <c r="C650" i="7"/>
  <c r="C649" i="7"/>
  <c r="C648" i="7"/>
  <c r="C647" i="7"/>
  <c r="C646" i="7"/>
  <c r="C645" i="7"/>
  <c r="C644" i="7"/>
  <c r="C643" i="7"/>
  <c r="C642" i="7"/>
  <c r="C641" i="7"/>
  <c r="C640" i="7"/>
  <c r="C639" i="7"/>
  <c r="C638" i="7"/>
  <c r="C637" i="7"/>
  <c r="C636" i="7"/>
  <c r="C635" i="7"/>
  <c r="C634" i="7"/>
  <c r="C633" i="7"/>
  <c r="C632" i="7"/>
  <c r="C631" i="7"/>
  <c r="C630" i="7"/>
  <c r="C629" i="7"/>
  <c r="C628" i="7"/>
  <c r="C627" i="7"/>
  <c r="C626" i="7"/>
  <c r="C625" i="7"/>
  <c r="C624" i="7"/>
  <c r="C623" i="7"/>
  <c r="C622" i="7"/>
  <c r="C621" i="7"/>
  <c r="C620" i="7"/>
  <c r="C619" i="7"/>
  <c r="C618" i="7"/>
  <c r="C617" i="7"/>
  <c r="C616" i="7"/>
  <c r="C615" i="7"/>
  <c r="C614" i="7"/>
  <c r="C613" i="7"/>
  <c r="C612" i="7"/>
  <c r="C611" i="7"/>
  <c r="C610" i="7"/>
  <c r="C609" i="7"/>
  <c r="C608" i="7"/>
  <c r="C607" i="7"/>
  <c r="C606" i="7"/>
  <c r="C605" i="7"/>
  <c r="C604" i="7"/>
  <c r="C603" i="7"/>
  <c r="C602" i="7"/>
  <c r="C601" i="7"/>
  <c r="C600" i="7"/>
  <c r="C599" i="7"/>
  <c r="C598" i="7"/>
  <c r="C597" i="7"/>
  <c r="C596" i="7"/>
  <c r="C595" i="7"/>
  <c r="C594" i="7"/>
  <c r="C593" i="7"/>
  <c r="C592" i="7"/>
  <c r="C591" i="7"/>
  <c r="C590" i="7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D207" i="7"/>
  <c r="B207" i="7"/>
  <c r="A207" i="7"/>
  <c r="D206" i="7"/>
  <c r="B206" i="7"/>
  <c r="A206" i="7"/>
  <c r="D205" i="7"/>
  <c r="B205" i="7"/>
  <c r="A205" i="7"/>
  <c r="D204" i="7"/>
  <c r="B204" i="7"/>
  <c r="A204" i="7"/>
  <c r="D203" i="7"/>
  <c r="B203" i="7"/>
  <c r="A203" i="7"/>
  <c r="D202" i="7"/>
  <c r="B202" i="7"/>
  <c r="A202" i="7"/>
  <c r="D201" i="7"/>
  <c r="B201" i="7"/>
  <c r="A201" i="7"/>
  <c r="D200" i="7"/>
  <c r="B200" i="7"/>
  <c r="A200" i="7"/>
  <c r="D199" i="7"/>
  <c r="B199" i="7"/>
  <c r="A199" i="7"/>
  <c r="D198" i="7"/>
  <c r="B198" i="7"/>
  <c r="A198" i="7"/>
  <c r="D197" i="7"/>
  <c r="B197" i="7"/>
  <c r="A197" i="7"/>
  <c r="D196" i="7"/>
  <c r="B196" i="7"/>
  <c r="A196" i="7"/>
  <c r="D195" i="7"/>
  <c r="B195" i="7"/>
  <c r="A195" i="7"/>
  <c r="D194" i="7"/>
  <c r="B194" i="7"/>
  <c r="A194" i="7"/>
  <c r="D193" i="7"/>
  <c r="B193" i="7"/>
  <c r="A193" i="7"/>
  <c r="D192" i="7"/>
  <c r="B192" i="7"/>
  <c r="A192" i="7"/>
  <c r="D191" i="7"/>
  <c r="B191" i="7"/>
  <c r="A191" i="7"/>
  <c r="D190" i="7"/>
  <c r="B190" i="7"/>
  <c r="A190" i="7"/>
  <c r="D189" i="7"/>
  <c r="B189" i="7"/>
  <c r="A189" i="7"/>
  <c r="D188" i="7"/>
  <c r="B188" i="7"/>
  <c r="A188" i="7"/>
  <c r="D187" i="7"/>
  <c r="B187" i="7"/>
  <c r="A187" i="7"/>
  <c r="D186" i="7"/>
  <c r="B186" i="7"/>
  <c r="A186" i="7"/>
  <c r="D185" i="7"/>
  <c r="B185" i="7"/>
  <c r="A185" i="7"/>
  <c r="D184" i="7"/>
  <c r="B184" i="7"/>
  <c r="A184" i="7"/>
  <c r="D183" i="7"/>
  <c r="B183" i="7"/>
  <c r="A183" i="7"/>
  <c r="D182" i="7"/>
  <c r="B182" i="7"/>
  <c r="A182" i="7"/>
  <c r="D181" i="7"/>
  <c r="B181" i="7"/>
  <c r="A181" i="7"/>
  <c r="D180" i="7"/>
  <c r="B180" i="7"/>
  <c r="A180" i="7"/>
  <c r="D179" i="7"/>
  <c r="B179" i="7"/>
  <c r="A179" i="7"/>
  <c r="D178" i="7"/>
  <c r="B178" i="7"/>
  <c r="A178" i="7"/>
  <c r="D177" i="7"/>
  <c r="B177" i="7"/>
  <c r="A177" i="7"/>
  <c r="D176" i="7"/>
  <c r="B176" i="7"/>
  <c r="A176" i="7"/>
  <c r="D175" i="7"/>
  <c r="B175" i="7"/>
  <c r="A175" i="7"/>
  <c r="D174" i="7"/>
  <c r="B174" i="7"/>
  <c r="A174" i="7"/>
  <c r="D173" i="7"/>
  <c r="B173" i="7"/>
  <c r="A173" i="7"/>
  <c r="D172" i="7"/>
  <c r="B172" i="7"/>
  <c r="A172" i="7"/>
  <c r="D171" i="7"/>
  <c r="B171" i="7"/>
  <c r="A171" i="7"/>
  <c r="D170" i="7"/>
  <c r="B170" i="7"/>
  <c r="A170" i="7"/>
  <c r="D169" i="7"/>
  <c r="B169" i="7"/>
  <c r="A169" i="7"/>
  <c r="D168" i="7"/>
  <c r="B168" i="7"/>
  <c r="A168" i="7"/>
  <c r="D167" i="7"/>
  <c r="B167" i="7"/>
  <c r="A167" i="7"/>
  <c r="D166" i="7"/>
  <c r="B166" i="7"/>
  <c r="A166" i="7"/>
  <c r="D165" i="7"/>
  <c r="B165" i="7"/>
  <c r="A165" i="7"/>
  <c r="D164" i="7"/>
  <c r="B164" i="7"/>
  <c r="A164" i="7"/>
  <c r="D163" i="7"/>
  <c r="B163" i="7"/>
  <c r="A163" i="7"/>
  <c r="D162" i="7"/>
  <c r="B162" i="7"/>
  <c r="A162" i="7"/>
  <c r="D161" i="7"/>
  <c r="B161" i="7"/>
  <c r="A161" i="7"/>
  <c r="D160" i="7"/>
  <c r="B160" i="7"/>
  <c r="A160" i="7"/>
  <c r="D159" i="7"/>
  <c r="B159" i="7"/>
  <c r="A159" i="7"/>
  <c r="D158" i="7"/>
  <c r="B158" i="7"/>
  <c r="A158" i="7"/>
  <c r="D157" i="7"/>
  <c r="B157" i="7"/>
  <c r="A157" i="7"/>
  <c r="D156" i="7"/>
  <c r="B156" i="7"/>
  <c r="A156" i="7"/>
  <c r="D155" i="7"/>
  <c r="B155" i="7"/>
  <c r="A155" i="7"/>
  <c r="D154" i="7"/>
  <c r="B154" i="7"/>
  <c r="A154" i="7"/>
  <c r="D153" i="7"/>
  <c r="B153" i="7"/>
  <c r="A153" i="7"/>
  <c r="D152" i="7"/>
  <c r="B152" i="7"/>
  <c r="A152" i="7"/>
  <c r="D151" i="7"/>
  <c r="B151" i="7"/>
  <c r="A151" i="7"/>
  <c r="D150" i="7"/>
  <c r="B150" i="7"/>
  <c r="A150" i="7"/>
  <c r="D149" i="7"/>
  <c r="B149" i="7"/>
  <c r="A149" i="7"/>
  <c r="D148" i="7"/>
  <c r="B148" i="7"/>
  <c r="A148" i="7"/>
  <c r="D147" i="7"/>
  <c r="B147" i="7"/>
  <c r="A147" i="7"/>
  <c r="D146" i="7"/>
  <c r="B146" i="7"/>
  <c r="A146" i="7"/>
  <c r="D145" i="7"/>
  <c r="B145" i="7"/>
  <c r="A145" i="7"/>
  <c r="D144" i="7"/>
  <c r="B144" i="7"/>
  <c r="A144" i="7"/>
  <c r="D143" i="7"/>
  <c r="B143" i="7"/>
  <c r="A143" i="7"/>
  <c r="D142" i="7"/>
  <c r="B142" i="7"/>
  <c r="A142" i="7"/>
  <c r="D141" i="7"/>
  <c r="B141" i="7"/>
  <c r="A141" i="7"/>
  <c r="D140" i="7"/>
  <c r="B140" i="7"/>
  <c r="A140" i="7"/>
  <c r="D139" i="7"/>
  <c r="B139" i="7"/>
  <c r="A139" i="7"/>
  <c r="D138" i="7"/>
  <c r="B138" i="7"/>
  <c r="A138" i="7"/>
  <c r="D137" i="7"/>
  <c r="B137" i="7"/>
  <c r="A137" i="7"/>
  <c r="D136" i="7"/>
  <c r="B136" i="7"/>
  <c r="A136" i="7"/>
  <c r="D135" i="7"/>
  <c r="B135" i="7"/>
  <c r="A135" i="7"/>
  <c r="D134" i="7"/>
  <c r="B134" i="7"/>
  <c r="A134" i="7"/>
  <c r="D133" i="7"/>
  <c r="B133" i="7"/>
  <c r="A133" i="7"/>
  <c r="D132" i="7"/>
  <c r="B132" i="7"/>
  <c r="A132" i="7"/>
  <c r="D131" i="7"/>
  <c r="B131" i="7"/>
  <c r="A131" i="7"/>
  <c r="D130" i="7"/>
  <c r="B130" i="7"/>
  <c r="A130" i="7"/>
  <c r="D129" i="7"/>
  <c r="B129" i="7"/>
  <c r="A129" i="7"/>
  <c r="D128" i="7"/>
  <c r="B128" i="7"/>
  <c r="A128" i="7"/>
  <c r="D127" i="7"/>
  <c r="B127" i="7"/>
  <c r="A127" i="7"/>
  <c r="D126" i="7"/>
  <c r="B126" i="7"/>
  <c r="A126" i="7"/>
  <c r="D125" i="7"/>
  <c r="B125" i="7"/>
  <c r="A125" i="7"/>
  <c r="D124" i="7"/>
  <c r="B124" i="7"/>
  <c r="A124" i="7"/>
  <c r="D123" i="7"/>
  <c r="B123" i="7"/>
  <c r="A123" i="7"/>
  <c r="D122" i="7"/>
  <c r="B122" i="7"/>
  <c r="A122" i="7"/>
  <c r="D121" i="7"/>
  <c r="B121" i="7"/>
  <c r="A121" i="7"/>
  <c r="D120" i="7"/>
  <c r="B120" i="7"/>
  <c r="A120" i="7"/>
  <c r="D119" i="7"/>
  <c r="B119" i="7"/>
  <c r="A119" i="7"/>
  <c r="D118" i="7"/>
  <c r="B118" i="7"/>
  <c r="A118" i="7"/>
  <c r="D117" i="7"/>
  <c r="B117" i="7"/>
  <c r="A117" i="7"/>
  <c r="D116" i="7"/>
  <c r="B116" i="7"/>
  <c r="A116" i="7"/>
  <c r="D115" i="7"/>
  <c r="B115" i="7"/>
  <c r="A115" i="7"/>
  <c r="D114" i="7"/>
  <c r="B114" i="7"/>
  <c r="A114" i="7"/>
  <c r="D113" i="7"/>
  <c r="B113" i="7"/>
  <c r="A113" i="7"/>
  <c r="D112" i="7"/>
  <c r="B112" i="7"/>
  <c r="A112" i="7"/>
  <c r="D111" i="7"/>
  <c r="B111" i="7"/>
  <c r="A111" i="7"/>
  <c r="D110" i="7"/>
  <c r="B110" i="7"/>
  <c r="A110" i="7"/>
  <c r="D109" i="7"/>
  <c r="B109" i="7"/>
  <c r="A109" i="7"/>
  <c r="D108" i="7"/>
  <c r="B108" i="7"/>
  <c r="A108" i="7"/>
  <c r="D107" i="7"/>
  <c r="B107" i="7"/>
  <c r="A107" i="7"/>
  <c r="D106" i="7"/>
  <c r="B106" i="7"/>
  <c r="A106" i="7"/>
  <c r="D105" i="7"/>
  <c r="B105" i="7"/>
  <c r="A105" i="7"/>
  <c r="D104" i="7"/>
  <c r="B104" i="7"/>
  <c r="A104" i="7"/>
  <c r="D103" i="7"/>
  <c r="B103" i="7"/>
  <c r="A103" i="7"/>
  <c r="D102" i="7"/>
  <c r="B102" i="7"/>
  <c r="A102" i="7"/>
  <c r="D101" i="7"/>
  <c r="B101" i="7"/>
  <c r="A101" i="7"/>
  <c r="D100" i="7"/>
  <c r="B100" i="7"/>
  <c r="A100" i="7"/>
  <c r="D99" i="7"/>
  <c r="B99" i="7"/>
  <c r="A99" i="7"/>
  <c r="D98" i="7"/>
  <c r="B98" i="7"/>
  <c r="A98" i="7"/>
  <c r="D97" i="7"/>
  <c r="B97" i="7"/>
  <c r="A97" i="7"/>
  <c r="D96" i="7"/>
  <c r="B96" i="7"/>
  <c r="A96" i="7"/>
  <c r="D95" i="7"/>
  <c r="B95" i="7"/>
  <c r="A95" i="7"/>
  <c r="D94" i="7"/>
  <c r="B94" i="7"/>
  <c r="A94" i="7"/>
  <c r="D93" i="7"/>
  <c r="B93" i="7"/>
  <c r="A93" i="7"/>
  <c r="D92" i="7"/>
  <c r="B92" i="7"/>
  <c r="A92" i="7"/>
  <c r="D91" i="7"/>
  <c r="C91" i="7"/>
  <c r="B91" i="7"/>
  <c r="A91" i="7"/>
  <c r="D90" i="7"/>
  <c r="C90" i="7"/>
  <c r="B90" i="7"/>
  <c r="A90" i="7"/>
  <c r="D89" i="7"/>
  <c r="C89" i="7"/>
  <c r="B89" i="7"/>
  <c r="A89" i="7"/>
  <c r="D88" i="7"/>
  <c r="B88" i="7"/>
  <c r="A88" i="7"/>
  <c r="D87" i="7"/>
  <c r="B87" i="7"/>
  <c r="A87" i="7"/>
  <c r="D86" i="7"/>
  <c r="B86" i="7"/>
  <c r="A86" i="7"/>
  <c r="D85" i="7"/>
  <c r="B85" i="7"/>
  <c r="A85" i="7"/>
  <c r="D84" i="7"/>
  <c r="B84" i="7"/>
  <c r="A84" i="7"/>
  <c r="D83" i="7"/>
  <c r="B83" i="7"/>
  <c r="A83" i="7"/>
  <c r="D82" i="7"/>
  <c r="B82" i="7"/>
  <c r="A82" i="7"/>
  <c r="D81" i="7"/>
  <c r="B81" i="7"/>
  <c r="A81" i="7"/>
  <c r="D80" i="7"/>
  <c r="B80" i="7"/>
  <c r="A80" i="7"/>
  <c r="D79" i="7"/>
  <c r="B79" i="7"/>
  <c r="A79" i="7"/>
  <c r="D78" i="7"/>
  <c r="B78" i="7"/>
  <c r="A78" i="7"/>
  <c r="D77" i="7"/>
  <c r="B77" i="7"/>
  <c r="A77" i="7"/>
  <c r="D76" i="7"/>
  <c r="B76" i="7"/>
  <c r="A76" i="7"/>
  <c r="D75" i="7"/>
  <c r="B75" i="7"/>
  <c r="A75" i="7"/>
  <c r="D74" i="7"/>
  <c r="B74" i="7"/>
  <c r="A74" i="7"/>
  <c r="D73" i="7"/>
  <c r="B73" i="7"/>
  <c r="A73" i="7"/>
  <c r="D72" i="7"/>
  <c r="B72" i="7"/>
  <c r="A72" i="7"/>
  <c r="D71" i="7"/>
  <c r="B71" i="7"/>
  <c r="A71" i="7"/>
  <c r="D70" i="7"/>
  <c r="B70" i="7"/>
  <c r="A70" i="7"/>
  <c r="D69" i="7"/>
  <c r="B69" i="7"/>
  <c r="A69" i="7"/>
  <c r="D68" i="7"/>
  <c r="B68" i="7"/>
  <c r="A68" i="7"/>
  <c r="D67" i="7"/>
  <c r="B67" i="7"/>
  <c r="A67" i="7"/>
  <c r="D66" i="7"/>
  <c r="B66" i="7"/>
  <c r="A66" i="7"/>
  <c r="D65" i="7"/>
  <c r="B65" i="7"/>
  <c r="A65" i="7"/>
  <c r="D64" i="7"/>
  <c r="B64" i="7"/>
  <c r="A64" i="7"/>
  <c r="D63" i="7"/>
  <c r="B63" i="7"/>
  <c r="A63" i="7"/>
  <c r="D62" i="7"/>
  <c r="B62" i="7"/>
  <c r="A62" i="7"/>
  <c r="D61" i="7"/>
  <c r="B61" i="7"/>
  <c r="A61" i="7"/>
  <c r="D60" i="7"/>
  <c r="B60" i="7"/>
  <c r="A60" i="7"/>
  <c r="D59" i="7"/>
  <c r="B59" i="7"/>
  <c r="A59" i="7"/>
  <c r="D58" i="7"/>
  <c r="B58" i="7"/>
  <c r="A58" i="7"/>
  <c r="D57" i="7"/>
  <c r="B57" i="7"/>
  <c r="A57" i="7"/>
  <c r="D56" i="7"/>
  <c r="B56" i="7"/>
  <c r="A56" i="7"/>
  <c r="D55" i="7"/>
  <c r="B55" i="7"/>
  <c r="A55" i="7"/>
  <c r="D54" i="7"/>
  <c r="B54" i="7"/>
  <c r="A54" i="7"/>
  <c r="D53" i="7"/>
  <c r="B53" i="7"/>
  <c r="A53" i="7"/>
  <c r="D52" i="7"/>
  <c r="B52" i="7"/>
  <c r="A52" i="7"/>
  <c r="D51" i="7"/>
  <c r="B51" i="7"/>
  <c r="A51" i="7"/>
  <c r="D50" i="7"/>
  <c r="B50" i="7"/>
  <c r="A50" i="7"/>
  <c r="D49" i="7"/>
  <c r="B49" i="7"/>
  <c r="A49" i="7"/>
  <c r="D48" i="7"/>
  <c r="B48" i="7"/>
  <c r="A48" i="7"/>
  <c r="D47" i="7"/>
  <c r="B47" i="7"/>
  <c r="A47" i="7"/>
  <c r="D46" i="7"/>
  <c r="B46" i="7"/>
  <c r="A46" i="7"/>
  <c r="D45" i="7"/>
  <c r="B45" i="7"/>
  <c r="A45" i="7"/>
  <c r="D44" i="7"/>
  <c r="B44" i="7"/>
  <c r="A44" i="7"/>
  <c r="D43" i="7"/>
  <c r="B43" i="7"/>
  <c r="A43" i="7"/>
  <c r="D42" i="7"/>
  <c r="B42" i="7"/>
  <c r="A42" i="7"/>
  <c r="D41" i="7"/>
  <c r="B41" i="7"/>
  <c r="A41" i="7"/>
  <c r="D40" i="7"/>
  <c r="B40" i="7"/>
  <c r="A40" i="7"/>
  <c r="D39" i="7"/>
  <c r="B39" i="7"/>
  <c r="A39" i="7"/>
  <c r="D38" i="7"/>
  <c r="B38" i="7"/>
  <c r="A38" i="7"/>
  <c r="D37" i="7"/>
  <c r="B37" i="7"/>
  <c r="A37" i="7"/>
  <c r="D36" i="7"/>
  <c r="B36" i="7"/>
  <c r="A36" i="7"/>
  <c r="D35" i="7"/>
  <c r="B35" i="7"/>
  <c r="A35" i="7"/>
  <c r="D34" i="7"/>
  <c r="B34" i="7"/>
  <c r="A34" i="7"/>
  <c r="D33" i="7"/>
  <c r="B33" i="7"/>
  <c r="A33" i="7"/>
  <c r="D32" i="7"/>
  <c r="B32" i="7"/>
  <c r="A32" i="7"/>
  <c r="D31" i="7"/>
  <c r="B31" i="7"/>
  <c r="A31" i="7"/>
  <c r="D30" i="7"/>
  <c r="B30" i="7"/>
  <c r="A30" i="7"/>
  <c r="D29" i="7"/>
  <c r="B29" i="7"/>
  <c r="A29" i="7"/>
  <c r="D28" i="7"/>
  <c r="B28" i="7"/>
  <c r="A28" i="7"/>
  <c r="D27" i="7"/>
  <c r="B27" i="7"/>
  <c r="A27" i="7"/>
  <c r="D26" i="7"/>
  <c r="B26" i="7"/>
  <c r="A26" i="7"/>
  <c r="D25" i="7"/>
  <c r="B25" i="7"/>
  <c r="A25" i="7"/>
  <c r="D24" i="7"/>
  <c r="B24" i="7"/>
  <c r="A24" i="7"/>
  <c r="D23" i="7"/>
  <c r="B23" i="7"/>
  <c r="A23" i="7"/>
  <c r="D22" i="7"/>
  <c r="B22" i="7"/>
  <c r="A22" i="7"/>
  <c r="D21" i="7"/>
  <c r="B21" i="7"/>
  <c r="A21" i="7"/>
  <c r="D20" i="7"/>
  <c r="B20" i="7"/>
  <c r="A20" i="7"/>
  <c r="D19" i="7"/>
  <c r="B19" i="7"/>
  <c r="A19" i="7"/>
  <c r="D18" i="7"/>
  <c r="B18" i="7"/>
  <c r="A18" i="7"/>
  <c r="D17" i="7"/>
  <c r="B17" i="7"/>
  <c r="A17" i="7"/>
  <c r="D16" i="7"/>
  <c r="B16" i="7"/>
  <c r="A16" i="7"/>
  <c r="D15" i="7"/>
  <c r="B15" i="7"/>
  <c r="A15" i="7"/>
  <c r="D14" i="7"/>
  <c r="B14" i="7"/>
  <c r="A14" i="7"/>
  <c r="D13" i="7"/>
  <c r="B13" i="7"/>
  <c r="A13" i="7"/>
  <c r="D12" i="7"/>
  <c r="B12" i="7"/>
  <c r="A12" i="7"/>
  <c r="D11" i="7"/>
  <c r="B11" i="7"/>
  <c r="A11" i="7"/>
  <c r="D10" i="7"/>
  <c r="B10" i="7"/>
  <c r="A10" i="7"/>
  <c r="D9" i="7"/>
  <c r="B9" i="7"/>
  <c r="A9" i="7"/>
  <c r="D8" i="7"/>
  <c r="B8" i="7"/>
  <c r="A8" i="7"/>
  <c r="D7" i="7"/>
  <c r="B7" i="7"/>
  <c r="A7" i="7"/>
  <c r="D6" i="7"/>
  <c r="B6" i="7"/>
  <c r="A6" i="7"/>
  <c r="D5" i="7"/>
  <c r="B5" i="7"/>
  <c r="A5" i="7"/>
  <c r="D4" i="7"/>
  <c r="B4" i="7"/>
  <c r="A4" i="7"/>
  <c r="D3" i="7"/>
  <c r="C3" i="7"/>
  <c r="B3" i="7"/>
  <c r="A3" i="7"/>
  <c r="D2" i="7"/>
  <c r="C2" i="7"/>
  <c r="B2" i="7"/>
  <c r="A2" i="7"/>
  <c r="V14" i="1" s="1"/>
  <c r="D1" i="7"/>
  <c r="C1" i="7"/>
  <c r="B1" i="7"/>
  <c r="A1" i="7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B125" i="6" s="1"/>
  <c r="A124" i="6"/>
  <c r="B124" i="6" s="1"/>
  <c r="A123" i="6"/>
  <c r="A122" i="6"/>
  <c r="A121" i="6"/>
  <c r="A120" i="6"/>
  <c r="A119" i="6"/>
  <c r="A118" i="6"/>
  <c r="B117" i="6"/>
  <c r="A117" i="6"/>
  <c r="A116" i="6"/>
  <c r="A115" i="6"/>
  <c r="A114" i="6"/>
  <c r="A113" i="6"/>
  <c r="A112" i="6"/>
  <c r="A111" i="6"/>
  <c r="B111" i="6" s="1"/>
  <c r="A110" i="6"/>
  <c r="A109" i="6"/>
  <c r="B109" i="6" s="1"/>
  <c r="A108" i="6"/>
  <c r="A107" i="6"/>
  <c r="A106" i="6"/>
  <c r="A105" i="6"/>
  <c r="B105" i="6" s="1"/>
  <c r="A104" i="6"/>
  <c r="A103" i="6"/>
  <c r="A102" i="6"/>
  <c r="A101" i="6"/>
  <c r="B101" i="6" s="1"/>
  <c r="A100" i="6"/>
  <c r="A99" i="6"/>
  <c r="A98" i="6"/>
  <c r="B98" i="6" s="1"/>
  <c r="A97" i="6"/>
  <c r="B97" i="6" s="1"/>
  <c r="A96" i="6"/>
  <c r="A95" i="6"/>
  <c r="A94" i="6"/>
  <c r="A93" i="6"/>
  <c r="B93" i="6" s="1"/>
  <c r="A92" i="6"/>
  <c r="B92" i="6" s="1"/>
  <c r="A91" i="6"/>
  <c r="A90" i="6"/>
  <c r="A89" i="6"/>
  <c r="A88" i="6"/>
  <c r="A87" i="6"/>
  <c r="A86" i="6"/>
  <c r="B85" i="6"/>
  <c r="A85" i="6"/>
  <c r="A84" i="6"/>
  <c r="A83" i="6"/>
  <c r="A82" i="6"/>
  <c r="A81" i="6"/>
  <c r="A80" i="6"/>
  <c r="A79" i="6"/>
  <c r="B79" i="6" s="1"/>
  <c r="A78" i="6"/>
  <c r="A77" i="6"/>
  <c r="B77" i="6" s="1"/>
  <c r="A76" i="6"/>
  <c r="A75" i="6"/>
  <c r="A74" i="6"/>
  <c r="A73" i="6"/>
  <c r="B73" i="6" s="1"/>
  <c r="A72" i="6"/>
  <c r="A71" i="6"/>
  <c r="A70" i="6"/>
  <c r="A69" i="6"/>
  <c r="B69" i="6" s="1"/>
  <c r="A68" i="6"/>
  <c r="A67" i="6"/>
  <c r="A66" i="6"/>
  <c r="B66" i="6" s="1"/>
  <c r="A65" i="6"/>
  <c r="B65" i="6" s="1"/>
  <c r="A64" i="6"/>
  <c r="A63" i="6"/>
  <c r="A62" i="6"/>
  <c r="A61" i="6"/>
  <c r="B61" i="6" s="1"/>
  <c r="A60" i="6"/>
  <c r="B60" i="6" s="1"/>
  <c r="A59" i="6"/>
  <c r="A58" i="6"/>
  <c r="A57" i="6"/>
  <c r="A56" i="6"/>
  <c r="A55" i="6"/>
  <c r="A54" i="6"/>
  <c r="B53" i="6"/>
  <c r="A53" i="6"/>
  <c r="A52" i="6"/>
  <c r="A51" i="6"/>
  <c r="A50" i="6"/>
  <c r="A49" i="6"/>
  <c r="A48" i="6"/>
  <c r="A47" i="6"/>
  <c r="B47" i="6" s="1"/>
  <c r="A46" i="6"/>
  <c r="A45" i="6"/>
  <c r="B45" i="6" s="1"/>
  <c r="A44" i="6"/>
  <c r="A43" i="6"/>
  <c r="A42" i="6"/>
  <c r="A41" i="6"/>
  <c r="B41" i="6" s="1"/>
  <c r="A40" i="6"/>
  <c r="A39" i="6"/>
  <c r="A38" i="6"/>
  <c r="A37" i="6"/>
  <c r="B37" i="6" s="1"/>
  <c r="A36" i="6"/>
  <c r="A35" i="6"/>
  <c r="A34" i="6"/>
  <c r="B34" i="6" s="1"/>
  <c r="A33" i="6"/>
  <c r="B33" i="6" s="1"/>
  <c r="A32" i="6"/>
  <c r="A31" i="6"/>
  <c r="A30" i="6"/>
  <c r="A29" i="6"/>
  <c r="B29" i="6" s="1"/>
  <c r="A28" i="6"/>
  <c r="B28" i="6" s="1"/>
  <c r="A27" i="6"/>
  <c r="A26" i="6"/>
  <c r="A25" i="6"/>
  <c r="A24" i="6"/>
  <c r="A23" i="6"/>
  <c r="A22" i="6"/>
  <c r="B21" i="6"/>
  <c r="A21" i="6"/>
  <c r="A20" i="6"/>
  <c r="A19" i="6"/>
  <c r="A18" i="6"/>
  <c r="A17" i="6"/>
  <c r="A16" i="6"/>
  <c r="A15" i="6"/>
  <c r="B15" i="6" s="1"/>
  <c r="A14" i="6"/>
  <c r="A13" i="6"/>
  <c r="B13" i="6" s="1"/>
  <c r="A12" i="6"/>
  <c r="A11" i="6"/>
  <c r="A10" i="6"/>
  <c r="A9" i="6"/>
  <c r="B9" i="6" s="1"/>
  <c r="A8" i="6"/>
  <c r="A7" i="6"/>
  <c r="A6" i="6"/>
  <c r="A5" i="6"/>
  <c r="B5" i="6" s="1"/>
  <c r="A4" i="6"/>
  <c r="A3" i="6"/>
  <c r="A2" i="6"/>
  <c r="B2" i="6" s="1"/>
  <c r="A17" i="5"/>
  <c r="A16" i="5"/>
  <c r="T12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A5" i="5"/>
  <c r="A4" i="5"/>
  <c r="A3" i="5"/>
  <c r="A2" i="5"/>
  <c r="A1" i="5"/>
  <c r="C28" i="4"/>
  <c r="C27" i="4"/>
  <c r="B27" i="4"/>
  <c r="D26" i="4"/>
  <c r="C26" i="4"/>
  <c r="B26" i="4"/>
  <c r="D25" i="4"/>
  <c r="C25" i="4"/>
  <c r="C24" i="4"/>
  <c r="B24" i="4"/>
  <c r="D23" i="4"/>
  <c r="C23" i="4"/>
  <c r="B23" i="4"/>
  <c r="A23" i="4"/>
  <c r="C22" i="4"/>
  <c r="B22" i="4"/>
  <c r="A22" i="4"/>
  <c r="C21" i="4"/>
  <c r="B21" i="4"/>
  <c r="C20" i="4"/>
  <c r="D19" i="4"/>
  <c r="C19" i="4"/>
  <c r="O14" i="4"/>
  <c r="G14" i="4"/>
  <c r="A10" i="4"/>
  <c r="A28" i="4" s="1"/>
  <c r="A9" i="4"/>
  <c r="A27" i="4" s="1"/>
  <c r="A8" i="4"/>
  <c r="A26" i="4" s="1"/>
  <c r="B7" i="4"/>
  <c r="B25" i="4" s="1"/>
  <c r="A7" i="4"/>
  <c r="A25" i="4" s="1"/>
  <c r="A6" i="4"/>
  <c r="A24" i="4" s="1"/>
  <c r="A5" i="4"/>
  <c r="A4" i="4"/>
  <c r="A3" i="4"/>
  <c r="A21" i="4" s="1"/>
  <c r="B2" i="4"/>
  <c r="A2" i="4"/>
  <c r="A20" i="4" s="1"/>
  <c r="E28" i="3"/>
  <c r="D28" i="3"/>
  <c r="C28" i="3"/>
  <c r="E27" i="3"/>
  <c r="D27" i="3"/>
  <c r="C27" i="3"/>
  <c r="B27" i="3"/>
  <c r="E26" i="3"/>
  <c r="D26" i="3"/>
  <c r="C26" i="3"/>
  <c r="B26" i="3"/>
  <c r="A26" i="3"/>
  <c r="E25" i="3"/>
  <c r="D25" i="3"/>
  <c r="C25" i="3"/>
  <c r="E24" i="3"/>
  <c r="D24" i="3"/>
  <c r="C24" i="3"/>
  <c r="B24" i="3"/>
  <c r="E23" i="3"/>
  <c r="D23" i="3"/>
  <c r="C23" i="3"/>
  <c r="B23" i="3"/>
  <c r="A23" i="3"/>
  <c r="E22" i="3"/>
  <c r="D22" i="3"/>
  <c r="C22" i="3"/>
  <c r="B22" i="3"/>
  <c r="C21" i="3"/>
  <c r="B21" i="3"/>
  <c r="E20" i="3"/>
  <c r="D20" i="3"/>
  <c r="C20" i="3"/>
  <c r="E19" i="3"/>
  <c r="D19" i="3"/>
  <c r="C19" i="3"/>
  <c r="S14" i="3"/>
  <c r="K14" i="3"/>
  <c r="S13" i="3"/>
  <c r="A10" i="3"/>
  <c r="A28" i="3" s="1"/>
  <c r="A9" i="3"/>
  <c r="A27" i="3" s="1"/>
  <c r="A8" i="3"/>
  <c r="B7" i="3"/>
  <c r="B25" i="3" s="1"/>
  <c r="A7" i="3"/>
  <c r="A25" i="3" s="1"/>
  <c r="A6" i="3"/>
  <c r="A24" i="3" s="1"/>
  <c r="A5" i="3"/>
  <c r="A4" i="3"/>
  <c r="A22" i="3" s="1"/>
  <c r="A3" i="3"/>
  <c r="A21" i="3" s="1"/>
  <c r="G2" i="3"/>
  <c r="G13" i="3" s="1"/>
  <c r="F2" i="3"/>
  <c r="E2" i="3"/>
  <c r="D2" i="3"/>
  <c r="B2" i="3"/>
  <c r="P13" i="3" s="1"/>
  <c r="A2" i="3"/>
  <c r="A20" i="3" s="1"/>
  <c r="A1" i="3"/>
  <c r="C28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T26" i="2"/>
  <c r="S26" i="2"/>
  <c r="R26" i="2"/>
  <c r="C26" i="2"/>
  <c r="B26" i="2"/>
  <c r="A26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E24" i="2"/>
  <c r="D24" i="2"/>
  <c r="C24" i="2"/>
  <c r="B24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Q22" i="2"/>
  <c r="O22" i="2"/>
  <c r="N22" i="2"/>
  <c r="M22" i="2"/>
  <c r="L22" i="2"/>
  <c r="K22" i="2"/>
  <c r="I22" i="2"/>
  <c r="H22" i="2"/>
  <c r="G22" i="2"/>
  <c r="F22" i="2"/>
  <c r="C22" i="2"/>
  <c r="B22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Y14" i="2"/>
  <c r="BQ14" i="2"/>
  <c r="BI14" i="2"/>
  <c r="BA14" i="2"/>
  <c r="AS14" i="2"/>
  <c r="AK14" i="2"/>
  <c r="AC14" i="2"/>
  <c r="U14" i="2"/>
  <c r="M14" i="2"/>
  <c r="E14" i="2"/>
  <c r="BY13" i="2"/>
  <c r="BU13" i="2"/>
  <c r="BQ13" i="2"/>
  <c r="BM13" i="2"/>
  <c r="BI13" i="2"/>
  <c r="BE13" i="2"/>
  <c r="BA13" i="2"/>
  <c r="AW13" i="2"/>
  <c r="AS13" i="2"/>
  <c r="AO13" i="2"/>
  <c r="AK13" i="2"/>
  <c r="AG13" i="2"/>
  <c r="AC13" i="2"/>
  <c r="Y13" i="2"/>
  <c r="U13" i="2"/>
  <c r="Q13" i="2"/>
  <c r="M13" i="2"/>
  <c r="I13" i="2"/>
  <c r="E13" i="2"/>
  <c r="A28" i="2"/>
  <c r="A27" i="2"/>
  <c r="BW13" i="2"/>
  <c r="A25" i="2"/>
  <c r="A24" i="2"/>
  <c r="A23" i="2"/>
  <c r="A22" i="2"/>
  <c r="A21" i="2"/>
  <c r="BX13" i="2"/>
  <c r="A20" i="2"/>
  <c r="G24" i="1"/>
  <c r="F24" i="1"/>
  <c r="E24" i="1"/>
  <c r="D24" i="1"/>
  <c r="C24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A20" i="1"/>
  <c r="G19" i="1"/>
  <c r="F19" i="1"/>
  <c r="E19" i="1"/>
  <c r="D19" i="1"/>
  <c r="C19" i="1"/>
  <c r="R14" i="1"/>
  <c r="J14" i="1"/>
  <c r="W13" i="1"/>
  <c r="V13" i="1"/>
  <c r="S13" i="1"/>
  <c r="R13" i="1"/>
  <c r="Q13" i="1"/>
  <c r="O13" i="1"/>
  <c r="N13" i="1"/>
  <c r="M13" i="1"/>
  <c r="J13" i="1"/>
  <c r="I13" i="1"/>
  <c r="G13" i="1"/>
  <c r="F13" i="1"/>
  <c r="E13" i="1"/>
  <c r="D13" i="1"/>
  <c r="A10" i="1"/>
  <c r="A9" i="1"/>
  <c r="A8" i="1"/>
  <c r="A7" i="1"/>
  <c r="A6" i="1"/>
  <c r="A5" i="1"/>
  <c r="A23" i="1" s="1"/>
  <c r="A4" i="1"/>
  <c r="A22" i="1" s="1"/>
  <c r="A3" i="1"/>
  <c r="A21" i="1" s="1"/>
  <c r="B2" i="1"/>
  <c r="X13" i="1" s="1"/>
  <c r="A2" i="1"/>
  <c r="A1" i="1"/>
  <c r="G14" i="1" l="1"/>
  <c r="W14" i="1"/>
  <c r="J14" i="2"/>
  <c r="Z14" i="2"/>
  <c r="AP14" i="2"/>
  <c r="BF14" i="2"/>
  <c r="BV14" i="2"/>
  <c r="P14" i="3"/>
  <c r="L14" i="4"/>
  <c r="AM12" i="5"/>
  <c r="B19" i="6"/>
  <c r="B32" i="6"/>
  <c r="B51" i="6"/>
  <c r="B64" i="6"/>
  <c r="B83" i="6"/>
  <c r="B96" i="6"/>
  <c r="B121" i="6"/>
  <c r="K13" i="1"/>
  <c r="T13" i="1"/>
  <c r="H14" i="1"/>
  <c r="P14" i="1"/>
  <c r="X14" i="1"/>
  <c r="K14" i="2"/>
  <c r="S14" i="2"/>
  <c r="AA14" i="2"/>
  <c r="AI14" i="2"/>
  <c r="AQ14" i="2"/>
  <c r="AY14" i="2"/>
  <c r="BG14" i="2"/>
  <c r="BO14" i="2"/>
  <c r="BW14" i="2"/>
  <c r="I14" i="3"/>
  <c r="Q14" i="3"/>
  <c r="E14" i="4"/>
  <c r="M14" i="4"/>
  <c r="L12" i="5"/>
  <c r="B7" i="6"/>
  <c r="B20" i="6"/>
  <c r="B26" i="6"/>
  <c r="B39" i="6"/>
  <c r="B52" i="6"/>
  <c r="B58" i="6"/>
  <c r="B71" i="6"/>
  <c r="B84" i="6"/>
  <c r="B90" i="6"/>
  <c r="B103" i="6"/>
  <c r="B116" i="6"/>
  <c r="B122" i="6"/>
  <c r="O14" i="1"/>
  <c r="R14" i="2"/>
  <c r="AH14" i="2"/>
  <c r="AX14" i="2"/>
  <c r="BN14" i="2"/>
  <c r="H14" i="3"/>
  <c r="X14" i="3"/>
  <c r="D14" i="4"/>
  <c r="G12" i="5"/>
  <c r="B6" i="6"/>
  <c r="B25" i="6"/>
  <c r="B38" i="6"/>
  <c r="B57" i="6"/>
  <c r="B70" i="6"/>
  <c r="B89" i="6"/>
  <c r="B102" i="6"/>
  <c r="B115" i="6"/>
  <c r="L13" i="1"/>
  <c r="U13" i="1"/>
  <c r="I14" i="1"/>
  <c r="Q14" i="1"/>
  <c r="D14" i="2"/>
  <c r="L14" i="2"/>
  <c r="T14" i="2"/>
  <c r="AB14" i="2"/>
  <c r="AJ14" i="2"/>
  <c r="AR14" i="2"/>
  <c r="AZ14" i="2"/>
  <c r="BH14" i="2"/>
  <c r="BP14" i="2"/>
  <c r="BX14" i="2"/>
  <c r="I13" i="3"/>
  <c r="J14" i="3"/>
  <c r="R14" i="3"/>
  <c r="F14" i="4"/>
  <c r="N14" i="4"/>
  <c r="O12" i="5"/>
  <c r="B8" i="6"/>
  <c r="B14" i="6"/>
  <c r="B27" i="6"/>
  <c r="B40" i="6"/>
  <c r="B46" i="6"/>
  <c r="B59" i="6"/>
  <c r="B72" i="6"/>
  <c r="B78" i="6"/>
  <c r="B91" i="6"/>
  <c r="B104" i="6"/>
  <c r="B110" i="6"/>
  <c r="B123" i="6"/>
  <c r="W5" i="11"/>
  <c r="K14" i="1"/>
  <c r="V14" i="2"/>
  <c r="AT14" i="2"/>
  <c r="BJ14" i="2"/>
  <c r="D14" i="3"/>
  <c r="H14" i="4"/>
  <c r="B3" i="6"/>
  <c r="B35" i="6"/>
  <c r="B67" i="6"/>
  <c r="B112" i="6"/>
  <c r="D14" i="1"/>
  <c r="L14" i="1"/>
  <c r="T14" i="1"/>
  <c r="G14" i="2"/>
  <c r="O14" i="2"/>
  <c r="W14" i="2"/>
  <c r="AE14" i="2"/>
  <c r="AM14" i="2"/>
  <c r="AU14" i="2"/>
  <c r="BC14" i="2"/>
  <c r="BK14" i="2"/>
  <c r="BS14" i="2"/>
  <c r="D13" i="3"/>
  <c r="E14" i="3"/>
  <c r="M14" i="3"/>
  <c r="U14" i="3"/>
  <c r="I14" i="4"/>
  <c r="Q14" i="4"/>
  <c r="AB12" i="5"/>
  <c r="B4" i="6"/>
  <c r="B10" i="6"/>
  <c r="B23" i="6"/>
  <c r="B36" i="6"/>
  <c r="B42" i="6"/>
  <c r="B55" i="6"/>
  <c r="B68" i="6"/>
  <c r="B74" i="6"/>
  <c r="B87" i="6"/>
  <c r="B100" i="6"/>
  <c r="B106" i="6"/>
  <c r="B119" i="6"/>
  <c r="S14" i="1"/>
  <c r="N14" i="2"/>
  <c r="AL14" i="2"/>
  <c r="BR14" i="2"/>
  <c r="T14" i="3"/>
  <c r="W12" i="5"/>
  <c r="B16" i="6"/>
  <c r="B54" i="6"/>
  <c r="B80" i="6"/>
  <c r="B118" i="6"/>
  <c r="U14" i="1"/>
  <c r="H14" i="2"/>
  <c r="P14" i="2"/>
  <c r="X14" i="2"/>
  <c r="AF14" i="2"/>
  <c r="AN14" i="2"/>
  <c r="AV14" i="2"/>
  <c r="BD14" i="2"/>
  <c r="BL14" i="2"/>
  <c r="BT14" i="2"/>
  <c r="F14" i="3"/>
  <c r="N14" i="3"/>
  <c r="V14" i="3"/>
  <c r="I13" i="4"/>
  <c r="J14" i="4"/>
  <c r="AE12" i="5"/>
  <c r="B11" i="6"/>
  <c r="B17" i="6"/>
  <c r="B24" i="6"/>
  <c r="B30" i="6"/>
  <c r="B43" i="6"/>
  <c r="B49" i="6"/>
  <c r="B56" i="6"/>
  <c r="B62" i="6"/>
  <c r="B75" i="6"/>
  <c r="B81" i="6"/>
  <c r="B88" i="6"/>
  <c r="B94" i="6"/>
  <c r="B107" i="6"/>
  <c r="B113" i="6"/>
  <c r="B120" i="6"/>
  <c r="B126" i="6"/>
  <c r="AO12" i="5"/>
  <c r="F14" i="2"/>
  <c r="AD14" i="2"/>
  <c r="BB14" i="2"/>
  <c r="L14" i="3"/>
  <c r="B22" i="6"/>
  <c r="B48" i="6"/>
  <c r="B86" i="6"/>
  <c r="B99" i="6"/>
  <c r="E14" i="1"/>
  <c r="M14" i="1"/>
  <c r="F14" i="1"/>
  <c r="N14" i="1"/>
  <c r="I14" i="2"/>
  <c r="Q14" i="2"/>
  <c r="Y14" i="2"/>
  <c r="AG14" i="2"/>
  <c r="AO14" i="2"/>
  <c r="AW14" i="2"/>
  <c r="BE14" i="2"/>
  <c r="BM14" i="2"/>
  <c r="BU14" i="2"/>
  <c r="F13" i="3"/>
  <c r="G14" i="3"/>
  <c r="O14" i="3"/>
  <c r="W14" i="3"/>
  <c r="K14" i="4"/>
  <c r="D12" i="5"/>
  <c r="B12" i="6"/>
  <c r="B18" i="6"/>
  <c r="B31" i="6"/>
  <c r="B44" i="6"/>
  <c r="B50" i="6"/>
  <c r="B63" i="6"/>
  <c r="B76" i="6"/>
  <c r="B82" i="6"/>
  <c r="B95" i="6"/>
  <c r="B108" i="6"/>
  <c r="B114" i="6"/>
  <c r="B127" i="6"/>
  <c r="N15" i="1"/>
  <c r="N16" i="1" s="1"/>
  <c r="O15" i="1"/>
  <c r="O16" i="1" s="1"/>
  <c r="S15" i="1"/>
  <c r="S16" i="1" s="1"/>
  <c r="F13" i="2"/>
  <c r="N13" i="2"/>
  <c r="V13" i="2"/>
  <c r="AD13" i="2"/>
  <c r="AL13" i="2"/>
  <c r="AT13" i="2"/>
  <c r="BB13" i="2"/>
  <c r="BJ13" i="2"/>
  <c r="BR13" i="2"/>
  <c r="E13" i="3"/>
  <c r="J13" i="3"/>
  <c r="V13" i="3"/>
  <c r="F13" i="4"/>
  <c r="G13" i="2"/>
  <c r="O13" i="2"/>
  <c r="W13" i="2"/>
  <c r="AE13" i="2"/>
  <c r="AM13" i="2"/>
  <c r="AU13" i="2"/>
  <c r="BC13" i="2"/>
  <c r="BK13" i="2"/>
  <c r="BS13" i="2"/>
  <c r="K13" i="3"/>
  <c r="W13" i="3"/>
  <c r="G13" i="4"/>
  <c r="H13" i="2"/>
  <c r="P13" i="2"/>
  <c r="X13" i="2"/>
  <c r="AF13" i="2"/>
  <c r="AN13" i="2"/>
  <c r="AV13" i="2"/>
  <c r="BD13" i="2"/>
  <c r="BL13" i="2"/>
  <c r="BT13" i="2"/>
  <c r="N13" i="3"/>
  <c r="X13" i="3"/>
  <c r="O13" i="3"/>
  <c r="M13" i="4"/>
  <c r="E13" i="4"/>
  <c r="L13" i="4"/>
  <c r="D13" i="4"/>
  <c r="K13" i="4"/>
  <c r="J13" i="4"/>
  <c r="P13" i="4"/>
  <c r="H13" i="4"/>
  <c r="N13" i="4"/>
  <c r="N15" i="4" s="1"/>
  <c r="N16" i="4" s="1"/>
  <c r="B25" i="2"/>
  <c r="O13" i="4"/>
  <c r="J13" i="2"/>
  <c r="R13" i="2"/>
  <c r="Z13" i="2"/>
  <c r="AH13" i="2"/>
  <c r="AP13" i="2"/>
  <c r="AX13" i="2"/>
  <c r="BF13" i="2"/>
  <c r="BN13" i="2"/>
  <c r="BV13" i="2"/>
  <c r="S13" i="2"/>
  <c r="Q13" i="3"/>
  <c r="Q13" i="4"/>
  <c r="K13" i="2"/>
  <c r="AA13" i="2"/>
  <c r="AI13" i="2"/>
  <c r="AQ13" i="2"/>
  <c r="AY13" i="2"/>
  <c r="BG13" i="2"/>
  <c r="BO13" i="2"/>
  <c r="H13" i="1"/>
  <c r="V15" i="1" s="1"/>
  <c r="V16" i="1" s="1"/>
  <c r="P13" i="1"/>
  <c r="D13" i="2"/>
  <c r="L13" i="2"/>
  <c r="T13" i="2"/>
  <c r="AB13" i="2"/>
  <c r="AJ13" i="2"/>
  <c r="AR13" i="2"/>
  <c r="AZ13" i="2"/>
  <c r="BH13" i="2"/>
  <c r="BP13" i="2"/>
  <c r="B20" i="3"/>
  <c r="U13" i="3"/>
  <c r="M13" i="3"/>
  <c r="T13" i="3"/>
  <c r="L13" i="3"/>
  <c r="H13" i="3"/>
  <c r="R13" i="3"/>
  <c r="B20" i="4"/>
  <c r="B12" i="5"/>
  <c r="J12" i="5"/>
  <c r="R12" i="5"/>
  <c r="Z12" i="5"/>
  <c r="AH12" i="5"/>
  <c r="AP12" i="5"/>
  <c r="H5" i="11"/>
  <c r="P5" i="11"/>
  <c r="X5" i="11"/>
  <c r="C12" i="5"/>
  <c r="K12" i="5"/>
  <c r="S12" i="5"/>
  <c r="AA12" i="5"/>
  <c r="AI12" i="5"/>
  <c r="I5" i="11"/>
  <c r="Q5" i="11"/>
  <c r="Y5" i="11"/>
  <c r="B5" i="11"/>
  <c r="J5" i="11"/>
  <c r="R5" i="11"/>
  <c r="Z5" i="11"/>
  <c r="E12" i="5"/>
  <c r="M12" i="5"/>
  <c r="U12" i="5"/>
  <c r="AC12" i="5"/>
  <c r="AK12" i="5"/>
  <c r="C5" i="11"/>
  <c r="K5" i="11"/>
  <c r="S5" i="11"/>
  <c r="F12" i="5"/>
  <c r="N12" i="5"/>
  <c r="V12" i="5"/>
  <c r="AD12" i="5"/>
  <c r="AL12" i="5"/>
  <c r="D5" i="11"/>
  <c r="L5" i="11"/>
  <c r="T5" i="11"/>
  <c r="E5" i="11"/>
  <c r="M5" i="11"/>
  <c r="U5" i="11"/>
  <c r="H12" i="5"/>
  <c r="P12" i="5"/>
  <c r="X12" i="5"/>
  <c r="AF12" i="5"/>
  <c r="AN12" i="5"/>
  <c r="F5" i="11"/>
  <c r="N5" i="11"/>
  <c r="V5" i="11"/>
  <c r="I12" i="5"/>
  <c r="Q12" i="5"/>
  <c r="Y12" i="5"/>
  <c r="AG12" i="5"/>
  <c r="G5" i="11"/>
  <c r="O5" i="11"/>
  <c r="BY15" i="2" l="1"/>
  <c r="BY16" i="2" s="1"/>
  <c r="R15" i="3"/>
  <c r="R16" i="3" s="1"/>
  <c r="P15" i="1"/>
  <c r="P16" i="1" s="1"/>
  <c r="I15" i="1"/>
  <c r="I16" i="1" s="1"/>
  <c r="H15" i="3"/>
  <c r="H16" i="3" s="1"/>
  <c r="T15" i="3"/>
  <c r="T16" i="3" s="1"/>
  <c r="P15" i="3"/>
  <c r="P16" i="3" s="1"/>
  <c r="M15" i="3"/>
  <c r="M16" i="3" s="1"/>
  <c r="AB15" i="2"/>
  <c r="AB16" i="2" s="1"/>
  <c r="D15" i="4"/>
  <c r="D16" i="4" s="1"/>
  <c r="G15" i="4"/>
  <c r="G16" i="4" s="1"/>
  <c r="BR15" i="2"/>
  <c r="BR16" i="2" s="1"/>
  <c r="U15" i="2"/>
  <c r="U16" i="2" s="1"/>
  <c r="U15" i="3"/>
  <c r="U16" i="3" s="1"/>
  <c r="T15" i="2"/>
  <c r="T16" i="2" s="1"/>
  <c r="AQ15" i="2"/>
  <c r="AQ16" i="2" s="1"/>
  <c r="BN15" i="2"/>
  <c r="BN16" i="2" s="1"/>
  <c r="O15" i="4"/>
  <c r="O16" i="4" s="1"/>
  <c r="L15" i="4"/>
  <c r="L16" i="4" s="1"/>
  <c r="BD15" i="2"/>
  <c r="BD16" i="2" s="1"/>
  <c r="W15" i="3"/>
  <c r="W16" i="3" s="1"/>
  <c r="W15" i="2"/>
  <c r="W16" i="2" s="1"/>
  <c r="BJ15" i="2"/>
  <c r="BJ16" i="2" s="1"/>
  <c r="F15" i="3"/>
  <c r="F16" i="3" s="1"/>
  <c r="W15" i="1"/>
  <c r="W16" i="1" s="1"/>
  <c r="T15" i="1"/>
  <c r="T16" i="1" s="1"/>
  <c r="BX15" i="2"/>
  <c r="BX16" i="2" s="1"/>
  <c r="X15" i="1"/>
  <c r="X16" i="1" s="1"/>
  <c r="G15" i="1"/>
  <c r="G16" i="1" s="1"/>
  <c r="AY15" i="2"/>
  <c r="AY16" i="2" s="1"/>
  <c r="BV15" i="2"/>
  <c r="BV16" i="2" s="1"/>
  <c r="J15" i="2"/>
  <c r="J16" i="2" s="1"/>
  <c r="BL15" i="2"/>
  <c r="BL16" i="2" s="1"/>
  <c r="AE15" i="2"/>
  <c r="AE16" i="2" s="1"/>
  <c r="F15" i="2"/>
  <c r="F16" i="2" s="1"/>
  <c r="BQ15" i="2"/>
  <c r="BQ16" i="2" s="1"/>
  <c r="Y15" i="2"/>
  <c r="Y16" i="2" s="1"/>
  <c r="BW15" i="2"/>
  <c r="BW16" i="2" s="1"/>
  <c r="L15" i="2"/>
  <c r="L16" i="2" s="1"/>
  <c r="AI15" i="2"/>
  <c r="AI16" i="2" s="1"/>
  <c r="BF15" i="2"/>
  <c r="BF16" i="2" s="1"/>
  <c r="E15" i="4"/>
  <c r="E16" i="4" s="1"/>
  <c r="AV15" i="2"/>
  <c r="AV16" i="2" s="1"/>
  <c r="K15" i="3"/>
  <c r="K16" i="3" s="1"/>
  <c r="O15" i="2"/>
  <c r="O16" i="2" s="1"/>
  <c r="BB15" i="2"/>
  <c r="BB16" i="2" s="1"/>
  <c r="BM15" i="2"/>
  <c r="BM16" i="2" s="1"/>
  <c r="I15" i="4"/>
  <c r="I16" i="4" s="1"/>
  <c r="K15" i="1"/>
  <c r="K16" i="1" s="1"/>
  <c r="R15" i="1"/>
  <c r="R16" i="1" s="1"/>
  <c r="G15" i="3"/>
  <c r="G16" i="3" s="1"/>
  <c r="AK15" i="2"/>
  <c r="AK16" i="2" s="1"/>
  <c r="BP15" i="2"/>
  <c r="BP16" i="2" s="1"/>
  <c r="G15" i="2"/>
  <c r="G16" i="2" s="1"/>
  <c r="BH15" i="2"/>
  <c r="BH16" i="2" s="1"/>
  <c r="K15" i="2"/>
  <c r="K16" i="2" s="1"/>
  <c r="AP15" i="2"/>
  <c r="AP16" i="2" s="1"/>
  <c r="H15" i="4"/>
  <c r="H16" i="4" s="1"/>
  <c r="O15" i="3"/>
  <c r="O16" i="3" s="1"/>
  <c r="AF15" i="2"/>
  <c r="AF16" i="2" s="1"/>
  <c r="BK15" i="2"/>
  <c r="BK16" i="2" s="1"/>
  <c r="F15" i="4"/>
  <c r="F16" i="4" s="1"/>
  <c r="AL15" i="2"/>
  <c r="AL16" i="2" s="1"/>
  <c r="AC15" i="2"/>
  <c r="AC16" i="2" s="1"/>
  <c r="I15" i="2"/>
  <c r="I16" i="2" s="1"/>
  <c r="S15" i="3"/>
  <c r="S16" i="3" s="1"/>
  <c r="I15" i="3"/>
  <c r="I16" i="3" s="1"/>
  <c r="BU15" i="2"/>
  <c r="BU16" i="2" s="1"/>
  <c r="AA15" i="2"/>
  <c r="AA16" i="2" s="1"/>
  <c r="M15" i="4"/>
  <c r="M16" i="4" s="1"/>
  <c r="BS15" i="2"/>
  <c r="BS16" i="2" s="1"/>
  <c r="AG15" i="2"/>
  <c r="AG16" i="2" s="1"/>
  <c r="AZ15" i="2"/>
  <c r="AZ16" i="2" s="1"/>
  <c r="H15" i="1"/>
  <c r="H16" i="1" s="1"/>
  <c r="Q15" i="4"/>
  <c r="Q16" i="4" s="1"/>
  <c r="AH15" i="2"/>
  <c r="AH16" i="2" s="1"/>
  <c r="P15" i="4"/>
  <c r="P16" i="4" s="1"/>
  <c r="X15" i="3"/>
  <c r="X16" i="3" s="1"/>
  <c r="X15" i="2"/>
  <c r="X16" i="2" s="1"/>
  <c r="BC15" i="2"/>
  <c r="BC16" i="2" s="1"/>
  <c r="V15" i="3"/>
  <c r="V16" i="3" s="1"/>
  <c r="AD15" i="2"/>
  <c r="AD16" i="2" s="1"/>
  <c r="D15" i="1"/>
  <c r="D16" i="1" s="1"/>
  <c r="Q15" i="2"/>
  <c r="Q16" i="2" s="1"/>
  <c r="E15" i="2"/>
  <c r="E16" i="2" s="1"/>
  <c r="AW15" i="2"/>
  <c r="AW16" i="2" s="1"/>
  <c r="M15" i="1"/>
  <c r="M16" i="1" s="1"/>
  <c r="D15" i="2"/>
  <c r="D16" i="2" s="1"/>
  <c r="AX15" i="2"/>
  <c r="AX16" i="2" s="1"/>
  <c r="AN15" i="2"/>
  <c r="AN16" i="2" s="1"/>
  <c r="AT15" i="2"/>
  <c r="AT16" i="2" s="1"/>
  <c r="BI15" i="2"/>
  <c r="BI16" i="2" s="1"/>
  <c r="AO15" i="2"/>
  <c r="AO16" i="2" s="1"/>
  <c r="L15" i="3"/>
  <c r="L16" i="3" s="1"/>
  <c r="AR15" i="2"/>
  <c r="AR16" i="2" s="1"/>
  <c r="BO15" i="2"/>
  <c r="BO16" i="2" s="1"/>
  <c r="Q15" i="3"/>
  <c r="Q16" i="3" s="1"/>
  <c r="Z15" i="2"/>
  <c r="Z16" i="2" s="1"/>
  <c r="J15" i="4"/>
  <c r="J16" i="4" s="1"/>
  <c r="N15" i="3"/>
  <c r="N16" i="3" s="1"/>
  <c r="P15" i="2"/>
  <c r="P16" i="2" s="1"/>
  <c r="AU15" i="2"/>
  <c r="AU16" i="2" s="1"/>
  <c r="J15" i="3"/>
  <c r="J16" i="3" s="1"/>
  <c r="V15" i="2"/>
  <c r="V16" i="2" s="1"/>
  <c r="L15" i="1"/>
  <c r="L16" i="1" s="1"/>
  <c r="D15" i="3"/>
  <c r="D16" i="3" s="1"/>
  <c r="Q15" i="1"/>
  <c r="Q16" i="1" s="1"/>
  <c r="AS15" i="2"/>
  <c r="AS16" i="2" s="1"/>
  <c r="U15" i="1"/>
  <c r="U16" i="1" s="1"/>
  <c r="AJ15" i="2"/>
  <c r="AJ16" i="2" s="1"/>
  <c r="BG15" i="2"/>
  <c r="BG16" i="2" s="1"/>
  <c r="S15" i="2"/>
  <c r="S16" i="2" s="1"/>
  <c r="R15" i="2"/>
  <c r="R16" i="2" s="1"/>
  <c r="K15" i="4"/>
  <c r="K16" i="4" s="1"/>
  <c r="BT15" i="2"/>
  <c r="BT16" i="2" s="1"/>
  <c r="H15" i="2"/>
  <c r="H16" i="2" s="1"/>
  <c r="AM15" i="2"/>
  <c r="AM16" i="2" s="1"/>
  <c r="E15" i="3"/>
  <c r="E16" i="3" s="1"/>
  <c r="N15" i="2"/>
  <c r="N16" i="2" s="1"/>
  <c r="F15" i="1"/>
  <c r="F16" i="1" s="1"/>
  <c r="BE15" i="2"/>
  <c r="BE16" i="2" s="1"/>
  <c r="BA15" i="2"/>
  <c r="BA16" i="2" s="1"/>
  <c r="J15" i="1"/>
  <c r="J16" i="1" s="1"/>
  <c r="M15" i="2"/>
  <c r="M16" i="2" s="1"/>
  <c r="E15" i="1"/>
  <c r="E16" i="1" s="1"/>
  <c r="C1" i="4" l="1" a="1"/>
  <c r="C1" i="4" s="1"/>
  <c r="Q17" i="4" s="1"/>
  <c r="P17" i="4"/>
  <c r="H17" i="4"/>
  <c r="C4" i="4"/>
  <c r="O17" i="4"/>
  <c r="G17" i="4"/>
  <c r="F17" i="4"/>
  <c r="C14" i="4"/>
  <c r="C11" i="4"/>
  <c r="C3" i="4"/>
  <c r="L17" i="4"/>
  <c r="D17" i="4"/>
  <c r="C9" i="4"/>
  <c r="M17" i="4"/>
  <c r="K17" i="4"/>
  <c r="J17" i="4"/>
  <c r="E17" i="4"/>
  <c r="C10" i="4"/>
  <c r="C1" i="1" a="1"/>
  <c r="C1" i="1" s="1"/>
  <c r="C1" i="3" a="1"/>
  <c r="C1" i="3" s="1"/>
  <c r="C8" i="4" l="1"/>
  <c r="C2" i="4"/>
  <c r="N17" i="4"/>
  <c r="I17" i="4"/>
  <c r="C5" i="4"/>
  <c r="C6" i="4"/>
  <c r="C13" i="4" s="1"/>
  <c r="C15" i="4" s="1"/>
  <c r="C7" i="4"/>
  <c r="U17" i="3"/>
  <c r="M17" i="3"/>
  <c r="E17" i="3"/>
  <c r="C8" i="3"/>
  <c r="T17" i="3"/>
  <c r="L17" i="3"/>
  <c r="D17" i="3"/>
  <c r="C4" i="3"/>
  <c r="C2" i="3"/>
  <c r="R17" i="3"/>
  <c r="J17" i="3"/>
  <c r="Q17" i="3"/>
  <c r="F17" i="3"/>
  <c r="P17" i="3"/>
  <c r="O17" i="3"/>
  <c r="C7" i="3"/>
  <c r="C3" i="3"/>
  <c r="N17" i="3"/>
  <c r="C14" i="3"/>
  <c r="X17" i="3"/>
  <c r="K17" i="3"/>
  <c r="C11" i="3"/>
  <c r="W17" i="3"/>
  <c r="I17" i="3"/>
  <c r="C10" i="3"/>
  <c r="C6" i="3"/>
  <c r="C9" i="3"/>
  <c r="C5" i="3"/>
  <c r="V17" i="3"/>
  <c r="H17" i="3"/>
  <c r="S17" i="3"/>
  <c r="G17" i="3"/>
  <c r="X17" i="1"/>
  <c r="P17" i="1"/>
  <c r="H17" i="1"/>
  <c r="W17" i="1"/>
  <c r="O17" i="1"/>
  <c r="G17" i="1"/>
  <c r="C9" i="1"/>
  <c r="C5" i="1"/>
  <c r="V17" i="1"/>
  <c r="T17" i="1"/>
  <c r="L17" i="1"/>
  <c r="D17" i="1"/>
  <c r="S17" i="1"/>
  <c r="K17" i="1"/>
  <c r="C7" i="1"/>
  <c r="C3" i="1"/>
  <c r="R17" i="1"/>
  <c r="J17" i="1"/>
  <c r="C11" i="1"/>
  <c r="E17" i="1"/>
  <c r="C10" i="1"/>
  <c r="I17" i="1"/>
  <c r="U17" i="1"/>
  <c r="C4" i="1"/>
  <c r="N17" i="1"/>
  <c r="C8" i="1"/>
  <c r="Q17" i="1"/>
  <c r="C14" i="1"/>
  <c r="M17" i="1"/>
  <c r="C2" i="1"/>
  <c r="C13" i="1" s="1"/>
  <c r="C15" i="1" s="1"/>
  <c r="C16" i="1" s="1"/>
  <c r="F17" i="1"/>
  <c r="C6" i="1"/>
  <c r="BW17" i="2"/>
  <c r="BO17" i="2"/>
  <c r="BG17" i="2"/>
  <c r="AY17" i="2"/>
  <c r="AQ17" i="2"/>
  <c r="AI17" i="2"/>
  <c r="AA17" i="2"/>
  <c r="S17" i="2"/>
  <c r="K17" i="2"/>
  <c r="BV17" i="2"/>
  <c r="BN17" i="2"/>
  <c r="BF17" i="2"/>
  <c r="AX17" i="2"/>
  <c r="AP17" i="2"/>
  <c r="AH17" i="2"/>
  <c r="Z17" i="2"/>
  <c r="R17" i="2"/>
  <c r="J17" i="2"/>
  <c r="BR17" i="2"/>
  <c r="BH17" i="2"/>
  <c r="AV17" i="2"/>
  <c r="AL17" i="2"/>
  <c r="AB17" i="2"/>
  <c r="P17" i="2"/>
  <c r="F17" i="2"/>
  <c r="BQ17" i="2"/>
  <c r="BE17" i="2"/>
  <c r="AU17" i="2"/>
  <c r="AK17" i="2"/>
  <c r="Y17" i="2"/>
  <c r="O17" i="2"/>
  <c r="E17" i="2"/>
  <c r="BP17" i="2"/>
  <c r="BD17" i="2"/>
  <c r="AT17" i="2"/>
  <c r="AJ17" i="2"/>
  <c r="X17" i="2"/>
  <c r="N17" i="2"/>
  <c r="D17" i="2"/>
  <c r="BY17" i="2"/>
  <c r="BM17" i="2"/>
  <c r="BC17" i="2"/>
  <c r="AS17" i="2"/>
  <c r="AG17" i="2"/>
  <c r="W17" i="2"/>
  <c r="M17" i="2"/>
  <c r="BX17" i="2"/>
  <c r="BL17" i="2"/>
  <c r="BB17" i="2"/>
  <c r="AR17" i="2"/>
  <c r="AF17" i="2"/>
  <c r="V17" i="2"/>
  <c r="L17" i="2"/>
  <c r="BU17" i="2"/>
  <c r="BK17" i="2"/>
  <c r="BA17" i="2"/>
  <c r="AO17" i="2"/>
  <c r="AE17" i="2"/>
  <c r="U17" i="2"/>
  <c r="I17" i="2"/>
  <c r="BT17" i="2"/>
  <c r="BJ17" i="2"/>
  <c r="AZ17" i="2"/>
  <c r="AN17" i="2"/>
  <c r="AD17" i="2"/>
  <c r="T17" i="2"/>
  <c r="H17" i="2"/>
  <c r="C14" i="2"/>
  <c r="AC17" i="2"/>
  <c r="AM17" i="2"/>
  <c r="Q17" i="2"/>
  <c r="G17" i="2"/>
  <c r="BS17" i="2"/>
  <c r="BI17" i="2"/>
  <c r="AW17" i="2"/>
  <c r="C17" i="1" l="1"/>
  <c r="C13" i="2"/>
  <c r="C15" i="2" s="1"/>
  <c r="C16" i="4"/>
  <c r="C17" i="4"/>
  <c r="C13" i="3"/>
  <c r="C15" i="3" s="1"/>
  <c r="C16" i="3" l="1"/>
  <c r="C17" i="3"/>
  <c r="C16" i="2"/>
  <c r="C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5" authorId="0" shapeId="0" xr:uid="{00000000-0006-0000-0400-000001000000}">
      <text>
        <r>
          <rPr>
            <sz val="10"/>
            <color rgb="FF000000"/>
            <rFont val="Arial"/>
            <scheme val="minor"/>
          </rPr>
          <t>Cable loss = 0 dB; Receiver sensitivity = -75 dBm; Fade margin = 30 dB; tại 6GHz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W1" authorId="0" shapeId="0" xr:uid="{00000000-0006-0000-0A00-000001000000}">
      <text>
        <r>
          <rPr>
            <sz val="10"/>
            <color rgb="FF000000"/>
            <rFont val="Arial"/>
            <scheme val="minor"/>
          </rPr>
          <t>Lookup theo P/N 100GQSFP-LR4-4=</t>
        </r>
      </text>
    </comment>
  </commentList>
</comments>
</file>

<file path=xl/sharedStrings.xml><?xml version="1.0" encoding="utf-8"?>
<sst xmlns="http://schemas.openxmlformats.org/spreadsheetml/2006/main" count="664" uniqueCount="270">
  <si>
    <t>Requirement</t>
  </si>
  <si>
    <t>C1161-8P</t>
  </si>
  <si>
    <t>C1161X-8P</t>
  </si>
  <si>
    <t>C1131-8PWS</t>
  </si>
  <si>
    <t>C1131X-8PWS</t>
  </si>
  <si>
    <t>C1121-4P</t>
  </si>
  <si>
    <t>C1121-8P</t>
  </si>
  <si>
    <t>C1127-8PLTEP</t>
  </si>
  <si>
    <t>C1116-4P</t>
  </si>
  <si>
    <t>C1117-4P</t>
  </si>
  <si>
    <t>C1112-8P</t>
  </si>
  <si>
    <t>C1109-4PLTE2P</t>
  </si>
  <si>
    <t>C8200L-1N-4T</t>
  </si>
  <si>
    <t>C8200-1N-4T</t>
  </si>
  <si>
    <t>C8300-1N1S-6T</t>
  </si>
  <si>
    <t>C8300-2N2S-6T</t>
  </si>
  <si>
    <t>C8300-1N1S-4T2X</t>
  </si>
  <si>
    <t>C8300-2N2S-4T2X</t>
  </si>
  <si>
    <t>C8500L-8S4X</t>
  </si>
  <si>
    <t>C8500-12X</t>
  </si>
  <si>
    <t>C8500-12X4QC</t>
  </si>
  <si>
    <t>C8500-20X6C</t>
  </si>
  <si>
    <t>Router Class</t>
  </si>
  <si>
    <t>Low End</t>
  </si>
  <si>
    <t>Mid Range</t>
  </si>
  <si>
    <t>High End</t>
  </si>
  <si>
    <t>Số tiêu chí đáp ứng</t>
  </si>
  <si>
    <t>Giá dự toán</t>
  </si>
  <si>
    <t>Thiết bị đáp ứng sát nhất số lượng tiêu chí YCKT</t>
  </si>
  <si>
    <t>Thiết bị giá tốt nhất đáp ứng</t>
  </si>
  <si>
    <t>Thiết bị khác đáp ứng</t>
  </si>
  <si>
    <t>Các lựa chọn khác</t>
  </si>
  <si>
    <t>C1300-8T-E-2G</t>
  </si>
  <si>
    <t>C1300-8P-E-2G</t>
  </si>
  <si>
    <t>C1300-8FP-2G</t>
  </si>
  <si>
    <t>C1300-16T-2G</t>
  </si>
  <si>
    <t>C1300-16P-2G</t>
  </si>
  <si>
    <t>C1300-16FP-2G</t>
  </si>
  <si>
    <t>C1300-24T-4G</t>
  </si>
  <si>
    <t>C1300-24P-4G</t>
  </si>
  <si>
    <t>C1300-24FP-4G</t>
  </si>
  <si>
    <t>C1300-48T-4G</t>
  </si>
  <si>
    <t>C1300-48P-4G</t>
  </si>
  <si>
    <t>C1300-48FP-4G</t>
  </si>
  <si>
    <t>C1300-16P-4X</t>
  </si>
  <si>
    <t>C1300-24T-4X</t>
  </si>
  <si>
    <t>C1300-24P-4X</t>
  </si>
  <si>
    <t>C1300-24FP-4X</t>
  </si>
  <si>
    <t>C1300-48T-4X</t>
  </si>
  <si>
    <t>C1300-48P-4X</t>
  </si>
  <si>
    <t>C1300-48FP-4X</t>
  </si>
  <si>
    <t>C1300-12XT-2X</t>
  </si>
  <si>
    <t>C1300-12XS</t>
  </si>
  <si>
    <t>C1300-16XTS</t>
  </si>
  <si>
    <t>C1300-24XS</t>
  </si>
  <si>
    <t>C1300-24XT</t>
  </si>
  <si>
    <t>C1300-24XTS</t>
  </si>
  <si>
    <t>C1300X-24T-4X</t>
  </si>
  <si>
    <t>C1300X-48T-4X</t>
  </si>
  <si>
    <t>C1300X-24P-4X</t>
  </si>
  <si>
    <t>C1300X-48P-4X</t>
  </si>
  <si>
    <t>C9200-24T</t>
  </si>
  <si>
    <t>C9200-24P</t>
  </si>
  <si>
    <t>C9200-48T</t>
  </si>
  <si>
    <t>C9200-48P</t>
  </si>
  <si>
    <t>C9200L-24T-4G</t>
  </si>
  <si>
    <t>C9200L-24P-4G</t>
  </si>
  <si>
    <t>C9200L-48T-4G</t>
  </si>
  <si>
    <t>C9200L-48P-4G</t>
  </si>
  <si>
    <t>C9200L-24T-4X</t>
  </si>
  <si>
    <t>C9200L-24P-4X</t>
  </si>
  <si>
    <t>C9200L-48T-4X</t>
  </si>
  <si>
    <t>C9200L-48P-4X</t>
  </si>
  <si>
    <t>C9200CX-8P-2X2G</t>
  </si>
  <si>
    <t>C9200CX-12T-2X2G</t>
  </si>
  <si>
    <t>C9200CX-12P-2X2G</t>
  </si>
  <si>
    <t>C9300L-24T-4G</t>
  </si>
  <si>
    <t>C9300L-24P-4G</t>
  </si>
  <si>
    <t>C9300L-24T-4X</t>
  </si>
  <si>
    <t>C9300L-24P-4X</t>
  </si>
  <si>
    <t>C9300L-48T-4G</t>
  </si>
  <si>
    <t>C9300L-48P-4G</t>
  </si>
  <si>
    <t>C9300L-48T-4X</t>
  </si>
  <si>
    <t>C9300L-48P-4X</t>
  </si>
  <si>
    <t>C9300-24T</t>
  </si>
  <si>
    <t>C9300-24P</t>
  </si>
  <si>
    <t>C9300-24U</t>
  </si>
  <si>
    <t>C9300-24H</t>
  </si>
  <si>
    <t>C9300-24S</t>
  </si>
  <si>
    <t>C9300-24UB</t>
  </si>
  <si>
    <t>C9300-48T</t>
  </si>
  <si>
    <t>C9300-48P</t>
  </si>
  <si>
    <t>C9300-48U</t>
  </si>
  <si>
    <t>C9300-48H</t>
  </si>
  <si>
    <t>C9300-48S</t>
  </si>
  <si>
    <t>C9300-48UB</t>
  </si>
  <si>
    <t>C9500-32C</t>
  </si>
  <si>
    <t>C9500-32QC</t>
  </si>
  <si>
    <t>C9500-48Y4C</t>
  </si>
  <si>
    <t>C9500-24Y4C</t>
  </si>
  <si>
    <t>C9500X-28C8D</t>
  </si>
  <si>
    <t>C9500X-60L4D</t>
  </si>
  <si>
    <t>EX4200-24T</t>
  </si>
  <si>
    <t>EX4300-48S</t>
  </si>
  <si>
    <t>EX4600</t>
  </si>
  <si>
    <t>Y</t>
  </si>
  <si>
    <t>Switch Class</t>
  </si>
  <si>
    <t>C9404R</t>
  </si>
  <si>
    <t>C9407R</t>
  </si>
  <si>
    <t>C9410R</t>
  </si>
  <si>
    <t>C9606R</t>
  </si>
  <si>
    <t>C9400-LC-12QC=</t>
  </si>
  <si>
    <t>C9400-LC-48T=</t>
  </si>
  <si>
    <t>C9400-LC-48TX=</t>
  </si>
  <si>
    <t>C9400-LC-48S=</t>
  </si>
  <si>
    <t>C9400-LC-48XS=</t>
  </si>
  <si>
    <t>C9600-LC-48TX=</t>
  </si>
  <si>
    <t>C9600-LC-48YL=</t>
  </si>
  <si>
    <t>C9600-LC-40YL4CD=</t>
  </si>
  <si>
    <t>C9600-LC-24C=</t>
  </si>
  <si>
    <t>N</t>
  </si>
  <si>
    <t>Nexus Switch</t>
  </si>
  <si>
    <t>N9K-C9504</t>
  </si>
  <si>
    <t>N9K-C9508</t>
  </si>
  <si>
    <t>N9K-C9516</t>
  </si>
  <si>
    <t>N9K-C9348GC-FX3</t>
  </si>
  <si>
    <t>N9K-C93108TC-FX3</t>
  </si>
  <si>
    <t>N9K-C93216TC-FX2</t>
  </si>
  <si>
    <t>N9K-C93360YC-FX2</t>
  </si>
  <si>
    <t>N9K-C93240YC-FX2</t>
  </si>
  <si>
    <t>N9K-C93180YC-FX3</t>
  </si>
  <si>
    <t>N9K-C93600CD-GX</t>
  </si>
  <si>
    <t>N9K-C9316D-GX</t>
  </si>
  <si>
    <t>N9K-C9364C-GX</t>
  </si>
  <si>
    <t>N9K-X9736C-FX3=</t>
  </si>
  <si>
    <t>C9136I</t>
  </si>
  <si>
    <t>CW9162I</t>
  </si>
  <si>
    <t>CW9164I</t>
  </si>
  <si>
    <t>CW9166I</t>
  </si>
  <si>
    <t>CW9166D1</t>
  </si>
  <si>
    <t>CW9172I</t>
  </si>
  <si>
    <t>CW9172H</t>
  </si>
  <si>
    <t>CW9176I</t>
  </si>
  <si>
    <t>CW9176D1</t>
  </si>
  <si>
    <t>CW9178I</t>
  </si>
  <si>
    <t>C9124AXI</t>
  </si>
  <si>
    <t>C9124AXD</t>
  </si>
  <si>
    <t>C9124AXE</t>
  </si>
  <si>
    <t>CW9163E</t>
  </si>
  <si>
    <t>AIR-PWRINJ7=</t>
  </si>
  <si>
    <t>IW-PWRINJ-60RGDMG=</t>
  </si>
  <si>
    <t>indoor</t>
  </si>
  <si>
    <t>outdoor</t>
  </si>
  <si>
    <t>WiFi6E</t>
  </si>
  <si>
    <t>WiFi7</t>
  </si>
  <si>
    <t>WiFi6</t>
  </si>
  <si>
    <t>Công suất phát (dBm)</t>
  </si>
  <si>
    <t>Số lượng cổng Uplink 1GE RJ45</t>
  </si>
  <si>
    <t>Số lượng cổng Uplink 10GE RJ45</t>
  </si>
  <si>
    <t>Số lượng cổng Uplink 1GE SFP</t>
  </si>
  <si>
    <t>Antenna Type (Omni or Directional)</t>
  </si>
  <si>
    <t>Omni</t>
  </si>
  <si>
    <t>Directional</t>
  </si>
  <si>
    <t>Depend on Antenna</t>
  </si>
  <si>
    <t>Access Point Class</t>
  </si>
  <si>
    <t>Available transmit power settings</t>
  </si>
  <si>
    <t>Antenna gain (dBi)</t>
  </si>
  <si>
    <t>All Devices</t>
  </si>
  <si>
    <t>Đã có giá List chưa ?</t>
  </si>
  <si>
    <t>Devices</t>
  </si>
  <si>
    <t>List Price</t>
  </si>
  <si>
    <t>Giá AM nhập</t>
  </si>
  <si>
    <t>Final Price</t>
  </si>
  <si>
    <t>Cân bằng tải đường truyền</t>
  </si>
  <si>
    <t>Router</t>
  </si>
  <si>
    <t>SwitchCampus</t>
  </si>
  <si>
    <t>ModularSwitch</t>
  </si>
  <si>
    <t>Wireless</t>
  </si>
  <si>
    <t>Automation</t>
  </si>
  <si>
    <t>SDWAN</t>
  </si>
  <si>
    <t>Cân bằng tải ứng dụng</t>
  </si>
  <si>
    <t>SFP</t>
  </si>
  <si>
    <t>DWDM/ DCI</t>
  </si>
  <si>
    <t>Amplifier</t>
  </si>
  <si>
    <t>Throughput (Mbps)</t>
  </si>
  <si>
    <t>Switching Bandwidth - Full Duplex (Gbps)</t>
  </si>
  <si>
    <t>Loại Access Point (indoor/outdoor)</t>
  </si>
  <si>
    <t>Hiển thị trực quan topo mạng</t>
  </si>
  <si>
    <t>Application Throughput L4/L7 (Gbps)</t>
  </si>
  <si>
    <t>Tốc độ (1G/10G/100G)</t>
  </si>
  <si>
    <t>Kiểu kết nối (Điểm - điểm, Ring, Mesh)</t>
  </si>
  <si>
    <t>Số lượng cổng WAN 1GE</t>
  </si>
  <si>
    <t>Forwarding Capacity (Mpps)</t>
  </si>
  <si>
    <t>Công nghệ WiFi (WiFi6/WiFi7)</t>
  </si>
  <si>
    <t>Cấu hình cung cấp dịch vụ tập trung (L2VPN/L3VPN)</t>
  </si>
  <si>
    <t>Layer 4 Concurrent Sessions</t>
  </si>
  <si>
    <t>Khoảng cách truyền (km)</t>
  </si>
  <si>
    <t>Số lượng hướng quang</t>
  </si>
  <si>
    <t>Số lượng cổng WAN 10GE</t>
  </si>
  <si>
    <t>Số lượng cổng 1GE đồng</t>
  </si>
  <si>
    <t>Số lượng người dùng trong phạm vi phủ sóng 1 AP</t>
  </si>
  <si>
    <t>Nâng cấp OS tự động trên diện rộng</t>
  </si>
  <si>
    <t>Layer 7 Connection per Second</t>
  </si>
  <si>
    <t>Dải hoạt động (C-band, L-band, Kết hợp cả 2)</t>
  </si>
  <si>
    <t>Số lượng kênh (bước sóng)</t>
  </si>
  <si>
    <t>Số lượng cổng LAN 1GE</t>
  </si>
  <si>
    <t>Số lượng cổng 1GE SFP</t>
  </si>
  <si>
    <t>Bán kính phủ sóng (m)</t>
  </si>
  <si>
    <t>Số lượng cổng 1GE</t>
  </si>
  <si>
    <t>Số lượng bước sóng</t>
  </si>
  <si>
    <t>Số lượng cổng kết nối Client / kênh</t>
  </si>
  <si>
    <t>Số lượng cổng LAN 10GE</t>
  </si>
  <si>
    <t>Số lượng cổng 10GE đồng</t>
  </si>
  <si>
    <t>Số lượng cổng 10GE</t>
  </si>
  <si>
    <t>Dung lượng mỗi bước sóng (100G, 200G, 400G, 800G, 1,2T, 1,6T)</t>
  </si>
  <si>
    <t>Số lượng người dùng</t>
  </si>
  <si>
    <t>Số lượng cổng 10GE quang</t>
  </si>
  <si>
    <t>Số lượng cổng 100GE</t>
  </si>
  <si>
    <t>Loại giao diện cho client (10GE, 40GE, 100GE
 400GE)</t>
  </si>
  <si>
    <t>Stacking (Y/N)</t>
  </si>
  <si>
    <t>PoE (Y/N)</t>
  </si>
  <si>
    <t>Ficer-1G-10km</t>
  </si>
  <si>
    <t>Ficer-1G-40km</t>
  </si>
  <si>
    <t>Ficer-1G-80km</t>
  </si>
  <si>
    <t>Ficer-10G-10km</t>
  </si>
  <si>
    <t>Ficer-10G-40km</t>
  </si>
  <si>
    <t>Ficer-10G-80km</t>
  </si>
  <si>
    <t>Ficer-100G-10km</t>
  </si>
  <si>
    <t>Ficer-100G-40km</t>
  </si>
  <si>
    <t>Ficer-100G-80km</t>
  </si>
  <si>
    <t>GLC-SX-MMD=</t>
  </si>
  <si>
    <t>GLC-LH-SMD=</t>
  </si>
  <si>
    <t>GLC-EX-SMD=</t>
  </si>
  <si>
    <t>GLC-ZX-SMD=</t>
  </si>
  <si>
    <t>SFP-10G-SR-S=</t>
  </si>
  <si>
    <t>SFP-10G-SR=</t>
  </si>
  <si>
    <t>SFP-10G-LR-S=</t>
  </si>
  <si>
    <t>SFP-10G-LR=</t>
  </si>
  <si>
    <t>SFP-10G-ER-S=</t>
  </si>
  <si>
    <t>SFP-10G-ER=</t>
  </si>
  <si>
    <t>SFP-10G-ZR-S=</t>
  </si>
  <si>
    <t>SFP-10G-ZR=</t>
  </si>
  <si>
    <t>QSFP-100G-LR4-S</t>
  </si>
  <si>
    <t>QSFP-100G-LR-S=</t>
  </si>
  <si>
    <t>QSFP-100G-ER4L-S=</t>
  </si>
  <si>
    <t>QSFP-100G-ZR4-S=</t>
  </si>
  <si>
    <t>SFP Class</t>
  </si>
  <si>
    <t>C9300X-48TX</t>
  </si>
  <si>
    <t>C9300X-48HX</t>
  </si>
  <si>
    <t>C9300X-48HXN</t>
  </si>
  <si>
    <t>C9300X-24HX</t>
  </si>
  <si>
    <t>C9300X-12Y</t>
  </si>
  <si>
    <t>C9300X-24Y</t>
  </si>
  <si>
    <t>C1200-8T-D</t>
  </si>
  <si>
    <t>C1200-8T-E-2G</t>
  </si>
  <si>
    <t>C1200-8P-E-2G</t>
  </si>
  <si>
    <t>C1200-8FP-2G</t>
  </si>
  <si>
    <t>C1200-16T-2G</t>
  </si>
  <si>
    <t>C1200-16P-2G</t>
  </si>
  <si>
    <t>C1200-24T-4G</t>
  </si>
  <si>
    <t>C1200-24P-4G</t>
  </si>
  <si>
    <t>C1200-24FP-4G</t>
  </si>
  <si>
    <t>C1200-48T-4G</t>
  </si>
  <si>
    <t>C1200-48P-4G</t>
  </si>
  <si>
    <t>C1200-24T-4X</t>
  </si>
  <si>
    <t>C1200-24P-4X</t>
  </si>
  <si>
    <t>C1200-24FP-4X</t>
  </si>
  <si>
    <t>C1200-48T-4X</t>
  </si>
  <si>
    <t>C1200-48P-4X</t>
  </si>
  <si>
    <t>1,76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</si>
</sst>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$&quot;#,##0.00"/>
    <numFmt numFmtId="165" formatCode="0.0"/>
  </numFmts>
  <fonts count="13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2"/>
      <color theme="1"/>
      <name val="Arial"/>
    </font>
    <font>
      <sz val="12"/>
      <color theme="1"/>
      <name val="Arial"/>
    </font>
    <font>
      <b/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46BDC6"/>
        <bgColor rgb="FF46BDC6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46BDC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2" borderId="1" xfId="0" applyFont="1" applyFill="1" applyBorder="1"/>
    <xf numFmtId="0" fontId="2" fillId="0" borderId="0" xfId="0" applyFont="1"/>
    <xf numFmtId="0" fontId="2" fillId="0" borderId="1" xfId="0" applyFont="1" applyBorder="1"/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3" borderId="1" xfId="0" applyFont="1" applyFill="1" applyBorder="1"/>
    <xf numFmtId="0" fontId="2" fillId="0" borderId="4" xfId="0" applyFont="1" applyBorder="1"/>
    <xf numFmtId="0" fontId="2" fillId="4" borderId="1" xfId="0" applyFont="1" applyFill="1" applyBorder="1"/>
    <xf numFmtId="0" fontId="1" fillId="0" borderId="0" xfId="0" applyFont="1"/>
    <xf numFmtId="0" fontId="2" fillId="3" borderId="0" xfId="0" applyFont="1" applyFill="1"/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4" borderId="0" xfId="0" applyFont="1" applyFill="1"/>
    <xf numFmtId="164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5" fontId="2" fillId="0" borderId="1" xfId="0" applyNumberFormat="1" applyFont="1" applyBorder="1"/>
    <xf numFmtId="165" fontId="2" fillId="0" borderId="0" xfId="0" applyNumberFormat="1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/>
    <xf numFmtId="164" fontId="6" fillId="0" borderId="0" xfId="0" applyNumberFormat="1" applyFont="1"/>
    <xf numFmtId="164" fontId="5" fillId="0" borderId="0" xfId="0" applyNumberFormat="1" applyFont="1"/>
    <xf numFmtId="0" fontId="5" fillId="5" borderId="0" xfId="0" applyFont="1" applyFill="1" applyAlignment="1">
      <alignment horizontal="center"/>
    </xf>
    <xf numFmtId="164" fontId="5" fillId="5" borderId="0" xfId="0" applyNumberFormat="1" applyFont="1" applyFill="1" applyAlignment="1">
      <alignment horizontal="center"/>
    </xf>
    <xf numFmtId="0" fontId="7" fillId="5" borderId="1" xfId="0" applyFont="1" applyFill="1" applyBorder="1" applyAlignment="1">
      <alignment horizontal="center" wrapText="1"/>
    </xf>
    <xf numFmtId="0" fontId="6" fillId="6" borderId="0" xfId="0" applyFont="1" applyFill="1" applyAlignment="1">
      <alignment vertical="center"/>
    </xf>
    <xf numFmtId="0" fontId="8" fillId="7" borderId="1" xfId="0" applyFont="1" applyFill="1" applyBorder="1" applyAlignment="1">
      <alignment wrapText="1"/>
    </xf>
    <xf numFmtId="0" fontId="2" fillId="7" borderId="1" xfId="0" applyFont="1" applyFill="1" applyBorder="1"/>
    <xf numFmtId="0" fontId="9" fillId="8" borderId="5" xfId="0" applyFont="1" applyFill="1" applyBorder="1" applyAlignment="1">
      <alignment wrapText="1"/>
    </xf>
    <xf numFmtId="0" fontId="9" fillId="9" borderId="6" xfId="0" applyFont="1" applyFill="1" applyBorder="1" applyAlignment="1">
      <alignment horizontal="center" wrapText="1"/>
    </xf>
    <xf numFmtId="0" fontId="9" fillId="10" borderId="6" xfId="0" applyFont="1" applyFill="1" applyBorder="1" applyAlignment="1">
      <alignment horizontal="center" wrapText="1"/>
    </xf>
    <xf numFmtId="0" fontId="10" fillId="8" borderId="6" xfId="0" applyFont="1" applyFill="1" applyBorder="1" applyAlignment="1">
      <alignment horizontal="center" wrapText="1"/>
    </xf>
    <xf numFmtId="0" fontId="9" fillId="8" borderId="6" xfId="0" applyFont="1" applyFill="1" applyBorder="1" applyAlignment="1">
      <alignment horizontal="center" wrapText="1"/>
    </xf>
    <xf numFmtId="0" fontId="11" fillId="0" borderId="7" xfId="0" applyFont="1" applyBorder="1" applyAlignment="1">
      <alignment wrapText="1"/>
    </xf>
    <xf numFmtId="0" fontId="11" fillId="9" borderId="8" xfId="0" applyFont="1" applyFill="1" applyBorder="1" applyAlignment="1">
      <alignment wrapText="1"/>
    </xf>
    <xf numFmtId="0" fontId="11" fillId="10" borderId="8" xfId="0" applyFont="1" applyFill="1" applyBorder="1" applyAlignment="1">
      <alignment horizontal="center" wrapText="1"/>
    </xf>
    <xf numFmtId="0" fontId="12" fillId="0" borderId="8" xfId="0" applyFont="1" applyBorder="1" applyAlignment="1">
      <alignment horizontal="center" wrapText="1"/>
    </xf>
    <xf numFmtId="3" fontId="12" fillId="0" borderId="8" xfId="0" applyNumberFormat="1" applyFont="1" applyBorder="1" applyAlignment="1">
      <alignment horizontal="center" wrapText="1"/>
    </xf>
    <xf numFmtId="0" fontId="11" fillId="0" borderId="8" xfId="0" applyFont="1" applyBorder="1" applyAlignment="1">
      <alignment wrapText="1"/>
    </xf>
    <xf numFmtId="0" fontId="11" fillId="9" borderId="8" xfId="0" applyFont="1" applyFill="1" applyBorder="1" applyAlignment="1">
      <alignment horizontal="center" wrapText="1"/>
    </xf>
    <xf numFmtId="0" fontId="11" fillId="10" borderId="8" xfId="0" applyFont="1" applyFill="1" applyBorder="1" applyAlignment="1">
      <alignment wrapText="1"/>
    </xf>
    <xf numFmtId="0" fontId="9" fillId="0" borderId="9" xfId="0" applyFont="1" applyBorder="1" applyAlignment="1">
      <alignment wrapText="1"/>
    </xf>
    <xf numFmtId="0" fontId="11" fillId="9" borderId="9" xfId="0" applyFont="1" applyFill="1" applyBorder="1" applyAlignment="1">
      <alignment wrapText="1"/>
    </xf>
    <xf numFmtId="0" fontId="11" fillId="10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11" fillId="0" borderId="10" xfId="0" applyFont="1" applyBorder="1" applyAlignment="1">
      <alignment horizontal="center" wrapText="1"/>
    </xf>
    <xf numFmtId="0" fontId="11" fillId="0" borderId="8" xfId="0" applyFont="1" applyBorder="1" applyAlignment="1">
      <alignment horizontal="center" wrapText="1"/>
    </xf>
  </cellXfs>
  <cellStyles count="1">
    <cellStyle name="Normal" xfId="0" builtinId="0"/>
  </cellStyles>
  <dxfs count="1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6">
    <tableStyle name="Specs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Specs-style 2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Specs-style 3" pivot="0" count="2" xr9:uid="{00000000-0011-0000-FFFF-FFFF02000000}">
      <tableStyleElement type="firstRowStripe" dxfId="8"/>
      <tableStyleElement type="secondRowStripe" dxfId="7"/>
    </tableStyle>
    <tableStyle name="Specs-style 4" pivot="0" count="2" xr9:uid="{00000000-0011-0000-FFFF-FFFF03000000}">
      <tableStyleElement type="firstRowStripe" dxfId="6"/>
      <tableStyleElement type="secondRowStripe" dxfId="5"/>
    </tableStyle>
    <tableStyle name="Specs-style 5" pivot="0" count="2" xr9:uid="{00000000-0011-0000-FFFF-FFFF04000000}">
      <tableStyleElement type="firstRowStripe" dxfId="4"/>
      <tableStyleElement type="secondRowStripe" dxfId="3"/>
    </tableStyle>
    <tableStyle name="Specs-style 6" pivot="0" count="2" xr9:uid="{00000000-0011-0000-FFFF-FFFF05000000}"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H8">
  <tableColumns count="8">
    <tableColumn id="1" xr3:uid="{00000000-0010-0000-0000-000001000000}" name="Cân bằng tải đường truyền"/>
    <tableColumn id="2" xr3:uid="{00000000-0010-0000-0000-000002000000}" name="Router"/>
    <tableColumn id="3" xr3:uid="{00000000-0010-0000-0000-000003000000}" name="SwitchCampus"/>
    <tableColumn id="4" xr3:uid="{00000000-0010-0000-0000-000004000000}" name="ModularSwitch"/>
    <tableColumn id="5" xr3:uid="{00000000-0010-0000-0000-000005000000}" name="Wireless"/>
    <tableColumn id="6" xr3:uid="{00000000-0010-0000-0000-000006000000}" name="Automation"/>
    <tableColumn id="7" xr3:uid="{00000000-0010-0000-0000-000007000000}" name="SDWAN"/>
    <tableColumn id="8" xr3:uid="{00000000-0010-0000-0000-000008000000}" name="Cân bằng tải ứng dụng"/>
  </tableColumns>
  <tableStyleInfo name="Spec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:K8">
  <tableColumns count="3">
    <tableColumn id="1" xr3:uid="{00000000-0010-0000-0100-000001000000}" name="SFP"/>
    <tableColumn id="2" xr3:uid="{00000000-0010-0000-0100-000002000000}" name="DWDM/ DCI"/>
    <tableColumn id="3" xr3:uid="{00000000-0010-0000-0100-000003000000}" name="Amplifier"/>
  </tableColumns>
  <tableStyleInfo name="Spec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9:H9" headerRowCount="0">
  <tableColumns count="8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</tableColumns>
  <tableStyleInfo name="Spec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9:K9" headerRowCount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name="Specs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0:H10" headerRowCount="0">
  <tableColumns count="8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</tableColumns>
  <tableStyleInfo name="Specs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0:K10" headerRowCount="0">
  <tableColumns count="3">
    <tableColumn id="1" xr3:uid="{00000000-0010-0000-0500-000001000000}" name="Column1"/>
    <tableColumn id="2" xr3:uid="{00000000-0010-0000-0500-000002000000}" name="Column2"/>
    <tableColumn id="3" xr3:uid="{00000000-0010-0000-0500-000003000000}" name="Column3"/>
  </tableColumns>
  <tableStyleInfo name="Specs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F1003"/>
  <sheetViews>
    <sheetView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2.6328125" defaultRowHeight="15.75" customHeight="1" x14ac:dyDescent="0.25"/>
  <cols>
    <col min="1" max="1" width="25.90625" customWidth="1"/>
    <col min="3" max="42" width="16.7265625" customWidth="1"/>
  </cols>
  <sheetData>
    <row r="1" spans="1:58" x14ac:dyDescent="0.3">
      <c r="A1" s="1" t="str">
        <f>Specs!B1</f>
        <v>Router</v>
      </c>
      <c r="B1" s="2" t="s">
        <v>0</v>
      </c>
      <c r="C1" s="3" t="e">
        <f t="array" aca="1" ref="C1" ca="1">INDEX(D1:AP1, MATCH(1, D16:AP16, 0))</f>
        <v>#N/A</v>
      </c>
      <c r="D1" s="4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15.75" customHeight="1" x14ac:dyDescent="0.25">
      <c r="A2" s="8" t="str">
        <f>Specs!B2</f>
        <v>Throughput (Mbps)</v>
      </c>
      <c r="B2" s="9">
        <f ca="1">IFERROR(__xludf.DUMMYFUNCTION("IMPORTRANGE(""https://docs.google.com/spreadsheets/d/18TjePryHG687L54fIGU6Od12DGyT3mPoblPemZTZRY4"",""Router!B3:B10"")"),5000)</f>
        <v>5000</v>
      </c>
      <c r="C2" s="10" t="e">
        <f ca="1">HLOOKUP($C$1,$D$1:$AP$10,2,0)</f>
        <v>#N/A</v>
      </c>
      <c r="D2" s="11">
        <v>1889</v>
      </c>
      <c r="E2" s="12">
        <v>1889</v>
      </c>
      <c r="F2" s="12">
        <v>1889</v>
      </c>
      <c r="G2" s="12">
        <v>1889</v>
      </c>
      <c r="H2" s="12">
        <v>1426</v>
      </c>
      <c r="I2" s="12">
        <v>1889</v>
      </c>
      <c r="J2" s="12">
        <v>1889</v>
      </c>
      <c r="K2" s="12">
        <v>1889</v>
      </c>
      <c r="L2" s="12">
        <v>1889</v>
      </c>
      <c r="M2" s="12">
        <v>1889</v>
      </c>
      <c r="N2" s="12">
        <v>1169</v>
      </c>
      <c r="O2" s="12">
        <v>500</v>
      </c>
      <c r="P2" s="12">
        <v>1000</v>
      </c>
      <c r="Q2" s="12">
        <v>2000</v>
      </c>
      <c r="R2" s="12">
        <v>2000</v>
      </c>
      <c r="S2" s="12">
        <v>17000</v>
      </c>
      <c r="T2" s="12">
        <v>18800</v>
      </c>
      <c r="U2" s="12">
        <v>19000</v>
      </c>
      <c r="V2" s="12">
        <v>51000</v>
      </c>
      <c r="W2" s="12">
        <v>96000</v>
      </c>
      <c r="X2" s="12">
        <v>350000</v>
      </c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</row>
    <row r="3" spans="1:58" ht="15.75" customHeight="1" x14ac:dyDescent="0.25">
      <c r="A3" s="8" t="str">
        <f>Specs!B3</f>
        <v>Số lượng cổng WAN 1GE</v>
      </c>
      <c r="B3" s="13"/>
      <c r="C3" s="10" t="e">
        <f ca="1">HLOOKUP($C$1,$D$1:$AP$10,3,0)</f>
        <v>#N/A</v>
      </c>
      <c r="D3" s="11">
        <v>2</v>
      </c>
      <c r="E3" s="12">
        <v>2</v>
      </c>
      <c r="F3" s="12">
        <v>2</v>
      </c>
      <c r="G3" s="12">
        <v>2</v>
      </c>
      <c r="H3" s="12">
        <v>2</v>
      </c>
      <c r="I3" s="12">
        <v>2</v>
      </c>
      <c r="J3" s="12">
        <v>1</v>
      </c>
      <c r="K3" s="12">
        <v>1</v>
      </c>
      <c r="L3" s="12">
        <v>1</v>
      </c>
      <c r="M3" s="12">
        <v>1</v>
      </c>
      <c r="N3" s="12">
        <v>1</v>
      </c>
      <c r="O3" s="12">
        <v>4</v>
      </c>
      <c r="P3" s="12">
        <v>4</v>
      </c>
      <c r="Q3" s="12">
        <v>6</v>
      </c>
      <c r="R3" s="12">
        <v>6</v>
      </c>
      <c r="S3" s="12">
        <v>4</v>
      </c>
      <c r="T3" s="12">
        <v>4</v>
      </c>
      <c r="U3" s="12">
        <v>8</v>
      </c>
      <c r="V3" s="12">
        <v>12</v>
      </c>
      <c r="W3" s="12">
        <v>12</v>
      </c>
      <c r="X3" s="12">
        <v>20</v>
      </c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</row>
    <row r="4" spans="1:58" ht="15.75" customHeight="1" x14ac:dyDescent="0.25">
      <c r="A4" s="8" t="str">
        <f>Specs!B4</f>
        <v>Số lượng cổng WAN 10GE</v>
      </c>
      <c r="B4" s="13"/>
      <c r="C4" s="10" t="e">
        <f ca="1">HLOOKUP($C$1,$D$1:$AP$10,4,0)</f>
        <v>#N/A</v>
      </c>
      <c r="D4" s="11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0</v>
      </c>
      <c r="N4" s="12">
        <v>0</v>
      </c>
      <c r="O4" s="14"/>
      <c r="P4" s="14"/>
      <c r="Q4" s="14"/>
      <c r="R4" s="14"/>
      <c r="S4" s="12">
        <v>2</v>
      </c>
      <c r="T4" s="12">
        <v>2</v>
      </c>
      <c r="U4" s="12">
        <v>4</v>
      </c>
      <c r="V4" s="12">
        <v>12</v>
      </c>
      <c r="W4" s="12">
        <v>12</v>
      </c>
      <c r="X4" s="12">
        <v>20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</row>
    <row r="5" spans="1:58" ht="15.75" customHeight="1" x14ac:dyDescent="0.25">
      <c r="A5" s="8" t="str">
        <f>Specs!B5</f>
        <v>Số lượng cổng LAN 1GE</v>
      </c>
      <c r="B5" s="13"/>
      <c r="C5" s="10" t="e">
        <f ca="1">HLOOKUP($C$1,$D$1:$AP$10,5,0)</f>
        <v>#N/A</v>
      </c>
      <c r="D5" s="11">
        <v>8</v>
      </c>
      <c r="E5" s="12">
        <v>8</v>
      </c>
      <c r="F5" s="12">
        <v>8</v>
      </c>
      <c r="G5" s="12">
        <v>8</v>
      </c>
      <c r="H5" s="12">
        <v>4</v>
      </c>
      <c r="I5" s="12">
        <v>8</v>
      </c>
      <c r="J5" s="12">
        <v>8</v>
      </c>
      <c r="K5" s="12">
        <v>4</v>
      </c>
      <c r="L5" s="12">
        <v>4</v>
      </c>
      <c r="M5" s="12">
        <v>8</v>
      </c>
      <c r="N5" s="12">
        <v>4</v>
      </c>
      <c r="O5" s="12">
        <v>8</v>
      </c>
      <c r="P5" s="12">
        <v>8</v>
      </c>
      <c r="Q5" s="12">
        <v>8</v>
      </c>
      <c r="R5" s="12">
        <v>16</v>
      </c>
      <c r="S5" s="12">
        <v>8</v>
      </c>
      <c r="T5" s="12">
        <v>16</v>
      </c>
      <c r="U5" s="14"/>
      <c r="V5" s="14"/>
      <c r="W5" s="14"/>
      <c r="X5" s="14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</row>
    <row r="6" spans="1:58" ht="15.75" customHeight="1" x14ac:dyDescent="0.25">
      <c r="A6" s="8">
        <f>Specs!B6</f>
        <v>0</v>
      </c>
      <c r="B6" s="13"/>
      <c r="C6" s="15" t="e">
        <f ca="1">HLOOKUP($C$1,$D$1:$AP$10,6,0)</f>
        <v>#N/A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</row>
    <row r="7" spans="1:58" ht="15.75" customHeight="1" x14ac:dyDescent="0.25">
      <c r="A7" s="8">
        <f>Specs!B7</f>
        <v>0</v>
      </c>
      <c r="B7" s="13"/>
      <c r="C7" s="15" t="e">
        <f ca="1">HLOOKUP($C$1,$D$1:$AP$10,7,0)</f>
        <v>#N/A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</row>
    <row r="8" spans="1:58" ht="15.75" customHeight="1" x14ac:dyDescent="0.25">
      <c r="A8" s="8">
        <f>Specs!B8</f>
        <v>0</v>
      </c>
      <c r="B8" s="13"/>
      <c r="C8" s="15" t="e">
        <f ca="1">HLOOKUP($C$1,$D$1:$AP$10,8,0)</f>
        <v>#N/A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</row>
    <row r="9" spans="1:58" ht="15.75" customHeight="1" x14ac:dyDescent="0.25">
      <c r="A9" s="8">
        <f>Specs!B9</f>
        <v>0</v>
      </c>
      <c r="B9" s="13"/>
      <c r="C9" s="15" t="e">
        <f ca="1">HLOOKUP($C$1,$D$1:$AP$10,9,0)</f>
        <v>#N/A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</row>
    <row r="10" spans="1:58" ht="15.75" customHeight="1" x14ac:dyDescent="0.25">
      <c r="A10" s="8">
        <f>Specs!B10</f>
        <v>0</v>
      </c>
      <c r="B10" s="13"/>
      <c r="C10" s="15" t="e">
        <f ca="1">HLOOKUP($C$1,$D$1:$AP$10,10,0)</f>
        <v>#N/A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</row>
    <row r="11" spans="1:58" x14ac:dyDescent="0.3">
      <c r="A11" s="16" t="s">
        <v>22</v>
      </c>
      <c r="B11" s="17"/>
      <c r="C11" s="18" t="e">
        <f ca="1">HLOOKUP($C$1,$D$1:$AP$11,11,0)</f>
        <v>#N/A</v>
      </c>
      <c r="D11" s="19" t="s">
        <v>23</v>
      </c>
      <c r="E11" s="19" t="s">
        <v>23</v>
      </c>
      <c r="F11" s="19" t="s">
        <v>23</v>
      </c>
      <c r="G11" s="19" t="s">
        <v>23</v>
      </c>
      <c r="H11" s="19" t="s">
        <v>23</v>
      </c>
      <c r="I11" s="19" t="s">
        <v>23</v>
      </c>
      <c r="J11" s="19" t="s">
        <v>23</v>
      </c>
      <c r="K11" s="19" t="s">
        <v>23</v>
      </c>
      <c r="L11" s="19" t="s">
        <v>23</v>
      </c>
      <c r="M11" s="19" t="s">
        <v>23</v>
      </c>
      <c r="N11" s="19" t="s">
        <v>23</v>
      </c>
      <c r="O11" s="19" t="s">
        <v>24</v>
      </c>
      <c r="P11" s="19" t="s">
        <v>24</v>
      </c>
      <c r="Q11" s="19" t="s">
        <v>24</v>
      </c>
      <c r="R11" s="19" t="s">
        <v>24</v>
      </c>
      <c r="S11" s="19" t="s">
        <v>24</v>
      </c>
      <c r="T11" s="19" t="s">
        <v>24</v>
      </c>
      <c r="U11" s="19" t="s">
        <v>25</v>
      </c>
      <c r="V11" s="19" t="s">
        <v>25</v>
      </c>
      <c r="W11" s="19" t="s">
        <v>25</v>
      </c>
      <c r="X11" s="19" t="s">
        <v>25</v>
      </c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</row>
    <row r="12" spans="1:58" ht="15.75" customHeight="1" x14ac:dyDescent="0.25">
      <c r="A12" s="7"/>
      <c r="B12" s="17"/>
      <c r="C12" s="20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</row>
    <row r="13" spans="1:58" ht="15.75" customHeight="1" x14ac:dyDescent="0.25">
      <c r="A13" s="7" t="s">
        <v>26</v>
      </c>
      <c r="B13" s="17"/>
      <c r="C13" s="18" t="e">
        <f t="shared" ref="C13:X13" ca="1" si="0">SUM(1*(C2&gt;=$B$2)+1*(C3&gt;=$B$3)+1*(C4&gt;=$B$4)+1*(C5&gt;=$B$5))</f>
        <v>#N/A</v>
      </c>
      <c r="D13" s="19">
        <f t="shared" ca="1" si="0"/>
        <v>3</v>
      </c>
      <c r="E13" s="19">
        <f t="shared" ca="1" si="0"/>
        <v>3</v>
      </c>
      <c r="F13" s="19">
        <f t="shared" ca="1" si="0"/>
        <v>3</v>
      </c>
      <c r="G13" s="19">
        <f t="shared" ca="1" si="0"/>
        <v>3</v>
      </c>
      <c r="H13" s="19">
        <f t="shared" ca="1" si="0"/>
        <v>3</v>
      </c>
      <c r="I13" s="19">
        <f t="shared" ca="1" si="0"/>
        <v>3</v>
      </c>
      <c r="J13" s="19">
        <f t="shared" ca="1" si="0"/>
        <v>3</v>
      </c>
      <c r="K13" s="19">
        <f t="shared" ca="1" si="0"/>
        <v>3</v>
      </c>
      <c r="L13" s="19">
        <f t="shared" ca="1" si="0"/>
        <v>3</v>
      </c>
      <c r="M13" s="19">
        <f t="shared" ca="1" si="0"/>
        <v>3</v>
      </c>
      <c r="N13" s="19">
        <f t="shared" ca="1" si="0"/>
        <v>3</v>
      </c>
      <c r="O13" s="19">
        <f t="shared" ca="1" si="0"/>
        <v>3</v>
      </c>
      <c r="P13" s="19">
        <f t="shared" ca="1" si="0"/>
        <v>3</v>
      </c>
      <c r="Q13" s="19">
        <f t="shared" ca="1" si="0"/>
        <v>3</v>
      </c>
      <c r="R13" s="19">
        <f t="shared" ca="1" si="0"/>
        <v>3</v>
      </c>
      <c r="S13" s="19">
        <f t="shared" ca="1" si="0"/>
        <v>4</v>
      </c>
      <c r="T13" s="19">
        <f t="shared" ca="1" si="0"/>
        <v>4</v>
      </c>
      <c r="U13" s="19">
        <f t="shared" ca="1" si="0"/>
        <v>4</v>
      </c>
      <c r="V13" s="19">
        <f t="shared" ca="1" si="0"/>
        <v>4</v>
      </c>
      <c r="W13" s="19">
        <f t="shared" ca="1" si="0"/>
        <v>4</v>
      </c>
      <c r="X13" s="19">
        <f t="shared" ca="1" si="0"/>
        <v>4</v>
      </c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</row>
    <row r="14" spans="1:58" ht="15.75" customHeight="1" x14ac:dyDescent="0.25">
      <c r="A14" s="7" t="s">
        <v>27</v>
      </c>
      <c r="B14" s="17"/>
      <c r="C14" s="21">
        <f ca="1">IFERROR(VLOOKUP(C1,Cisco!$A$2:$D$1000,4,0),0)</f>
        <v>0</v>
      </c>
      <c r="D14" s="22">
        <f ca="1">IFERROR(VLOOKUP(D1,Cisco!$A$2:$D$1000,4,0),0)</f>
        <v>9713.6299999999992</v>
      </c>
      <c r="E14" s="22">
        <f ca="1">IFERROR(VLOOKUP(E1,Cisco!$A$2:$D$1000,4,0),0)</f>
        <v>10265.06</v>
      </c>
      <c r="F14" s="22">
        <f ca="1">IFERROR(VLOOKUP(F1,Cisco!$A$2:$D$1000,4,0),0)</f>
        <v>8922.9699999999993</v>
      </c>
      <c r="G14" s="22">
        <f ca="1">IFERROR(VLOOKUP(G1,Cisco!$A$2:$D$1000,4,0),0)</f>
        <v>9142.75</v>
      </c>
      <c r="H14" s="22">
        <f ca="1">IFERROR(VLOOKUP(H1,Cisco!$A$2:$D$1000,4,0),0)</f>
        <v>8003.5499999999902</v>
      </c>
      <c r="I14" s="22">
        <f ca="1">IFERROR(VLOOKUP(I1,Cisco!$A$2:$D$1000,4,0),0)</f>
        <v>8311.31</v>
      </c>
      <c r="J14" s="22">
        <f ca="1">IFERROR(VLOOKUP(J1,Cisco!$A$2:$D$1000,4,0),0)</f>
        <v>8935.48</v>
      </c>
      <c r="K14" s="22">
        <f ca="1">IFERROR(VLOOKUP(K1,Cisco!$A$2:$D$1000,4,0),0)</f>
        <v>8519.2000000000007</v>
      </c>
      <c r="L14" s="22">
        <f ca="1">IFERROR(VLOOKUP(L1,Cisco!$A$2:$D$1000,4,0),0)</f>
        <v>8519.2000000000007</v>
      </c>
      <c r="M14" s="22">
        <f ca="1">IFERROR(VLOOKUP(M1,Cisco!$A$2:$D$1000,4,0),0)</f>
        <v>9556.9399999999896</v>
      </c>
      <c r="N14" s="22">
        <f ca="1">IFERROR(VLOOKUP(N1,Cisco!$A$2:$D$1000,4,0),0)</f>
        <v>9070.11</v>
      </c>
      <c r="O14" s="22">
        <f ca="1">IFERROR(VLOOKUP(O1,Cisco!$A$2:$D$1000,4,0),0)</f>
        <v>18000</v>
      </c>
      <c r="P14" s="22">
        <f ca="1">IFERROR(VLOOKUP(P1,Cisco!$A$2:$D$1000,4,0),0)</f>
        <v>15000</v>
      </c>
      <c r="Q14" s="22">
        <f ca="1">IFERROR(VLOOKUP(Q1,Cisco!$A$2:$D$1000,4,0),0)</f>
        <v>41045.93</v>
      </c>
      <c r="R14" s="22">
        <f ca="1">IFERROR(VLOOKUP(R1,Cisco!$A$2:$D$1000,4,0),0)</f>
        <v>50264.61</v>
      </c>
      <c r="S14" s="22">
        <f ca="1">IFERROR(VLOOKUP(S1,Cisco!$A$2:$D$1000,4,0),0)</f>
        <v>75749.61</v>
      </c>
      <c r="T14" s="22">
        <f ca="1">IFERROR(VLOOKUP(T1,Cisco!$A$2:$D$1000,4,0),0)</f>
        <v>91782.43</v>
      </c>
      <c r="U14" s="22">
        <f ca="1">IFERROR(VLOOKUP(U1,Cisco!$A$2:$D$1000,4,0),0)</f>
        <v>97005.56</v>
      </c>
      <c r="V14" s="22">
        <f ca="1">IFERROR(VLOOKUP(V1,Cisco!$A$2:$D$1000,4,0),0)</f>
        <v>206911.8</v>
      </c>
      <c r="W14" s="22">
        <f ca="1">IFERROR(VLOOKUP(W1,Cisco!$A$2:$D$1000,4,0),0)</f>
        <v>297234.95</v>
      </c>
      <c r="X14" s="22">
        <f ca="1">IFERROR(VLOOKUP(X1,Cisco!$A$2:$D$1000,4,0),0)</f>
        <v>553572.06000000006</v>
      </c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</row>
    <row r="15" spans="1:58" ht="15.75" customHeight="1" x14ac:dyDescent="0.25">
      <c r="A15" s="7" t="s">
        <v>28</v>
      </c>
      <c r="B15" s="17"/>
      <c r="C15" s="18" t="e">
        <f t="shared" ref="C15:X15" ca="1" si="1">1*(C13=MAX($D$13:$AP$13))</f>
        <v>#N/A</v>
      </c>
      <c r="D15" s="19">
        <f t="shared" ca="1" si="1"/>
        <v>0</v>
      </c>
      <c r="E15" s="19">
        <f t="shared" ca="1" si="1"/>
        <v>0</v>
      </c>
      <c r="F15" s="19">
        <f t="shared" ca="1" si="1"/>
        <v>0</v>
      </c>
      <c r="G15" s="19">
        <f t="shared" ca="1" si="1"/>
        <v>0</v>
      </c>
      <c r="H15" s="19">
        <f t="shared" ca="1" si="1"/>
        <v>0</v>
      </c>
      <c r="I15" s="19">
        <f t="shared" ca="1" si="1"/>
        <v>0</v>
      </c>
      <c r="J15" s="19">
        <f t="shared" ca="1" si="1"/>
        <v>0</v>
      </c>
      <c r="K15" s="19">
        <f t="shared" ca="1" si="1"/>
        <v>0</v>
      </c>
      <c r="L15" s="19">
        <f t="shared" ca="1" si="1"/>
        <v>0</v>
      </c>
      <c r="M15" s="19">
        <f t="shared" ca="1" si="1"/>
        <v>0</v>
      </c>
      <c r="N15" s="19">
        <f t="shared" ca="1" si="1"/>
        <v>0</v>
      </c>
      <c r="O15" s="19">
        <f t="shared" ca="1" si="1"/>
        <v>0</v>
      </c>
      <c r="P15" s="19">
        <f t="shared" ca="1" si="1"/>
        <v>0</v>
      </c>
      <c r="Q15" s="19">
        <f t="shared" ca="1" si="1"/>
        <v>0</v>
      </c>
      <c r="R15" s="19">
        <f t="shared" ca="1" si="1"/>
        <v>0</v>
      </c>
      <c r="S15" s="19">
        <f t="shared" ca="1" si="1"/>
        <v>1</v>
      </c>
      <c r="T15" s="19">
        <f t="shared" ca="1" si="1"/>
        <v>1</v>
      </c>
      <c r="U15" s="19">
        <f t="shared" ca="1" si="1"/>
        <v>1</v>
      </c>
      <c r="V15" s="19">
        <f t="shared" ca="1" si="1"/>
        <v>1</v>
      </c>
      <c r="W15" s="19">
        <f t="shared" ca="1" si="1"/>
        <v>1</v>
      </c>
      <c r="X15" s="19">
        <f t="shared" ca="1" si="1"/>
        <v>1</v>
      </c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</row>
    <row r="16" spans="1:58" ht="15.75" customHeight="1" x14ac:dyDescent="0.25">
      <c r="A16" s="7" t="s">
        <v>29</v>
      </c>
      <c r="B16" s="17"/>
      <c r="C16" s="18" t="e">
        <f t="shared" ref="C16:X16" ca="1" si="2">C15*(C14=_xludf.minifs($D$14:$AP$14,$D$15:$AP$15,1))</f>
        <v>#N/A</v>
      </c>
      <c r="D16" s="19" t="e">
        <f t="shared" ca="1" si="2"/>
        <v>#NAME?</v>
      </c>
      <c r="E16" s="19" t="e">
        <f t="shared" ca="1" si="2"/>
        <v>#NAME?</v>
      </c>
      <c r="F16" s="19" t="e">
        <f t="shared" ca="1" si="2"/>
        <v>#NAME?</v>
      </c>
      <c r="G16" s="19" t="e">
        <f t="shared" ca="1" si="2"/>
        <v>#NAME?</v>
      </c>
      <c r="H16" s="19" t="e">
        <f t="shared" ca="1" si="2"/>
        <v>#NAME?</v>
      </c>
      <c r="I16" s="19" t="e">
        <f t="shared" ca="1" si="2"/>
        <v>#NAME?</v>
      </c>
      <c r="J16" s="19" t="e">
        <f t="shared" ca="1" si="2"/>
        <v>#NAME?</v>
      </c>
      <c r="K16" s="19" t="e">
        <f t="shared" ca="1" si="2"/>
        <v>#NAME?</v>
      </c>
      <c r="L16" s="19" t="e">
        <f t="shared" ca="1" si="2"/>
        <v>#NAME?</v>
      </c>
      <c r="M16" s="19" t="e">
        <f t="shared" ca="1" si="2"/>
        <v>#NAME?</v>
      </c>
      <c r="N16" s="19" t="e">
        <f t="shared" ca="1" si="2"/>
        <v>#NAME?</v>
      </c>
      <c r="O16" s="19" t="e">
        <f t="shared" ca="1" si="2"/>
        <v>#NAME?</v>
      </c>
      <c r="P16" s="19" t="e">
        <f t="shared" ca="1" si="2"/>
        <v>#NAME?</v>
      </c>
      <c r="Q16" s="19" t="e">
        <f t="shared" ca="1" si="2"/>
        <v>#NAME?</v>
      </c>
      <c r="R16" s="19" t="e">
        <f t="shared" ca="1" si="2"/>
        <v>#NAME?</v>
      </c>
      <c r="S16" s="19" t="e">
        <f t="shared" ca="1" si="2"/>
        <v>#NAME?</v>
      </c>
      <c r="T16" s="19" t="e">
        <f t="shared" ca="1" si="2"/>
        <v>#NAME?</v>
      </c>
      <c r="U16" s="19" t="e">
        <f t="shared" ca="1" si="2"/>
        <v>#NAME?</v>
      </c>
      <c r="V16" s="19" t="e">
        <f t="shared" ca="1" si="2"/>
        <v>#NAME?</v>
      </c>
      <c r="W16" s="19" t="e">
        <f t="shared" ca="1" si="2"/>
        <v>#NAME?</v>
      </c>
      <c r="X16" s="19" t="e">
        <f t="shared" ca="1" si="2"/>
        <v>#NAME?</v>
      </c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</row>
    <row r="17" spans="1:58" ht="15.75" customHeight="1" x14ac:dyDescent="0.25">
      <c r="A17" s="7" t="s">
        <v>30</v>
      </c>
      <c r="B17" s="17"/>
      <c r="C17" s="18" t="e">
        <f t="shared" ref="C17:X17" ca="1" si="3">(1-($C$1=C1))*(C15=1)</f>
        <v>#N/A</v>
      </c>
      <c r="D17" s="19" t="e">
        <f t="shared" ca="1" si="3"/>
        <v>#N/A</v>
      </c>
      <c r="E17" s="19" t="e">
        <f t="shared" ca="1" si="3"/>
        <v>#N/A</v>
      </c>
      <c r="F17" s="19" t="e">
        <f t="shared" ca="1" si="3"/>
        <v>#N/A</v>
      </c>
      <c r="G17" s="19" t="e">
        <f t="shared" ca="1" si="3"/>
        <v>#N/A</v>
      </c>
      <c r="H17" s="19" t="e">
        <f t="shared" ca="1" si="3"/>
        <v>#N/A</v>
      </c>
      <c r="I17" s="19" t="e">
        <f t="shared" ca="1" si="3"/>
        <v>#N/A</v>
      </c>
      <c r="J17" s="19" t="e">
        <f t="shared" ca="1" si="3"/>
        <v>#N/A</v>
      </c>
      <c r="K17" s="19" t="e">
        <f t="shared" ca="1" si="3"/>
        <v>#N/A</v>
      </c>
      <c r="L17" s="19" t="e">
        <f t="shared" ca="1" si="3"/>
        <v>#N/A</v>
      </c>
      <c r="M17" s="19" t="e">
        <f t="shared" ca="1" si="3"/>
        <v>#N/A</v>
      </c>
      <c r="N17" s="19" t="e">
        <f t="shared" ca="1" si="3"/>
        <v>#N/A</v>
      </c>
      <c r="O17" s="19" t="e">
        <f t="shared" ca="1" si="3"/>
        <v>#N/A</v>
      </c>
      <c r="P17" s="19" t="e">
        <f t="shared" ca="1" si="3"/>
        <v>#N/A</v>
      </c>
      <c r="Q17" s="19" t="e">
        <f t="shared" ca="1" si="3"/>
        <v>#N/A</v>
      </c>
      <c r="R17" s="19" t="e">
        <f t="shared" ca="1" si="3"/>
        <v>#N/A</v>
      </c>
      <c r="S17" s="19" t="e">
        <f t="shared" ca="1" si="3"/>
        <v>#N/A</v>
      </c>
      <c r="T17" s="19" t="e">
        <f t="shared" ca="1" si="3"/>
        <v>#N/A</v>
      </c>
      <c r="U17" s="19" t="e">
        <f t="shared" ca="1" si="3"/>
        <v>#N/A</v>
      </c>
      <c r="V17" s="19" t="e">
        <f t="shared" ca="1" si="3"/>
        <v>#N/A</v>
      </c>
      <c r="W17" s="19" t="e">
        <f t="shared" ca="1" si="3"/>
        <v>#N/A</v>
      </c>
      <c r="X17" s="19" t="e">
        <f t="shared" ca="1" si="3"/>
        <v>#N/A</v>
      </c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</row>
    <row r="18" spans="1:58" ht="15.75" customHeight="1" x14ac:dyDescent="0.25">
      <c r="A18" s="7"/>
      <c r="B18" s="17"/>
      <c r="C18" s="20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</row>
    <row r="19" spans="1:58" x14ac:dyDescent="0.3">
      <c r="A19" s="16" t="s">
        <v>31</v>
      </c>
      <c r="B19" s="17"/>
      <c r="C19" s="23" t="str">
        <f ca="1">IFERROR(__xludf.DUMMYFUNCTION("iferror(filter(D1:AP1,$D$17:$AP$17=1),"""")"),"C8300-2N2S-4T2X")</f>
        <v>C8300-2N2S-4T2X</v>
      </c>
      <c r="D19" s="24" t="str">
        <f ca="1">IFERROR(__xludf.DUMMYFUNCTION("""COMPUTED_VALUE"""),"C8500L-8S4X")</f>
        <v>C8500L-8S4X</v>
      </c>
      <c r="E19" s="24" t="str">
        <f ca="1">IFERROR(__xludf.DUMMYFUNCTION("""COMPUTED_VALUE"""),"C8500-12X")</f>
        <v>C8500-12X</v>
      </c>
      <c r="F19" s="24" t="str">
        <f ca="1">IFERROR(__xludf.DUMMYFUNCTION("""COMPUTED_VALUE"""),"C8500-12X4QC")</f>
        <v>C8500-12X4QC</v>
      </c>
      <c r="G19" s="24" t="str">
        <f ca="1">IFERROR(__xludf.DUMMYFUNCTION("""COMPUTED_VALUE"""),"C8500-20X6C")</f>
        <v>C8500-20X6C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</row>
    <row r="20" spans="1:58" ht="15.75" customHeight="1" x14ac:dyDescent="0.25">
      <c r="A20" s="7" t="str">
        <f t="shared" ref="A20:A23" si="4">A2</f>
        <v>Throughput (Mbps)</v>
      </c>
      <c r="B20" s="17"/>
      <c r="C20" s="18">
        <f ca="1">IFERROR(__xludf.DUMMYFUNCTION("iferror(filter(D2:AP2,$D$17:$AP$17=1),"""")"),18800)</f>
        <v>18800</v>
      </c>
      <c r="D20" s="19">
        <f ca="1">IFERROR(__xludf.DUMMYFUNCTION("""COMPUTED_VALUE"""),19000)</f>
        <v>19000</v>
      </c>
      <c r="E20" s="19">
        <f ca="1">IFERROR(__xludf.DUMMYFUNCTION("""COMPUTED_VALUE"""),51000)</f>
        <v>51000</v>
      </c>
      <c r="F20" s="19">
        <f ca="1">IFERROR(__xludf.DUMMYFUNCTION("""COMPUTED_VALUE"""),96000)</f>
        <v>96000</v>
      </c>
      <c r="G20" s="19">
        <f ca="1">IFERROR(__xludf.DUMMYFUNCTION("""COMPUTED_VALUE"""),350000)</f>
        <v>350000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</row>
    <row r="21" spans="1:58" ht="15.75" customHeight="1" x14ac:dyDescent="0.25">
      <c r="A21" s="7" t="str">
        <f t="shared" si="4"/>
        <v>Số lượng cổng WAN 1GE</v>
      </c>
      <c r="B21" s="17"/>
      <c r="C21" s="18">
        <f ca="1">IFERROR(__xludf.DUMMYFUNCTION("iferror(filter(D3:AP3,$D$17:$AP$17=1),"""")"),4)</f>
        <v>4</v>
      </c>
      <c r="D21" s="19">
        <f ca="1">IFERROR(__xludf.DUMMYFUNCTION("""COMPUTED_VALUE"""),8)</f>
        <v>8</v>
      </c>
      <c r="E21" s="19">
        <f ca="1">IFERROR(__xludf.DUMMYFUNCTION("""COMPUTED_VALUE"""),12)</f>
        <v>12</v>
      </c>
      <c r="F21" s="19">
        <f ca="1">IFERROR(__xludf.DUMMYFUNCTION("""COMPUTED_VALUE"""),12)</f>
        <v>12</v>
      </c>
      <c r="G21" s="19">
        <f ca="1">IFERROR(__xludf.DUMMYFUNCTION("""COMPUTED_VALUE"""),20)</f>
        <v>20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</row>
    <row r="22" spans="1:58" ht="12.5" x14ac:dyDescent="0.25">
      <c r="A22" s="7" t="str">
        <f t="shared" si="4"/>
        <v>Số lượng cổng WAN 10GE</v>
      </c>
      <c r="B22" s="17"/>
      <c r="C22" s="18">
        <f ca="1">IFERROR(__xludf.DUMMYFUNCTION("iferror(filter(D4:AP4,$D$17:$AP$17=1),"""")"),2)</f>
        <v>2</v>
      </c>
      <c r="D22" s="19">
        <f ca="1">IFERROR(__xludf.DUMMYFUNCTION("""COMPUTED_VALUE"""),4)</f>
        <v>4</v>
      </c>
      <c r="E22" s="19">
        <f ca="1">IFERROR(__xludf.DUMMYFUNCTION("""COMPUTED_VALUE"""),12)</f>
        <v>12</v>
      </c>
      <c r="F22" s="19">
        <f ca="1">IFERROR(__xludf.DUMMYFUNCTION("""COMPUTED_VALUE"""),12)</f>
        <v>12</v>
      </c>
      <c r="G22" s="19">
        <f ca="1">IFERROR(__xludf.DUMMYFUNCTION("""COMPUTED_VALUE"""),20)</f>
        <v>20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</row>
    <row r="23" spans="1:58" ht="12.5" x14ac:dyDescent="0.25">
      <c r="A23" s="7" t="str">
        <f t="shared" si="4"/>
        <v>Số lượng cổng LAN 1GE</v>
      </c>
      <c r="B23" s="17"/>
      <c r="C23" s="18">
        <f ca="1">IFERROR(__xludf.DUMMYFUNCTION("iferror(filter(D5:AP5,$D$17:$AP$17=1),"""")"),16)</f>
        <v>16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</row>
    <row r="24" spans="1:58" ht="12.5" x14ac:dyDescent="0.25">
      <c r="A24" s="7" t="s">
        <v>22</v>
      </c>
      <c r="B24" s="17"/>
      <c r="C24" s="18" t="str">
        <f ca="1">IFERROR(__xludf.DUMMYFUNCTION("iferror(filter(D11:AP11,$D$17:$AP$17=1),"""")"),"Mid Range")</f>
        <v>Mid Range</v>
      </c>
      <c r="D24" s="19" t="str">
        <f ca="1">IFERROR(__xludf.DUMMYFUNCTION("""COMPUTED_VALUE"""),"High End")</f>
        <v>High End</v>
      </c>
      <c r="E24" s="19" t="str">
        <f ca="1">IFERROR(__xludf.DUMMYFUNCTION("""COMPUTED_VALUE"""),"High End")</f>
        <v>High End</v>
      </c>
      <c r="F24" s="19" t="str">
        <f ca="1">IFERROR(__xludf.DUMMYFUNCTION("""COMPUTED_VALUE"""),"High End")</f>
        <v>High End</v>
      </c>
      <c r="G24" s="19" t="str">
        <f ca="1">IFERROR(__xludf.DUMMYFUNCTION("""COMPUTED_VALUE"""),"High End")</f>
        <v>High End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</row>
    <row r="25" spans="1:58" ht="12.5" x14ac:dyDescent="0.25">
      <c r="A25" s="7"/>
      <c r="B25" s="17"/>
      <c r="C25" s="20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</row>
    <row r="26" spans="1:58" ht="12.5" x14ac:dyDescent="0.25">
      <c r="A26" s="7"/>
      <c r="B26" s="17"/>
      <c r="C26" s="20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</row>
    <row r="27" spans="1:58" ht="12.5" x14ac:dyDescent="0.25">
      <c r="A27" s="7"/>
      <c r="B27" s="17"/>
      <c r="C27" s="20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</row>
    <row r="28" spans="1:58" ht="12.5" x14ac:dyDescent="0.25">
      <c r="A28" s="7"/>
      <c r="B28" s="17"/>
      <c r="C28" s="20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</row>
    <row r="29" spans="1:58" ht="12.5" x14ac:dyDescent="0.25">
      <c r="A29" s="7"/>
      <c r="B29" s="17"/>
      <c r="C29" s="2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</row>
    <row r="30" spans="1:58" ht="12.5" x14ac:dyDescent="0.25">
      <c r="A30" s="7"/>
      <c r="B30" s="17"/>
      <c r="C30" s="20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</row>
    <row r="31" spans="1:58" ht="12.5" x14ac:dyDescent="0.25">
      <c r="A31" s="7"/>
      <c r="B31" s="17"/>
      <c r="C31" s="20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</row>
    <row r="32" spans="1:58" ht="12.5" x14ac:dyDescent="0.25">
      <c r="A32" s="7"/>
      <c r="B32" s="17"/>
      <c r="C32" s="20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</row>
    <row r="33" spans="1:58" ht="12.5" x14ac:dyDescent="0.25">
      <c r="A33" s="7"/>
      <c r="B33" s="17"/>
      <c r="C33" s="20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</row>
    <row r="34" spans="1:58" ht="12.5" x14ac:dyDescent="0.25">
      <c r="A34" s="7"/>
      <c r="B34" s="17"/>
      <c r="C34" s="20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</row>
    <row r="35" spans="1:58" ht="12.5" x14ac:dyDescent="0.25">
      <c r="A35" s="7"/>
      <c r="B35" s="17"/>
      <c r="C35" s="20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</row>
    <row r="36" spans="1:58" ht="12.5" x14ac:dyDescent="0.25">
      <c r="A36" s="7"/>
      <c r="B36" s="17"/>
      <c r="C36" s="20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</row>
    <row r="37" spans="1:58" ht="12.5" x14ac:dyDescent="0.25">
      <c r="A37" s="7"/>
      <c r="B37" s="17"/>
      <c r="C37" s="20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</row>
    <row r="38" spans="1:58" ht="12.5" x14ac:dyDescent="0.25">
      <c r="A38" s="7"/>
      <c r="B38" s="17"/>
      <c r="C38" s="20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</row>
    <row r="39" spans="1:58" ht="12.5" x14ac:dyDescent="0.25">
      <c r="A39" s="7"/>
      <c r="B39" s="17"/>
      <c r="C39" s="2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</row>
    <row r="40" spans="1:58" ht="12.5" x14ac:dyDescent="0.25">
      <c r="A40" s="7"/>
      <c r="B40" s="17"/>
      <c r="C40" s="2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</row>
    <row r="41" spans="1:58" ht="12.5" x14ac:dyDescent="0.25">
      <c r="A41" s="7"/>
      <c r="B41" s="17"/>
      <c r="C41" s="20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</row>
    <row r="42" spans="1:58" ht="12.5" x14ac:dyDescent="0.25">
      <c r="A42" s="7"/>
      <c r="B42" s="17"/>
      <c r="C42" s="20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</row>
    <row r="43" spans="1:58" ht="12.5" x14ac:dyDescent="0.25">
      <c r="A43" s="7"/>
      <c r="B43" s="17"/>
      <c r="C43" s="2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</row>
    <row r="44" spans="1:58" ht="12.5" x14ac:dyDescent="0.25">
      <c r="A44" s="7"/>
      <c r="B44" s="17"/>
      <c r="C44" s="2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</row>
    <row r="45" spans="1:58" ht="12.5" x14ac:dyDescent="0.25">
      <c r="A45" s="7"/>
      <c r="B45" s="17"/>
      <c r="C45" s="20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</row>
    <row r="46" spans="1:58" ht="12.5" x14ac:dyDescent="0.25">
      <c r="A46" s="7"/>
      <c r="B46" s="17"/>
      <c r="C46" s="20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</row>
    <row r="47" spans="1:58" ht="12.5" x14ac:dyDescent="0.25">
      <c r="A47" s="7"/>
      <c r="B47" s="17"/>
      <c r="C47" s="20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</row>
    <row r="48" spans="1:58" ht="12.5" x14ac:dyDescent="0.25">
      <c r="A48" s="7"/>
      <c r="B48" s="17"/>
      <c r="C48" s="20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</row>
    <row r="49" spans="1:58" ht="12.5" x14ac:dyDescent="0.25">
      <c r="A49" s="7"/>
      <c r="B49" s="17"/>
      <c r="C49" s="20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</row>
    <row r="50" spans="1:58" ht="12.5" x14ac:dyDescent="0.25">
      <c r="A50" s="7"/>
      <c r="B50" s="17"/>
      <c r="C50" s="20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</row>
    <row r="51" spans="1:58" ht="12.5" x14ac:dyDescent="0.25">
      <c r="A51" s="7"/>
      <c r="B51" s="17"/>
      <c r="C51" s="2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</row>
    <row r="52" spans="1:58" ht="12.5" x14ac:dyDescent="0.25">
      <c r="A52" s="7"/>
      <c r="B52" s="17"/>
      <c r="C52" s="2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</row>
    <row r="53" spans="1:58" ht="12.5" x14ac:dyDescent="0.25">
      <c r="A53" s="7"/>
      <c r="B53" s="17"/>
      <c r="C53" s="20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</row>
    <row r="54" spans="1:58" ht="12.5" x14ac:dyDescent="0.25">
      <c r="A54" s="7"/>
      <c r="B54" s="17"/>
      <c r="C54" s="20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</row>
    <row r="55" spans="1:58" ht="12.5" x14ac:dyDescent="0.25">
      <c r="A55" s="7"/>
      <c r="B55" s="17"/>
      <c r="C55" s="2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</row>
    <row r="56" spans="1:58" ht="12.5" x14ac:dyDescent="0.25">
      <c r="A56" s="7"/>
      <c r="B56" s="17"/>
      <c r="C56" s="20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</row>
    <row r="57" spans="1:58" ht="12.5" x14ac:dyDescent="0.25">
      <c r="A57" s="7"/>
      <c r="B57" s="17"/>
      <c r="C57" s="20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</row>
    <row r="58" spans="1:58" ht="12.5" x14ac:dyDescent="0.25">
      <c r="A58" s="7"/>
      <c r="B58" s="17"/>
      <c r="C58" s="20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</row>
    <row r="59" spans="1:58" ht="12.5" x14ac:dyDescent="0.25">
      <c r="A59" s="7"/>
      <c r="B59" s="17"/>
      <c r="C59" s="20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</row>
    <row r="60" spans="1:58" ht="12.5" x14ac:dyDescent="0.25">
      <c r="A60" s="7"/>
      <c r="B60" s="17"/>
      <c r="C60" s="20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</row>
    <row r="61" spans="1:58" ht="12.5" x14ac:dyDescent="0.25">
      <c r="A61" s="7"/>
      <c r="B61" s="17"/>
      <c r="C61" s="20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</row>
    <row r="62" spans="1:58" ht="12.5" x14ac:dyDescent="0.25">
      <c r="A62" s="7"/>
      <c r="B62" s="17"/>
      <c r="C62" s="20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</row>
    <row r="63" spans="1:58" ht="12.5" x14ac:dyDescent="0.25">
      <c r="A63" s="7"/>
      <c r="B63" s="17"/>
      <c r="C63" s="20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</row>
    <row r="64" spans="1:58" ht="12.5" x14ac:dyDescent="0.25">
      <c r="A64" s="7"/>
      <c r="B64" s="17"/>
      <c r="C64" s="20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</row>
    <row r="65" spans="1:58" ht="12.5" x14ac:dyDescent="0.25">
      <c r="A65" s="7"/>
      <c r="B65" s="17"/>
      <c r="C65" s="20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</row>
    <row r="66" spans="1:58" ht="12.5" x14ac:dyDescent="0.25">
      <c r="A66" s="7"/>
      <c r="B66" s="17"/>
      <c r="C66" s="20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</row>
    <row r="67" spans="1:58" ht="12.5" x14ac:dyDescent="0.25">
      <c r="A67" s="7"/>
      <c r="B67" s="17"/>
      <c r="C67" s="20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</row>
    <row r="68" spans="1:58" ht="12.5" x14ac:dyDescent="0.25">
      <c r="A68" s="7"/>
      <c r="B68" s="17"/>
      <c r="C68" s="20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</row>
    <row r="69" spans="1:58" ht="12.5" x14ac:dyDescent="0.25">
      <c r="A69" s="7"/>
      <c r="B69" s="17"/>
      <c r="C69" s="20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</row>
    <row r="70" spans="1:58" ht="12.5" x14ac:dyDescent="0.25">
      <c r="A70" s="7"/>
      <c r="B70" s="17"/>
      <c r="C70" s="20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</row>
    <row r="71" spans="1:58" ht="12.5" x14ac:dyDescent="0.25">
      <c r="A71" s="7"/>
      <c r="B71" s="17"/>
      <c r="C71" s="20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</row>
    <row r="72" spans="1:58" ht="12.5" x14ac:dyDescent="0.25">
      <c r="A72" s="7"/>
      <c r="B72" s="17"/>
      <c r="C72" s="20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</row>
    <row r="73" spans="1:58" ht="12.5" x14ac:dyDescent="0.25">
      <c r="A73" s="7"/>
      <c r="B73" s="17"/>
      <c r="C73" s="20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</row>
    <row r="74" spans="1:58" ht="12.5" x14ac:dyDescent="0.25">
      <c r="A74" s="7"/>
      <c r="B74" s="17"/>
      <c r="C74" s="20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</row>
    <row r="75" spans="1:58" ht="12.5" x14ac:dyDescent="0.25">
      <c r="A75" s="7"/>
      <c r="B75" s="17"/>
      <c r="C75" s="20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</row>
    <row r="76" spans="1:58" ht="12.5" x14ac:dyDescent="0.25">
      <c r="A76" s="7"/>
      <c r="B76" s="17"/>
      <c r="C76" s="20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</row>
    <row r="77" spans="1:58" ht="12.5" x14ac:dyDescent="0.25">
      <c r="A77" s="7"/>
      <c r="B77" s="17"/>
      <c r="C77" s="20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</row>
    <row r="78" spans="1:58" ht="12.5" x14ac:dyDescent="0.25">
      <c r="A78" s="7"/>
      <c r="B78" s="17"/>
      <c r="C78" s="20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</row>
    <row r="79" spans="1:58" ht="12.5" x14ac:dyDescent="0.25">
      <c r="A79" s="7"/>
      <c r="B79" s="17"/>
      <c r="C79" s="20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</row>
    <row r="80" spans="1:58" ht="12.5" x14ac:dyDescent="0.25">
      <c r="A80" s="7"/>
      <c r="B80" s="17"/>
      <c r="C80" s="20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</row>
    <row r="81" spans="1:58" ht="12.5" x14ac:dyDescent="0.25">
      <c r="A81" s="7"/>
      <c r="B81" s="17"/>
      <c r="C81" s="20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</row>
    <row r="82" spans="1:58" ht="12.5" x14ac:dyDescent="0.25">
      <c r="A82" s="7"/>
      <c r="B82" s="17"/>
      <c r="C82" s="20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</row>
    <row r="83" spans="1:58" ht="12.5" x14ac:dyDescent="0.25">
      <c r="A83" s="7"/>
      <c r="B83" s="17"/>
      <c r="C83" s="20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</row>
    <row r="84" spans="1:58" ht="12.5" x14ac:dyDescent="0.25">
      <c r="A84" s="7"/>
      <c r="B84" s="17"/>
      <c r="C84" s="20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</row>
    <row r="85" spans="1:58" ht="12.5" x14ac:dyDescent="0.25">
      <c r="A85" s="7"/>
      <c r="B85" s="17"/>
      <c r="C85" s="20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</row>
    <row r="86" spans="1:58" ht="12.5" x14ac:dyDescent="0.25">
      <c r="A86" s="7"/>
      <c r="B86" s="17"/>
      <c r="C86" s="20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</row>
    <row r="87" spans="1:58" ht="12.5" x14ac:dyDescent="0.25">
      <c r="A87" s="7"/>
      <c r="B87" s="17"/>
      <c r="C87" s="20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</row>
    <row r="88" spans="1:58" ht="12.5" x14ac:dyDescent="0.25">
      <c r="A88" s="7"/>
      <c r="B88" s="17"/>
      <c r="C88" s="20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</row>
    <row r="89" spans="1:58" ht="12.5" x14ac:dyDescent="0.25">
      <c r="A89" s="7"/>
      <c r="B89" s="17"/>
      <c r="C89" s="20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</row>
    <row r="90" spans="1:58" ht="12.5" x14ac:dyDescent="0.25">
      <c r="A90" s="7"/>
      <c r="B90" s="17"/>
      <c r="C90" s="20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</row>
    <row r="91" spans="1:58" ht="12.5" x14ac:dyDescent="0.25">
      <c r="A91" s="7"/>
      <c r="B91" s="17"/>
      <c r="C91" s="20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</row>
    <row r="92" spans="1:58" ht="12.5" x14ac:dyDescent="0.25">
      <c r="A92" s="7"/>
      <c r="B92" s="17"/>
      <c r="C92" s="20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</row>
    <row r="93" spans="1:58" ht="12.5" x14ac:dyDescent="0.25">
      <c r="A93" s="7"/>
      <c r="B93" s="17"/>
      <c r="C93" s="20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</row>
    <row r="94" spans="1:58" ht="12.5" x14ac:dyDescent="0.25">
      <c r="A94" s="7"/>
      <c r="B94" s="17"/>
      <c r="C94" s="20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</row>
    <row r="95" spans="1:58" ht="12.5" x14ac:dyDescent="0.25">
      <c r="A95" s="7"/>
      <c r="B95" s="17"/>
      <c r="C95" s="20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</row>
    <row r="96" spans="1:58" ht="12.5" x14ac:dyDescent="0.25">
      <c r="A96" s="7"/>
      <c r="B96" s="17"/>
      <c r="C96" s="20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</row>
    <row r="97" spans="1:58" ht="12.5" x14ac:dyDescent="0.25">
      <c r="A97" s="7"/>
      <c r="B97" s="17"/>
      <c r="C97" s="20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</row>
    <row r="98" spans="1:58" ht="12.5" x14ac:dyDescent="0.25">
      <c r="A98" s="7"/>
      <c r="B98" s="17"/>
      <c r="C98" s="20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</row>
    <row r="99" spans="1:58" ht="12.5" x14ac:dyDescent="0.25">
      <c r="A99" s="7"/>
      <c r="B99" s="17"/>
      <c r="C99" s="20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</row>
    <row r="100" spans="1:58" ht="12.5" x14ac:dyDescent="0.25">
      <c r="A100" s="7"/>
      <c r="B100" s="17"/>
      <c r="C100" s="20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</row>
    <row r="101" spans="1:58" ht="12.5" x14ac:dyDescent="0.25">
      <c r="A101" s="7"/>
      <c r="B101" s="17"/>
      <c r="C101" s="20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</row>
    <row r="102" spans="1:58" ht="12.5" x14ac:dyDescent="0.25">
      <c r="A102" s="7"/>
      <c r="B102" s="17"/>
      <c r="C102" s="20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</row>
    <row r="103" spans="1:58" ht="12.5" x14ac:dyDescent="0.25">
      <c r="A103" s="7"/>
      <c r="B103" s="17"/>
      <c r="C103" s="20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</row>
    <row r="104" spans="1:58" ht="12.5" x14ac:dyDescent="0.25">
      <c r="A104" s="7"/>
      <c r="B104" s="17"/>
      <c r="C104" s="20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</row>
    <row r="105" spans="1:58" ht="12.5" x14ac:dyDescent="0.25">
      <c r="A105" s="7"/>
      <c r="B105" s="17"/>
      <c r="C105" s="20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</row>
    <row r="106" spans="1:58" ht="12.5" x14ac:dyDescent="0.25">
      <c r="A106" s="7"/>
      <c r="B106" s="17"/>
      <c r="C106" s="20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</row>
    <row r="107" spans="1:58" ht="12.5" x14ac:dyDescent="0.25">
      <c r="A107" s="7"/>
      <c r="B107" s="17"/>
      <c r="C107" s="20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</row>
    <row r="108" spans="1:58" ht="12.5" x14ac:dyDescent="0.25">
      <c r="A108" s="7"/>
      <c r="B108" s="17"/>
      <c r="C108" s="20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</row>
    <row r="109" spans="1:58" ht="12.5" x14ac:dyDescent="0.25">
      <c r="A109" s="7"/>
      <c r="B109" s="17"/>
      <c r="C109" s="20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</row>
    <row r="110" spans="1:58" ht="12.5" x14ac:dyDescent="0.25">
      <c r="A110" s="7"/>
      <c r="B110" s="17"/>
      <c r="C110" s="20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</row>
    <row r="111" spans="1:58" ht="12.5" x14ac:dyDescent="0.25">
      <c r="A111" s="7"/>
      <c r="B111" s="17"/>
      <c r="C111" s="20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</row>
    <row r="112" spans="1:58" ht="12.5" x14ac:dyDescent="0.25">
      <c r="A112" s="7"/>
      <c r="B112" s="17"/>
      <c r="C112" s="20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</row>
    <row r="113" spans="1:58" ht="12.5" x14ac:dyDescent="0.25">
      <c r="A113" s="7"/>
      <c r="B113" s="17"/>
      <c r="C113" s="20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</row>
    <row r="114" spans="1:58" ht="12.5" x14ac:dyDescent="0.25">
      <c r="A114" s="7"/>
      <c r="B114" s="17"/>
      <c r="C114" s="20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</row>
    <row r="115" spans="1:58" ht="12.5" x14ac:dyDescent="0.25">
      <c r="A115" s="7"/>
      <c r="B115" s="17"/>
      <c r="C115" s="20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</row>
    <row r="116" spans="1:58" ht="12.5" x14ac:dyDescent="0.25">
      <c r="A116" s="7"/>
      <c r="B116" s="17"/>
      <c r="C116" s="20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</row>
    <row r="117" spans="1:58" ht="12.5" x14ac:dyDescent="0.25">
      <c r="A117" s="7"/>
      <c r="B117" s="17"/>
      <c r="C117" s="20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</row>
    <row r="118" spans="1:58" ht="12.5" x14ac:dyDescent="0.25">
      <c r="A118" s="7"/>
      <c r="B118" s="17"/>
      <c r="C118" s="20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</row>
    <row r="119" spans="1:58" ht="12.5" x14ac:dyDescent="0.25">
      <c r="A119" s="7"/>
      <c r="B119" s="17"/>
      <c r="C119" s="20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</row>
    <row r="120" spans="1:58" ht="12.5" x14ac:dyDescent="0.25">
      <c r="A120" s="7"/>
      <c r="B120" s="17"/>
      <c r="C120" s="20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</row>
    <row r="121" spans="1:58" ht="12.5" x14ac:dyDescent="0.25">
      <c r="A121" s="7"/>
      <c r="B121" s="17"/>
      <c r="C121" s="20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</row>
    <row r="122" spans="1:58" ht="12.5" x14ac:dyDescent="0.25">
      <c r="A122" s="7"/>
      <c r="B122" s="17"/>
      <c r="C122" s="20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</row>
    <row r="123" spans="1:58" ht="12.5" x14ac:dyDescent="0.25">
      <c r="A123" s="7"/>
      <c r="B123" s="17"/>
      <c r="C123" s="20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</row>
    <row r="124" spans="1:58" ht="12.5" x14ac:dyDescent="0.25">
      <c r="A124" s="7"/>
      <c r="B124" s="17"/>
      <c r="C124" s="20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</row>
    <row r="125" spans="1:58" ht="12.5" x14ac:dyDescent="0.25">
      <c r="A125" s="7"/>
      <c r="B125" s="17"/>
      <c r="C125" s="20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</row>
    <row r="126" spans="1:58" ht="12.5" x14ac:dyDescent="0.25">
      <c r="A126" s="7"/>
      <c r="B126" s="17"/>
      <c r="C126" s="20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</row>
    <row r="127" spans="1:58" ht="12.5" x14ac:dyDescent="0.25">
      <c r="A127" s="7"/>
      <c r="B127" s="17"/>
      <c r="C127" s="20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</row>
    <row r="128" spans="1:58" ht="12.5" x14ac:dyDescent="0.25">
      <c r="A128" s="7"/>
      <c r="B128" s="17"/>
      <c r="C128" s="20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</row>
    <row r="129" spans="1:58" ht="12.5" x14ac:dyDescent="0.25">
      <c r="A129" s="7"/>
      <c r="B129" s="17"/>
      <c r="C129" s="20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</row>
    <row r="130" spans="1:58" ht="12.5" x14ac:dyDescent="0.25">
      <c r="A130" s="7"/>
      <c r="B130" s="17"/>
      <c r="C130" s="20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</row>
    <row r="131" spans="1:58" ht="12.5" x14ac:dyDescent="0.25">
      <c r="A131" s="7"/>
      <c r="B131" s="17"/>
      <c r="C131" s="20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</row>
    <row r="132" spans="1:58" ht="12.5" x14ac:dyDescent="0.25">
      <c r="A132" s="7"/>
      <c r="B132" s="17"/>
      <c r="C132" s="20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</row>
    <row r="133" spans="1:58" ht="12.5" x14ac:dyDescent="0.25">
      <c r="A133" s="7"/>
      <c r="B133" s="17"/>
      <c r="C133" s="20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</row>
    <row r="134" spans="1:58" ht="12.5" x14ac:dyDescent="0.25">
      <c r="A134" s="7"/>
      <c r="B134" s="17"/>
      <c r="C134" s="20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</row>
    <row r="135" spans="1:58" ht="12.5" x14ac:dyDescent="0.25">
      <c r="A135" s="7"/>
      <c r="B135" s="17"/>
      <c r="C135" s="20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</row>
    <row r="136" spans="1:58" ht="12.5" x14ac:dyDescent="0.25">
      <c r="A136" s="7"/>
      <c r="B136" s="17"/>
      <c r="C136" s="20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</row>
    <row r="137" spans="1:58" ht="12.5" x14ac:dyDescent="0.25">
      <c r="A137" s="7"/>
      <c r="B137" s="17"/>
      <c r="C137" s="20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</row>
    <row r="138" spans="1:58" ht="12.5" x14ac:dyDescent="0.25">
      <c r="A138" s="7"/>
      <c r="B138" s="17"/>
      <c r="C138" s="20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</row>
    <row r="139" spans="1:58" ht="12.5" x14ac:dyDescent="0.25">
      <c r="A139" s="7"/>
      <c r="B139" s="17"/>
      <c r="C139" s="20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</row>
    <row r="140" spans="1:58" ht="12.5" x14ac:dyDescent="0.25">
      <c r="A140" s="7"/>
      <c r="B140" s="17"/>
      <c r="C140" s="20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</row>
    <row r="141" spans="1:58" ht="12.5" x14ac:dyDescent="0.25">
      <c r="A141" s="7"/>
      <c r="B141" s="17"/>
      <c r="C141" s="20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</row>
    <row r="142" spans="1:58" ht="12.5" x14ac:dyDescent="0.25">
      <c r="A142" s="7"/>
      <c r="B142" s="17"/>
      <c r="C142" s="20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</row>
    <row r="143" spans="1:58" ht="12.5" x14ac:dyDescent="0.25">
      <c r="A143" s="7"/>
      <c r="B143" s="17"/>
      <c r="C143" s="20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</row>
    <row r="144" spans="1:58" ht="12.5" x14ac:dyDescent="0.25">
      <c r="A144" s="7"/>
      <c r="B144" s="17"/>
      <c r="C144" s="20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</row>
    <row r="145" spans="1:58" ht="12.5" x14ac:dyDescent="0.25">
      <c r="A145" s="7"/>
      <c r="B145" s="17"/>
      <c r="C145" s="20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</row>
    <row r="146" spans="1:58" ht="12.5" x14ac:dyDescent="0.25">
      <c r="A146" s="7"/>
      <c r="B146" s="17"/>
      <c r="C146" s="20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</row>
    <row r="147" spans="1:58" ht="12.5" x14ac:dyDescent="0.25">
      <c r="A147" s="7"/>
      <c r="B147" s="17"/>
      <c r="C147" s="20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</row>
    <row r="148" spans="1:58" ht="12.5" x14ac:dyDescent="0.25">
      <c r="A148" s="7"/>
      <c r="B148" s="17"/>
      <c r="C148" s="20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</row>
    <row r="149" spans="1:58" ht="12.5" x14ac:dyDescent="0.25">
      <c r="A149" s="7"/>
      <c r="B149" s="17"/>
      <c r="C149" s="20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</row>
    <row r="150" spans="1:58" ht="12.5" x14ac:dyDescent="0.25">
      <c r="A150" s="7"/>
      <c r="B150" s="17"/>
      <c r="C150" s="20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</row>
    <row r="151" spans="1:58" ht="12.5" x14ac:dyDescent="0.25">
      <c r="A151" s="7"/>
      <c r="B151" s="17"/>
      <c r="C151" s="20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</row>
    <row r="152" spans="1:58" ht="12.5" x14ac:dyDescent="0.25">
      <c r="A152" s="7"/>
      <c r="B152" s="17"/>
      <c r="C152" s="20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</row>
    <row r="153" spans="1:58" ht="12.5" x14ac:dyDescent="0.25">
      <c r="A153" s="7"/>
      <c r="B153" s="17"/>
      <c r="C153" s="20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</row>
    <row r="154" spans="1:58" ht="12.5" x14ac:dyDescent="0.25">
      <c r="A154" s="7"/>
      <c r="B154" s="17"/>
      <c r="C154" s="20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</row>
    <row r="155" spans="1:58" ht="12.5" x14ac:dyDescent="0.25">
      <c r="A155" s="7"/>
      <c r="B155" s="17"/>
      <c r="C155" s="20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</row>
    <row r="156" spans="1:58" ht="12.5" x14ac:dyDescent="0.25">
      <c r="A156" s="7"/>
      <c r="B156" s="17"/>
      <c r="C156" s="20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</row>
    <row r="157" spans="1:58" ht="12.5" x14ac:dyDescent="0.25">
      <c r="A157" s="7"/>
      <c r="B157" s="17"/>
      <c r="C157" s="20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</row>
    <row r="158" spans="1:58" ht="12.5" x14ac:dyDescent="0.25">
      <c r="A158" s="7"/>
      <c r="B158" s="17"/>
      <c r="C158" s="20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</row>
    <row r="159" spans="1:58" ht="12.5" x14ac:dyDescent="0.25">
      <c r="A159" s="7"/>
      <c r="B159" s="17"/>
      <c r="C159" s="20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</row>
    <row r="160" spans="1:58" ht="12.5" x14ac:dyDescent="0.25">
      <c r="A160" s="7"/>
      <c r="B160" s="17"/>
      <c r="C160" s="20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</row>
    <row r="161" spans="1:58" ht="12.5" x14ac:dyDescent="0.25">
      <c r="A161" s="7"/>
      <c r="B161" s="17"/>
      <c r="C161" s="20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</row>
    <row r="162" spans="1:58" ht="12.5" x14ac:dyDescent="0.25">
      <c r="A162" s="7"/>
      <c r="B162" s="17"/>
      <c r="C162" s="20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</row>
    <row r="163" spans="1:58" ht="12.5" x14ac:dyDescent="0.25">
      <c r="A163" s="7"/>
      <c r="B163" s="17"/>
      <c r="C163" s="20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</row>
    <row r="164" spans="1:58" ht="12.5" x14ac:dyDescent="0.25">
      <c r="A164" s="7"/>
      <c r="B164" s="17"/>
      <c r="C164" s="20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</row>
    <row r="165" spans="1:58" ht="12.5" x14ac:dyDescent="0.25">
      <c r="A165" s="7"/>
      <c r="B165" s="17"/>
      <c r="C165" s="20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</row>
    <row r="166" spans="1:58" ht="12.5" x14ac:dyDescent="0.25">
      <c r="A166" s="7"/>
      <c r="B166" s="17"/>
      <c r="C166" s="20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</row>
    <row r="167" spans="1:58" ht="12.5" x14ac:dyDescent="0.25">
      <c r="A167" s="7"/>
      <c r="B167" s="17"/>
      <c r="C167" s="20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</row>
    <row r="168" spans="1:58" ht="12.5" x14ac:dyDescent="0.25">
      <c r="A168" s="7"/>
      <c r="B168" s="17"/>
      <c r="C168" s="20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</row>
    <row r="169" spans="1:58" ht="12.5" x14ac:dyDescent="0.25">
      <c r="A169" s="7"/>
      <c r="B169" s="17"/>
      <c r="C169" s="20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</row>
    <row r="170" spans="1:58" ht="12.5" x14ac:dyDescent="0.25">
      <c r="A170" s="7"/>
      <c r="B170" s="17"/>
      <c r="C170" s="20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</row>
    <row r="171" spans="1:58" ht="12.5" x14ac:dyDescent="0.25">
      <c r="A171" s="7"/>
      <c r="B171" s="17"/>
      <c r="C171" s="20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</row>
    <row r="172" spans="1:58" ht="12.5" x14ac:dyDescent="0.25">
      <c r="A172" s="7"/>
      <c r="B172" s="17"/>
      <c r="C172" s="20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</row>
    <row r="173" spans="1:58" ht="12.5" x14ac:dyDescent="0.25">
      <c r="A173" s="7"/>
      <c r="B173" s="17"/>
      <c r="C173" s="20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</row>
    <row r="174" spans="1:58" ht="12.5" x14ac:dyDescent="0.25">
      <c r="A174" s="7"/>
      <c r="B174" s="17"/>
      <c r="C174" s="20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</row>
    <row r="175" spans="1:58" ht="12.5" x14ac:dyDescent="0.25">
      <c r="A175" s="7"/>
      <c r="B175" s="17"/>
      <c r="C175" s="20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</row>
    <row r="176" spans="1:58" ht="12.5" x14ac:dyDescent="0.25">
      <c r="A176" s="7"/>
      <c r="B176" s="17"/>
      <c r="C176" s="20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</row>
    <row r="177" spans="1:58" ht="12.5" x14ac:dyDescent="0.25">
      <c r="A177" s="7"/>
      <c r="B177" s="17"/>
      <c r="C177" s="20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</row>
    <row r="178" spans="1:58" ht="12.5" x14ac:dyDescent="0.25">
      <c r="A178" s="7"/>
      <c r="B178" s="17"/>
      <c r="C178" s="20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</row>
    <row r="179" spans="1:58" ht="12.5" x14ac:dyDescent="0.25">
      <c r="A179" s="7"/>
      <c r="B179" s="17"/>
      <c r="C179" s="20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</row>
    <row r="180" spans="1:58" ht="12.5" x14ac:dyDescent="0.25">
      <c r="A180" s="7"/>
      <c r="B180" s="17"/>
      <c r="C180" s="20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</row>
    <row r="181" spans="1:58" ht="12.5" x14ac:dyDescent="0.25">
      <c r="A181" s="7"/>
      <c r="B181" s="17"/>
      <c r="C181" s="20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</row>
    <row r="182" spans="1:58" ht="12.5" x14ac:dyDescent="0.25">
      <c r="A182" s="7"/>
      <c r="B182" s="17"/>
      <c r="C182" s="20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</row>
    <row r="183" spans="1:58" ht="12.5" x14ac:dyDescent="0.25">
      <c r="A183" s="7"/>
      <c r="B183" s="17"/>
      <c r="C183" s="20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</row>
    <row r="184" spans="1:58" ht="12.5" x14ac:dyDescent="0.25">
      <c r="A184" s="7"/>
      <c r="B184" s="17"/>
      <c r="C184" s="20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</row>
    <row r="185" spans="1:58" ht="12.5" x14ac:dyDescent="0.25">
      <c r="A185" s="7"/>
      <c r="B185" s="17"/>
      <c r="C185" s="20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</row>
    <row r="186" spans="1:58" ht="12.5" x14ac:dyDescent="0.25">
      <c r="A186" s="7"/>
      <c r="B186" s="17"/>
      <c r="C186" s="20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</row>
    <row r="187" spans="1:58" ht="12.5" x14ac:dyDescent="0.25">
      <c r="A187" s="7"/>
      <c r="B187" s="17"/>
      <c r="C187" s="20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</row>
    <row r="188" spans="1:58" ht="12.5" x14ac:dyDescent="0.25">
      <c r="A188" s="7"/>
      <c r="B188" s="17"/>
      <c r="C188" s="20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</row>
    <row r="189" spans="1:58" ht="12.5" x14ac:dyDescent="0.25">
      <c r="A189" s="7"/>
      <c r="B189" s="17"/>
      <c r="C189" s="20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</row>
    <row r="190" spans="1:58" ht="12.5" x14ac:dyDescent="0.25">
      <c r="A190" s="7"/>
      <c r="B190" s="17"/>
      <c r="C190" s="20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</row>
    <row r="191" spans="1:58" ht="12.5" x14ac:dyDescent="0.25">
      <c r="A191" s="7"/>
      <c r="B191" s="17"/>
      <c r="C191" s="20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</row>
    <row r="192" spans="1:58" ht="12.5" x14ac:dyDescent="0.25">
      <c r="A192" s="7"/>
      <c r="B192" s="17"/>
      <c r="C192" s="20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</row>
    <row r="193" spans="1:58" ht="12.5" x14ac:dyDescent="0.25">
      <c r="A193" s="7"/>
      <c r="B193" s="17"/>
      <c r="C193" s="20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</row>
    <row r="194" spans="1:58" ht="12.5" x14ac:dyDescent="0.25">
      <c r="A194" s="7"/>
      <c r="B194" s="17"/>
      <c r="C194" s="20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</row>
    <row r="195" spans="1:58" ht="12.5" x14ac:dyDescent="0.25">
      <c r="A195" s="7"/>
      <c r="B195" s="17"/>
      <c r="C195" s="20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</row>
    <row r="196" spans="1:58" ht="12.5" x14ac:dyDescent="0.25">
      <c r="A196" s="7"/>
      <c r="B196" s="17"/>
      <c r="C196" s="20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</row>
    <row r="197" spans="1:58" ht="12.5" x14ac:dyDescent="0.25">
      <c r="A197" s="7"/>
      <c r="B197" s="17"/>
      <c r="C197" s="20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</row>
    <row r="198" spans="1:58" ht="12.5" x14ac:dyDescent="0.25">
      <c r="A198" s="7"/>
      <c r="B198" s="17"/>
      <c r="C198" s="20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</row>
    <row r="199" spans="1:58" ht="12.5" x14ac:dyDescent="0.25">
      <c r="A199" s="7"/>
      <c r="B199" s="17"/>
      <c r="C199" s="20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</row>
    <row r="200" spans="1:58" ht="12.5" x14ac:dyDescent="0.25">
      <c r="A200" s="7"/>
      <c r="B200" s="17"/>
      <c r="C200" s="20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</row>
    <row r="201" spans="1:58" ht="12.5" x14ac:dyDescent="0.25">
      <c r="A201" s="7"/>
      <c r="B201" s="17"/>
      <c r="C201" s="20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</row>
    <row r="202" spans="1:58" ht="12.5" x14ac:dyDescent="0.25">
      <c r="A202" s="7"/>
      <c r="B202" s="17"/>
      <c r="C202" s="20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</row>
    <row r="203" spans="1:58" ht="12.5" x14ac:dyDescent="0.25">
      <c r="A203" s="7"/>
      <c r="B203" s="17"/>
      <c r="C203" s="20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</row>
    <row r="204" spans="1:58" ht="12.5" x14ac:dyDescent="0.25">
      <c r="A204" s="7"/>
      <c r="B204" s="17"/>
      <c r="C204" s="20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</row>
    <row r="205" spans="1:58" ht="12.5" x14ac:dyDescent="0.25">
      <c r="A205" s="7"/>
      <c r="B205" s="17"/>
      <c r="C205" s="20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</row>
    <row r="206" spans="1:58" ht="12.5" x14ac:dyDescent="0.25">
      <c r="A206" s="7"/>
      <c r="B206" s="17"/>
      <c r="C206" s="20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</row>
    <row r="207" spans="1:58" ht="12.5" x14ac:dyDescent="0.25">
      <c r="A207" s="7"/>
      <c r="B207" s="17"/>
      <c r="C207" s="20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</row>
    <row r="208" spans="1:58" ht="12.5" x14ac:dyDescent="0.25">
      <c r="A208" s="7"/>
      <c r="B208" s="17"/>
      <c r="C208" s="20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</row>
    <row r="209" spans="1:58" ht="12.5" x14ac:dyDescent="0.25">
      <c r="A209" s="7"/>
      <c r="B209" s="17"/>
      <c r="C209" s="20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</row>
    <row r="210" spans="1:58" ht="12.5" x14ac:dyDescent="0.25">
      <c r="A210" s="7"/>
      <c r="B210" s="17"/>
      <c r="C210" s="20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</row>
    <row r="211" spans="1:58" ht="12.5" x14ac:dyDescent="0.25">
      <c r="A211" s="7"/>
      <c r="B211" s="17"/>
      <c r="C211" s="20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</row>
    <row r="212" spans="1:58" ht="12.5" x14ac:dyDescent="0.25">
      <c r="A212" s="7"/>
      <c r="B212" s="17"/>
      <c r="C212" s="20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</row>
    <row r="213" spans="1:58" ht="12.5" x14ac:dyDescent="0.25">
      <c r="A213" s="7"/>
      <c r="B213" s="17"/>
      <c r="C213" s="20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</row>
    <row r="214" spans="1:58" ht="12.5" x14ac:dyDescent="0.25">
      <c r="A214" s="7"/>
      <c r="B214" s="17"/>
      <c r="C214" s="20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</row>
    <row r="215" spans="1:58" ht="12.5" x14ac:dyDescent="0.25">
      <c r="A215" s="7"/>
      <c r="B215" s="17"/>
      <c r="C215" s="20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</row>
    <row r="216" spans="1:58" ht="12.5" x14ac:dyDescent="0.25">
      <c r="A216" s="7"/>
      <c r="B216" s="17"/>
      <c r="C216" s="20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</row>
    <row r="217" spans="1:58" ht="12.5" x14ac:dyDescent="0.25">
      <c r="A217" s="7"/>
      <c r="B217" s="17"/>
      <c r="C217" s="20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</row>
    <row r="218" spans="1:58" ht="12.5" x14ac:dyDescent="0.25">
      <c r="A218" s="7"/>
      <c r="B218" s="17"/>
      <c r="C218" s="20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</row>
    <row r="219" spans="1:58" ht="12.5" x14ac:dyDescent="0.25">
      <c r="A219" s="7"/>
      <c r="B219" s="17"/>
      <c r="C219" s="20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</row>
    <row r="220" spans="1:58" ht="12.5" x14ac:dyDescent="0.25">
      <c r="A220" s="7"/>
      <c r="B220" s="17"/>
      <c r="C220" s="20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</row>
    <row r="221" spans="1:58" ht="12.5" x14ac:dyDescent="0.25">
      <c r="A221" s="7"/>
      <c r="B221" s="17"/>
      <c r="C221" s="20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</row>
    <row r="222" spans="1:58" ht="12.5" x14ac:dyDescent="0.25">
      <c r="A222" s="7"/>
      <c r="B222" s="17"/>
      <c r="C222" s="20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</row>
    <row r="223" spans="1:58" ht="12.5" x14ac:dyDescent="0.25">
      <c r="A223" s="7"/>
      <c r="B223" s="17"/>
      <c r="C223" s="20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</row>
    <row r="224" spans="1:58" ht="12.5" x14ac:dyDescent="0.25">
      <c r="A224" s="7"/>
      <c r="B224" s="17"/>
      <c r="C224" s="20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</row>
    <row r="225" spans="1:58" ht="12.5" x14ac:dyDescent="0.25">
      <c r="A225" s="7"/>
      <c r="B225" s="17"/>
      <c r="C225" s="20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</row>
    <row r="226" spans="1:58" ht="12.5" x14ac:dyDescent="0.25">
      <c r="A226" s="7"/>
      <c r="B226" s="17"/>
      <c r="C226" s="20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</row>
    <row r="227" spans="1:58" ht="12.5" x14ac:dyDescent="0.25">
      <c r="A227" s="7"/>
      <c r="B227" s="17"/>
      <c r="C227" s="20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</row>
    <row r="228" spans="1:58" ht="12.5" x14ac:dyDescent="0.25">
      <c r="A228" s="7"/>
      <c r="B228" s="17"/>
      <c r="C228" s="20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</row>
    <row r="229" spans="1:58" ht="12.5" x14ac:dyDescent="0.25">
      <c r="A229" s="7"/>
      <c r="B229" s="17"/>
      <c r="C229" s="20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</row>
    <row r="230" spans="1:58" ht="12.5" x14ac:dyDescent="0.25">
      <c r="A230" s="7"/>
      <c r="B230" s="17"/>
      <c r="C230" s="20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</row>
    <row r="231" spans="1:58" ht="12.5" x14ac:dyDescent="0.25">
      <c r="A231" s="7"/>
      <c r="B231" s="17"/>
      <c r="C231" s="20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</row>
    <row r="232" spans="1:58" ht="12.5" x14ac:dyDescent="0.25">
      <c r="A232" s="7"/>
      <c r="B232" s="17"/>
      <c r="C232" s="20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</row>
    <row r="233" spans="1:58" ht="12.5" x14ac:dyDescent="0.25">
      <c r="A233" s="7"/>
      <c r="B233" s="17"/>
      <c r="C233" s="20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</row>
    <row r="234" spans="1:58" ht="12.5" x14ac:dyDescent="0.25">
      <c r="A234" s="7"/>
      <c r="B234" s="17"/>
      <c r="C234" s="20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</row>
    <row r="235" spans="1:58" ht="12.5" x14ac:dyDescent="0.25">
      <c r="A235" s="7"/>
      <c r="B235" s="17"/>
      <c r="C235" s="20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</row>
    <row r="236" spans="1:58" ht="12.5" x14ac:dyDescent="0.25">
      <c r="A236" s="7"/>
      <c r="B236" s="17"/>
      <c r="C236" s="20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</row>
    <row r="237" spans="1:58" ht="12.5" x14ac:dyDescent="0.25">
      <c r="A237" s="7"/>
      <c r="B237" s="17"/>
      <c r="C237" s="2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</row>
    <row r="238" spans="1:58" ht="12.5" x14ac:dyDescent="0.25">
      <c r="A238" s="7"/>
      <c r="B238" s="17"/>
      <c r="C238" s="20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</row>
    <row r="239" spans="1:58" ht="12.5" x14ac:dyDescent="0.25">
      <c r="A239" s="7"/>
      <c r="B239" s="17"/>
      <c r="C239" s="20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</row>
    <row r="240" spans="1:58" ht="12.5" x14ac:dyDescent="0.25">
      <c r="A240" s="7"/>
      <c r="B240" s="17"/>
      <c r="C240" s="20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</row>
    <row r="241" spans="1:58" ht="12.5" x14ac:dyDescent="0.25">
      <c r="A241" s="7"/>
      <c r="B241" s="17"/>
      <c r="C241" s="20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</row>
    <row r="242" spans="1:58" ht="12.5" x14ac:dyDescent="0.25">
      <c r="A242" s="7"/>
      <c r="B242" s="17"/>
      <c r="C242" s="20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</row>
    <row r="243" spans="1:58" ht="12.5" x14ac:dyDescent="0.25">
      <c r="A243" s="7"/>
      <c r="B243" s="17"/>
      <c r="C243" s="20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</row>
    <row r="244" spans="1:58" ht="12.5" x14ac:dyDescent="0.25">
      <c r="A244" s="7"/>
      <c r="B244" s="17"/>
      <c r="C244" s="20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</row>
    <row r="245" spans="1:58" ht="12.5" x14ac:dyDescent="0.25">
      <c r="A245" s="7"/>
      <c r="B245" s="17"/>
      <c r="C245" s="20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</row>
    <row r="246" spans="1:58" ht="12.5" x14ac:dyDescent="0.25">
      <c r="A246" s="7"/>
      <c r="B246" s="17"/>
      <c r="C246" s="20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</row>
    <row r="247" spans="1:58" ht="12.5" x14ac:dyDescent="0.25">
      <c r="A247" s="7"/>
      <c r="B247" s="17"/>
      <c r="C247" s="20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</row>
    <row r="248" spans="1:58" ht="12.5" x14ac:dyDescent="0.25">
      <c r="A248" s="7"/>
      <c r="B248" s="17"/>
      <c r="C248" s="20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</row>
    <row r="249" spans="1:58" ht="12.5" x14ac:dyDescent="0.25">
      <c r="A249" s="7"/>
      <c r="B249" s="17"/>
      <c r="C249" s="20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</row>
    <row r="250" spans="1:58" ht="12.5" x14ac:dyDescent="0.25">
      <c r="A250" s="7"/>
      <c r="B250" s="17"/>
      <c r="C250" s="20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</row>
    <row r="251" spans="1:58" ht="12.5" x14ac:dyDescent="0.25">
      <c r="A251" s="7"/>
      <c r="B251" s="17"/>
      <c r="C251" s="20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</row>
    <row r="252" spans="1:58" ht="12.5" x14ac:dyDescent="0.25">
      <c r="A252" s="7"/>
      <c r="B252" s="17"/>
      <c r="C252" s="20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</row>
    <row r="253" spans="1:58" ht="12.5" x14ac:dyDescent="0.25">
      <c r="A253" s="7"/>
      <c r="B253" s="17"/>
      <c r="C253" s="20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</row>
    <row r="254" spans="1:58" ht="12.5" x14ac:dyDescent="0.25">
      <c r="A254" s="7"/>
      <c r="B254" s="17"/>
      <c r="C254" s="20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</row>
    <row r="255" spans="1:58" ht="12.5" x14ac:dyDescent="0.25">
      <c r="A255" s="7"/>
      <c r="B255" s="17"/>
      <c r="C255" s="20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</row>
    <row r="256" spans="1:58" ht="12.5" x14ac:dyDescent="0.25">
      <c r="A256" s="7"/>
      <c r="B256" s="17"/>
      <c r="C256" s="20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</row>
    <row r="257" spans="1:58" ht="12.5" x14ac:dyDescent="0.25">
      <c r="A257" s="7"/>
      <c r="B257" s="17"/>
      <c r="C257" s="20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</row>
    <row r="258" spans="1:58" ht="12.5" x14ac:dyDescent="0.25">
      <c r="A258" s="7"/>
      <c r="B258" s="17"/>
      <c r="C258" s="20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</row>
    <row r="259" spans="1:58" ht="12.5" x14ac:dyDescent="0.25">
      <c r="A259" s="7"/>
      <c r="B259" s="17"/>
      <c r="C259" s="20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</row>
    <row r="260" spans="1:58" ht="12.5" x14ac:dyDescent="0.25">
      <c r="A260" s="7"/>
      <c r="B260" s="17"/>
      <c r="C260" s="20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</row>
    <row r="261" spans="1:58" ht="12.5" x14ac:dyDescent="0.25">
      <c r="A261" s="7"/>
      <c r="B261" s="17"/>
      <c r="C261" s="20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</row>
    <row r="262" spans="1:58" ht="12.5" x14ac:dyDescent="0.25">
      <c r="A262" s="7"/>
      <c r="B262" s="17"/>
      <c r="C262" s="20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</row>
    <row r="263" spans="1:58" ht="12.5" x14ac:dyDescent="0.25">
      <c r="A263" s="7"/>
      <c r="B263" s="17"/>
      <c r="C263" s="20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</row>
    <row r="264" spans="1:58" ht="12.5" x14ac:dyDescent="0.25">
      <c r="A264" s="7"/>
      <c r="B264" s="17"/>
      <c r="C264" s="20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</row>
    <row r="265" spans="1:58" ht="12.5" x14ac:dyDescent="0.25">
      <c r="A265" s="7"/>
      <c r="B265" s="17"/>
      <c r="C265" s="20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</row>
    <row r="266" spans="1:58" ht="12.5" x14ac:dyDescent="0.25">
      <c r="A266" s="7"/>
      <c r="B266" s="17"/>
      <c r="C266" s="20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</row>
    <row r="267" spans="1:58" ht="12.5" x14ac:dyDescent="0.25">
      <c r="A267" s="7"/>
      <c r="B267" s="17"/>
      <c r="C267" s="20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</row>
    <row r="268" spans="1:58" ht="12.5" x14ac:dyDescent="0.25">
      <c r="A268" s="7"/>
      <c r="B268" s="17"/>
      <c r="C268" s="20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</row>
    <row r="269" spans="1:58" ht="12.5" x14ac:dyDescent="0.25">
      <c r="A269" s="7"/>
      <c r="B269" s="17"/>
      <c r="C269" s="20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</row>
    <row r="270" spans="1:58" ht="12.5" x14ac:dyDescent="0.25">
      <c r="A270" s="7"/>
      <c r="B270" s="17"/>
      <c r="C270" s="20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</row>
    <row r="271" spans="1:58" ht="12.5" x14ac:dyDescent="0.25">
      <c r="A271" s="7"/>
      <c r="B271" s="17"/>
      <c r="C271" s="20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</row>
    <row r="272" spans="1:58" ht="12.5" x14ac:dyDescent="0.25">
      <c r="A272" s="7"/>
      <c r="B272" s="17"/>
      <c r="C272" s="20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</row>
    <row r="273" spans="1:58" ht="12.5" x14ac:dyDescent="0.25">
      <c r="A273" s="7"/>
      <c r="B273" s="17"/>
      <c r="C273" s="20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</row>
    <row r="274" spans="1:58" ht="12.5" x14ac:dyDescent="0.25">
      <c r="A274" s="7"/>
      <c r="B274" s="17"/>
      <c r="C274" s="20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</row>
    <row r="275" spans="1:58" ht="12.5" x14ac:dyDescent="0.25">
      <c r="A275" s="7"/>
      <c r="B275" s="17"/>
      <c r="C275" s="20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</row>
    <row r="276" spans="1:58" ht="12.5" x14ac:dyDescent="0.25">
      <c r="A276" s="7"/>
      <c r="B276" s="17"/>
      <c r="C276" s="20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</row>
    <row r="277" spans="1:58" ht="12.5" x14ac:dyDescent="0.25">
      <c r="A277" s="7"/>
      <c r="B277" s="17"/>
      <c r="C277" s="20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</row>
    <row r="278" spans="1:58" ht="12.5" x14ac:dyDescent="0.25">
      <c r="A278" s="7"/>
      <c r="B278" s="17"/>
      <c r="C278" s="20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</row>
    <row r="279" spans="1:58" ht="12.5" x14ac:dyDescent="0.25">
      <c r="A279" s="7"/>
      <c r="B279" s="17"/>
      <c r="C279" s="20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</row>
    <row r="280" spans="1:58" ht="12.5" x14ac:dyDescent="0.25">
      <c r="A280" s="7"/>
      <c r="B280" s="17"/>
      <c r="C280" s="20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</row>
    <row r="281" spans="1:58" ht="12.5" x14ac:dyDescent="0.25">
      <c r="A281" s="7"/>
      <c r="B281" s="17"/>
      <c r="C281" s="20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</row>
    <row r="282" spans="1:58" ht="12.5" x14ac:dyDescent="0.25">
      <c r="A282" s="7"/>
      <c r="B282" s="17"/>
      <c r="C282" s="20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</row>
    <row r="283" spans="1:58" ht="12.5" x14ac:dyDescent="0.25">
      <c r="A283" s="7"/>
      <c r="B283" s="17"/>
      <c r="C283" s="20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</row>
    <row r="284" spans="1:58" ht="12.5" x14ac:dyDescent="0.25">
      <c r="A284" s="7"/>
      <c r="B284" s="17"/>
      <c r="C284" s="20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</row>
    <row r="285" spans="1:58" ht="12.5" x14ac:dyDescent="0.25">
      <c r="A285" s="7"/>
      <c r="B285" s="17"/>
      <c r="C285" s="20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</row>
    <row r="286" spans="1:58" ht="12.5" x14ac:dyDescent="0.25">
      <c r="A286" s="7"/>
      <c r="B286" s="17"/>
      <c r="C286" s="20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</row>
    <row r="287" spans="1:58" ht="12.5" x14ac:dyDescent="0.25">
      <c r="A287" s="7"/>
      <c r="B287" s="17"/>
      <c r="C287" s="20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</row>
    <row r="288" spans="1:58" ht="12.5" x14ac:dyDescent="0.25">
      <c r="A288" s="7"/>
      <c r="B288" s="17"/>
      <c r="C288" s="20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</row>
    <row r="289" spans="1:58" ht="12.5" x14ac:dyDescent="0.25">
      <c r="A289" s="7"/>
      <c r="B289" s="17"/>
      <c r="C289" s="20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</row>
    <row r="290" spans="1:58" ht="12.5" x14ac:dyDescent="0.25">
      <c r="A290" s="7"/>
      <c r="B290" s="17"/>
      <c r="C290" s="20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</row>
    <row r="291" spans="1:58" ht="12.5" x14ac:dyDescent="0.25">
      <c r="A291" s="7"/>
      <c r="B291" s="17"/>
      <c r="C291" s="20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</row>
    <row r="292" spans="1:58" ht="12.5" x14ac:dyDescent="0.25">
      <c r="A292" s="7"/>
      <c r="B292" s="17"/>
      <c r="C292" s="20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</row>
    <row r="293" spans="1:58" ht="12.5" x14ac:dyDescent="0.25">
      <c r="A293" s="7"/>
      <c r="B293" s="17"/>
      <c r="C293" s="20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</row>
    <row r="294" spans="1:58" ht="12.5" x14ac:dyDescent="0.25">
      <c r="A294" s="7"/>
      <c r="B294" s="17"/>
      <c r="C294" s="20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</row>
    <row r="295" spans="1:58" ht="12.5" x14ac:dyDescent="0.25">
      <c r="A295" s="7"/>
      <c r="B295" s="17"/>
      <c r="C295" s="20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</row>
    <row r="296" spans="1:58" ht="12.5" x14ac:dyDescent="0.25">
      <c r="A296" s="7"/>
      <c r="B296" s="17"/>
      <c r="C296" s="20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</row>
    <row r="297" spans="1:58" ht="12.5" x14ac:dyDescent="0.25">
      <c r="A297" s="7"/>
      <c r="B297" s="17"/>
      <c r="C297" s="20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</row>
    <row r="298" spans="1:58" ht="12.5" x14ac:dyDescent="0.25">
      <c r="A298" s="7"/>
      <c r="B298" s="17"/>
      <c r="C298" s="20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</row>
    <row r="299" spans="1:58" ht="12.5" x14ac:dyDescent="0.25">
      <c r="A299" s="7"/>
      <c r="B299" s="17"/>
      <c r="C299" s="20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</row>
    <row r="300" spans="1:58" ht="12.5" x14ac:dyDescent="0.25">
      <c r="A300" s="7"/>
      <c r="B300" s="17"/>
      <c r="C300" s="20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</row>
    <row r="301" spans="1:58" ht="12.5" x14ac:dyDescent="0.25">
      <c r="A301" s="7"/>
      <c r="B301" s="17"/>
      <c r="C301" s="20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</row>
    <row r="302" spans="1:58" ht="12.5" x14ac:dyDescent="0.25">
      <c r="A302" s="7"/>
      <c r="B302" s="17"/>
      <c r="C302" s="20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</row>
    <row r="303" spans="1:58" ht="12.5" x14ac:dyDescent="0.25">
      <c r="A303" s="7"/>
      <c r="B303" s="17"/>
      <c r="C303" s="20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</row>
    <row r="304" spans="1:58" ht="12.5" x14ac:dyDescent="0.25">
      <c r="A304" s="7"/>
      <c r="B304" s="17"/>
      <c r="C304" s="20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</row>
    <row r="305" spans="1:58" ht="12.5" x14ac:dyDescent="0.25">
      <c r="A305" s="7"/>
      <c r="B305" s="17"/>
      <c r="C305" s="20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</row>
    <row r="306" spans="1:58" ht="12.5" x14ac:dyDescent="0.25">
      <c r="A306" s="7"/>
      <c r="B306" s="17"/>
      <c r="C306" s="20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</row>
    <row r="307" spans="1:58" ht="12.5" x14ac:dyDescent="0.25">
      <c r="A307" s="7"/>
      <c r="B307" s="17"/>
      <c r="C307" s="20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</row>
    <row r="308" spans="1:58" ht="12.5" x14ac:dyDescent="0.25">
      <c r="A308" s="7"/>
      <c r="B308" s="17"/>
      <c r="C308" s="20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</row>
    <row r="309" spans="1:58" ht="12.5" x14ac:dyDescent="0.25">
      <c r="A309" s="7"/>
      <c r="B309" s="17"/>
      <c r="C309" s="20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</row>
    <row r="310" spans="1:58" ht="12.5" x14ac:dyDescent="0.25">
      <c r="A310" s="7"/>
      <c r="B310" s="17"/>
      <c r="C310" s="20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</row>
    <row r="311" spans="1:58" ht="12.5" x14ac:dyDescent="0.25">
      <c r="A311" s="7"/>
      <c r="B311" s="17"/>
      <c r="C311" s="20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</row>
    <row r="312" spans="1:58" ht="12.5" x14ac:dyDescent="0.25">
      <c r="A312" s="7"/>
      <c r="B312" s="17"/>
      <c r="C312" s="20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</row>
    <row r="313" spans="1:58" ht="12.5" x14ac:dyDescent="0.25">
      <c r="A313" s="7"/>
      <c r="B313" s="17"/>
      <c r="C313" s="20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</row>
    <row r="314" spans="1:58" ht="12.5" x14ac:dyDescent="0.25">
      <c r="A314" s="7"/>
      <c r="B314" s="17"/>
      <c r="C314" s="20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</row>
    <row r="315" spans="1:58" ht="12.5" x14ac:dyDescent="0.25">
      <c r="A315" s="7"/>
      <c r="B315" s="17"/>
      <c r="C315" s="20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</row>
    <row r="316" spans="1:58" ht="12.5" x14ac:dyDescent="0.25">
      <c r="A316" s="7"/>
      <c r="B316" s="17"/>
      <c r="C316" s="20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</row>
    <row r="317" spans="1:58" ht="12.5" x14ac:dyDescent="0.25">
      <c r="A317" s="7"/>
      <c r="B317" s="17"/>
      <c r="C317" s="20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</row>
    <row r="318" spans="1:58" ht="12.5" x14ac:dyDescent="0.25">
      <c r="A318" s="7"/>
      <c r="B318" s="17"/>
      <c r="C318" s="20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</row>
    <row r="319" spans="1:58" ht="12.5" x14ac:dyDescent="0.25">
      <c r="A319" s="7"/>
      <c r="B319" s="17"/>
      <c r="C319" s="20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</row>
    <row r="320" spans="1:58" ht="12.5" x14ac:dyDescent="0.25">
      <c r="A320" s="7"/>
      <c r="B320" s="17"/>
      <c r="C320" s="20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</row>
    <row r="321" spans="1:58" ht="12.5" x14ac:dyDescent="0.25">
      <c r="A321" s="7"/>
      <c r="B321" s="17"/>
      <c r="C321" s="20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</row>
    <row r="322" spans="1:58" ht="12.5" x14ac:dyDescent="0.25">
      <c r="A322" s="7"/>
      <c r="B322" s="17"/>
      <c r="C322" s="20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</row>
    <row r="323" spans="1:58" ht="12.5" x14ac:dyDescent="0.25">
      <c r="A323" s="7"/>
      <c r="B323" s="17"/>
      <c r="C323" s="20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</row>
    <row r="324" spans="1:58" ht="12.5" x14ac:dyDescent="0.25">
      <c r="A324" s="7"/>
      <c r="B324" s="17"/>
      <c r="C324" s="20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</row>
    <row r="325" spans="1:58" ht="12.5" x14ac:dyDescent="0.25">
      <c r="A325" s="7"/>
      <c r="B325" s="17"/>
      <c r="C325" s="20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</row>
    <row r="326" spans="1:58" ht="12.5" x14ac:dyDescent="0.25">
      <c r="A326" s="7"/>
      <c r="B326" s="17"/>
      <c r="C326" s="20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</row>
    <row r="327" spans="1:58" ht="12.5" x14ac:dyDescent="0.25">
      <c r="A327" s="7"/>
      <c r="B327" s="17"/>
      <c r="C327" s="20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</row>
    <row r="328" spans="1:58" ht="12.5" x14ac:dyDescent="0.25">
      <c r="A328" s="7"/>
      <c r="B328" s="17"/>
      <c r="C328" s="20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</row>
    <row r="329" spans="1:58" ht="12.5" x14ac:dyDescent="0.25">
      <c r="A329" s="7"/>
      <c r="B329" s="17"/>
      <c r="C329" s="20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</row>
    <row r="330" spans="1:58" ht="12.5" x14ac:dyDescent="0.25">
      <c r="A330" s="7"/>
      <c r="B330" s="17"/>
      <c r="C330" s="20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</row>
    <row r="331" spans="1:58" ht="12.5" x14ac:dyDescent="0.25">
      <c r="A331" s="7"/>
      <c r="B331" s="17"/>
      <c r="C331" s="20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</row>
    <row r="332" spans="1:58" ht="12.5" x14ac:dyDescent="0.25">
      <c r="A332" s="7"/>
      <c r="B332" s="17"/>
      <c r="C332" s="20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</row>
    <row r="333" spans="1:58" ht="12.5" x14ac:dyDescent="0.25">
      <c r="A333" s="7"/>
      <c r="B333" s="17"/>
      <c r="C333" s="20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</row>
    <row r="334" spans="1:58" ht="12.5" x14ac:dyDescent="0.25">
      <c r="A334" s="7"/>
      <c r="B334" s="17"/>
      <c r="C334" s="20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</row>
    <row r="335" spans="1:58" ht="12.5" x14ac:dyDescent="0.25">
      <c r="A335" s="7"/>
      <c r="B335" s="17"/>
      <c r="C335" s="20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</row>
    <row r="336" spans="1:58" ht="12.5" x14ac:dyDescent="0.25">
      <c r="A336" s="7"/>
      <c r="B336" s="17"/>
      <c r="C336" s="20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</row>
    <row r="337" spans="1:58" ht="12.5" x14ac:dyDescent="0.25">
      <c r="A337" s="7"/>
      <c r="B337" s="17"/>
      <c r="C337" s="20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</row>
    <row r="338" spans="1:58" ht="12.5" x14ac:dyDescent="0.25">
      <c r="A338" s="7"/>
      <c r="B338" s="17"/>
      <c r="C338" s="20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</row>
    <row r="339" spans="1:58" ht="12.5" x14ac:dyDescent="0.25">
      <c r="A339" s="7"/>
      <c r="B339" s="17"/>
      <c r="C339" s="20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</row>
    <row r="340" spans="1:58" ht="12.5" x14ac:dyDescent="0.25">
      <c r="A340" s="7"/>
      <c r="B340" s="17"/>
      <c r="C340" s="20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</row>
    <row r="341" spans="1:58" ht="12.5" x14ac:dyDescent="0.25">
      <c r="A341" s="7"/>
      <c r="B341" s="17"/>
      <c r="C341" s="20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</row>
    <row r="342" spans="1:58" ht="12.5" x14ac:dyDescent="0.25">
      <c r="A342" s="7"/>
      <c r="B342" s="17"/>
      <c r="C342" s="20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</row>
    <row r="343" spans="1:58" ht="12.5" x14ac:dyDescent="0.25">
      <c r="A343" s="7"/>
      <c r="B343" s="17"/>
      <c r="C343" s="20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</row>
    <row r="344" spans="1:58" ht="12.5" x14ac:dyDescent="0.25">
      <c r="A344" s="7"/>
      <c r="B344" s="17"/>
      <c r="C344" s="20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</row>
    <row r="345" spans="1:58" ht="12.5" x14ac:dyDescent="0.25">
      <c r="A345" s="7"/>
      <c r="B345" s="17"/>
      <c r="C345" s="20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</row>
    <row r="346" spans="1:58" ht="12.5" x14ac:dyDescent="0.25">
      <c r="A346" s="7"/>
      <c r="B346" s="17"/>
      <c r="C346" s="20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</row>
    <row r="347" spans="1:58" ht="12.5" x14ac:dyDescent="0.25">
      <c r="A347" s="7"/>
      <c r="B347" s="17"/>
      <c r="C347" s="20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</row>
    <row r="348" spans="1:58" ht="12.5" x14ac:dyDescent="0.25">
      <c r="A348" s="7"/>
      <c r="B348" s="17"/>
      <c r="C348" s="20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</row>
    <row r="349" spans="1:58" ht="12.5" x14ac:dyDescent="0.25">
      <c r="A349" s="7"/>
      <c r="B349" s="17"/>
      <c r="C349" s="20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</row>
    <row r="350" spans="1:58" ht="12.5" x14ac:dyDescent="0.25">
      <c r="A350" s="7"/>
      <c r="B350" s="17"/>
      <c r="C350" s="20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</row>
    <row r="351" spans="1:58" ht="12.5" x14ac:dyDescent="0.25">
      <c r="A351" s="7"/>
      <c r="B351" s="17"/>
      <c r="C351" s="20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</row>
    <row r="352" spans="1:58" ht="12.5" x14ac:dyDescent="0.25">
      <c r="A352" s="7"/>
      <c r="B352" s="17"/>
      <c r="C352" s="20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</row>
    <row r="353" spans="1:58" ht="12.5" x14ac:dyDescent="0.25">
      <c r="A353" s="7"/>
      <c r="B353" s="17"/>
      <c r="C353" s="20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</row>
    <row r="354" spans="1:58" ht="12.5" x14ac:dyDescent="0.25">
      <c r="A354" s="7"/>
      <c r="B354" s="17"/>
      <c r="C354" s="20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</row>
    <row r="355" spans="1:58" ht="12.5" x14ac:dyDescent="0.25">
      <c r="A355" s="7"/>
      <c r="B355" s="17"/>
      <c r="C355" s="20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</row>
    <row r="356" spans="1:58" ht="12.5" x14ac:dyDescent="0.25">
      <c r="A356" s="7"/>
      <c r="B356" s="17"/>
      <c r="C356" s="20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</row>
    <row r="357" spans="1:58" ht="12.5" x14ac:dyDescent="0.25">
      <c r="A357" s="7"/>
      <c r="B357" s="17"/>
      <c r="C357" s="20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</row>
    <row r="358" spans="1:58" ht="12.5" x14ac:dyDescent="0.25">
      <c r="A358" s="7"/>
      <c r="B358" s="17"/>
      <c r="C358" s="20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</row>
    <row r="359" spans="1:58" ht="12.5" x14ac:dyDescent="0.25">
      <c r="A359" s="7"/>
      <c r="B359" s="17"/>
      <c r="C359" s="20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</row>
    <row r="360" spans="1:58" ht="12.5" x14ac:dyDescent="0.25">
      <c r="A360" s="7"/>
      <c r="B360" s="17"/>
      <c r="C360" s="20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</row>
    <row r="361" spans="1:58" ht="12.5" x14ac:dyDescent="0.25">
      <c r="A361" s="7"/>
      <c r="B361" s="17"/>
      <c r="C361" s="20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</row>
    <row r="362" spans="1:58" ht="12.5" x14ac:dyDescent="0.25">
      <c r="A362" s="7"/>
      <c r="B362" s="17"/>
      <c r="C362" s="20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</row>
    <row r="363" spans="1:58" ht="12.5" x14ac:dyDescent="0.25">
      <c r="A363" s="7"/>
      <c r="B363" s="17"/>
      <c r="C363" s="2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</row>
    <row r="364" spans="1:58" ht="12.5" x14ac:dyDescent="0.25">
      <c r="A364" s="7"/>
      <c r="B364" s="17"/>
      <c r="C364" s="20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</row>
    <row r="365" spans="1:58" ht="12.5" x14ac:dyDescent="0.25">
      <c r="A365" s="7"/>
      <c r="B365" s="17"/>
      <c r="C365" s="20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</row>
    <row r="366" spans="1:58" ht="12.5" x14ac:dyDescent="0.25">
      <c r="A366" s="7"/>
      <c r="B366" s="17"/>
      <c r="C366" s="20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</row>
    <row r="367" spans="1:58" ht="12.5" x14ac:dyDescent="0.25">
      <c r="A367" s="7"/>
      <c r="B367" s="17"/>
      <c r="C367" s="20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</row>
    <row r="368" spans="1:58" ht="12.5" x14ac:dyDescent="0.25">
      <c r="A368" s="7"/>
      <c r="B368" s="17"/>
      <c r="C368" s="20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</row>
    <row r="369" spans="1:58" ht="12.5" x14ac:dyDescent="0.25">
      <c r="A369" s="7"/>
      <c r="B369" s="17"/>
      <c r="C369" s="2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</row>
    <row r="370" spans="1:58" ht="12.5" x14ac:dyDescent="0.25">
      <c r="A370" s="7"/>
      <c r="B370" s="17"/>
      <c r="C370" s="20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</row>
    <row r="371" spans="1:58" ht="12.5" x14ac:dyDescent="0.25">
      <c r="A371" s="7"/>
      <c r="B371" s="17"/>
      <c r="C371" s="2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</row>
    <row r="372" spans="1:58" ht="12.5" x14ac:dyDescent="0.25">
      <c r="A372" s="7"/>
      <c r="B372" s="17"/>
      <c r="C372" s="2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</row>
    <row r="373" spans="1:58" ht="12.5" x14ac:dyDescent="0.25">
      <c r="A373" s="7"/>
      <c r="B373" s="17"/>
      <c r="C373" s="20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</row>
    <row r="374" spans="1:58" ht="12.5" x14ac:dyDescent="0.25">
      <c r="A374" s="7"/>
      <c r="B374" s="17"/>
      <c r="C374" s="20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</row>
    <row r="375" spans="1:58" ht="12.5" x14ac:dyDescent="0.25">
      <c r="A375" s="7"/>
      <c r="B375" s="17"/>
      <c r="C375" s="20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</row>
    <row r="376" spans="1:58" ht="12.5" x14ac:dyDescent="0.25">
      <c r="A376" s="7"/>
      <c r="B376" s="17"/>
      <c r="C376" s="20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</row>
    <row r="377" spans="1:58" ht="12.5" x14ac:dyDescent="0.25">
      <c r="A377" s="7"/>
      <c r="B377" s="17"/>
      <c r="C377" s="20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</row>
    <row r="378" spans="1:58" ht="12.5" x14ac:dyDescent="0.25">
      <c r="A378" s="7"/>
      <c r="B378" s="17"/>
      <c r="C378" s="20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</row>
    <row r="379" spans="1:58" ht="12.5" x14ac:dyDescent="0.25">
      <c r="A379" s="7"/>
      <c r="B379" s="17"/>
      <c r="C379" s="20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</row>
    <row r="380" spans="1:58" ht="12.5" x14ac:dyDescent="0.25">
      <c r="A380" s="7"/>
      <c r="B380" s="17"/>
      <c r="C380" s="20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</row>
    <row r="381" spans="1:58" ht="12.5" x14ac:dyDescent="0.25">
      <c r="A381" s="7"/>
      <c r="B381" s="17"/>
      <c r="C381" s="20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</row>
    <row r="382" spans="1:58" ht="12.5" x14ac:dyDescent="0.25">
      <c r="A382" s="7"/>
      <c r="B382" s="17"/>
      <c r="C382" s="20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</row>
    <row r="383" spans="1:58" ht="12.5" x14ac:dyDescent="0.25">
      <c r="A383" s="7"/>
      <c r="B383" s="17"/>
      <c r="C383" s="20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</row>
    <row r="384" spans="1:58" ht="12.5" x14ac:dyDescent="0.25">
      <c r="A384" s="7"/>
      <c r="B384" s="17"/>
      <c r="C384" s="20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</row>
    <row r="385" spans="1:58" ht="12.5" x14ac:dyDescent="0.25">
      <c r="A385" s="7"/>
      <c r="B385" s="17"/>
      <c r="C385" s="20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</row>
    <row r="386" spans="1:58" ht="12.5" x14ac:dyDescent="0.25">
      <c r="A386" s="7"/>
      <c r="B386" s="17"/>
      <c r="C386" s="20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</row>
    <row r="387" spans="1:58" ht="12.5" x14ac:dyDescent="0.25">
      <c r="A387" s="7"/>
      <c r="B387" s="17"/>
      <c r="C387" s="20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</row>
    <row r="388" spans="1:58" ht="12.5" x14ac:dyDescent="0.25">
      <c r="A388" s="7"/>
      <c r="B388" s="17"/>
      <c r="C388" s="20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</row>
    <row r="389" spans="1:58" ht="12.5" x14ac:dyDescent="0.25">
      <c r="A389" s="7"/>
      <c r="B389" s="17"/>
      <c r="C389" s="20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</row>
    <row r="390" spans="1:58" ht="12.5" x14ac:dyDescent="0.25">
      <c r="A390" s="7"/>
      <c r="B390" s="17"/>
      <c r="C390" s="20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</row>
    <row r="391" spans="1:58" ht="12.5" x14ac:dyDescent="0.25">
      <c r="A391" s="7"/>
      <c r="B391" s="17"/>
      <c r="C391" s="20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</row>
    <row r="392" spans="1:58" ht="12.5" x14ac:dyDescent="0.25">
      <c r="A392" s="7"/>
      <c r="B392" s="17"/>
      <c r="C392" s="20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</row>
    <row r="393" spans="1:58" ht="12.5" x14ac:dyDescent="0.25">
      <c r="A393" s="7"/>
      <c r="B393" s="17"/>
      <c r="C393" s="20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</row>
    <row r="394" spans="1:58" ht="12.5" x14ac:dyDescent="0.25">
      <c r="A394" s="7"/>
      <c r="B394" s="17"/>
      <c r="C394" s="20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</row>
    <row r="395" spans="1:58" ht="12.5" x14ac:dyDescent="0.25">
      <c r="A395" s="7"/>
      <c r="B395" s="17"/>
      <c r="C395" s="20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</row>
    <row r="396" spans="1:58" ht="12.5" x14ac:dyDescent="0.25">
      <c r="A396" s="7"/>
      <c r="B396" s="17"/>
      <c r="C396" s="20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</row>
    <row r="397" spans="1:58" ht="12.5" x14ac:dyDescent="0.25">
      <c r="A397" s="7"/>
      <c r="B397" s="17"/>
      <c r="C397" s="20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</row>
    <row r="398" spans="1:58" ht="12.5" x14ac:dyDescent="0.25">
      <c r="A398" s="7"/>
      <c r="B398" s="17"/>
      <c r="C398" s="20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</row>
    <row r="399" spans="1:58" ht="12.5" x14ac:dyDescent="0.25">
      <c r="A399" s="7"/>
      <c r="B399" s="17"/>
      <c r="C399" s="20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</row>
    <row r="400" spans="1:58" ht="12.5" x14ac:dyDescent="0.25">
      <c r="A400" s="7"/>
      <c r="B400" s="17"/>
      <c r="C400" s="20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</row>
    <row r="401" spans="1:58" ht="12.5" x14ac:dyDescent="0.25">
      <c r="A401" s="7"/>
      <c r="B401" s="17"/>
      <c r="C401" s="20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</row>
    <row r="402" spans="1:58" ht="12.5" x14ac:dyDescent="0.25">
      <c r="A402" s="7"/>
      <c r="B402" s="17"/>
      <c r="C402" s="20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</row>
    <row r="403" spans="1:58" ht="12.5" x14ac:dyDescent="0.25">
      <c r="A403" s="7"/>
      <c r="B403" s="17"/>
      <c r="C403" s="20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</row>
    <row r="404" spans="1:58" ht="12.5" x14ac:dyDescent="0.25">
      <c r="A404" s="7"/>
      <c r="B404" s="17"/>
      <c r="C404" s="20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</row>
    <row r="405" spans="1:58" ht="12.5" x14ac:dyDescent="0.25">
      <c r="A405" s="7"/>
      <c r="B405" s="17"/>
      <c r="C405" s="20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</row>
    <row r="406" spans="1:58" ht="12.5" x14ac:dyDescent="0.25">
      <c r="A406" s="7"/>
      <c r="B406" s="17"/>
      <c r="C406" s="20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</row>
    <row r="407" spans="1:58" ht="12.5" x14ac:dyDescent="0.25">
      <c r="A407" s="7"/>
      <c r="B407" s="17"/>
      <c r="C407" s="20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</row>
    <row r="408" spans="1:58" ht="12.5" x14ac:dyDescent="0.25">
      <c r="A408" s="7"/>
      <c r="B408" s="17"/>
      <c r="C408" s="20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</row>
    <row r="409" spans="1:58" ht="12.5" x14ac:dyDescent="0.25">
      <c r="A409" s="7"/>
      <c r="B409" s="17"/>
      <c r="C409" s="20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</row>
    <row r="410" spans="1:58" ht="12.5" x14ac:dyDescent="0.25">
      <c r="A410" s="7"/>
      <c r="B410" s="17"/>
      <c r="C410" s="20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</row>
    <row r="411" spans="1:58" ht="12.5" x14ac:dyDescent="0.25">
      <c r="A411" s="7"/>
      <c r="B411" s="17"/>
      <c r="C411" s="20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</row>
    <row r="412" spans="1:58" ht="12.5" x14ac:dyDescent="0.25">
      <c r="A412" s="7"/>
      <c r="B412" s="17"/>
      <c r="C412" s="20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</row>
    <row r="413" spans="1:58" ht="12.5" x14ac:dyDescent="0.25">
      <c r="A413" s="7"/>
      <c r="B413" s="17"/>
      <c r="C413" s="20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</row>
    <row r="414" spans="1:58" ht="12.5" x14ac:dyDescent="0.25">
      <c r="A414" s="7"/>
      <c r="B414" s="17"/>
      <c r="C414" s="20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</row>
    <row r="415" spans="1:58" ht="12.5" x14ac:dyDescent="0.25">
      <c r="A415" s="7"/>
      <c r="B415" s="17"/>
      <c r="C415" s="20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</row>
    <row r="416" spans="1:58" ht="12.5" x14ac:dyDescent="0.25">
      <c r="A416" s="7"/>
      <c r="B416" s="17"/>
      <c r="C416" s="20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</row>
    <row r="417" spans="1:58" ht="12.5" x14ac:dyDescent="0.25">
      <c r="A417" s="7"/>
      <c r="B417" s="17"/>
      <c r="C417" s="20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</row>
    <row r="418" spans="1:58" ht="12.5" x14ac:dyDescent="0.25">
      <c r="A418" s="7"/>
      <c r="B418" s="17"/>
      <c r="C418" s="20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</row>
    <row r="419" spans="1:58" ht="12.5" x14ac:dyDescent="0.25">
      <c r="A419" s="7"/>
      <c r="B419" s="17"/>
      <c r="C419" s="20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</row>
    <row r="420" spans="1:58" ht="12.5" x14ac:dyDescent="0.25">
      <c r="A420" s="7"/>
      <c r="B420" s="17"/>
      <c r="C420" s="20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</row>
    <row r="421" spans="1:58" ht="12.5" x14ac:dyDescent="0.25">
      <c r="A421" s="7"/>
      <c r="B421" s="17"/>
      <c r="C421" s="20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</row>
    <row r="422" spans="1:58" ht="12.5" x14ac:dyDescent="0.25">
      <c r="A422" s="7"/>
      <c r="B422" s="17"/>
      <c r="C422" s="20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</row>
    <row r="423" spans="1:58" ht="12.5" x14ac:dyDescent="0.25">
      <c r="A423" s="7"/>
      <c r="B423" s="17"/>
      <c r="C423" s="20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</row>
    <row r="424" spans="1:58" ht="12.5" x14ac:dyDescent="0.25">
      <c r="A424" s="7"/>
      <c r="B424" s="17"/>
      <c r="C424" s="20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</row>
    <row r="425" spans="1:58" ht="12.5" x14ac:dyDescent="0.25">
      <c r="A425" s="7"/>
      <c r="B425" s="17"/>
      <c r="C425" s="20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</row>
    <row r="426" spans="1:58" ht="12.5" x14ac:dyDescent="0.25">
      <c r="A426" s="7"/>
      <c r="B426" s="17"/>
      <c r="C426" s="20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</row>
    <row r="427" spans="1:58" ht="12.5" x14ac:dyDescent="0.25">
      <c r="A427" s="7"/>
      <c r="B427" s="17"/>
      <c r="C427" s="20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</row>
    <row r="428" spans="1:58" ht="12.5" x14ac:dyDescent="0.25">
      <c r="A428" s="7"/>
      <c r="B428" s="17"/>
      <c r="C428" s="20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</row>
    <row r="429" spans="1:58" ht="12.5" x14ac:dyDescent="0.25">
      <c r="A429" s="7"/>
      <c r="B429" s="17"/>
      <c r="C429" s="20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</row>
    <row r="430" spans="1:58" ht="12.5" x14ac:dyDescent="0.25">
      <c r="A430" s="7"/>
      <c r="B430" s="17"/>
      <c r="C430" s="20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</row>
    <row r="431" spans="1:58" ht="12.5" x14ac:dyDescent="0.25">
      <c r="A431" s="7"/>
      <c r="B431" s="17"/>
      <c r="C431" s="20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</row>
    <row r="432" spans="1:58" ht="12.5" x14ac:dyDescent="0.25">
      <c r="A432" s="7"/>
      <c r="B432" s="17"/>
      <c r="C432" s="20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</row>
    <row r="433" spans="1:58" ht="12.5" x14ac:dyDescent="0.25">
      <c r="A433" s="7"/>
      <c r="B433" s="17"/>
      <c r="C433" s="20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</row>
    <row r="434" spans="1:58" ht="12.5" x14ac:dyDescent="0.25">
      <c r="A434" s="7"/>
      <c r="B434" s="17"/>
      <c r="C434" s="20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</row>
    <row r="435" spans="1:58" ht="12.5" x14ac:dyDescent="0.25">
      <c r="A435" s="7"/>
      <c r="B435" s="17"/>
      <c r="C435" s="20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</row>
    <row r="436" spans="1:58" ht="12.5" x14ac:dyDescent="0.25">
      <c r="A436" s="7"/>
      <c r="B436" s="17"/>
      <c r="C436" s="20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</row>
    <row r="437" spans="1:58" ht="12.5" x14ac:dyDescent="0.25">
      <c r="A437" s="7"/>
      <c r="B437" s="17"/>
      <c r="C437" s="20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</row>
    <row r="438" spans="1:58" ht="12.5" x14ac:dyDescent="0.25">
      <c r="A438" s="7"/>
      <c r="B438" s="17"/>
      <c r="C438" s="20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</row>
    <row r="439" spans="1:58" ht="12.5" x14ac:dyDescent="0.25">
      <c r="A439" s="7"/>
      <c r="B439" s="17"/>
      <c r="C439" s="20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</row>
    <row r="440" spans="1:58" ht="12.5" x14ac:dyDescent="0.25">
      <c r="A440" s="7"/>
      <c r="B440" s="17"/>
      <c r="C440" s="20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</row>
    <row r="441" spans="1:58" ht="12.5" x14ac:dyDescent="0.25">
      <c r="A441" s="7"/>
      <c r="B441" s="17"/>
      <c r="C441" s="20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</row>
    <row r="442" spans="1:58" ht="12.5" x14ac:dyDescent="0.25">
      <c r="A442" s="7"/>
      <c r="B442" s="17"/>
      <c r="C442" s="20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</row>
    <row r="443" spans="1:58" ht="12.5" x14ac:dyDescent="0.25">
      <c r="A443" s="7"/>
      <c r="B443" s="17"/>
      <c r="C443" s="20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</row>
    <row r="444" spans="1:58" ht="12.5" x14ac:dyDescent="0.25">
      <c r="A444" s="7"/>
      <c r="B444" s="17"/>
      <c r="C444" s="20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</row>
    <row r="445" spans="1:58" ht="12.5" x14ac:dyDescent="0.25">
      <c r="A445" s="7"/>
      <c r="B445" s="17"/>
      <c r="C445" s="20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</row>
    <row r="446" spans="1:58" ht="12.5" x14ac:dyDescent="0.25">
      <c r="A446" s="7"/>
      <c r="B446" s="17"/>
      <c r="C446" s="20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</row>
    <row r="447" spans="1:58" ht="12.5" x14ac:dyDescent="0.25">
      <c r="A447" s="7"/>
      <c r="B447" s="17"/>
      <c r="C447" s="20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</row>
    <row r="448" spans="1:58" ht="12.5" x14ac:dyDescent="0.25">
      <c r="A448" s="7"/>
      <c r="B448" s="17"/>
      <c r="C448" s="20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</row>
    <row r="449" spans="1:58" ht="12.5" x14ac:dyDescent="0.25">
      <c r="A449" s="7"/>
      <c r="B449" s="17"/>
      <c r="C449" s="20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</row>
    <row r="450" spans="1:58" ht="12.5" x14ac:dyDescent="0.25">
      <c r="A450" s="7"/>
      <c r="B450" s="17"/>
      <c r="C450" s="20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</row>
    <row r="451" spans="1:58" ht="12.5" x14ac:dyDescent="0.25">
      <c r="A451" s="7"/>
      <c r="B451" s="17"/>
      <c r="C451" s="20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</row>
    <row r="452" spans="1:58" ht="12.5" x14ac:dyDescent="0.25">
      <c r="A452" s="7"/>
      <c r="B452" s="17"/>
      <c r="C452" s="20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</row>
    <row r="453" spans="1:58" ht="12.5" x14ac:dyDescent="0.25">
      <c r="A453" s="7"/>
      <c r="B453" s="17"/>
      <c r="C453" s="20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</row>
    <row r="454" spans="1:58" ht="12.5" x14ac:dyDescent="0.25">
      <c r="A454" s="7"/>
      <c r="B454" s="17"/>
      <c r="C454" s="20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</row>
    <row r="455" spans="1:58" ht="12.5" x14ac:dyDescent="0.25">
      <c r="A455" s="7"/>
      <c r="B455" s="17"/>
      <c r="C455" s="20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</row>
    <row r="456" spans="1:58" ht="12.5" x14ac:dyDescent="0.25">
      <c r="A456" s="7"/>
      <c r="B456" s="17"/>
      <c r="C456" s="20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</row>
    <row r="457" spans="1:58" ht="12.5" x14ac:dyDescent="0.25">
      <c r="A457" s="7"/>
      <c r="B457" s="17"/>
      <c r="C457" s="20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</row>
    <row r="458" spans="1:58" ht="12.5" x14ac:dyDescent="0.25">
      <c r="A458" s="7"/>
      <c r="B458" s="17"/>
      <c r="C458" s="20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</row>
    <row r="459" spans="1:58" ht="12.5" x14ac:dyDescent="0.25">
      <c r="A459" s="7"/>
      <c r="B459" s="17"/>
      <c r="C459" s="20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</row>
    <row r="460" spans="1:58" ht="12.5" x14ac:dyDescent="0.25">
      <c r="A460" s="7"/>
      <c r="B460" s="17"/>
      <c r="C460" s="20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</row>
    <row r="461" spans="1:58" ht="12.5" x14ac:dyDescent="0.25">
      <c r="A461" s="7"/>
      <c r="B461" s="17"/>
      <c r="C461" s="20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</row>
    <row r="462" spans="1:58" ht="12.5" x14ac:dyDescent="0.25">
      <c r="A462" s="7"/>
      <c r="B462" s="17"/>
      <c r="C462" s="20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</row>
    <row r="463" spans="1:58" ht="12.5" x14ac:dyDescent="0.25">
      <c r="A463" s="7"/>
      <c r="B463" s="17"/>
      <c r="C463" s="20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</row>
    <row r="464" spans="1:58" ht="12.5" x14ac:dyDescent="0.25">
      <c r="A464" s="7"/>
      <c r="B464" s="17"/>
      <c r="C464" s="20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</row>
    <row r="465" spans="1:58" ht="12.5" x14ac:dyDescent="0.25">
      <c r="A465" s="7"/>
      <c r="B465" s="17"/>
      <c r="C465" s="20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</row>
    <row r="466" spans="1:58" ht="12.5" x14ac:dyDescent="0.25">
      <c r="A466" s="7"/>
      <c r="B466" s="17"/>
      <c r="C466" s="20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</row>
    <row r="467" spans="1:58" ht="12.5" x14ac:dyDescent="0.25">
      <c r="A467" s="7"/>
      <c r="B467" s="17"/>
      <c r="C467" s="20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</row>
    <row r="468" spans="1:58" ht="12.5" x14ac:dyDescent="0.25">
      <c r="A468" s="7"/>
      <c r="B468" s="17"/>
      <c r="C468" s="20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</row>
    <row r="469" spans="1:58" ht="12.5" x14ac:dyDescent="0.25">
      <c r="A469" s="7"/>
      <c r="B469" s="17"/>
      <c r="C469" s="20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</row>
    <row r="470" spans="1:58" ht="12.5" x14ac:dyDescent="0.25">
      <c r="A470" s="7"/>
      <c r="B470" s="17"/>
      <c r="C470" s="20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</row>
    <row r="471" spans="1:58" ht="12.5" x14ac:dyDescent="0.25">
      <c r="A471" s="7"/>
      <c r="B471" s="17"/>
      <c r="C471" s="20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</row>
    <row r="472" spans="1:58" ht="12.5" x14ac:dyDescent="0.25">
      <c r="A472" s="7"/>
      <c r="B472" s="17"/>
      <c r="C472" s="20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</row>
    <row r="473" spans="1:58" ht="12.5" x14ac:dyDescent="0.25">
      <c r="A473" s="7"/>
      <c r="B473" s="17"/>
      <c r="C473" s="20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</row>
    <row r="474" spans="1:58" ht="12.5" x14ac:dyDescent="0.25">
      <c r="A474" s="7"/>
      <c r="B474" s="17"/>
      <c r="C474" s="20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</row>
    <row r="475" spans="1:58" ht="12.5" x14ac:dyDescent="0.25">
      <c r="A475" s="7"/>
      <c r="B475" s="17"/>
      <c r="C475" s="20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</row>
    <row r="476" spans="1:58" ht="12.5" x14ac:dyDescent="0.25">
      <c r="A476" s="7"/>
      <c r="B476" s="17"/>
      <c r="C476" s="20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</row>
    <row r="477" spans="1:58" ht="12.5" x14ac:dyDescent="0.25">
      <c r="A477" s="7"/>
      <c r="B477" s="17"/>
      <c r="C477" s="20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</row>
    <row r="478" spans="1:58" ht="12.5" x14ac:dyDescent="0.25">
      <c r="A478" s="7"/>
      <c r="B478" s="17"/>
      <c r="C478" s="20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</row>
    <row r="479" spans="1:58" ht="12.5" x14ac:dyDescent="0.25">
      <c r="A479" s="7"/>
      <c r="B479" s="17"/>
      <c r="C479" s="20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</row>
    <row r="480" spans="1:58" ht="12.5" x14ac:dyDescent="0.25">
      <c r="A480" s="7"/>
      <c r="B480" s="17"/>
      <c r="C480" s="20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</row>
    <row r="481" spans="1:58" ht="12.5" x14ac:dyDescent="0.25">
      <c r="A481" s="7"/>
      <c r="B481" s="17"/>
      <c r="C481" s="20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</row>
    <row r="482" spans="1:58" ht="12.5" x14ac:dyDescent="0.25">
      <c r="A482" s="7"/>
      <c r="B482" s="17"/>
      <c r="C482" s="20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</row>
    <row r="483" spans="1:58" ht="12.5" x14ac:dyDescent="0.25">
      <c r="A483" s="7"/>
      <c r="B483" s="17"/>
      <c r="C483" s="20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</row>
    <row r="484" spans="1:58" ht="12.5" x14ac:dyDescent="0.25">
      <c r="A484" s="7"/>
      <c r="B484" s="17"/>
      <c r="C484" s="20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</row>
    <row r="485" spans="1:58" ht="12.5" x14ac:dyDescent="0.25">
      <c r="A485" s="7"/>
      <c r="B485" s="17"/>
      <c r="C485" s="20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</row>
    <row r="486" spans="1:58" ht="12.5" x14ac:dyDescent="0.25">
      <c r="A486" s="7"/>
      <c r="B486" s="17"/>
      <c r="C486" s="20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</row>
    <row r="487" spans="1:58" ht="12.5" x14ac:dyDescent="0.25">
      <c r="A487" s="7"/>
      <c r="B487" s="17"/>
      <c r="C487" s="20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</row>
    <row r="488" spans="1:58" ht="12.5" x14ac:dyDescent="0.25">
      <c r="A488" s="7"/>
      <c r="B488" s="17"/>
      <c r="C488" s="20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</row>
    <row r="489" spans="1:58" ht="12.5" x14ac:dyDescent="0.25">
      <c r="A489" s="7"/>
      <c r="B489" s="17"/>
      <c r="C489" s="20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</row>
    <row r="490" spans="1:58" ht="12.5" x14ac:dyDescent="0.25">
      <c r="A490" s="7"/>
      <c r="B490" s="17"/>
      <c r="C490" s="20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</row>
    <row r="491" spans="1:58" ht="12.5" x14ac:dyDescent="0.25">
      <c r="A491" s="7"/>
      <c r="B491" s="17"/>
      <c r="C491" s="20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</row>
    <row r="492" spans="1:58" ht="12.5" x14ac:dyDescent="0.25">
      <c r="A492" s="7"/>
      <c r="B492" s="17"/>
      <c r="C492" s="20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</row>
    <row r="493" spans="1:58" ht="12.5" x14ac:dyDescent="0.25">
      <c r="A493" s="7"/>
      <c r="B493" s="17"/>
      <c r="C493" s="20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</row>
    <row r="494" spans="1:58" ht="12.5" x14ac:dyDescent="0.25">
      <c r="A494" s="7"/>
      <c r="B494" s="17"/>
      <c r="C494" s="20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</row>
    <row r="495" spans="1:58" ht="12.5" x14ac:dyDescent="0.25">
      <c r="A495" s="7"/>
      <c r="B495" s="17"/>
      <c r="C495" s="20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</row>
    <row r="496" spans="1:58" ht="12.5" x14ac:dyDescent="0.25">
      <c r="A496" s="7"/>
      <c r="B496" s="17"/>
      <c r="C496" s="20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</row>
    <row r="497" spans="1:58" ht="12.5" x14ac:dyDescent="0.25">
      <c r="A497" s="7"/>
      <c r="B497" s="17"/>
      <c r="C497" s="20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</row>
    <row r="498" spans="1:58" ht="12.5" x14ac:dyDescent="0.25">
      <c r="A498" s="7"/>
      <c r="B498" s="17"/>
      <c r="C498" s="20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</row>
    <row r="499" spans="1:58" ht="12.5" x14ac:dyDescent="0.25">
      <c r="A499" s="7"/>
      <c r="B499" s="17"/>
      <c r="C499" s="20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</row>
    <row r="500" spans="1:58" ht="12.5" x14ac:dyDescent="0.25">
      <c r="A500" s="7"/>
      <c r="B500" s="17"/>
      <c r="C500" s="20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</row>
    <row r="501" spans="1:58" ht="12.5" x14ac:dyDescent="0.25">
      <c r="A501" s="7"/>
      <c r="B501" s="17"/>
      <c r="C501" s="20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</row>
    <row r="502" spans="1:58" ht="12.5" x14ac:dyDescent="0.25">
      <c r="A502" s="7"/>
      <c r="B502" s="17"/>
      <c r="C502" s="20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</row>
    <row r="503" spans="1:58" ht="12.5" x14ac:dyDescent="0.25">
      <c r="A503" s="7"/>
      <c r="B503" s="17"/>
      <c r="C503" s="20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</row>
    <row r="504" spans="1:58" ht="12.5" x14ac:dyDescent="0.25">
      <c r="A504" s="7"/>
      <c r="B504" s="17"/>
      <c r="C504" s="20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</row>
    <row r="505" spans="1:58" ht="12.5" x14ac:dyDescent="0.25">
      <c r="A505" s="7"/>
      <c r="B505" s="17"/>
      <c r="C505" s="20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</row>
    <row r="506" spans="1:58" ht="12.5" x14ac:dyDescent="0.25">
      <c r="A506" s="7"/>
      <c r="B506" s="17"/>
      <c r="C506" s="20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</row>
    <row r="507" spans="1:58" ht="12.5" x14ac:dyDescent="0.25">
      <c r="A507" s="7"/>
      <c r="B507" s="17"/>
      <c r="C507" s="20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</row>
    <row r="508" spans="1:58" ht="12.5" x14ac:dyDescent="0.25">
      <c r="A508" s="7"/>
      <c r="B508" s="17"/>
      <c r="C508" s="20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</row>
    <row r="509" spans="1:58" ht="12.5" x14ac:dyDescent="0.25">
      <c r="A509" s="7"/>
      <c r="B509" s="17"/>
      <c r="C509" s="20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</row>
    <row r="510" spans="1:58" ht="12.5" x14ac:dyDescent="0.25">
      <c r="A510" s="7"/>
      <c r="B510" s="17"/>
      <c r="C510" s="20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</row>
    <row r="511" spans="1:58" ht="12.5" x14ac:dyDescent="0.25">
      <c r="A511" s="7"/>
      <c r="B511" s="17"/>
      <c r="C511" s="20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</row>
    <row r="512" spans="1:58" ht="12.5" x14ac:dyDescent="0.25">
      <c r="A512" s="7"/>
      <c r="B512" s="17"/>
      <c r="C512" s="20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</row>
    <row r="513" spans="1:58" ht="12.5" x14ac:dyDescent="0.25">
      <c r="A513" s="7"/>
      <c r="B513" s="17"/>
      <c r="C513" s="20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</row>
    <row r="514" spans="1:58" ht="12.5" x14ac:dyDescent="0.25">
      <c r="A514" s="7"/>
      <c r="B514" s="17"/>
      <c r="C514" s="20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</row>
    <row r="515" spans="1:58" ht="12.5" x14ac:dyDescent="0.25">
      <c r="A515" s="7"/>
      <c r="B515" s="17"/>
      <c r="C515" s="20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</row>
    <row r="516" spans="1:58" ht="12.5" x14ac:dyDescent="0.25">
      <c r="A516" s="7"/>
      <c r="B516" s="17"/>
      <c r="C516" s="20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</row>
    <row r="517" spans="1:58" ht="12.5" x14ac:dyDescent="0.25">
      <c r="A517" s="7"/>
      <c r="B517" s="17"/>
      <c r="C517" s="20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</row>
    <row r="518" spans="1:58" ht="12.5" x14ac:dyDescent="0.25">
      <c r="A518" s="7"/>
      <c r="B518" s="17"/>
      <c r="C518" s="20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</row>
    <row r="519" spans="1:58" ht="12.5" x14ac:dyDescent="0.25">
      <c r="A519" s="7"/>
      <c r="B519" s="17"/>
      <c r="C519" s="20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</row>
    <row r="520" spans="1:58" ht="12.5" x14ac:dyDescent="0.25">
      <c r="A520" s="7"/>
      <c r="B520" s="17"/>
      <c r="C520" s="20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</row>
    <row r="521" spans="1:58" ht="12.5" x14ac:dyDescent="0.25">
      <c r="A521" s="7"/>
      <c r="B521" s="17"/>
      <c r="C521" s="20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</row>
    <row r="522" spans="1:58" ht="12.5" x14ac:dyDescent="0.25">
      <c r="A522" s="7"/>
      <c r="B522" s="17"/>
      <c r="C522" s="20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</row>
    <row r="523" spans="1:58" ht="12.5" x14ac:dyDescent="0.25">
      <c r="A523" s="7"/>
      <c r="B523" s="17"/>
      <c r="C523" s="20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</row>
    <row r="524" spans="1:58" ht="12.5" x14ac:dyDescent="0.25">
      <c r="A524" s="7"/>
      <c r="B524" s="17"/>
      <c r="C524" s="20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</row>
    <row r="525" spans="1:58" ht="12.5" x14ac:dyDescent="0.25">
      <c r="A525" s="7"/>
      <c r="B525" s="17"/>
      <c r="C525" s="20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</row>
    <row r="526" spans="1:58" ht="12.5" x14ac:dyDescent="0.25">
      <c r="A526" s="7"/>
      <c r="B526" s="17"/>
      <c r="C526" s="20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</row>
    <row r="527" spans="1:58" ht="12.5" x14ac:dyDescent="0.25">
      <c r="A527" s="7"/>
      <c r="B527" s="17"/>
      <c r="C527" s="20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</row>
    <row r="528" spans="1:58" ht="12.5" x14ac:dyDescent="0.25">
      <c r="A528" s="7"/>
      <c r="B528" s="17"/>
      <c r="C528" s="20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</row>
    <row r="529" spans="1:58" ht="12.5" x14ac:dyDescent="0.25">
      <c r="A529" s="7"/>
      <c r="B529" s="17"/>
      <c r="C529" s="20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</row>
    <row r="530" spans="1:58" ht="12.5" x14ac:dyDescent="0.25">
      <c r="A530" s="7"/>
      <c r="B530" s="17"/>
      <c r="C530" s="20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</row>
    <row r="531" spans="1:58" ht="12.5" x14ac:dyDescent="0.25">
      <c r="A531" s="7"/>
      <c r="B531" s="17"/>
      <c r="C531" s="20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</row>
    <row r="532" spans="1:58" ht="12.5" x14ac:dyDescent="0.25">
      <c r="A532" s="7"/>
      <c r="B532" s="17"/>
      <c r="C532" s="20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</row>
    <row r="533" spans="1:58" ht="12.5" x14ac:dyDescent="0.25">
      <c r="A533" s="7"/>
      <c r="B533" s="17"/>
      <c r="C533" s="20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</row>
    <row r="534" spans="1:58" ht="12.5" x14ac:dyDescent="0.25">
      <c r="A534" s="7"/>
      <c r="B534" s="17"/>
      <c r="C534" s="20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</row>
    <row r="535" spans="1:58" ht="12.5" x14ac:dyDescent="0.25">
      <c r="A535" s="7"/>
      <c r="B535" s="17"/>
      <c r="C535" s="20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</row>
    <row r="536" spans="1:58" ht="12.5" x14ac:dyDescent="0.25">
      <c r="A536" s="7"/>
      <c r="B536" s="17"/>
      <c r="C536" s="20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</row>
    <row r="537" spans="1:58" ht="12.5" x14ac:dyDescent="0.25">
      <c r="A537" s="7"/>
      <c r="B537" s="17"/>
      <c r="C537" s="20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</row>
    <row r="538" spans="1:58" ht="12.5" x14ac:dyDescent="0.25">
      <c r="A538" s="7"/>
      <c r="B538" s="17"/>
      <c r="C538" s="20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</row>
    <row r="539" spans="1:58" ht="12.5" x14ac:dyDescent="0.25">
      <c r="A539" s="7"/>
      <c r="B539" s="17"/>
      <c r="C539" s="20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</row>
    <row r="540" spans="1:58" ht="12.5" x14ac:dyDescent="0.25">
      <c r="A540" s="7"/>
      <c r="B540" s="17"/>
      <c r="C540" s="20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</row>
    <row r="541" spans="1:58" ht="12.5" x14ac:dyDescent="0.25">
      <c r="A541" s="7"/>
      <c r="B541" s="17"/>
      <c r="C541" s="20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</row>
    <row r="542" spans="1:58" ht="12.5" x14ac:dyDescent="0.25">
      <c r="A542" s="7"/>
      <c r="B542" s="17"/>
      <c r="C542" s="20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</row>
    <row r="543" spans="1:58" ht="12.5" x14ac:dyDescent="0.25">
      <c r="A543" s="7"/>
      <c r="B543" s="17"/>
      <c r="C543" s="20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</row>
    <row r="544" spans="1:58" ht="12.5" x14ac:dyDescent="0.25">
      <c r="A544" s="7"/>
      <c r="B544" s="17"/>
      <c r="C544" s="20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</row>
    <row r="545" spans="1:58" ht="12.5" x14ac:dyDescent="0.25">
      <c r="A545" s="7"/>
      <c r="B545" s="17"/>
      <c r="C545" s="20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</row>
    <row r="546" spans="1:58" ht="12.5" x14ac:dyDescent="0.25">
      <c r="A546" s="7"/>
      <c r="B546" s="17"/>
      <c r="C546" s="20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</row>
    <row r="547" spans="1:58" ht="12.5" x14ac:dyDescent="0.25">
      <c r="A547" s="7"/>
      <c r="B547" s="17"/>
      <c r="C547" s="20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</row>
    <row r="548" spans="1:58" ht="12.5" x14ac:dyDescent="0.25">
      <c r="A548" s="7"/>
      <c r="B548" s="17"/>
      <c r="C548" s="20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</row>
    <row r="549" spans="1:58" ht="12.5" x14ac:dyDescent="0.25">
      <c r="A549" s="7"/>
      <c r="B549" s="17"/>
      <c r="C549" s="20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</row>
    <row r="550" spans="1:58" ht="12.5" x14ac:dyDescent="0.25">
      <c r="A550" s="7"/>
      <c r="B550" s="17"/>
      <c r="C550" s="20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</row>
    <row r="551" spans="1:58" ht="12.5" x14ac:dyDescent="0.25">
      <c r="A551" s="7"/>
      <c r="B551" s="17"/>
      <c r="C551" s="20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</row>
    <row r="552" spans="1:58" ht="12.5" x14ac:dyDescent="0.25">
      <c r="A552" s="7"/>
      <c r="B552" s="17"/>
      <c r="C552" s="20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</row>
    <row r="553" spans="1:58" ht="12.5" x14ac:dyDescent="0.25">
      <c r="A553" s="7"/>
      <c r="B553" s="17"/>
      <c r="C553" s="20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</row>
    <row r="554" spans="1:58" ht="12.5" x14ac:dyDescent="0.25">
      <c r="A554" s="7"/>
      <c r="B554" s="17"/>
      <c r="C554" s="20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</row>
    <row r="555" spans="1:58" ht="12.5" x14ac:dyDescent="0.25">
      <c r="A555" s="7"/>
      <c r="B555" s="17"/>
      <c r="C555" s="20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</row>
    <row r="556" spans="1:58" ht="12.5" x14ac:dyDescent="0.25">
      <c r="A556" s="7"/>
      <c r="B556" s="17"/>
      <c r="C556" s="20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</row>
    <row r="557" spans="1:58" ht="12.5" x14ac:dyDescent="0.25">
      <c r="A557" s="7"/>
      <c r="B557" s="17"/>
      <c r="C557" s="20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</row>
    <row r="558" spans="1:58" ht="12.5" x14ac:dyDescent="0.25">
      <c r="A558" s="7"/>
      <c r="B558" s="17"/>
      <c r="C558" s="20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</row>
    <row r="559" spans="1:58" ht="12.5" x14ac:dyDescent="0.25">
      <c r="A559" s="7"/>
      <c r="B559" s="17"/>
      <c r="C559" s="20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</row>
    <row r="560" spans="1:58" ht="12.5" x14ac:dyDescent="0.25">
      <c r="A560" s="7"/>
      <c r="B560" s="17"/>
      <c r="C560" s="20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</row>
    <row r="561" spans="1:58" ht="12.5" x14ac:dyDescent="0.25">
      <c r="A561" s="7"/>
      <c r="B561" s="17"/>
      <c r="C561" s="20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</row>
    <row r="562" spans="1:58" ht="12.5" x14ac:dyDescent="0.25">
      <c r="A562" s="7"/>
      <c r="B562" s="17"/>
      <c r="C562" s="20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</row>
    <row r="563" spans="1:58" ht="12.5" x14ac:dyDescent="0.25">
      <c r="A563" s="7"/>
      <c r="B563" s="17"/>
      <c r="C563" s="20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</row>
    <row r="564" spans="1:58" ht="12.5" x14ac:dyDescent="0.25">
      <c r="A564" s="7"/>
      <c r="B564" s="17"/>
      <c r="C564" s="20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</row>
    <row r="565" spans="1:58" ht="12.5" x14ac:dyDescent="0.25">
      <c r="A565" s="7"/>
      <c r="B565" s="17"/>
      <c r="C565" s="20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</row>
    <row r="566" spans="1:58" ht="12.5" x14ac:dyDescent="0.25">
      <c r="A566" s="7"/>
      <c r="B566" s="17"/>
      <c r="C566" s="20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</row>
    <row r="567" spans="1:58" ht="12.5" x14ac:dyDescent="0.25">
      <c r="A567" s="7"/>
      <c r="B567" s="17"/>
      <c r="C567" s="20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</row>
    <row r="568" spans="1:58" ht="12.5" x14ac:dyDescent="0.25">
      <c r="A568" s="7"/>
      <c r="B568" s="17"/>
      <c r="C568" s="20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</row>
    <row r="569" spans="1:58" ht="12.5" x14ac:dyDescent="0.25">
      <c r="A569" s="7"/>
      <c r="B569" s="17"/>
      <c r="C569" s="20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</row>
    <row r="570" spans="1:58" ht="12.5" x14ac:dyDescent="0.25">
      <c r="A570" s="7"/>
      <c r="B570" s="17"/>
      <c r="C570" s="20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</row>
    <row r="571" spans="1:58" ht="12.5" x14ac:dyDescent="0.25">
      <c r="A571" s="7"/>
      <c r="B571" s="17"/>
      <c r="C571" s="20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</row>
    <row r="572" spans="1:58" ht="12.5" x14ac:dyDescent="0.25">
      <c r="A572" s="7"/>
      <c r="B572" s="17"/>
      <c r="C572" s="20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</row>
    <row r="573" spans="1:58" ht="12.5" x14ac:dyDescent="0.25">
      <c r="A573" s="7"/>
      <c r="B573" s="17"/>
      <c r="C573" s="20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</row>
    <row r="574" spans="1:58" ht="12.5" x14ac:dyDescent="0.25">
      <c r="A574" s="7"/>
      <c r="B574" s="17"/>
      <c r="C574" s="20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</row>
    <row r="575" spans="1:58" ht="12.5" x14ac:dyDescent="0.25">
      <c r="A575" s="7"/>
      <c r="B575" s="17"/>
      <c r="C575" s="20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</row>
    <row r="576" spans="1:58" ht="12.5" x14ac:dyDescent="0.25">
      <c r="A576" s="7"/>
      <c r="B576" s="17"/>
      <c r="C576" s="20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</row>
    <row r="577" spans="1:58" ht="12.5" x14ac:dyDescent="0.25">
      <c r="A577" s="7"/>
      <c r="B577" s="17"/>
      <c r="C577" s="20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</row>
    <row r="578" spans="1:58" ht="12.5" x14ac:dyDescent="0.25">
      <c r="A578" s="7"/>
      <c r="B578" s="17"/>
      <c r="C578" s="20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</row>
    <row r="579" spans="1:58" ht="12.5" x14ac:dyDescent="0.25">
      <c r="A579" s="7"/>
      <c r="B579" s="17"/>
      <c r="C579" s="20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</row>
    <row r="580" spans="1:58" ht="12.5" x14ac:dyDescent="0.25">
      <c r="A580" s="7"/>
      <c r="B580" s="17"/>
      <c r="C580" s="20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</row>
    <row r="581" spans="1:58" ht="12.5" x14ac:dyDescent="0.25">
      <c r="A581" s="7"/>
      <c r="B581" s="17"/>
      <c r="C581" s="20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</row>
    <row r="582" spans="1:58" ht="12.5" x14ac:dyDescent="0.25">
      <c r="A582" s="7"/>
      <c r="B582" s="17"/>
      <c r="C582" s="20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</row>
    <row r="583" spans="1:58" ht="12.5" x14ac:dyDescent="0.25">
      <c r="A583" s="7"/>
      <c r="B583" s="17"/>
      <c r="C583" s="20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</row>
    <row r="584" spans="1:58" ht="12.5" x14ac:dyDescent="0.25">
      <c r="A584" s="7"/>
      <c r="B584" s="17"/>
      <c r="C584" s="20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</row>
    <row r="585" spans="1:58" ht="12.5" x14ac:dyDescent="0.25">
      <c r="A585" s="7"/>
      <c r="B585" s="17"/>
      <c r="C585" s="20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</row>
    <row r="586" spans="1:58" ht="12.5" x14ac:dyDescent="0.25">
      <c r="A586" s="7"/>
      <c r="B586" s="17"/>
      <c r="C586" s="20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</row>
    <row r="587" spans="1:58" ht="12.5" x14ac:dyDescent="0.25">
      <c r="A587" s="7"/>
      <c r="B587" s="17"/>
      <c r="C587" s="20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</row>
    <row r="588" spans="1:58" ht="12.5" x14ac:dyDescent="0.25">
      <c r="A588" s="7"/>
      <c r="B588" s="17"/>
      <c r="C588" s="20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</row>
    <row r="589" spans="1:58" ht="12.5" x14ac:dyDescent="0.25">
      <c r="A589" s="7"/>
      <c r="B589" s="17"/>
      <c r="C589" s="20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</row>
    <row r="590" spans="1:58" ht="12.5" x14ac:dyDescent="0.25">
      <c r="A590" s="7"/>
      <c r="B590" s="17"/>
      <c r="C590" s="20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</row>
    <row r="591" spans="1:58" ht="12.5" x14ac:dyDescent="0.25">
      <c r="A591" s="7"/>
      <c r="B591" s="17"/>
      <c r="C591" s="20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</row>
    <row r="592" spans="1:58" ht="12.5" x14ac:dyDescent="0.25">
      <c r="A592" s="7"/>
      <c r="B592" s="17"/>
      <c r="C592" s="20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</row>
    <row r="593" spans="1:58" ht="12.5" x14ac:dyDescent="0.25">
      <c r="A593" s="7"/>
      <c r="B593" s="17"/>
      <c r="C593" s="20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</row>
    <row r="594" spans="1:58" ht="12.5" x14ac:dyDescent="0.25">
      <c r="A594" s="7"/>
      <c r="B594" s="17"/>
      <c r="C594" s="20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</row>
    <row r="595" spans="1:58" ht="12.5" x14ac:dyDescent="0.25">
      <c r="A595" s="7"/>
      <c r="B595" s="17"/>
      <c r="C595" s="20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</row>
    <row r="596" spans="1:58" ht="12.5" x14ac:dyDescent="0.25">
      <c r="A596" s="7"/>
      <c r="B596" s="17"/>
      <c r="C596" s="20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</row>
    <row r="597" spans="1:58" ht="12.5" x14ac:dyDescent="0.25">
      <c r="A597" s="7"/>
      <c r="B597" s="17"/>
      <c r="C597" s="20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</row>
    <row r="598" spans="1:58" ht="12.5" x14ac:dyDescent="0.25">
      <c r="A598" s="7"/>
      <c r="B598" s="17"/>
      <c r="C598" s="20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</row>
    <row r="599" spans="1:58" ht="12.5" x14ac:dyDescent="0.25">
      <c r="A599" s="7"/>
      <c r="B599" s="17"/>
      <c r="C599" s="20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</row>
    <row r="600" spans="1:58" ht="12.5" x14ac:dyDescent="0.25">
      <c r="A600" s="7"/>
      <c r="B600" s="17"/>
      <c r="C600" s="20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</row>
    <row r="601" spans="1:58" ht="12.5" x14ac:dyDescent="0.25">
      <c r="A601" s="7"/>
      <c r="B601" s="17"/>
      <c r="C601" s="20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</row>
    <row r="602" spans="1:58" ht="12.5" x14ac:dyDescent="0.25">
      <c r="A602" s="7"/>
      <c r="B602" s="17"/>
      <c r="C602" s="20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</row>
    <row r="603" spans="1:58" ht="12.5" x14ac:dyDescent="0.25">
      <c r="A603" s="7"/>
      <c r="B603" s="17"/>
      <c r="C603" s="20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</row>
    <row r="604" spans="1:58" ht="12.5" x14ac:dyDescent="0.25">
      <c r="A604" s="7"/>
      <c r="B604" s="17"/>
      <c r="C604" s="20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</row>
    <row r="605" spans="1:58" ht="12.5" x14ac:dyDescent="0.25">
      <c r="A605" s="7"/>
      <c r="B605" s="17"/>
      <c r="C605" s="20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</row>
    <row r="606" spans="1:58" ht="12.5" x14ac:dyDescent="0.25">
      <c r="A606" s="7"/>
      <c r="B606" s="17"/>
      <c r="C606" s="20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</row>
    <row r="607" spans="1:58" ht="12.5" x14ac:dyDescent="0.25">
      <c r="A607" s="7"/>
      <c r="B607" s="17"/>
      <c r="C607" s="20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</row>
    <row r="608" spans="1:58" ht="12.5" x14ac:dyDescent="0.25">
      <c r="A608" s="7"/>
      <c r="B608" s="17"/>
      <c r="C608" s="20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</row>
    <row r="609" spans="1:58" ht="12.5" x14ac:dyDescent="0.25">
      <c r="A609" s="7"/>
      <c r="B609" s="17"/>
      <c r="C609" s="20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</row>
    <row r="610" spans="1:58" ht="12.5" x14ac:dyDescent="0.25">
      <c r="A610" s="7"/>
      <c r="B610" s="17"/>
      <c r="C610" s="20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</row>
    <row r="611" spans="1:58" ht="12.5" x14ac:dyDescent="0.25">
      <c r="A611" s="7"/>
      <c r="B611" s="17"/>
      <c r="C611" s="20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</row>
    <row r="612" spans="1:58" ht="12.5" x14ac:dyDescent="0.25">
      <c r="A612" s="7"/>
      <c r="B612" s="17"/>
      <c r="C612" s="20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</row>
    <row r="613" spans="1:58" ht="12.5" x14ac:dyDescent="0.25">
      <c r="A613" s="7"/>
      <c r="B613" s="17"/>
      <c r="C613" s="20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</row>
    <row r="614" spans="1:58" ht="12.5" x14ac:dyDescent="0.25">
      <c r="A614" s="7"/>
      <c r="B614" s="17"/>
      <c r="C614" s="20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</row>
    <row r="615" spans="1:58" ht="12.5" x14ac:dyDescent="0.25">
      <c r="A615" s="7"/>
      <c r="B615" s="17"/>
      <c r="C615" s="20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</row>
    <row r="616" spans="1:58" ht="12.5" x14ac:dyDescent="0.25">
      <c r="A616" s="7"/>
      <c r="B616" s="17"/>
      <c r="C616" s="20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</row>
    <row r="617" spans="1:58" ht="12.5" x14ac:dyDescent="0.25">
      <c r="A617" s="7"/>
      <c r="B617" s="17"/>
      <c r="C617" s="20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</row>
    <row r="618" spans="1:58" ht="12.5" x14ac:dyDescent="0.25">
      <c r="A618" s="7"/>
      <c r="B618" s="17"/>
      <c r="C618" s="20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</row>
    <row r="619" spans="1:58" ht="12.5" x14ac:dyDescent="0.25">
      <c r="A619" s="7"/>
      <c r="B619" s="17"/>
      <c r="C619" s="20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</row>
    <row r="620" spans="1:58" ht="12.5" x14ac:dyDescent="0.25">
      <c r="A620" s="7"/>
      <c r="B620" s="17"/>
      <c r="C620" s="20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</row>
    <row r="621" spans="1:58" ht="12.5" x14ac:dyDescent="0.25">
      <c r="A621" s="7"/>
      <c r="B621" s="17"/>
      <c r="C621" s="20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</row>
    <row r="622" spans="1:58" ht="12.5" x14ac:dyDescent="0.25">
      <c r="A622" s="7"/>
      <c r="B622" s="17"/>
      <c r="C622" s="20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</row>
    <row r="623" spans="1:58" ht="12.5" x14ac:dyDescent="0.25">
      <c r="A623" s="7"/>
      <c r="B623" s="17"/>
      <c r="C623" s="20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</row>
    <row r="624" spans="1:58" ht="12.5" x14ac:dyDescent="0.25">
      <c r="A624" s="7"/>
      <c r="B624" s="17"/>
      <c r="C624" s="20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</row>
    <row r="625" spans="1:58" ht="12.5" x14ac:dyDescent="0.25">
      <c r="A625" s="7"/>
      <c r="B625" s="17"/>
      <c r="C625" s="20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</row>
    <row r="626" spans="1:58" ht="12.5" x14ac:dyDescent="0.25">
      <c r="A626" s="7"/>
      <c r="B626" s="17"/>
      <c r="C626" s="20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</row>
    <row r="627" spans="1:58" ht="12.5" x14ac:dyDescent="0.25">
      <c r="A627" s="7"/>
      <c r="B627" s="17"/>
      <c r="C627" s="20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</row>
    <row r="628" spans="1:58" ht="12.5" x14ac:dyDescent="0.25">
      <c r="A628" s="7"/>
      <c r="B628" s="17"/>
      <c r="C628" s="20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</row>
    <row r="629" spans="1:58" ht="12.5" x14ac:dyDescent="0.25">
      <c r="A629" s="7"/>
      <c r="B629" s="17"/>
      <c r="C629" s="20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</row>
    <row r="630" spans="1:58" ht="12.5" x14ac:dyDescent="0.25">
      <c r="A630" s="7"/>
      <c r="B630" s="17"/>
      <c r="C630" s="20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</row>
    <row r="631" spans="1:58" ht="12.5" x14ac:dyDescent="0.25">
      <c r="A631" s="7"/>
      <c r="B631" s="17"/>
      <c r="C631" s="20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</row>
    <row r="632" spans="1:58" ht="12.5" x14ac:dyDescent="0.25">
      <c r="A632" s="7"/>
      <c r="B632" s="17"/>
      <c r="C632" s="20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</row>
    <row r="633" spans="1:58" ht="12.5" x14ac:dyDescent="0.25">
      <c r="A633" s="7"/>
      <c r="B633" s="17"/>
      <c r="C633" s="20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</row>
    <row r="634" spans="1:58" ht="12.5" x14ac:dyDescent="0.25">
      <c r="A634" s="7"/>
      <c r="B634" s="17"/>
      <c r="C634" s="20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</row>
    <row r="635" spans="1:58" ht="12.5" x14ac:dyDescent="0.25">
      <c r="A635" s="7"/>
      <c r="B635" s="17"/>
      <c r="C635" s="20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</row>
    <row r="636" spans="1:58" ht="12.5" x14ac:dyDescent="0.25">
      <c r="A636" s="7"/>
      <c r="B636" s="17"/>
      <c r="C636" s="20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</row>
    <row r="637" spans="1:58" ht="12.5" x14ac:dyDescent="0.25">
      <c r="A637" s="7"/>
      <c r="B637" s="17"/>
      <c r="C637" s="20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</row>
    <row r="638" spans="1:58" ht="12.5" x14ac:dyDescent="0.25">
      <c r="A638" s="7"/>
      <c r="B638" s="17"/>
      <c r="C638" s="20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</row>
    <row r="639" spans="1:58" ht="12.5" x14ac:dyDescent="0.25">
      <c r="A639" s="7"/>
      <c r="B639" s="17"/>
      <c r="C639" s="20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</row>
    <row r="640" spans="1:58" ht="12.5" x14ac:dyDescent="0.25">
      <c r="A640" s="7"/>
      <c r="B640" s="17"/>
      <c r="C640" s="20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</row>
    <row r="641" spans="1:58" ht="12.5" x14ac:dyDescent="0.25">
      <c r="A641" s="7"/>
      <c r="B641" s="17"/>
      <c r="C641" s="20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</row>
    <row r="642" spans="1:58" ht="12.5" x14ac:dyDescent="0.25">
      <c r="A642" s="7"/>
      <c r="B642" s="17"/>
      <c r="C642" s="20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</row>
    <row r="643" spans="1:58" ht="12.5" x14ac:dyDescent="0.25">
      <c r="A643" s="7"/>
      <c r="B643" s="17"/>
      <c r="C643" s="20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</row>
    <row r="644" spans="1:58" ht="12.5" x14ac:dyDescent="0.25">
      <c r="A644" s="7"/>
      <c r="B644" s="17"/>
      <c r="C644" s="20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</row>
    <row r="645" spans="1:58" ht="12.5" x14ac:dyDescent="0.25">
      <c r="A645" s="7"/>
      <c r="B645" s="17"/>
      <c r="C645" s="20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</row>
    <row r="646" spans="1:58" ht="12.5" x14ac:dyDescent="0.25">
      <c r="A646" s="7"/>
      <c r="B646" s="17"/>
      <c r="C646" s="20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</row>
    <row r="647" spans="1:58" ht="12.5" x14ac:dyDescent="0.25">
      <c r="A647" s="7"/>
      <c r="B647" s="17"/>
      <c r="C647" s="20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</row>
    <row r="648" spans="1:58" ht="12.5" x14ac:dyDescent="0.25">
      <c r="A648" s="7"/>
      <c r="B648" s="17"/>
      <c r="C648" s="20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</row>
    <row r="649" spans="1:58" ht="12.5" x14ac:dyDescent="0.25">
      <c r="A649" s="7"/>
      <c r="B649" s="17"/>
      <c r="C649" s="20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</row>
    <row r="650" spans="1:58" ht="12.5" x14ac:dyDescent="0.25">
      <c r="A650" s="7"/>
      <c r="B650" s="17"/>
      <c r="C650" s="20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</row>
    <row r="651" spans="1:58" ht="12.5" x14ac:dyDescent="0.25">
      <c r="A651" s="7"/>
      <c r="B651" s="17"/>
      <c r="C651" s="20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</row>
    <row r="652" spans="1:58" ht="12.5" x14ac:dyDescent="0.25">
      <c r="A652" s="7"/>
      <c r="B652" s="17"/>
      <c r="C652" s="20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</row>
    <row r="653" spans="1:58" ht="12.5" x14ac:dyDescent="0.25">
      <c r="A653" s="7"/>
      <c r="B653" s="17"/>
      <c r="C653" s="20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</row>
    <row r="654" spans="1:58" ht="12.5" x14ac:dyDescent="0.25">
      <c r="A654" s="7"/>
      <c r="B654" s="17"/>
      <c r="C654" s="20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</row>
    <row r="655" spans="1:58" ht="12.5" x14ac:dyDescent="0.25">
      <c r="A655" s="7"/>
      <c r="B655" s="17"/>
      <c r="C655" s="20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</row>
    <row r="656" spans="1:58" ht="12.5" x14ac:dyDescent="0.25">
      <c r="A656" s="7"/>
      <c r="B656" s="17"/>
      <c r="C656" s="20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</row>
    <row r="657" spans="1:58" ht="12.5" x14ac:dyDescent="0.25">
      <c r="A657" s="7"/>
      <c r="B657" s="17"/>
      <c r="C657" s="20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</row>
    <row r="658" spans="1:58" ht="12.5" x14ac:dyDescent="0.25">
      <c r="A658" s="7"/>
      <c r="B658" s="17"/>
      <c r="C658" s="20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</row>
    <row r="659" spans="1:58" ht="12.5" x14ac:dyDescent="0.25">
      <c r="A659" s="7"/>
      <c r="B659" s="17"/>
      <c r="C659" s="20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</row>
    <row r="660" spans="1:58" ht="12.5" x14ac:dyDescent="0.25">
      <c r="A660" s="7"/>
      <c r="B660" s="17"/>
      <c r="C660" s="20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</row>
    <row r="661" spans="1:58" ht="12.5" x14ac:dyDescent="0.25">
      <c r="A661" s="7"/>
      <c r="B661" s="17"/>
      <c r="C661" s="20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</row>
    <row r="662" spans="1:58" ht="12.5" x14ac:dyDescent="0.25">
      <c r="A662" s="7"/>
      <c r="B662" s="17"/>
      <c r="C662" s="20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</row>
    <row r="663" spans="1:58" ht="12.5" x14ac:dyDescent="0.25">
      <c r="A663" s="7"/>
      <c r="B663" s="17"/>
      <c r="C663" s="20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</row>
    <row r="664" spans="1:58" ht="12.5" x14ac:dyDescent="0.25">
      <c r="A664" s="7"/>
      <c r="B664" s="17"/>
      <c r="C664" s="20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</row>
    <row r="665" spans="1:58" ht="12.5" x14ac:dyDescent="0.25">
      <c r="A665" s="7"/>
      <c r="B665" s="17"/>
      <c r="C665" s="20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</row>
    <row r="666" spans="1:58" ht="12.5" x14ac:dyDescent="0.25">
      <c r="A666" s="7"/>
      <c r="B666" s="17"/>
      <c r="C666" s="20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</row>
    <row r="667" spans="1:58" ht="12.5" x14ac:dyDescent="0.25">
      <c r="A667" s="7"/>
      <c r="B667" s="17"/>
      <c r="C667" s="20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</row>
    <row r="668" spans="1:58" ht="12.5" x14ac:dyDescent="0.25">
      <c r="A668" s="7"/>
      <c r="B668" s="17"/>
      <c r="C668" s="20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</row>
    <row r="669" spans="1:58" ht="12.5" x14ac:dyDescent="0.25">
      <c r="A669" s="7"/>
      <c r="B669" s="17"/>
      <c r="C669" s="20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</row>
    <row r="670" spans="1:58" ht="12.5" x14ac:dyDescent="0.25">
      <c r="A670" s="7"/>
      <c r="B670" s="17"/>
      <c r="C670" s="20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</row>
    <row r="671" spans="1:58" ht="12.5" x14ac:dyDescent="0.25">
      <c r="A671" s="7"/>
      <c r="B671" s="17"/>
      <c r="C671" s="20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</row>
    <row r="672" spans="1:58" ht="12.5" x14ac:dyDescent="0.25">
      <c r="A672" s="7"/>
      <c r="B672" s="17"/>
      <c r="C672" s="20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</row>
    <row r="673" spans="1:58" ht="12.5" x14ac:dyDescent="0.25">
      <c r="A673" s="7"/>
      <c r="B673" s="17"/>
      <c r="C673" s="20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</row>
    <row r="674" spans="1:58" ht="12.5" x14ac:dyDescent="0.25">
      <c r="A674" s="7"/>
      <c r="B674" s="17"/>
      <c r="C674" s="20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</row>
    <row r="675" spans="1:58" ht="12.5" x14ac:dyDescent="0.25">
      <c r="A675" s="7"/>
      <c r="B675" s="17"/>
      <c r="C675" s="20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</row>
    <row r="676" spans="1:58" ht="12.5" x14ac:dyDescent="0.25">
      <c r="A676" s="7"/>
      <c r="B676" s="17"/>
      <c r="C676" s="20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</row>
    <row r="677" spans="1:58" ht="12.5" x14ac:dyDescent="0.25">
      <c r="A677" s="7"/>
      <c r="B677" s="17"/>
      <c r="C677" s="20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</row>
    <row r="678" spans="1:58" ht="12.5" x14ac:dyDescent="0.25">
      <c r="A678" s="7"/>
      <c r="B678" s="17"/>
      <c r="C678" s="20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</row>
    <row r="679" spans="1:58" ht="12.5" x14ac:dyDescent="0.25">
      <c r="A679" s="7"/>
      <c r="B679" s="17"/>
      <c r="C679" s="20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</row>
    <row r="680" spans="1:58" ht="12.5" x14ac:dyDescent="0.25">
      <c r="A680" s="7"/>
      <c r="B680" s="17"/>
      <c r="C680" s="20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</row>
    <row r="681" spans="1:58" ht="12.5" x14ac:dyDescent="0.25">
      <c r="A681" s="7"/>
      <c r="B681" s="17"/>
      <c r="C681" s="20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</row>
    <row r="682" spans="1:58" ht="12.5" x14ac:dyDescent="0.25">
      <c r="A682" s="7"/>
      <c r="B682" s="17"/>
      <c r="C682" s="20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</row>
    <row r="683" spans="1:58" ht="12.5" x14ac:dyDescent="0.25">
      <c r="A683" s="7"/>
      <c r="B683" s="17"/>
      <c r="C683" s="20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</row>
    <row r="684" spans="1:58" ht="12.5" x14ac:dyDescent="0.25">
      <c r="A684" s="7"/>
      <c r="B684" s="17"/>
      <c r="C684" s="20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</row>
    <row r="685" spans="1:58" ht="12.5" x14ac:dyDescent="0.25">
      <c r="A685" s="7"/>
      <c r="B685" s="17"/>
      <c r="C685" s="20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</row>
    <row r="686" spans="1:58" ht="12.5" x14ac:dyDescent="0.25">
      <c r="A686" s="7"/>
      <c r="B686" s="17"/>
      <c r="C686" s="20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</row>
    <row r="687" spans="1:58" ht="12.5" x14ac:dyDescent="0.25">
      <c r="A687" s="7"/>
      <c r="B687" s="17"/>
      <c r="C687" s="20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</row>
    <row r="688" spans="1:58" ht="12.5" x14ac:dyDescent="0.25">
      <c r="A688" s="7"/>
      <c r="B688" s="17"/>
      <c r="C688" s="20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</row>
    <row r="689" spans="1:58" ht="12.5" x14ac:dyDescent="0.25">
      <c r="A689" s="7"/>
      <c r="B689" s="17"/>
      <c r="C689" s="20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</row>
    <row r="690" spans="1:58" ht="12.5" x14ac:dyDescent="0.25">
      <c r="A690" s="7"/>
      <c r="B690" s="17"/>
      <c r="C690" s="20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</row>
    <row r="691" spans="1:58" ht="12.5" x14ac:dyDescent="0.25">
      <c r="A691" s="7"/>
      <c r="B691" s="17"/>
      <c r="C691" s="20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</row>
    <row r="692" spans="1:58" ht="12.5" x14ac:dyDescent="0.25">
      <c r="A692" s="7"/>
      <c r="B692" s="17"/>
      <c r="C692" s="20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</row>
    <row r="693" spans="1:58" ht="12.5" x14ac:dyDescent="0.25">
      <c r="A693" s="7"/>
      <c r="B693" s="17"/>
      <c r="C693" s="20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</row>
    <row r="694" spans="1:58" ht="12.5" x14ac:dyDescent="0.25">
      <c r="A694" s="7"/>
      <c r="B694" s="17"/>
      <c r="C694" s="20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</row>
    <row r="695" spans="1:58" ht="12.5" x14ac:dyDescent="0.25">
      <c r="A695" s="7"/>
      <c r="B695" s="17"/>
      <c r="C695" s="20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</row>
    <row r="696" spans="1:58" ht="12.5" x14ac:dyDescent="0.25">
      <c r="A696" s="7"/>
      <c r="B696" s="17"/>
      <c r="C696" s="20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</row>
    <row r="697" spans="1:58" ht="12.5" x14ac:dyDescent="0.25">
      <c r="A697" s="7"/>
      <c r="B697" s="17"/>
      <c r="C697" s="20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</row>
    <row r="698" spans="1:58" ht="12.5" x14ac:dyDescent="0.25">
      <c r="A698" s="7"/>
      <c r="B698" s="17"/>
      <c r="C698" s="20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</row>
    <row r="699" spans="1:58" ht="12.5" x14ac:dyDescent="0.25">
      <c r="A699" s="7"/>
      <c r="B699" s="17"/>
      <c r="C699" s="20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</row>
    <row r="700" spans="1:58" ht="12.5" x14ac:dyDescent="0.25">
      <c r="A700" s="7"/>
      <c r="B700" s="17"/>
      <c r="C700" s="20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</row>
    <row r="701" spans="1:58" ht="12.5" x14ac:dyDescent="0.25">
      <c r="A701" s="7"/>
      <c r="B701" s="17"/>
      <c r="C701" s="20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</row>
    <row r="702" spans="1:58" ht="12.5" x14ac:dyDescent="0.25">
      <c r="A702" s="7"/>
      <c r="B702" s="17"/>
      <c r="C702" s="20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</row>
    <row r="703" spans="1:58" ht="12.5" x14ac:dyDescent="0.25">
      <c r="A703" s="7"/>
      <c r="B703" s="17"/>
      <c r="C703" s="20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</row>
    <row r="704" spans="1:58" ht="12.5" x14ac:dyDescent="0.25">
      <c r="A704" s="7"/>
      <c r="B704" s="17"/>
      <c r="C704" s="20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</row>
    <row r="705" spans="1:58" ht="12.5" x14ac:dyDescent="0.25">
      <c r="A705" s="7"/>
      <c r="B705" s="17"/>
      <c r="C705" s="20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</row>
    <row r="706" spans="1:58" ht="12.5" x14ac:dyDescent="0.25">
      <c r="A706" s="7"/>
      <c r="B706" s="17"/>
      <c r="C706" s="20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</row>
    <row r="707" spans="1:58" ht="12.5" x14ac:dyDescent="0.25">
      <c r="A707" s="7"/>
      <c r="B707" s="17"/>
      <c r="C707" s="20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</row>
    <row r="708" spans="1:58" ht="12.5" x14ac:dyDescent="0.25">
      <c r="A708" s="7"/>
      <c r="B708" s="17"/>
      <c r="C708" s="20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</row>
    <row r="709" spans="1:58" ht="12.5" x14ac:dyDescent="0.25">
      <c r="A709" s="7"/>
      <c r="B709" s="17"/>
      <c r="C709" s="20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</row>
    <row r="710" spans="1:58" ht="12.5" x14ac:dyDescent="0.25">
      <c r="A710" s="7"/>
      <c r="B710" s="17"/>
      <c r="C710" s="20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</row>
    <row r="711" spans="1:58" ht="12.5" x14ac:dyDescent="0.25">
      <c r="A711" s="7"/>
      <c r="B711" s="17"/>
      <c r="C711" s="20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</row>
    <row r="712" spans="1:58" ht="12.5" x14ac:dyDescent="0.25">
      <c r="A712" s="7"/>
      <c r="B712" s="17"/>
      <c r="C712" s="20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</row>
    <row r="713" spans="1:58" ht="12.5" x14ac:dyDescent="0.25">
      <c r="A713" s="7"/>
      <c r="B713" s="17"/>
      <c r="C713" s="20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</row>
    <row r="714" spans="1:58" ht="12.5" x14ac:dyDescent="0.25">
      <c r="A714" s="7"/>
      <c r="B714" s="17"/>
      <c r="C714" s="20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</row>
    <row r="715" spans="1:58" ht="12.5" x14ac:dyDescent="0.25">
      <c r="A715" s="7"/>
      <c r="B715" s="17"/>
      <c r="C715" s="20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</row>
    <row r="716" spans="1:58" ht="12.5" x14ac:dyDescent="0.25">
      <c r="A716" s="7"/>
      <c r="B716" s="17"/>
      <c r="C716" s="20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</row>
    <row r="717" spans="1:58" ht="12.5" x14ac:dyDescent="0.25">
      <c r="A717" s="7"/>
      <c r="B717" s="17"/>
      <c r="C717" s="20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</row>
    <row r="718" spans="1:58" ht="12.5" x14ac:dyDescent="0.25">
      <c r="A718" s="7"/>
      <c r="B718" s="17"/>
      <c r="C718" s="20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</row>
    <row r="719" spans="1:58" ht="12.5" x14ac:dyDescent="0.25">
      <c r="A719" s="7"/>
      <c r="B719" s="17"/>
      <c r="C719" s="20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</row>
    <row r="720" spans="1:58" ht="12.5" x14ac:dyDescent="0.25">
      <c r="A720" s="7"/>
      <c r="B720" s="17"/>
      <c r="C720" s="20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</row>
    <row r="721" spans="1:58" ht="12.5" x14ac:dyDescent="0.25">
      <c r="A721" s="7"/>
      <c r="B721" s="17"/>
      <c r="C721" s="20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</row>
    <row r="722" spans="1:58" ht="12.5" x14ac:dyDescent="0.25">
      <c r="A722" s="7"/>
      <c r="B722" s="17"/>
      <c r="C722" s="20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</row>
    <row r="723" spans="1:58" ht="12.5" x14ac:dyDescent="0.25">
      <c r="A723" s="7"/>
      <c r="B723" s="17"/>
      <c r="C723" s="20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</row>
    <row r="724" spans="1:58" ht="12.5" x14ac:dyDescent="0.25">
      <c r="A724" s="7"/>
      <c r="B724" s="17"/>
      <c r="C724" s="20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</row>
    <row r="725" spans="1:58" ht="12.5" x14ac:dyDescent="0.25">
      <c r="A725" s="7"/>
      <c r="B725" s="17"/>
      <c r="C725" s="20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</row>
    <row r="726" spans="1:58" ht="12.5" x14ac:dyDescent="0.25">
      <c r="A726" s="7"/>
      <c r="B726" s="17"/>
      <c r="C726" s="20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</row>
    <row r="727" spans="1:58" ht="12.5" x14ac:dyDescent="0.25">
      <c r="A727" s="7"/>
      <c r="B727" s="17"/>
      <c r="C727" s="20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</row>
    <row r="728" spans="1:58" ht="12.5" x14ac:dyDescent="0.25">
      <c r="A728" s="7"/>
      <c r="B728" s="17"/>
      <c r="C728" s="20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</row>
    <row r="729" spans="1:58" ht="12.5" x14ac:dyDescent="0.25">
      <c r="A729" s="7"/>
      <c r="B729" s="17"/>
      <c r="C729" s="20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</row>
    <row r="730" spans="1:58" ht="12.5" x14ac:dyDescent="0.25">
      <c r="A730" s="7"/>
      <c r="B730" s="17"/>
      <c r="C730" s="20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</row>
    <row r="731" spans="1:58" ht="12.5" x14ac:dyDescent="0.25">
      <c r="A731" s="7"/>
      <c r="B731" s="17"/>
      <c r="C731" s="20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</row>
    <row r="732" spans="1:58" ht="12.5" x14ac:dyDescent="0.25">
      <c r="A732" s="7"/>
      <c r="B732" s="17"/>
      <c r="C732" s="20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</row>
    <row r="733" spans="1:58" ht="12.5" x14ac:dyDescent="0.25">
      <c r="A733" s="7"/>
      <c r="B733" s="17"/>
      <c r="C733" s="20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</row>
    <row r="734" spans="1:58" ht="12.5" x14ac:dyDescent="0.25">
      <c r="A734" s="7"/>
      <c r="B734" s="17"/>
      <c r="C734" s="20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</row>
    <row r="735" spans="1:58" ht="12.5" x14ac:dyDescent="0.25">
      <c r="A735" s="7"/>
      <c r="B735" s="17"/>
      <c r="C735" s="20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</row>
    <row r="736" spans="1:58" ht="12.5" x14ac:dyDescent="0.25">
      <c r="A736" s="7"/>
      <c r="B736" s="17"/>
      <c r="C736" s="20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</row>
    <row r="737" spans="1:58" ht="12.5" x14ac:dyDescent="0.25">
      <c r="A737" s="7"/>
      <c r="B737" s="17"/>
      <c r="C737" s="20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</row>
    <row r="738" spans="1:58" ht="12.5" x14ac:dyDescent="0.25">
      <c r="A738" s="7"/>
      <c r="B738" s="17"/>
      <c r="C738" s="20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</row>
    <row r="739" spans="1:58" ht="12.5" x14ac:dyDescent="0.25">
      <c r="A739" s="7"/>
      <c r="B739" s="17"/>
      <c r="C739" s="20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</row>
    <row r="740" spans="1:58" ht="12.5" x14ac:dyDescent="0.25">
      <c r="A740" s="7"/>
      <c r="B740" s="17"/>
      <c r="C740" s="20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</row>
    <row r="741" spans="1:58" ht="12.5" x14ac:dyDescent="0.25">
      <c r="A741" s="7"/>
      <c r="B741" s="17"/>
      <c r="C741" s="20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</row>
    <row r="742" spans="1:58" ht="12.5" x14ac:dyDescent="0.25">
      <c r="A742" s="7"/>
      <c r="B742" s="17"/>
      <c r="C742" s="20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</row>
    <row r="743" spans="1:58" ht="12.5" x14ac:dyDescent="0.25">
      <c r="A743" s="7"/>
      <c r="B743" s="17"/>
      <c r="C743" s="20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</row>
    <row r="744" spans="1:58" ht="12.5" x14ac:dyDescent="0.25">
      <c r="A744" s="7"/>
      <c r="B744" s="17"/>
      <c r="C744" s="20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</row>
    <row r="745" spans="1:58" ht="12.5" x14ac:dyDescent="0.25">
      <c r="A745" s="7"/>
      <c r="B745" s="17"/>
      <c r="C745" s="20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</row>
    <row r="746" spans="1:58" ht="12.5" x14ac:dyDescent="0.25">
      <c r="A746" s="7"/>
      <c r="B746" s="17"/>
      <c r="C746" s="20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</row>
    <row r="747" spans="1:58" ht="12.5" x14ac:dyDescent="0.25">
      <c r="A747" s="7"/>
      <c r="B747" s="17"/>
      <c r="C747" s="20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</row>
    <row r="748" spans="1:58" ht="12.5" x14ac:dyDescent="0.25">
      <c r="A748" s="7"/>
      <c r="B748" s="17"/>
      <c r="C748" s="20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</row>
    <row r="749" spans="1:58" ht="12.5" x14ac:dyDescent="0.25">
      <c r="A749" s="7"/>
      <c r="B749" s="17"/>
      <c r="C749" s="20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</row>
    <row r="750" spans="1:58" ht="12.5" x14ac:dyDescent="0.25">
      <c r="A750" s="7"/>
      <c r="B750" s="17"/>
      <c r="C750" s="20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</row>
    <row r="751" spans="1:58" ht="12.5" x14ac:dyDescent="0.25">
      <c r="A751" s="7"/>
      <c r="B751" s="17"/>
      <c r="C751" s="20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</row>
    <row r="752" spans="1:58" ht="12.5" x14ac:dyDescent="0.25">
      <c r="A752" s="7"/>
      <c r="B752" s="17"/>
      <c r="C752" s="20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</row>
    <row r="753" spans="1:58" ht="12.5" x14ac:dyDescent="0.25">
      <c r="A753" s="7"/>
      <c r="B753" s="17"/>
      <c r="C753" s="20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</row>
    <row r="754" spans="1:58" ht="12.5" x14ac:dyDescent="0.25">
      <c r="A754" s="7"/>
      <c r="B754" s="17"/>
      <c r="C754" s="20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</row>
    <row r="755" spans="1:58" ht="12.5" x14ac:dyDescent="0.25">
      <c r="A755" s="7"/>
      <c r="B755" s="17"/>
      <c r="C755" s="20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</row>
    <row r="756" spans="1:58" ht="12.5" x14ac:dyDescent="0.25">
      <c r="A756" s="7"/>
      <c r="B756" s="17"/>
      <c r="C756" s="20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</row>
    <row r="757" spans="1:58" ht="12.5" x14ac:dyDescent="0.25">
      <c r="A757" s="7"/>
      <c r="B757" s="17"/>
      <c r="C757" s="20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</row>
    <row r="758" spans="1:58" ht="12.5" x14ac:dyDescent="0.25">
      <c r="A758" s="7"/>
      <c r="B758" s="17"/>
      <c r="C758" s="20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</row>
    <row r="759" spans="1:58" ht="12.5" x14ac:dyDescent="0.25">
      <c r="A759" s="7"/>
      <c r="B759" s="17"/>
      <c r="C759" s="20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</row>
    <row r="760" spans="1:58" ht="12.5" x14ac:dyDescent="0.25">
      <c r="A760" s="7"/>
      <c r="B760" s="17"/>
      <c r="C760" s="20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</row>
    <row r="761" spans="1:58" ht="12.5" x14ac:dyDescent="0.25">
      <c r="A761" s="7"/>
      <c r="B761" s="17"/>
      <c r="C761" s="20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</row>
    <row r="762" spans="1:58" ht="12.5" x14ac:dyDescent="0.25">
      <c r="A762" s="7"/>
      <c r="B762" s="17"/>
      <c r="C762" s="20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</row>
    <row r="763" spans="1:58" ht="12.5" x14ac:dyDescent="0.25">
      <c r="A763" s="7"/>
      <c r="B763" s="17"/>
      <c r="C763" s="20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</row>
    <row r="764" spans="1:58" ht="12.5" x14ac:dyDescent="0.25">
      <c r="A764" s="7"/>
      <c r="B764" s="17"/>
      <c r="C764" s="20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</row>
    <row r="765" spans="1:58" ht="12.5" x14ac:dyDescent="0.25">
      <c r="A765" s="7"/>
      <c r="B765" s="17"/>
      <c r="C765" s="20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</row>
    <row r="766" spans="1:58" ht="12.5" x14ac:dyDescent="0.25">
      <c r="A766" s="7"/>
      <c r="B766" s="17"/>
      <c r="C766" s="20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</row>
    <row r="767" spans="1:58" ht="12.5" x14ac:dyDescent="0.25">
      <c r="A767" s="7"/>
      <c r="B767" s="17"/>
      <c r="C767" s="20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</row>
    <row r="768" spans="1:58" ht="12.5" x14ac:dyDescent="0.25">
      <c r="A768" s="7"/>
      <c r="B768" s="17"/>
      <c r="C768" s="20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</row>
    <row r="769" spans="1:58" ht="12.5" x14ac:dyDescent="0.25">
      <c r="A769" s="7"/>
      <c r="B769" s="17"/>
      <c r="C769" s="20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</row>
    <row r="770" spans="1:58" ht="12.5" x14ac:dyDescent="0.25">
      <c r="A770" s="7"/>
      <c r="B770" s="17"/>
      <c r="C770" s="20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</row>
    <row r="771" spans="1:58" ht="12.5" x14ac:dyDescent="0.25">
      <c r="A771" s="7"/>
      <c r="B771" s="17"/>
      <c r="C771" s="20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</row>
    <row r="772" spans="1:58" ht="12.5" x14ac:dyDescent="0.25">
      <c r="A772" s="7"/>
      <c r="B772" s="17"/>
      <c r="C772" s="20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</row>
    <row r="773" spans="1:58" ht="12.5" x14ac:dyDescent="0.25">
      <c r="A773" s="7"/>
      <c r="B773" s="17"/>
      <c r="C773" s="20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</row>
    <row r="774" spans="1:58" ht="12.5" x14ac:dyDescent="0.25">
      <c r="A774" s="7"/>
      <c r="B774" s="17"/>
      <c r="C774" s="20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</row>
    <row r="775" spans="1:58" ht="12.5" x14ac:dyDescent="0.25">
      <c r="A775" s="7"/>
      <c r="B775" s="17"/>
      <c r="C775" s="20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</row>
    <row r="776" spans="1:58" ht="12.5" x14ac:dyDescent="0.25">
      <c r="A776" s="7"/>
      <c r="B776" s="17"/>
      <c r="C776" s="20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</row>
    <row r="777" spans="1:58" ht="12.5" x14ac:dyDescent="0.25">
      <c r="A777" s="7"/>
      <c r="B777" s="17"/>
      <c r="C777" s="20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</row>
    <row r="778" spans="1:58" ht="12.5" x14ac:dyDescent="0.25">
      <c r="A778" s="7"/>
      <c r="B778" s="17"/>
      <c r="C778" s="20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</row>
    <row r="779" spans="1:58" ht="12.5" x14ac:dyDescent="0.25">
      <c r="A779" s="7"/>
      <c r="B779" s="17"/>
      <c r="C779" s="20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</row>
    <row r="780" spans="1:58" ht="12.5" x14ac:dyDescent="0.25">
      <c r="A780" s="7"/>
      <c r="B780" s="17"/>
      <c r="C780" s="20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</row>
    <row r="781" spans="1:58" ht="12.5" x14ac:dyDescent="0.25">
      <c r="A781" s="7"/>
      <c r="B781" s="17"/>
      <c r="C781" s="20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</row>
    <row r="782" spans="1:58" ht="12.5" x14ac:dyDescent="0.25">
      <c r="A782" s="7"/>
      <c r="B782" s="17"/>
      <c r="C782" s="20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</row>
    <row r="783" spans="1:58" ht="12.5" x14ac:dyDescent="0.25">
      <c r="A783" s="7"/>
      <c r="B783" s="17"/>
      <c r="C783" s="20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</row>
    <row r="784" spans="1:58" ht="12.5" x14ac:dyDescent="0.25">
      <c r="A784" s="7"/>
      <c r="B784" s="17"/>
      <c r="C784" s="20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</row>
    <row r="785" spans="1:58" ht="12.5" x14ac:dyDescent="0.25">
      <c r="A785" s="7"/>
      <c r="B785" s="17"/>
      <c r="C785" s="20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</row>
    <row r="786" spans="1:58" ht="12.5" x14ac:dyDescent="0.25">
      <c r="A786" s="7"/>
      <c r="B786" s="17"/>
      <c r="C786" s="20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</row>
    <row r="787" spans="1:58" ht="12.5" x14ac:dyDescent="0.25">
      <c r="A787" s="7"/>
      <c r="B787" s="17"/>
      <c r="C787" s="20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</row>
    <row r="788" spans="1:58" ht="12.5" x14ac:dyDescent="0.25">
      <c r="A788" s="7"/>
      <c r="B788" s="17"/>
      <c r="C788" s="20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</row>
    <row r="789" spans="1:58" ht="12.5" x14ac:dyDescent="0.25">
      <c r="A789" s="7"/>
      <c r="B789" s="17"/>
      <c r="C789" s="20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</row>
    <row r="790" spans="1:58" ht="12.5" x14ac:dyDescent="0.25">
      <c r="A790" s="7"/>
      <c r="B790" s="17"/>
      <c r="C790" s="20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</row>
    <row r="791" spans="1:58" ht="12.5" x14ac:dyDescent="0.25">
      <c r="A791" s="7"/>
      <c r="B791" s="17"/>
      <c r="C791" s="20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</row>
    <row r="792" spans="1:58" ht="12.5" x14ac:dyDescent="0.25">
      <c r="A792" s="7"/>
      <c r="B792" s="17"/>
      <c r="C792" s="20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</row>
    <row r="793" spans="1:58" ht="12.5" x14ac:dyDescent="0.25">
      <c r="A793" s="7"/>
      <c r="B793" s="17"/>
      <c r="C793" s="20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</row>
    <row r="794" spans="1:58" ht="12.5" x14ac:dyDescent="0.25">
      <c r="A794" s="7"/>
      <c r="B794" s="17"/>
      <c r="C794" s="20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</row>
    <row r="795" spans="1:58" ht="12.5" x14ac:dyDescent="0.25">
      <c r="A795" s="7"/>
      <c r="B795" s="17"/>
      <c r="C795" s="20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</row>
    <row r="796" spans="1:58" ht="12.5" x14ac:dyDescent="0.25">
      <c r="A796" s="7"/>
      <c r="B796" s="17"/>
      <c r="C796" s="20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</row>
    <row r="797" spans="1:58" ht="12.5" x14ac:dyDescent="0.25">
      <c r="A797" s="7"/>
      <c r="B797" s="17"/>
      <c r="C797" s="20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</row>
    <row r="798" spans="1:58" ht="12.5" x14ac:dyDescent="0.25">
      <c r="A798" s="7"/>
      <c r="B798" s="17"/>
      <c r="C798" s="20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</row>
    <row r="799" spans="1:58" ht="12.5" x14ac:dyDescent="0.25">
      <c r="A799" s="7"/>
      <c r="B799" s="17"/>
      <c r="C799" s="20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</row>
    <row r="800" spans="1:58" ht="12.5" x14ac:dyDescent="0.25">
      <c r="A800" s="7"/>
      <c r="B800" s="17"/>
      <c r="C800" s="20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</row>
    <row r="801" spans="1:58" ht="12.5" x14ac:dyDescent="0.25">
      <c r="A801" s="7"/>
      <c r="B801" s="17"/>
      <c r="C801" s="20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</row>
    <row r="802" spans="1:58" ht="12.5" x14ac:dyDescent="0.25">
      <c r="A802" s="7"/>
      <c r="B802" s="17"/>
      <c r="C802" s="20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</row>
    <row r="803" spans="1:58" ht="12.5" x14ac:dyDescent="0.25">
      <c r="A803" s="7"/>
      <c r="B803" s="17"/>
      <c r="C803" s="20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</row>
    <row r="804" spans="1:58" ht="12.5" x14ac:dyDescent="0.25">
      <c r="A804" s="7"/>
      <c r="B804" s="17"/>
      <c r="C804" s="20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</row>
    <row r="805" spans="1:58" ht="12.5" x14ac:dyDescent="0.25">
      <c r="A805" s="7"/>
      <c r="B805" s="17"/>
      <c r="C805" s="20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</row>
    <row r="806" spans="1:58" ht="12.5" x14ac:dyDescent="0.25">
      <c r="A806" s="7"/>
      <c r="B806" s="17"/>
      <c r="C806" s="20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</row>
    <row r="807" spans="1:58" ht="12.5" x14ac:dyDescent="0.25">
      <c r="A807" s="7"/>
      <c r="B807" s="17"/>
      <c r="C807" s="20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</row>
    <row r="808" spans="1:58" ht="12.5" x14ac:dyDescent="0.25">
      <c r="A808" s="7"/>
      <c r="B808" s="17"/>
      <c r="C808" s="20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</row>
    <row r="809" spans="1:58" ht="12.5" x14ac:dyDescent="0.25">
      <c r="A809" s="7"/>
      <c r="B809" s="17"/>
      <c r="C809" s="20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</row>
    <row r="810" spans="1:58" ht="12.5" x14ac:dyDescent="0.25">
      <c r="A810" s="7"/>
      <c r="B810" s="17"/>
      <c r="C810" s="20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</row>
    <row r="811" spans="1:58" ht="12.5" x14ac:dyDescent="0.25">
      <c r="A811" s="7"/>
      <c r="B811" s="17"/>
      <c r="C811" s="20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</row>
    <row r="812" spans="1:58" ht="12.5" x14ac:dyDescent="0.25">
      <c r="A812" s="7"/>
      <c r="B812" s="17"/>
      <c r="C812" s="20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</row>
    <row r="813" spans="1:58" ht="12.5" x14ac:dyDescent="0.25">
      <c r="A813" s="7"/>
      <c r="B813" s="17"/>
      <c r="C813" s="20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</row>
    <row r="814" spans="1:58" ht="12.5" x14ac:dyDescent="0.25">
      <c r="A814" s="7"/>
      <c r="B814" s="17"/>
      <c r="C814" s="20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</row>
    <row r="815" spans="1:58" ht="12.5" x14ac:dyDescent="0.25">
      <c r="A815" s="7"/>
      <c r="B815" s="17"/>
      <c r="C815" s="20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</row>
    <row r="816" spans="1:58" ht="12.5" x14ac:dyDescent="0.25">
      <c r="A816" s="7"/>
      <c r="B816" s="17"/>
      <c r="C816" s="20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</row>
    <row r="817" spans="1:58" ht="12.5" x14ac:dyDescent="0.25">
      <c r="A817" s="7"/>
      <c r="B817" s="17"/>
      <c r="C817" s="20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</row>
    <row r="818" spans="1:58" ht="12.5" x14ac:dyDescent="0.25">
      <c r="A818" s="7"/>
      <c r="B818" s="17"/>
      <c r="C818" s="20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</row>
    <row r="819" spans="1:58" ht="12.5" x14ac:dyDescent="0.25">
      <c r="A819" s="7"/>
      <c r="B819" s="17"/>
      <c r="C819" s="20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</row>
    <row r="820" spans="1:58" ht="12.5" x14ac:dyDescent="0.25">
      <c r="A820" s="7"/>
      <c r="B820" s="17"/>
      <c r="C820" s="20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</row>
    <row r="821" spans="1:58" ht="12.5" x14ac:dyDescent="0.25">
      <c r="A821" s="7"/>
      <c r="B821" s="17"/>
      <c r="C821" s="20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</row>
    <row r="822" spans="1:58" ht="12.5" x14ac:dyDescent="0.25">
      <c r="A822" s="7"/>
      <c r="B822" s="17"/>
      <c r="C822" s="20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</row>
    <row r="823" spans="1:58" ht="12.5" x14ac:dyDescent="0.25">
      <c r="A823" s="7"/>
      <c r="B823" s="17"/>
      <c r="C823" s="20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</row>
    <row r="824" spans="1:58" ht="12.5" x14ac:dyDescent="0.25">
      <c r="A824" s="7"/>
      <c r="B824" s="17"/>
      <c r="C824" s="20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</row>
    <row r="825" spans="1:58" ht="12.5" x14ac:dyDescent="0.25">
      <c r="A825" s="7"/>
      <c r="B825" s="17"/>
      <c r="C825" s="20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</row>
    <row r="826" spans="1:58" ht="12.5" x14ac:dyDescent="0.25">
      <c r="A826" s="7"/>
      <c r="B826" s="17"/>
      <c r="C826" s="20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</row>
    <row r="827" spans="1:58" ht="12.5" x14ac:dyDescent="0.25">
      <c r="A827" s="7"/>
      <c r="B827" s="17"/>
      <c r="C827" s="20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</row>
    <row r="828" spans="1:58" ht="12.5" x14ac:dyDescent="0.25">
      <c r="A828" s="7"/>
      <c r="B828" s="17"/>
      <c r="C828" s="20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</row>
    <row r="829" spans="1:58" ht="12.5" x14ac:dyDescent="0.25">
      <c r="A829" s="7"/>
      <c r="B829" s="17"/>
      <c r="C829" s="20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</row>
    <row r="830" spans="1:58" ht="12.5" x14ac:dyDescent="0.25">
      <c r="A830" s="7"/>
      <c r="B830" s="17"/>
      <c r="C830" s="20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</row>
    <row r="831" spans="1:58" ht="12.5" x14ac:dyDescent="0.25">
      <c r="A831" s="7"/>
      <c r="B831" s="17"/>
      <c r="C831" s="20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</row>
    <row r="832" spans="1:58" ht="12.5" x14ac:dyDescent="0.25">
      <c r="A832" s="7"/>
      <c r="B832" s="17"/>
      <c r="C832" s="20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</row>
    <row r="833" spans="1:58" ht="12.5" x14ac:dyDescent="0.25">
      <c r="A833" s="7"/>
      <c r="B833" s="17"/>
      <c r="C833" s="20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</row>
    <row r="834" spans="1:58" ht="12.5" x14ac:dyDescent="0.25">
      <c r="A834" s="7"/>
      <c r="B834" s="17"/>
      <c r="C834" s="20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</row>
    <row r="835" spans="1:58" ht="12.5" x14ac:dyDescent="0.25">
      <c r="A835" s="7"/>
      <c r="B835" s="17"/>
      <c r="C835" s="20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</row>
    <row r="836" spans="1:58" ht="12.5" x14ac:dyDescent="0.25">
      <c r="A836" s="7"/>
      <c r="B836" s="17"/>
      <c r="C836" s="20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</row>
    <row r="837" spans="1:58" ht="12.5" x14ac:dyDescent="0.25">
      <c r="A837" s="7"/>
      <c r="B837" s="17"/>
      <c r="C837" s="20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</row>
    <row r="838" spans="1:58" ht="12.5" x14ac:dyDescent="0.25">
      <c r="A838" s="7"/>
      <c r="B838" s="17"/>
      <c r="C838" s="20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</row>
    <row r="839" spans="1:58" ht="12.5" x14ac:dyDescent="0.25">
      <c r="A839" s="7"/>
      <c r="B839" s="17"/>
      <c r="C839" s="20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</row>
    <row r="840" spans="1:58" ht="12.5" x14ac:dyDescent="0.25">
      <c r="A840" s="7"/>
      <c r="B840" s="17"/>
      <c r="C840" s="20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</row>
    <row r="841" spans="1:58" ht="12.5" x14ac:dyDescent="0.25">
      <c r="A841" s="7"/>
      <c r="B841" s="17"/>
      <c r="C841" s="20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</row>
    <row r="842" spans="1:58" ht="12.5" x14ac:dyDescent="0.25">
      <c r="A842" s="7"/>
      <c r="B842" s="17"/>
      <c r="C842" s="20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</row>
    <row r="843" spans="1:58" ht="12.5" x14ac:dyDescent="0.25">
      <c r="A843" s="7"/>
      <c r="B843" s="17"/>
      <c r="C843" s="20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</row>
    <row r="844" spans="1:58" ht="12.5" x14ac:dyDescent="0.25">
      <c r="A844" s="7"/>
      <c r="B844" s="17"/>
      <c r="C844" s="20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</row>
    <row r="845" spans="1:58" ht="12.5" x14ac:dyDescent="0.25">
      <c r="A845" s="7"/>
      <c r="B845" s="17"/>
      <c r="C845" s="20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</row>
    <row r="846" spans="1:58" ht="12.5" x14ac:dyDescent="0.25">
      <c r="A846" s="7"/>
      <c r="B846" s="17"/>
      <c r="C846" s="20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</row>
    <row r="847" spans="1:58" ht="12.5" x14ac:dyDescent="0.25">
      <c r="A847" s="7"/>
      <c r="B847" s="17"/>
      <c r="C847" s="20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</row>
    <row r="848" spans="1:58" ht="12.5" x14ac:dyDescent="0.25">
      <c r="A848" s="7"/>
      <c r="B848" s="17"/>
      <c r="C848" s="20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</row>
    <row r="849" spans="1:58" ht="12.5" x14ac:dyDescent="0.25">
      <c r="A849" s="7"/>
      <c r="B849" s="17"/>
      <c r="C849" s="20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</row>
    <row r="850" spans="1:58" ht="12.5" x14ac:dyDescent="0.25">
      <c r="A850" s="7"/>
      <c r="B850" s="17"/>
      <c r="C850" s="20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</row>
    <row r="851" spans="1:58" ht="12.5" x14ac:dyDescent="0.25">
      <c r="A851" s="7"/>
      <c r="B851" s="17"/>
      <c r="C851" s="20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</row>
    <row r="852" spans="1:58" ht="12.5" x14ac:dyDescent="0.25">
      <c r="A852" s="7"/>
      <c r="B852" s="17"/>
      <c r="C852" s="20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</row>
    <row r="853" spans="1:58" ht="12.5" x14ac:dyDescent="0.25">
      <c r="A853" s="7"/>
      <c r="B853" s="17"/>
      <c r="C853" s="20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</row>
    <row r="854" spans="1:58" ht="12.5" x14ac:dyDescent="0.25">
      <c r="A854" s="7"/>
      <c r="B854" s="17"/>
      <c r="C854" s="20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</row>
    <row r="855" spans="1:58" ht="12.5" x14ac:dyDescent="0.25">
      <c r="A855" s="7"/>
      <c r="B855" s="17"/>
      <c r="C855" s="20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</row>
    <row r="856" spans="1:58" ht="12.5" x14ac:dyDescent="0.25">
      <c r="A856" s="7"/>
      <c r="B856" s="17"/>
      <c r="C856" s="20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</row>
    <row r="857" spans="1:58" ht="12.5" x14ac:dyDescent="0.25">
      <c r="A857" s="7"/>
      <c r="B857" s="17"/>
      <c r="C857" s="20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</row>
    <row r="858" spans="1:58" ht="12.5" x14ac:dyDescent="0.25">
      <c r="A858" s="7"/>
      <c r="B858" s="17"/>
      <c r="C858" s="20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</row>
    <row r="859" spans="1:58" ht="12.5" x14ac:dyDescent="0.25">
      <c r="A859" s="7"/>
      <c r="B859" s="17"/>
      <c r="C859" s="20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</row>
    <row r="860" spans="1:58" ht="12.5" x14ac:dyDescent="0.25">
      <c r="A860" s="7"/>
      <c r="B860" s="17"/>
      <c r="C860" s="20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</row>
    <row r="861" spans="1:58" ht="12.5" x14ac:dyDescent="0.25">
      <c r="A861" s="7"/>
      <c r="B861" s="17"/>
      <c r="C861" s="20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</row>
    <row r="862" spans="1:58" ht="12.5" x14ac:dyDescent="0.25">
      <c r="A862" s="7"/>
      <c r="B862" s="17"/>
      <c r="C862" s="20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</row>
    <row r="863" spans="1:58" ht="12.5" x14ac:dyDescent="0.25">
      <c r="A863" s="7"/>
      <c r="B863" s="17"/>
      <c r="C863" s="20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</row>
    <row r="864" spans="1:58" ht="12.5" x14ac:dyDescent="0.25">
      <c r="A864" s="7"/>
      <c r="B864" s="17"/>
      <c r="C864" s="20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</row>
    <row r="865" spans="1:58" ht="12.5" x14ac:dyDescent="0.25">
      <c r="A865" s="7"/>
      <c r="B865" s="17"/>
      <c r="C865" s="20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</row>
    <row r="866" spans="1:58" ht="12.5" x14ac:dyDescent="0.25">
      <c r="A866" s="7"/>
      <c r="B866" s="17"/>
      <c r="C866" s="20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</row>
    <row r="867" spans="1:58" ht="12.5" x14ac:dyDescent="0.25">
      <c r="A867" s="7"/>
      <c r="B867" s="17"/>
      <c r="C867" s="20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</row>
    <row r="868" spans="1:58" ht="12.5" x14ac:dyDescent="0.25">
      <c r="A868" s="7"/>
      <c r="B868" s="17"/>
      <c r="C868" s="20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</row>
    <row r="869" spans="1:58" ht="12.5" x14ac:dyDescent="0.25">
      <c r="A869" s="7"/>
      <c r="B869" s="17"/>
      <c r="C869" s="20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</row>
    <row r="870" spans="1:58" ht="12.5" x14ac:dyDescent="0.25">
      <c r="A870" s="7"/>
      <c r="B870" s="17"/>
      <c r="C870" s="20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</row>
    <row r="871" spans="1:58" ht="12.5" x14ac:dyDescent="0.25">
      <c r="A871" s="7"/>
      <c r="B871" s="17"/>
      <c r="C871" s="20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</row>
    <row r="872" spans="1:58" ht="12.5" x14ac:dyDescent="0.25">
      <c r="A872" s="7"/>
      <c r="B872" s="17"/>
      <c r="C872" s="20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</row>
    <row r="873" spans="1:58" ht="12.5" x14ac:dyDescent="0.25">
      <c r="A873" s="7"/>
      <c r="B873" s="17"/>
      <c r="C873" s="20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</row>
    <row r="874" spans="1:58" ht="12.5" x14ac:dyDescent="0.25">
      <c r="A874" s="7"/>
      <c r="B874" s="17"/>
      <c r="C874" s="20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</row>
    <row r="875" spans="1:58" ht="12.5" x14ac:dyDescent="0.25">
      <c r="A875" s="7"/>
      <c r="B875" s="17"/>
      <c r="C875" s="20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</row>
    <row r="876" spans="1:58" ht="12.5" x14ac:dyDescent="0.25">
      <c r="A876" s="7"/>
      <c r="B876" s="17"/>
      <c r="C876" s="20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</row>
    <row r="877" spans="1:58" ht="12.5" x14ac:dyDescent="0.25">
      <c r="A877" s="7"/>
      <c r="B877" s="17"/>
      <c r="C877" s="20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</row>
    <row r="878" spans="1:58" ht="12.5" x14ac:dyDescent="0.25">
      <c r="A878" s="7"/>
      <c r="B878" s="17"/>
      <c r="C878" s="20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</row>
    <row r="879" spans="1:58" ht="12.5" x14ac:dyDescent="0.25">
      <c r="A879" s="7"/>
      <c r="B879" s="17"/>
      <c r="C879" s="20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</row>
    <row r="880" spans="1:58" ht="12.5" x14ac:dyDescent="0.25">
      <c r="A880" s="7"/>
      <c r="B880" s="17"/>
      <c r="C880" s="20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</row>
    <row r="881" spans="1:58" ht="12.5" x14ac:dyDescent="0.25">
      <c r="A881" s="7"/>
      <c r="B881" s="17"/>
      <c r="C881" s="20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</row>
    <row r="882" spans="1:58" ht="12.5" x14ac:dyDescent="0.25">
      <c r="A882" s="7"/>
      <c r="B882" s="17"/>
      <c r="C882" s="20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</row>
    <row r="883" spans="1:58" ht="12.5" x14ac:dyDescent="0.25">
      <c r="A883" s="7"/>
      <c r="B883" s="17"/>
      <c r="C883" s="20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</row>
    <row r="884" spans="1:58" ht="12.5" x14ac:dyDescent="0.25">
      <c r="A884" s="7"/>
      <c r="B884" s="17"/>
      <c r="C884" s="20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</row>
    <row r="885" spans="1:58" ht="12.5" x14ac:dyDescent="0.25">
      <c r="A885" s="7"/>
      <c r="B885" s="17"/>
      <c r="C885" s="20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</row>
    <row r="886" spans="1:58" ht="12.5" x14ac:dyDescent="0.25">
      <c r="A886" s="7"/>
      <c r="B886" s="17"/>
      <c r="C886" s="20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</row>
    <row r="887" spans="1:58" ht="12.5" x14ac:dyDescent="0.25">
      <c r="A887" s="7"/>
      <c r="B887" s="17"/>
      <c r="C887" s="20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</row>
    <row r="888" spans="1:58" ht="12.5" x14ac:dyDescent="0.25">
      <c r="A888" s="7"/>
      <c r="B888" s="17"/>
      <c r="C888" s="20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</row>
    <row r="889" spans="1:58" ht="12.5" x14ac:dyDescent="0.25">
      <c r="A889" s="7"/>
      <c r="B889" s="17"/>
      <c r="C889" s="20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</row>
    <row r="890" spans="1:58" ht="12.5" x14ac:dyDescent="0.25">
      <c r="A890" s="7"/>
      <c r="B890" s="17"/>
      <c r="C890" s="20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</row>
    <row r="891" spans="1:58" ht="12.5" x14ac:dyDescent="0.25">
      <c r="A891" s="7"/>
      <c r="B891" s="17"/>
      <c r="C891" s="20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</row>
    <row r="892" spans="1:58" ht="12.5" x14ac:dyDescent="0.25">
      <c r="A892" s="7"/>
      <c r="B892" s="17"/>
      <c r="C892" s="20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</row>
    <row r="893" spans="1:58" ht="12.5" x14ac:dyDescent="0.25">
      <c r="A893" s="7"/>
      <c r="B893" s="17"/>
      <c r="C893" s="20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</row>
    <row r="894" spans="1:58" ht="12.5" x14ac:dyDescent="0.25">
      <c r="A894" s="7"/>
      <c r="B894" s="17"/>
      <c r="C894" s="20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</row>
    <row r="895" spans="1:58" ht="12.5" x14ac:dyDescent="0.25">
      <c r="A895" s="7"/>
      <c r="B895" s="17"/>
      <c r="C895" s="20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</row>
    <row r="896" spans="1:58" ht="12.5" x14ac:dyDescent="0.25">
      <c r="A896" s="7"/>
      <c r="B896" s="17"/>
      <c r="C896" s="20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</row>
    <row r="897" spans="1:58" ht="12.5" x14ac:dyDescent="0.25">
      <c r="A897" s="7"/>
      <c r="B897" s="17"/>
      <c r="C897" s="20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</row>
    <row r="898" spans="1:58" ht="12.5" x14ac:dyDescent="0.25">
      <c r="A898" s="7"/>
      <c r="B898" s="17"/>
      <c r="C898" s="20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</row>
    <row r="899" spans="1:58" ht="12.5" x14ac:dyDescent="0.25">
      <c r="A899" s="7"/>
      <c r="B899" s="17"/>
      <c r="C899" s="20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</row>
    <row r="900" spans="1:58" ht="12.5" x14ac:dyDescent="0.25">
      <c r="A900" s="7"/>
      <c r="B900" s="17"/>
      <c r="C900" s="20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</row>
    <row r="901" spans="1:58" ht="12.5" x14ac:dyDescent="0.25">
      <c r="A901" s="7"/>
      <c r="B901" s="17"/>
      <c r="C901" s="20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</row>
    <row r="902" spans="1:58" ht="12.5" x14ac:dyDescent="0.25">
      <c r="A902" s="7"/>
      <c r="B902" s="17"/>
      <c r="C902" s="20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</row>
    <row r="903" spans="1:58" ht="12.5" x14ac:dyDescent="0.25">
      <c r="A903" s="7"/>
      <c r="B903" s="17"/>
      <c r="C903" s="20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</row>
    <row r="904" spans="1:58" ht="12.5" x14ac:dyDescent="0.25">
      <c r="A904" s="7"/>
      <c r="B904" s="17"/>
      <c r="C904" s="20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</row>
    <row r="905" spans="1:58" ht="12.5" x14ac:dyDescent="0.25">
      <c r="A905" s="7"/>
      <c r="B905" s="17"/>
      <c r="C905" s="20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</row>
    <row r="906" spans="1:58" ht="12.5" x14ac:dyDescent="0.25">
      <c r="A906" s="7"/>
      <c r="B906" s="17"/>
      <c r="C906" s="20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</row>
    <row r="907" spans="1:58" ht="12.5" x14ac:dyDescent="0.25">
      <c r="A907" s="7"/>
      <c r="B907" s="17"/>
      <c r="C907" s="20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</row>
    <row r="908" spans="1:58" ht="12.5" x14ac:dyDescent="0.25">
      <c r="A908" s="7"/>
      <c r="B908" s="17"/>
      <c r="C908" s="20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</row>
    <row r="909" spans="1:58" ht="12.5" x14ac:dyDescent="0.25">
      <c r="A909" s="7"/>
      <c r="B909" s="17"/>
      <c r="C909" s="20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</row>
    <row r="910" spans="1:58" ht="12.5" x14ac:dyDescent="0.25">
      <c r="A910" s="7"/>
      <c r="B910" s="17"/>
      <c r="C910" s="20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</row>
    <row r="911" spans="1:58" ht="12.5" x14ac:dyDescent="0.25">
      <c r="A911" s="7"/>
      <c r="B911" s="17"/>
      <c r="C911" s="20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</row>
    <row r="912" spans="1:58" ht="12.5" x14ac:dyDescent="0.25">
      <c r="A912" s="7"/>
      <c r="B912" s="17"/>
      <c r="C912" s="20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</row>
    <row r="913" spans="1:58" ht="12.5" x14ac:dyDescent="0.25">
      <c r="A913" s="7"/>
      <c r="B913" s="17"/>
      <c r="C913" s="20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</row>
    <row r="914" spans="1:58" ht="12.5" x14ac:dyDescent="0.25">
      <c r="A914" s="7"/>
      <c r="B914" s="17"/>
      <c r="C914" s="20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</row>
    <row r="915" spans="1:58" ht="12.5" x14ac:dyDescent="0.25">
      <c r="A915" s="7"/>
      <c r="B915" s="17"/>
      <c r="C915" s="20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</row>
    <row r="916" spans="1:58" ht="12.5" x14ac:dyDescent="0.25">
      <c r="A916" s="7"/>
      <c r="B916" s="17"/>
      <c r="C916" s="20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</row>
    <row r="917" spans="1:58" ht="12.5" x14ac:dyDescent="0.25">
      <c r="A917" s="7"/>
      <c r="B917" s="17"/>
      <c r="C917" s="20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</row>
    <row r="918" spans="1:58" ht="12.5" x14ac:dyDescent="0.25">
      <c r="A918" s="7"/>
      <c r="B918" s="17"/>
      <c r="C918" s="20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</row>
    <row r="919" spans="1:58" ht="12.5" x14ac:dyDescent="0.25">
      <c r="A919" s="7"/>
      <c r="B919" s="17"/>
      <c r="C919" s="20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</row>
    <row r="920" spans="1:58" ht="12.5" x14ac:dyDescent="0.25">
      <c r="A920" s="7"/>
      <c r="B920" s="17"/>
      <c r="C920" s="20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</row>
    <row r="921" spans="1:58" ht="12.5" x14ac:dyDescent="0.25">
      <c r="A921" s="7"/>
      <c r="B921" s="17"/>
      <c r="C921" s="20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</row>
    <row r="922" spans="1:58" ht="12.5" x14ac:dyDescent="0.25">
      <c r="A922" s="7"/>
      <c r="B922" s="17"/>
      <c r="C922" s="20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</row>
    <row r="923" spans="1:58" ht="12.5" x14ac:dyDescent="0.25">
      <c r="A923" s="7"/>
      <c r="B923" s="17"/>
      <c r="C923" s="20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</row>
    <row r="924" spans="1:58" ht="12.5" x14ac:dyDescent="0.25">
      <c r="A924" s="7"/>
      <c r="B924" s="17"/>
      <c r="C924" s="20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</row>
    <row r="925" spans="1:58" ht="12.5" x14ac:dyDescent="0.25">
      <c r="A925" s="7"/>
      <c r="B925" s="17"/>
      <c r="C925" s="20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</row>
    <row r="926" spans="1:58" ht="12.5" x14ac:dyDescent="0.25">
      <c r="A926" s="7"/>
      <c r="B926" s="17"/>
      <c r="C926" s="20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</row>
    <row r="927" spans="1:58" ht="12.5" x14ac:dyDescent="0.25">
      <c r="A927" s="7"/>
      <c r="B927" s="17"/>
      <c r="C927" s="20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</row>
    <row r="928" spans="1:58" ht="12.5" x14ac:dyDescent="0.25">
      <c r="A928" s="7"/>
      <c r="B928" s="17"/>
      <c r="C928" s="20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</row>
    <row r="929" spans="1:58" ht="12.5" x14ac:dyDescent="0.25">
      <c r="A929" s="7"/>
      <c r="B929" s="17"/>
      <c r="C929" s="20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</row>
    <row r="930" spans="1:58" ht="12.5" x14ac:dyDescent="0.25">
      <c r="A930" s="7"/>
      <c r="B930" s="17"/>
      <c r="C930" s="20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</row>
    <row r="931" spans="1:58" ht="12.5" x14ac:dyDescent="0.25">
      <c r="A931" s="7"/>
      <c r="B931" s="17"/>
      <c r="C931" s="20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</row>
    <row r="932" spans="1:58" ht="12.5" x14ac:dyDescent="0.25">
      <c r="A932" s="7"/>
      <c r="B932" s="17"/>
      <c r="C932" s="20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</row>
    <row r="933" spans="1:58" ht="12.5" x14ac:dyDescent="0.25">
      <c r="A933" s="7"/>
      <c r="B933" s="17"/>
      <c r="C933" s="20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</row>
    <row r="934" spans="1:58" ht="12.5" x14ac:dyDescent="0.25">
      <c r="A934" s="7"/>
      <c r="B934" s="17"/>
      <c r="C934" s="20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</row>
    <row r="935" spans="1:58" ht="12.5" x14ac:dyDescent="0.25">
      <c r="A935" s="7"/>
      <c r="B935" s="17"/>
      <c r="C935" s="20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</row>
    <row r="936" spans="1:58" ht="12.5" x14ac:dyDescent="0.25">
      <c r="A936" s="7"/>
      <c r="B936" s="17"/>
      <c r="C936" s="20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</row>
    <row r="937" spans="1:58" ht="12.5" x14ac:dyDescent="0.25">
      <c r="A937" s="7"/>
      <c r="B937" s="17"/>
      <c r="C937" s="20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</row>
    <row r="938" spans="1:58" ht="12.5" x14ac:dyDescent="0.25">
      <c r="A938" s="7"/>
      <c r="B938" s="17"/>
      <c r="C938" s="20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</row>
    <row r="939" spans="1:58" ht="12.5" x14ac:dyDescent="0.25">
      <c r="A939" s="7"/>
      <c r="B939" s="17"/>
      <c r="C939" s="20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</row>
    <row r="940" spans="1:58" ht="12.5" x14ac:dyDescent="0.25">
      <c r="A940" s="7"/>
      <c r="B940" s="17"/>
      <c r="C940" s="20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</row>
    <row r="941" spans="1:58" ht="12.5" x14ac:dyDescent="0.25">
      <c r="A941" s="7"/>
      <c r="B941" s="17"/>
      <c r="C941" s="20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</row>
    <row r="942" spans="1:58" ht="12.5" x14ac:dyDescent="0.25">
      <c r="A942" s="7"/>
      <c r="B942" s="17"/>
      <c r="C942" s="20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</row>
    <row r="943" spans="1:58" ht="12.5" x14ac:dyDescent="0.25">
      <c r="A943" s="7"/>
      <c r="B943" s="17"/>
      <c r="C943" s="20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</row>
    <row r="944" spans="1:58" ht="12.5" x14ac:dyDescent="0.25">
      <c r="A944" s="7"/>
      <c r="B944" s="17"/>
      <c r="C944" s="20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</row>
    <row r="945" spans="1:58" ht="12.5" x14ac:dyDescent="0.25">
      <c r="A945" s="7"/>
      <c r="B945" s="17"/>
      <c r="C945" s="20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</row>
    <row r="946" spans="1:58" ht="12.5" x14ac:dyDescent="0.25">
      <c r="A946" s="7"/>
      <c r="B946" s="17"/>
      <c r="C946" s="20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</row>
    <row r="947" spans="1:58" ht="12.5" x14ac:dyDescent="0.25">
      <c r="A947" s="7"/>
      <c r="B947" s="17"/>
      <c r="C947" s="20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</row>
    <row r="948" spans="1:58" ht="12.5" x14ac:dyDescent="0.25">
      <c r="A948" s="7"/>
      <c r="B948" s="17"/>
      <c r="C948" s="20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</row>
    <row r="949" spans="1:58" ht="12.5" x14ac:dyDescent="0.25">
      <c r="A949" s="7"/>
      <c r="B949" s="17"/>
      <c r="C949" s="20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</row>
    <row r="950" spans="1:58" ht="12.5" x14ac:dyDescent="0.25">
      <c r="A950" s="7"/>
      <c r="B950" s="17"/>
      <c r="C950" s="20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</row>
    <row r="951" spans="1:58" ht="12.5" x14ac:dyDescent="0.25">
      <c r="A951" s="7"/>
      <c r="B951" s="17"/>
      <c r="C951" s="20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</row>
    <row r="952" spans="1:58" ht="12.5" x14ac:dyDescent="0.25">
      <c r="A952" s="7"/>
      <c r="B952" s="17"/>
      <c r="C952" s="20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</row>
    <row r="953" spans="1:58" ht="12.5" x14ac:dyDescent="0.25">
      <c r="A953" s="7"/>
      <c r="B953" s="17"/>
      <c r="C953" s="20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</row>
    <row r="954" spans="1:58" ht="12.5" x14ac:dyDescent="0.25">
      <c r="A954" s="7"/>
      <c r="B954" s="17"/>
      <c r="C954" s="20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</row>
    <row r="955" spans="1:58" ht="12.5" x14ac:dyDescent="0.25">
      <c r="A955" s="7"/>
      <c r="B955" s="17"/>
      <c r="C955" s="20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</row>
    <row r="956" spans="1:58" ht="12.5" x14ac:dyDescent="0.25">
      <c r="A956" s="7"/>
      <c r="B956" s="17"/>
      <c r="C956" s="20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</row>
    <row r="957" spans="1:58" ht="12.5" x14ac:dyDescent="0.25">
      <c r="A957" s="7"/>
      <c r="B957" s="17"/>
      <c r="C957" s="20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</row>
    <row r="958" spans="1:58" ht="12.5" x14ac:dyDescent="0.25">
      <c r="A958" s="7"/>
      <c r="B958" s="17"/>
      <c r="C958" s="20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</row>
    <row r="959" spans="1:58" ht="12.5" x14ac:dyDescent="0.25">
      <c r="A959" s="7"/>
      <c r="B959" s="17"/>
      <c r="C959" s="20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</row>
    <row r="960" spans="1:58" ht="12.5" x14ac:dyDescent="0.25">
      <c r="A960" s="7"/>
      <c r="B960" s="17"/>
      <c r="C960" s="20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</row>
    <row r="961" spans="1:58" ht="12.5" x14ac:dyDescent="0.25">
      <c r="A961" s="7"/>
      <c r="B961" s="17"/>
      <c r="C961" s="20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</row>
    <row r="962" spans="1:58" ht="12.5" x14ac:dyDescent="0.25">
      <c r="A962" s="7"/>
      <c r="B962" s="17"/>
      <c r="C962" s="20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</row>
    <row r="963" spans="1:58" ht="12.5" x14ac:dyDescent="0.25">
      <c r="A963" s="7"/>
      <c r="B963" s="17"/>
      <c r="C963" s="20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</row>
    <row r="964" spans="1:58" ht="12.5" x14ac:dyDescent="0.25">
      <c r="A964" s="7"/>
      <c r="B964" s="17"/>
      <c r="C964" s="20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</row>
    <row r="965" spans="1:58" ht="12.5" x14ac:dyDescent="0.25">
      <c r="A965" s="7"/>
      <c r="B965" s="17"/>
      <c r="C965" s="20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</row>
    <row r="966" spans="1:58" ht="12.5" x14ac:dyDescent="0.25">
      <c r="A966" s="7"/>
      <c r="B966" s="17"/>
      <c r="C966" s="20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</row>
    <row r="967" spans="1:58" ht="12.5" x14ac:dyDescent="0.25">
      <c r="A967" s="7"/>
      <c r="B967" s="17"/>
      <c r="C967" s="20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</row>
    <row r="968" spans="1:58" ht="12.5" x14ac:dyDescent="0.25">
      <c r="A968" s="7"/>
      <c r="B968" s="17"/>
      <c r="C968" s="20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</row>
    <row r="969" spans="1:58" ht="12.5" x14ac:dyDescent="0.25">
      <c r="A969" s="7"/>
      <c r="B969" s="17"/>
      <c r="C969" s="20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</row>
    <row r="970" spans="1:58" ht="12.5" x14ac:dyDescent="0.25">
      <c r="A970" s="7"/>
      <c r="B970" s="17"/>
      <c r="C970" s="20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</row>
    <row r="971" spans="1:58" ht="12.5" x14ac:dyDescent="0.25">
      <c r="A971" s="7"/>
      <c r="B971" s="17"/>
      <c r="C971" s="20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</row>
    <row r="972" spans="1:58" ht="12.5" x14ac:dyDescent="0.25">
      <c r="A972" s="7"/>
      <c r="B972" s="17"/>
      <c r="C972" s="20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</row>
    <row r="973" spans="1:58" ht="12.5" x14ac:dyDescent="0.25">
      <c r="A973" s="7"/>
      <c r="B973" s="17"/>
      <c r="C973" s="20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</row>
    <row r="974" spans="1:58" ht="12.5" x14ac:dyDescent="0.25">
      <c r="A974" s="7"/>
      <c r="B974" s="17"/>
      <c r="C974" s="20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</row>
    <row r="975" spans="1:58" ht="12.5" x14ac:dyDescent="0.25">
      <c r="A975" s="7"/>
      <c r="B975" s="17"/>
      <c r="C975" s="20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</row>
    <row r="976" spans="1:58" ht="12.5" x14ac:dyDescent="0.25">
      <c r="A976" s="7"/>
      <c r="B976" s="17"/>
      <c r="C976" s="20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</row>
    <row r="977" spans="1:58" ht="12.5" x14ac:dyDescent="0.25">
      <c r="A977" s="7"/>
      <c r="B977" s="17"/>
      <c r="C977" s="20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</row>
    <row r="978" spans="1:58" ht="12.5" x14ac:dyDescent="0.25">
      <c r="A978" s="7"/>
      <c r="B978" s="17"/>
      <c r="C978" s="20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</row>
    <row r="979" spans="1:58" ht="12.5" x14ac:dyDescent="0.25">
      <c r="A979" s="7"/>
      <c r="B979" s="17"/>
      <c r="C979" s="20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</row>
    <row r="980" spans="1:58" ht="12.5" x14ac:dyDescent="0.25">
      <c r="A980" s="7"/>
      <c r="B980" s="17"/>
      <c r="C980" s="20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</row>
    <row r="981" spans="1:58" ht="12.5" x14ac:dyDescent="0.25">
      <c r="A981" s="7"/>
      <c r="B981" s="17"/>
      <c r="C981" s="20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</row>
    <row r="982" spans="1:58" ht="12.5" x14ac:dyDescent="0.25">
      <c r="A982" s="7"/>
      <c r="B982" s="17"/>
      <c r="C982" s="20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</row>
    <row r="983" spans="1:58" ht="12.5" x14ac:dyDescent="0.25">
      <c r="A983" s="7"/>
      <c r="B983" s="17"/>
      <c r="C983" s="20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</row>
    <row r="984" spans="1:58" ht="12.5" x14ac:dyDescent="0.25">
      <c r="A984" s="7"/>
      <c r="B984" s="17"/>
      <c r="C984" s="20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</row>
    <row r="985" spans="1:58" ht="12.5" x14ac:dyDescent="0.25">
      <c r="A985" s="7"/>
      <c r="B985" s="17"/>
      <c r="C985" s="20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</row>
    <row r="986" spans="1:58" ht="12.5" x14ac:dyDescent="0.25">
      <c r="A986" s="7"/>
      <c r="B986" s="17"/>
      <c r="C986" s="20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</row>
    <row r="987" spans="1:58" ht="12.5" x14ac:dyDescent="0.25">
      <c r="A987" s="7"/>
      <c r="B987" s="17"/>
      <c r="C987" s="20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</row>
    <row r="988" spans="1:58" ht="12.5" x14ac:dyDescent="0.25">
      <c r="A988" s="7"/>
      <c r="B988" s="17"/>
      <c r="C988" s="20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</row>
    <row r="989" spans="1:58" ht="12.5" x14ac:dyDescent="0.25">
      <c r="A989" s="7"/>
      <c r="B989" s="17"/>
      <c r="C989" s="20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</row>
    <row r="990" spans="1:58" ht="12.5" x14ac:dyDescent="0.25">
      <c r="A990" s="7"/>
      <c r="B990" s="17"/>
      <c r="C990" s="20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</row>
    <row r="991" spans="1:58" ht="12.5" x14ac:dyDescent="0.25">
      <c r="A991" s="7"/>
      <c r="B991" s="17"/>
      <c r="C991" s="20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</row>
    <row r="992" spans="1:58" ht="12.5" x14ac:dyDescent="0.25">
      <c r="A992" s="7"/>
      <c r="B992" s="17"/>
      <c r="C992" s="20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</row>
    <row r="993" spans="1:58" ht="12.5" x14ac:dyDescent="0.25">
      <c r="A993" s="7"/>
      <c r="B993" s="17"/>
      <c r="C993" s="20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</row>
    <row r="994" spans="1:58" ht="12.5" x14ac:dyDescent="0.25">
      <c r="A994" s="7"/>
      <c r="B994" s="17"/>
      <c r="C994" s="20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</row>
    <row r="995" spans="1:58" ht="12.5" x14ac:dyDescent="0.25">
      <c r="A995" s="7"/>
      <c r="B995" s="17"/>
      <c r="C995" s="20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</row>
    <row r="996" spans="1:58" ht="12.5" x14ac:dyDescent="0.25">
      <c r="A996" s="7"/>
      <c r="B996" s="17"/>
      <c r="C996" s="20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</row>
    <row r="997" spans="1:58" ht="12.5" x14ac:dyDescent="0.25">
      <c r="A997" s="7"/>
      <c r="B997" s="17"/>
      <c r="C997" s="20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</row>
    <row r="998" spans="1:58" ht="12.5" x14ac:dyDescent="0.25">
      <c r="A998" s="7"/>
      <c r="B998" s="17"/>
      <c r="C998" s="20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</row>
    <row r="999" spans="1:58" ht="12.5" x14ac:dyDescent="0.25">
      <c r="A999" s="7"/>
      <c r="B999" s="17"/>
      <c r="C999" s="20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</row>
    <row r="1000" spans="1:58" ht="12.5" x14ac:dyDescent="0.25">
      <c r="A1000" s="7"/>
      <c r="B1000" s="17"/>
      <c r="C1000" s="20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</row>
    <row r="1001" spans="1:58" ht="12.5" x14ac:dyDescent="0.25">
      <c r="A1001" s="7"/>
      <c r="B1001" s="17"/>
      <c r="C1001" s="20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</row>
    <row r="1002" spans="1:58" ht="12.5" x14ac:dyDescent="0.25">
      <c r="A1002" s="7"/>
      <c r="B1002" s="17"/>
      <c r="C1002" s="20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</row>
    <row r="1003" spans="1:58" ht="12.5" x14ac:dyDescent="0.25">
      <c r="A1003" s="7"/>
      <c r="B1003" s="17"/>
      <c r="C1003" s="20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T100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"/>
    </sheetView>
  </sheetViews>
  <sheetFormatPr defaultColWidth="12.6328125" defaultRowHeight="15.75" customHeight="1" x14ac:dyDescent="0.25"/>
  <cols>
    <col min="1" max="1" width="37.36328125" customWidth="1"/>
    <col min="3" max="77" width="16.7265625" customWidth="1"/>
  </cols>
  <sheetData>
    <row r="1" spans="1:98" ht="15.75" customHeight="1" thickBot="1" x14ac:dyDescent="0.4">
      <c r="A1" s="45" t="s">
        <v>175</v>
      </c>
      <c r="B1" s="46" t="s">
        <v>0</v>
      </c>
      <c r="C1" s="47" t="s">
        <v>247</v>
      </c>
      <c r="D1" s="48" t="s">
        <v>32</v>
      </c>
      <c r="E1" s="48" t="s">
        <v>33</v>
      </c>
      <c r="F1" s="48" t="s">
        <v>34</v>
      </c>
      <c r="G1" s="48" t="s">
        <v>35</v>
      </c>
      <c r="H1" s="48" t="s">
        <v>36</v>
      </c>
      <c r="I1" s="48" t="s">
        <v>37</v>
      </c>
      <c r="J1" s="48" t="s">
        <v>38</v>
      </c>
      <c r="K1" s="48" t="s">
        <v>39</v>
      </c>
      <c r="L1" s="48" t="s">
        <v>40</v>
      </c>
      <c r="M1" s="48" t="s">
        <v>41</v>
      </c>
      <c r="N1" s="48" t="s">
        <v>42</v>
      </c>
      <c r="O1" s="48" t="s">
        <v>43</v>
      </c>
      <c r="P1" s="48" t="s">
        <v>44</v>
      </c>
      <c r="Q1" s="48" t="s">
        <v>45</v>
      </c>
      <c r="R1" s="48" t="s">
        <v>46</v>
      </c>
      <c r="S1" s="48" t="s">
        <v>47</v>
      </c>
      <c r="T1" s="48" t="s">
        <v>48</v>
      </c>
      <c r="U1" s="48" t="s">
        <v>49</v>
      </c>
      <c r="V1" s="48" t="s">
        <v>50</v>
      </c>
      <c r="W1" s="48" t="s">
        <v>51</v>
      </c>
      <c r="X1" s="48" t="s">
        <v>52</v>
      </c>
      <c r="Y1" s="48" t="s">
        <v>53</v>
      </c>
      <c r="Z1" s="48" t="s">
        <v>54</v>
      </c>
      <c r="AA1" s="48" t="s">
        <v>55</v>
      </c>
      <c r="AB1" s="48" t="s">
        <v>56</v>
      </c>
      <c r="AC1" s="48" t="s">
        <v>57</v>
      </c>
      <c r="AD1" s="48" t="s">
        <v>58</v>
      </c>
      <c r="AE1" s="48" t="s">
        <v>59</v>
      </c>
      <c r="AF1" s="48" t="s">
        <v>60</v>
      </c>
      <c r="AG1" s="48" t="s">
        <v>61</v>
      </c>
      <c r="AH1" s="48" t="s">
        <v>62</v>
      </c>
      <c r="AI1" s="48" t="s">
        <v>63</v>
      </c>
      <c r="AJ1" s="48" t="s">
        <v>64</v>
      </c>
      <c r="AK1" s="48" t="s">
        <v>65</v>
      </c>
      <c r="AL1" s="48" t="s">
        <v>66</v>
      </c>
      <c r="AM1" s="48" t="s">
        <v>67</v>
      </c>
      <c r="AN1" s="48" t="s">
        <v>68</v>
      </c>
      <c r="AO1" s="48" t="s">
        <v>69</v>
      </c>
      <c r="AP1" s="48" t="s">
        <v>70</v>
      </c>
      <c r="AQ1" s="48" t="s">
        <v>71</v>
      </c>
      <c r="AR1" s="48" t="s">
        <v>72</v>
      </c>
      <c r="AS1" s="48" t="s">
        <v>73</v>
      </c>
      <c r="AT1" s="48" t="s">
        <v>74</v>
      </c>
      <c r="AU1" s="48" t="s">
        <v>75</v>
      </c>
      <c r="AV1" s="48" t="s">
        <v>248</v>
      </c>
      <c r="AW1" s="48" t="s">
        <v>247</v>
      </c>
      <c r="AX1" s="48" t="s">
        <v>249</v>
      </c>
      <c r="AY1" s="48" t="s">
        <v>250</v>
      </c>
      <c r="AZ1" s="48" t="s">
        <v>251</v>
      </c>
      <c r="BA1" s="48" t="s">
        <v>252</v>
      </c>
      <c r="BB1" s="48" t="s">
        <v>76</v>
      </c>
      <c r="BC1" s="48" t="s">
        <v>77</v>
      </c>
      <c r="BD1" s="48" t="s">
        <v>78</v>
      </c>
      <c r="BE1" s="48" t="s">
        <v>79</v>
      </c>
      <c r="BF1" s="48" t="s">
        <v>80</v>
      </c>
      <c r="BG1" s="48" t="s">
        <v>81</v>
      </c>
      <c r="BH1" s="48" t="s">
        <v>82</v>
      </c>
      <c r="BI1" s="48" t="s">
        <v>83</v>
      </c>
      <c r="BJ1" s="48" t="s">
        <v>84</v>
      </c>
      <c r="BK1" s="48" t="s">
        <v>85</v>
      </c>
      <c r="BL1" s="48" t="s">
        <v>86</v>
      </c>
      <c r="BM1" s="48" t="s">
        <v>87</v>
      </c>
      <c r="BN1" s="48" t="s">
        <v>88</v>
      </c>
      <c r="BO1" s="48" t="s">
        <v>89</v>
      </c>
      <c r="BP1" s="48" t="s">
        <v>90</v>
      </c>
      <c r="BQ1" s="48" t="s">
        <v>91</v>
      </c>
      <c r="BR1" s="48" t="s">
        <v>92</v>
      </c>
      <c r="BS1" s="48" t="s">
        <v>93</v>
      </c>
      <c r="BT1" s="48" t="s">
        <v>94</v>
      </c>
      <c r="BU1" s="48" t="s">
        <v>95</v>
      </c>
      <c r="BV1" s="48" t="s">
        <v>96</v>
      </c>
      <c r="BW1" s="48" t="s">
        <v>97</v>
      </c>
      <c r="BX1" s="48" t="s">
        <v>98</v>
      </c>
      <c r="BY1" s="48" t="s">
        <v>99</v>
      </c>
      <c r="BZ1" s="48" t="s">
        <v>100</v>
      </c>
      <c r="CA1" s="48" t="s">
        <v>101</v>
      </c>
      <c r="CB1" s="48" t="s">
        <v>253</v>
      </c>
      <c r="CC1" s="48" t="s">
        <v>254</v>
      </c>
      <c r="CD1" s="48" t="s">
        <v>255</v>
      </c>
      <c r="CE1" s="48" t="s">
        <v>256</v>
      </c>
      <c r="CF1" s="48" t="s">
        <v>257</v>
      </c>
      <c r="CG1" s="48" t="s">
        <v>258</v>
      </c>
      <c r="CH1" s="48" t="s">
        <v>259</v>
      </c>
      <c r="CI1" s="48" t="s">
        <v>260</v>
      </c>
      <c r="CJ1" s="48" t="s">
        <v>261</v>
      </c>
      <c r="CK1" s="48" t="s">
        <v>262</v>
      </c>
      <c r="CL1" s="48" t="s">
        <v>263</v>
      </c>
      <c r="CM1" s="48" t="s">
        <v>264</v>
      </c>
      <c r="CN1" s="48" t="s">
        <v>265</v>
      </c>
      <c r="CO1" s="48" t="s">
        <v>266</v>
      </c>
      <c r="CP1" s="48" t="s">
        <v>267</v>
      </c>
      <c r="CQ1" s="48" t="s">
        <v>268</v>
      </c>
      <c r="CR1" s="49" t="s">
        <v>102</v>
      </c>
      <c r="CS1" s="49" t="s">
        <v>103</v>
      </c>
      <c r="CT1" s="49" t="s">
        <v>104</v>
      </c>
    </row>
    <row r="2" spans="1:98" ht="15.75" customHeight="1" thickBot="1" x14ac:dyDescent="0.4">
      <c r="A2" s="50" t="s">
        <v>185</v>
      </c>
      <c r="B2" s="51"/>
      <c r="C2" s="52" t="s">
        <v>269</v>
      </c>
      <c r="D2" s="53">
        <v>20</v>
      </c>
      <c r="E2" s="53">
        <v>20</v>
      </c>
      <c r="F2" s="53">
        <v>20</v>
      </c>
      <c r="G2" s="53">
        <v>36</v>
      </c>
      <c r="H2" s="53">
        <v>36</v>
      </c>
      <c r="I2" s="53">
        <v>36</v>
      </c>
      <c r="J2" s="53">
        <v>56</v>
      </c>
      <c r="K2" s="53">
        <v>56</v>
      </c>
      <c r="L2" s="53">
        <v>56</v>
      </c>
      <c r="M2" s="53">
        <v>104</v>
      </c>
      <c r="N2" s="53">
        <v>104</v>
      </c>
      <c r="O2" s="53">
        <v>104</v>
      </c>
      <c r="P2" s="53">
        <v>112</v>
      </c>
      <c r="Q2" s="53">
        <v>128</v>
      </c>
      <c r="R2" s="53">
        <v>128</v>
      </c>
      <c r="S2" s="53">
        <v>128</v>
      </c>
      <c r="T2" s="53">
        <v>176</v>
      </c>
      <c r="U2" s="53">
        <v>176</v>
      </c>
      <c r="V2" s="53">
        <v>176</v>
      </c>
      <c r="W2" s="53">
        <v>280</v>
      </c>
      <c r="X2" s="53">
        <v>240</v>
      </c>
      <c r="Y2" s="53">
        <v>320</v>
      </c>
      <c r="Z2" s="53">
        <v>480</v>
      </c>
      <c r="AA2" s="53">
        <v>480</v>
      </c>
      <c r="AB2" s="53">
        <v>480</v>
      </c>
      <c r="AC2" s="53">
        <v>128</v>
      </c>
      <c r="AD2" s="53">
        <v>176</v>
      </c>
      <c r="AE2" s="53">
        <v>128</v>
      </c>
      <c r="AF2" s="53">
        <v>176</v>
      </c>
      <c r="AG2" s="53">
        <v>128</v>
      </c>
      <c r="AH2" s="53">
        <v>128</v>
      </c>
      <c r="AI2" s="53">
        <v>176</v>
      </c>
      <c r="AJ2" s="53">
        <v>176</v>
      </c>
      <c r="AK2" s="53">
        <v>56</v>
      </c>
      <c r="AL2" s="53">
        <v>56</v>
      </c>
      <c r="AM2" s="53">
        <v>104</v>
      </c>
      <c r="AN2" s="53">
        <v>104</v>
      </c>
      <c r="AO2" s="53">
        <v>128</v>
      </c>
      <c r="AP2" s="53">
        <v>128</v>
      </c>
      <c r="AQ2" s="53">
        <v>176</v>
      </c>
      <c r="AR2" s="53">
        <v>176</v>
      </c>
      <c r="AS2" s="53">
        <v>60</v>
      </c>
      <c r="AT2" s="53">
        <v>70</v>
      </c>
      <c r="AU2" s="53">
        <v>68</v>
      </c>
      <c r="AV2" s="53" t="s">
        <v>269</v>
      </c>
      <c r="AW2" s="53" t="s">
        <v>269</v>
      </c>
      <c r="AX2" s="53">
        <v>960</v>
      </c>
      <c r="AY2" s="53">
        <v>800</v>
      </c>
      <c r="AZ2" s="53">
        <v>1</v>
      </c>
      <c r="BA2" s="53">
        <v>2</v>
      </c>
      <c r="BB2" s="53">
        <v>56</v>
      </c>
      <c r="BC2" s="53">
        <v>56</v>
      </c>
      <c r="BD2" s="53">
        <v>128</v>
      </c>
      <c r="BE2" s="53">
        <v>128</v>
      </c>
      <c r="BF2" s="53">
        <v>104</v>
      </c>
      <c r="BG2" s="53">
        <v>104</v>
      </c>
      <c r="BH2" s="53">
        <v>176</v>
      </c>
      <c r="BI2" s="53">
        <v>176</v>
      </c>
      <c r="BJ2" s="53">
        <v>208</v>
      </c>
      <c r="BK2" s="53">
        <v>208</v>
      </c>
      <c r="BL2" s="53">
        <v>208</v>
      </c>
      <c r="BM2" s="53">
        <v>208</v>
      </c>
      <c r="BN2" s="53">
        <v>208</v>
      </c>
      <c r="BO2" s="53">
        <v>208</v>
      </c>
      <c r="BP2" s="53">
        <v>256</v>
      </c>
      <c r="BQ2" s="53">
        <v>256</v>
      </c>
      <c r="BR2" s="53">
        <v>256</v>
      </c>
      <c r="BS2" s="53">
        <v>256</v>
      </c>
      <c r="BT2" s="53">
        <v>256</v>
      </c>
      <c r="BU2" s="53">
        <v>256</v>
      </c>
      <c r="BV2" s="54">
        <v>6400</v>
      </c>
      <c r="BW2" s="54">
        <v>3200</v>
      </c>
      <c r="BX2" s="54">
        <v>3200</v>
      </c>
      <c r="BY2" s="54">
        <v>2000</v>
      </c>
      <c r="BZ2" s="54">
        <v>12000</v>
      </c>
      <c r="CA2" s="54">
        <v>9200</v>
      </c>
      <c r="CB2" s="53">
        <v>16</v>
      </c>
      <c r="CC2" s="53">
        <v>20</v>
      </c>
      <c r="CD2" s="53">
        <v>20</v>
      </c>
      <c r="CE2" s="53">
        <v>20</v>
      </c>
      <c r="CF2" s="53">
        <v>36</v>
      </c>
      <c r="CG2" s="53">
        <v>36</v>
      </c>
      <c r="CH2" s="53">
        <v>56</v>
      </c>
      <c r="CI2" s="53">
        <v>56</v>
      </c>
      <c r="CJ2" s="53">
        <v>56</v>
      </c>
      <c r="CK2" s="53">
        <v>104</v>
      </c>
      <c r="CL2" s="53">
        <v>104</v>
      </c>
      <c r="CM2" s="53">
        <v>128</v>
      </c>
      <c r="CN2" s="53">
        <v>128</v>
      </c>
      <c r="CO2" s="53">
        <v>128</v>
      </c>
      <c r="CP2" s="53">
        <v>176</v>
      </c>
      <c r="CQ2" s="53">
        <v>176</v>
      </c>
      <c r="CR2" s="55"/>
      <c r="CS2" s="55"/>
      <c r="CT2" s="55"/>
    </row>
    <row r="3" spans="1:98" ht="15.75" customHeight="1" thickBot="1" x14ac:dyDescent="0.4">
      <c r="A3" s="50" t="s">
        <v>192</v>
      </c>
      <c r="B3" s="51"/>
      <c r="C3" s="52">
        <v>1309</v>
      </c>
      <c r="D3" s="53">
        <v>14.88</v>
      </c>
      <c r="E3" s="53">
        <v>14.88</v>
      </c>
      <c r="F3" s="53">
        <v>14.88</v>
      </c>
      <c r="G3" s="53">
        <v>26.78</v>
      </c>
      <c r="H3" s="53">
        <v>26.78</v>
      </c>
      <c r="I3" s="53">
        <v>26.78</v>
      </c>
      <c r="J3" s="53">
        <v>41.66</v>
      </c>
      <c r="K3" s="53">
        <v>41.66</v>
      </c>
      <c r="L3" s="53">
        <v>41.66</v>
      </c>
      <c r="M3" s="53">
        <v>77.38</v>
      </c>
      <c r="N3" s="53">
        <v>77.38</v>
      </c>
      <c r="O3" s="53">
        <v>77.38</v>
      </c>
      <c r="P3" s="53">
        <v>83.32</v>
      </c>
      <c r="Q3" s="53">
        <v>95.23</v>
      </c>
      <c r="R3" s="53">
        <v>95.23</v>
      </c>
      <c r="S3" s="53">
        <v>95.23</v>
      </c>
      <c r="T3" s="53">
        <v>130.94</v>
      </c>
      <c r="U3" s="53">
        <v>130.94</v>
      </c>
      <c r="V3" s="53">
        <v>130.94</v>
      </c>
      <c r="W3" s="53">
        <v>208.33</v>
      </c>
      <c r="X3" s="53">
        <v>178.57</v>
      </c>
      <c r="Y3" s="53">
        <v>238.1</v>
      </c>
      <c r="Z3" s="53">
        <v>357.14</v>
      </c>
      <c r="AA3" s="53">
        <v>357.14</v>
      </c>
      <c r="AB3" s="53">
        <v>357.12</v>
      </c>
      <c r="AC3" s="53">
        <v>95.23</v>
      </c>
      <c r="AD3" s="53">
        <v>130.94999999999999</v>
      </c>
      <c r="AE3" s="53">
        <v>95.23</v>
      </c>
      <c r="AF3" s="53">
        <v>130.94999999999999</v>
      </c>
      <c r="AG3" s="53">
        <v>95.23</v>
      </c>
      <c r="AH3" s="53">
        <v>95.23</v>
      </c>
      <c r="AI3" s="53">
        <v>130.94999999999999</v>
      </c>
      <c r="AJ3" s="53">
        <v>130.94999999999999</v>
      </c>
      <c r="AK3" s="53">
        <v>41.67</v>
      </c>
      <c r="AL3" s="53">
        <v>41.67</v>
      </c>
      <c r="AM3" s="53">
        <v>77.38</v>
      </c>
      <c r="AN3" s="53">
        <v>77.38</v>
      </c>
      <c r="AO3" s="53">
        <v>95.23</v>
      </c>
      <c r="AP3" s="53">
        <v>95.23</v>
      </c>
      <c r="AQ3" s="53">
        <v>130.94999999999999</v>
      </c>
      <c r="AR3" s="53">
        <v>130.94999999999999</v>
      </c>
      <c r="AS3" s="53">
        <v>44.64</v>
      </c>
      <c r="AT3" s="53">
        <v>52.08</v>
      </c>
      <c r="AU3" s="53">
        <v>50.59</v>
      </c>
      <c r="AV3" s="53">
        <v>1309</v>
      </c>
      <c r="AW3" s="53">
        <v>1309</v>
      </c>
      <c r="AX3" s="53">
        <v>714.24</v>
      </c>
      <c r="AY3" s="53">
        <v>654.72</v>
      </c>
      <c r="AZ3" s="53">
        <v>744.04</v>
      </c>
      <c r="BA3" s="53">
        <v>1488</v>
      </c>
      <c r="BB3" s="53">
        <v>41.66</v>
      </c>
      <c r="BC3" s="53">
        <v>41.66</v>
      </c>
      <c r="BD3" s="53">
        <v>95.23</v>
      </c>
      <c r="BE3" s="53">
        <v>95.23</v>
      </c>
      <c r="BF3" s="53">
        <v>77.38</v>
      </c>
      <c r="BG3" s="53">
        <v>77.38</v>
      </c>
      <c r="BH3" s="53">
        <v>130.94999999999999</v>
      </c>
      <c r="BI3" s="53">
        <v>130.94999999999999</v>
      </c>
      <c r="BJ3" s="53">
        <v>154.76</v>
      </c>
      <c r="BK3" s="53">
        <v>154.76</v>
      </c>
      <c r="BL3" s="53">
        <v>154.76</v>
      </c>
      <c r="BM3" s="53">
        <v>154.76</v>
      </c>
      <c r="BN3" s="53">
        <v>154.76</v>
      </c>
      <c r="BO3" s="53">
        <v>154.76</v>
      </c>
      <c r="BP3" s="53">
        <v>190.47</v>
      </c>
      <c r="BQ3" s="53">
        <v>190.47</v>
      </c>
      <c r="BR3" s="53">
        <v>190.48</v>
      </c>
      <c r="BS3" s="53">
        <v>190.48</v>
      </c>
      <c r="BT3" s="53">
        <v>190.47</v>
      </c>
      <c r="BU3" s="53">
        <v>190.48</v>
      </c>
      <c r="BV3" s="54">
        <v>2000</v>
      </c>
      <c r="BW3" s="54">
        <v>1000</v>
      </c>
      <c r="BX3" s="54">
        <v>1000</v>
      </c>
      <c r="BY3" s="54">
        <v>1000</v>
      </c>
      <c r="BZ3" s="54">
        <v>8000</v>
      </c>
      <c r="CA3" s="54">
        <v>8000</v>
      </c>
      <c r="CB3" s="53">
        <v>11.9</v>
      </c>
      <c r="CC3" s="53">
        <v>14.88</v>
      </c>
      <c r="CD3" s="53">
        <v>14.88</v>
      </c>
      <c r="CE3" s="53">
        <v>14.88</v>
      </c>
      <c r="CF3" s="53">
        <v>26.78</v>
      </c>
      <c r="CG3" s="53">
        <v>26.78</v>
      </c>
      <c r="CH3" s="53">
        <v>41.66</v>
      </c>
      <c r="CI3" s="53">
        <v>41.66</v>
      </c>
      <c r="CJ3" s="53">
        <v>41.66</v>
      </c>
      <c r="CK3" s="53">
        <v>77.38</v>
      </c>
      <c r="CL3" s="53">
        <v>77.38</v>
      </c>
      <c r="CM3" s="53">
        <v>95.23</v>
      </c>
      <c r="CN3" s="53">
        <v>95.23</v>
      </c>
      <c r="CO3" s="53">
        <v>95.23</v>
      </c>
      <c r="CP3" s="53">
        <v>130.94</v>
      </c>
      <c r="CQ3" s="53">
        <v>130.94</v>
      </c>
      <c r="CR3" s="55"/>
      <c r="CS3" s="55"/>
      <c r="CT3" s="55"/>
    </row>
    <row r="4" spans="1:98" ht="15.75" customHeight="1" thickBot="1" x14ac:dyDescent="0.4">
      <c r="A4" s="50" t="s">
        <v>199</v>
      </c>
      <c r="B4" s="51"/>
      <c r="C4" s="52">
        <v>56</v>
      </c>
      <c r="D4" s="53">
        <v>10</v>
      </c>
      <c r="E4" s="53">
        <v>10</v>
      </c>
      <c r="F4" s="53">
        <v>10</v>
      </c>
      <c r="G4" s="53">
        <v>16</v>
      </c>
      <c r="H4" s="53">
        <v>16</v>
      </c>
      <c r="I4" s="53">
        <v>16</v>
      </c>
      <c r="J4" s="53">
        <v>24</v>
      </c>
      <c r="K4" s="53">
        <v>24</v>
      </c>
      <c r="L4" s="53">
        <v>24</v>
      </c>
      <c r="M4" s="53">
        <v>48</v>
      </c>
      <c r="N4" s="53">
        <v>48</v>
      </c>
      <c r="O4" s="53">
        <v>48</v>
      </c>
      <c r="P4" s="53">
        <v>16</v>
      </c>
      <c r="Q4" s="53">
        <v>24</v>
      </c>
      <c r="R4" s="53">
        <v>24</v>
      </c>
      <c r="S4" s="53">
        <v>24</v>
      </c>
      <c r="T4" s="53">
        <v>48</v>
      </c>
      <c r="U4" s="53">
        <v>48</v>
      </c>
      <c r="V4" s="53">
        <v>48</v>
      </c>
      <c r="W4" s="55"/>
      <c r="X4" s="55"/>
      <c r="Y4" s="55"/>
      <c r="Z4" s="55"/>
      <c r="AA4" s="55"/>
      <c r="AB4" s="55"/>
      <c r="AC4" s="53">
        <v>24</v>
      </c>
      <c r="AD4" s="53">
        <v>48</v>
      </c>
      <c r="AE4" s="53">
        <v>24</v>
      </c>
      <c r="AF4" s="53">
        <v>48</v>
      </c>
      <c r="AG4" s="53">
        <v>24</v>
      </c>
      <c r="AH4" s="53">
        <v>24</v>
      </c>
      <c r="AI4" s="53">
        <v>48</v>
      </c>
      <c r="AJ4" s="53">
        <v>48</v>
      </c>
      <c r="AK4" s="53">
        <v>24</v>
      </c>
      <c r="AL4" s="53">
        <v>24</v>
      </c>
      <c r="AM4" s="53">
        <v>48</v>
      </c>
      <c r="AN4" s="53">
        <v>48</v>
      </c>
      <c r="AO4" s="53">
        <v>24</v>
      </c>
      <c r="AP4" s="53">
        <v>24</v>
      </c>
      <c r="AQ4" s="53">
        <v>48</v>
      </c>
      <c r="AR4" s="53">
        <v>48</v>
      </c>
      <c r="AS4" s="53">
        <v>8</v>
      </c>
      <c r="AT4" s="53">
        <v>12</v>
      </c>
      <c r="AU4" s="53">
        <v>12</v>
      </c>
      <c r="AV4" s="53">
        <v>56</v>
      </c>
      <c r="AW4" s="53">
        <v>56</v>
      </c>
      <c r="AX4" s="53">
        <v>56</v>
      </c>
      <c r="AY4" s="53">
        <v>32</v>
      </c>
      <c r="AZ4" s="53">
        <v>8</v>
      </c>
      <c r="BA4" s="53">
        <v>8</v>
      </c>
      <c r="BB4" s="53">
        <v>24</v>
      </c>
      <c r="BC4" s="53">
        <v>24</v>
      </c>
      <c r="BD4" s="53">
        <v>24</v>
      </c>
      <c r="BE4" s="53">
        <v>24</v>
      </c>
      <c r="BF4" s="53">
        <v>48</v>
      </c>
      <c r="BG4" s="53">
        <v>48</v>
      </c>
      <c r="BH4" s="53">
        <v>48</v>
      </c>
      <c r="BI4" s="53">
        <v>48</v>
      </c>
      <c r="BJ4" s="53">
        <v>24</v>
      </c>
      <c r="BK4" s="53">
        <v>24</v>
      </c>
      <c r="BL4" s="53">
        <v>24</v>
      </c>
      <c r="BM4" s="53">
        <v>24</v>
      </c>
      <c r="BN4" s="55"/>
      <c r="BO4" s="53">
        <v>24</v>
      </c>
      <c r="BP4" s="53">
        <v>48</v>
      </c>
      <c r="BQ4" s="53">
        <v>48</v>
      </c>
      <c r="BR4" s="53">
        <v>48</v>
      </c>
      <c r="BS4" s="53">
        <v>48</v>
      </c>
      <c r="BT4" s="55"/>
      <c r="BU4" s="53">
        <v>48</v>
      </c>
      <c r="BV4" s="55"/>
      <c r="BW4" s="55"/>
      <c r="BX4" s="55"/>
      <c r="BY4" s="55"/>
      <c r="BZ4" s="55"/>
      <c r="CA4" s="55"/>
      <c r="CB4" s="53">
        <v>8</v>
      </c>
      <c r="CC4" s="53">
        <v>8</v>
      </c>
      <c r="CD4" s="53">
        <v>8</v>
      </c>
      <c r="CE4" s="53">
        <v>8</v>
      </c>
      <c r="CF4" s="53">
        <v>16</v>
      </c>
      <c r="CG4" s="53">
        <v>16</v>
      </c>
      <c r="CH4" s="53">
        <v>24</v>
      </c>
      <c r="CI4" s="53">
        <v>24</v>
      </c>
      <c r="CJ4" s="53">
        <v>24</v>
      </c>
      <c r="CK4" s="53">
        <v>48</v>
      </c>
      <c r="CL4" s="53">
        <v>48</v>
      </c>
      <c r="CM4" s="53">
        <v>24</v>
      </c>
      <c r="CN4" s="53">
        <v>24</v>
      </c>
      <c r="CO4" s="53">
        <v>24</v>
      </c>
      <c r="CP4" s="53">
        <v>48</v>
      </c>
      <c r="CQ4" s="53">
        <v>48</v>
      </c>
      <c r="CR4" s="55"/>
      <c r="CS4" s="55"/>
      <c r="CT4" s="55"/>
    </row>
    <row r="5" spans="1:98" ht="15.75" customHeight="1" thickBot="1" x14ac:dyDescent="0.4">
      <c r="A5" s="50" t="s">
        <v>206</v>
      </c>
      <c r="B5" s="51"/>
      <c r="C5" s="52">
        <v>0</v>
      </c>
      <c r="D5" s="53">
        <v>2</v>
      </c>
      <c r="E5" s="53">
        <v>2</v>
      </c>
      <c r="F5" s="53">
        <v>2</v>
      </c>
      <c r="G5" s="53">
        <v>2</v>
      </c>
      <c r="H5" s="53">
        <v>2</v>
      </c>
      <c r="I5" s="53">
        <v>2</v>
      </c>
      <c r="J5" s="53">
        <v>4</v>
      </c>
      <c r="K5" s="53">
        <v>4</v>
      </c>
      <c r="L5" s="53">
        <v>4</v>
      </c>
      <c r="M5" s="53">
        <v>4</v>
      </c>
      <c r="N5" s="53">
        <v>4</v>
      </c>
      <c r="O5" s="53">
        <v>4</v>
      </c>
      <c r="P5" s="55"/>
      <c r="Q5" s="55"/>
      <c r="R5" s="55"/>
      <c r="S5" s="55"/>
      <c r="T5" s="55"/>
      <c r="U5" s="55"/>
      <c r="V5" s="55"/>
      <c r="W5" s="53">
        <v>2</v>
      </c>
      <c r="X5" s="53">
        <v>12</v>
      </c>
      <c r="Y5" s="53">
        <v>8</v>
      </c>
      <c r="Z5" s="53">
        <v>24</v>
      </c>
      <c r="AA5" s="55"/>
      <c r="AB5" s="53">
        <v>12</v>
      </c>
      <c r="AC5" s="53">
        <v>4</v>
      </c>
      <c r="AD5" s="53">
        <v>4</v>
      </c>
      <c r="AE5" s="53">
        <v>4</v>
      </c>
      <c r="AF5" s="53">
        <v>4</v>
      </c>
      <c r="AG5" s="53">
        <v>4</v>
      </c>
      <c r="AH5" s="53">
        <v>4</v>
      </c>
      <c r="AI5" s="53">
        <v>4</v>
      </c>
      <c r="AJ5" s="53">
        <v>4</v>
      </c>
      <c r="AK5" s="53">
        <v>4</v>
      </c>
      <c r="AL5" s="53">
        <v>4</v>
      </c>
      <c r="AM5" s="53">
        <v>4</v>
      </c>
      <c r="AN5" s="53">
        <v>4</v>
      </c>
      <c r="AO5" s="55"/>
      <c r="AP5" s="55"/>
      <c r="AQ5" s="55"/>
      <c r="AR5" s="55"/>
      <c r="AS5" s="55"/>
      <c r="AT5" s="55"/>
      <c r="AU5" s="55"/>
      <c r="AV5" s="53">
        <v>0</v>
      </c>
      <c r="AW5" s="53">
        <v>0</v>
      </c>
      <c r="AX5" s="53">
        <v>0</v>
      </c>
      <c r="AY5" s="53">
        <v>0</v>
      </c>
      <c r="AZ5" s="53">
        <v>12</v>
      </c>
      <c r="BA5" s="53">
        <v>24</v>
      </c>
      <c r="BB5" s="53">
        <v>4</v>
      </c>
      <c r="BC5" s="53">
        <v>4</v>
      </c>
      <c r="BD5" s="53">
        <v>4</v>
      </c>
      <c r="BE5" s="53">
        <v>4</v>
      </c>
      <c r="BF5" s="53">
        <v>4</v>
      </c>
      <c r="BG5" s="53">
        <v>4</v>
      </c>
      <c r="BH5" s="53">
        <v>4</v>
      </c>
      <c r="BI5" s="53">
        <v>4</v>
      </c>
      <c r="BJ5" s="53">
        <v>8</v>
      </c>
      <c r="BK5" s="53">
        <v>8</v>
      </c>
      <c r="BL5" s="53">
        <v>8</v>
      </c>
      <c r="BM5" s="53">
        <v>8</v>
      </c>
      <c r="BN5" s="53">
        <v>32</v>
      </c>
      <c r="BO5" s="53">
        <v>8</v>
      </c>
      <c r="BP5" s="53">
        <v>8</v>
      </c>
      <c r="BQ5" s="53">
        <v>8</v>
      </c>
      <c r="BR5" s="53">
        <v>8</v>
      </c>
      <c r="BS5" s="53">
        <v>8</v>
      </c>
      <c r="BT5" s="53">
        <v>56</v>
      </c>
      <c r="BU5" s="53">
        <v>8</v>
      </c>
      <c r="BV5" s="55"/>
      <c r="BW5" s="55"/>
      <c r="BX5" s="53">
        <v>48</v>
      </c>
      <c r="BY5" s="53">
        <v>24</v>
      </c>
      <c r="BZ5" s="55"/>
      <c r="CA5" s="55"/>
      <c r="CB5" s="55"/>
      <c r="CC5" s="53">
        <v>2</v>
      </c>
      <c r="CD5" s="53">
        <v>2</v>
      </c>
      <c r="CE5" s="53">
        <v>2</v>
      </c>
      <c r="CF5" s="53">
        <v>2</v>
      </c>
      <c r="CG5" s="53">
        <v>2</v>
      </c>
      <c r="CH5" s="53">
        <v>4</v>
      </c>
      <c r="CI5" s="53">
        <v>4</v>
      </c>
      <c r="CJ5" s="53">
        <v>4</v>
      </c>
      <c r="CK5" s="53">
        <v>4</v>
      </c>
      <c r="CL5" s="53">
        <v>4</v>
      </c>
      <c r="CM5" s="55"/>
      <c r="CN5" s="55"/>
      <c r="CO5" s="55"/>
      <c r="CP5" s="55"/>
      <c r="CQ5" s="55"/>
      <c r="CR5" s="55"/>
      <c r="CS5" s="55"/>
      <c r="CT5" s="55"/>
    </row>
    <row r="6" spans="1:98" ht="15.75" customHeight="1" thickBot="1" x14ac:dyDescent="0.4">
      <c r="A6" s="50" t="s">
        <v>212</v>
      </c>
      <c r="B6" s="56">
        <v>48</v>
      </c>
      <c r="C6" s="52">
        <v>56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3">
        <v>12</v>
      </c>
      <c r="X6" s="53">
        <v>2</v>
      </c>
      <c r="Y6" s="53">
        <v>8</v>
      </c>
      <c r="Z6" s="53">
        <v>4</v>
      </c>
      <c r="AA6" s="53">
        <v>24</v>
      </c>
      <c r="AB6" s="53">
        <v>12</v>
      </c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3">
        <v>56</v>
      </c>
      <c r="AW6" s="53">
        <v>56</v>
      </c>
      <c r="AX6" s="53">
        <v>16</v>
      </c>
      <c r="AY6" s="53">
        <v>32</v>
      </c>
      <c r="AZ6" s="53">
        <v>8</v>
      </c>
      <c r="BA6" s="53">
        <v>8</v>
      </c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</row>
    <row r="7" spans="1:98" ht="15.75" customHeight="1" thickBot="1" x14ac:dyDescent="0.4">
      <c r="A7" s="50" t="s">
        <v>216</v>
      </c>
      <c r="B7" s="51"/>
      <c r="C7" s="52">
        <v>0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3">
        <v>4</v>
      </c>
      <c r="Q7" s="53">
        <v>4</v>
      </c>
      <c r="R7" s="53">
        <v>4</v>
      </c>
      <c r="S7" s="53">
        <v>4</v>
      </c>
      <c r="T7" s="53">
        <v>4</v>
      </c>
      <c r="U7" s="53">
        <v>4</v>
      </c>
      <c r="V7" s="53">
        <v>4</v>
      </c>
      <c r="W7" s="53">
        <v>2</v>
      </c>
      <c r="X7" s="53">
        <v>12</v>
      </c>
      <c r="Y7" s="53">
        <v>8</v>
      </c>
      <c r="Z7" s="53">
        <v>24</v>
      </c>
      <c r="AA7" s="53">
        <v>4</v>
      </c>
      <c r="AB7" s="53">
        <v>12</v>
      </c>
      <c r="AC7" s="53">
        <v>4</v>
      </c>
      <c r="AD7" s="53">
        <v>4</v>
      </c>
      <c r="AE7" s="53">
        <v>4</v>
      </c>
      <c r="AF7" s="53">
        <v>4</v>
      </c>
      <c r="AG7" s="53">
        <v>4</v>
      </c>
      <c r="AH7" s="53">
        <v>4</v>
      </c>
      <c r="AI7" s="53">
        <v>4</v>
      </c>
      <c r="AJ7" s="53">
        <v>4</v>
      </c>
      <c r="AK7" s="55"/>
      <c r="AL7" s="55"/>
      <c r="AM7" s="55"/>
      <c r="AN7" s="55"/>
      <c r="AO7" s="53">
        <v>4</v>
      </c>
      <c r="AP7" s="53">
        <v>4</v>
      </c>
      <c r="AQ7" s="53">
        <v>4</v>
      </c>
      <c r="AR7" s="53">
        <v>4</v>
      </c>
      <c r="AS7" s="53">
        <v>2</v>
      </c>
      <c r="AT7" s="53">
        <v>2</v>
      </c>
      <c r="AU7" s="53">
        <v>2</v>
      </c>
      <c r="AV7" s="53">
        <v>0</v>
      </c>
      <c r="AW7" s="53">
        <v>0</v>
      </c>
      <c r="AX7" s="53">
        <v>0</v>
      </c>
      <c r="AY7" s="53">
        <v>0</v>
      </c>
      <c r="AZ7" s="53">
        <v>12</v>
      </c>
      <c r="BA7" s="53">
        <v>24</v>
      </c>
      <c r="BB7" s="55"/>
      <c r="BC7" s="55"/>
      <c r="BD7" s="53">
        <v>4</v>
      </c>
      <c r="BE7" s="53">
        <v>4</v>
      </c>
      <c r="BF7" s="55"/>
      <c r="BG7" s="55"/>
      <c r="BH7" s="53">
        <v>4</v>
      </c>
      <c r="BI7" s="53">
        <v>4</v>
      </c>
      <c r="BJ7" s="53">
        <v>8</v>
      </c>
      <c r="BK7" s="53">
        <v>8</v>
      </c>
      <c r="BL7" s="53">
        <v>8</v>
      </c>
      <c r="BM7" s="53">
        <v>8</v>
      </c>
      <c r="BN7" s="53">
        <v>8</v>
      </c>
      <c r="BO7" s="53">
        <v>8</v>
      </c>
      <c r="BP7" s="53">
        <v>8</v>
      </c>
      <c r="BQ7" s="53">
        <v>8</v>
      </c>
      <c r="BR7" s="53">
        <v>8</v>
      </c>
      <c r="BS7" s="53">
        <v>8</v>
      </c>
      <c r="BT7" s="53">
        <v>8</v>
      </c>
      <c r="BU7" s="53">
        <v>8</v>
      </c>
      <c r="BV7" s="55"/>
      <c r="BW7" s="55"/>
      <c r="BX7" s="53">
        <v>48</v>
      </c>
      <c r="BY7" s="53">
        <v>24</v>
      </c>
      <c r="BZ7" s="55"/>
      <c r="CA7" s="53">
        <v>60</v>
      </c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3">
        <v>4</v>
      </c>
      <c r="CN7" s="53">
        <v>4</v>
      </c>
      <c r="CO7" s="53">
        <v>4</v>
      </c>
      <c r="CP7" s="53">
        <v>4</v>
      </c>
      <c r="CQ7" s="53">
        <v>4</v>
      </c>
      <c r="CR7" s="55"/>
      <c r="CS7" s="55"/>
      <c r="CT7" s="55"/>
    </row>
    <row r="8" spans="1:98" ht="15.75" customHeight="1" thickBot="1" x14ac:dyDescent="0.4">
      <c r="A8" s="50" t="s">
        <v>217</v>
      </c>
      <c r="B8" s="51"/>
      <c r="C8" s="57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3">
        <v>32</v>
      </c>
      <c r="BW8" s="53">
        <v>16</v>
      </c>
      <c r="BX8" s="53">
        <v>4</v>
      </c>
      <c r="BY8" s="53">
        <v>4</v>
      </c>
      <c r="BZ8" s="53">
        <v>36</v>
      </c>
      <c r="CA8" s="53">
        <v>4</v>
      </c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</row>
    <row r="9" spans="1:98" ht="15.75" customHeight="1" thickBot="1" x14ac:dyDescent="0.4">
      <c r="A9" s="50" t="s">
        <v>219</v>
      </c>
      <c r="B9" s="51"/>
      <c r="C9" s="52" t="s">
        <v>105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3" t="s">
        <v>105</v>
      </c>
      <c r="Q9" s="53" t="s">
        <v>105</v>
      </c>
      <c r="R9" s="53" t="s">
        <v>105</v>
      </c>
      <c r="S9" s="53" t="s">
        <v>105</v>
      </c>
      <c r="T9" s="53" t="s">
        <v>105</v>
      </c>
      <c r="U9" s="53" t="s">
        <v>105</v>
      </c>
      <c r="V9" s="53" t="s">
        <v>105</v>
      </c>
      <c r="W9" s="53" t="s">
        <v>105</v>
      </c>
      <c r="X9" s="53" t="s">
        <v>105</v>
      </c>
      <c r="Y9" s="53" t="s">
        <v>105</v>
      </c>
      <c r="Z9" s="53" t="s">
        <v>105</v>
      </c>
      <c r="AA9" s="53" t="s">
        <v>105</v>
      </c>
      <c r="AB9" s="53" t="s">
        <v>105</v>
      </c>
      <c r="AC9" s="53" t="s">
        <v>105</v>
      </c>
      <c r="AD9" s="53" t="s">
        <v>105</v>
      </c>
      <c r="AE9" s="53" t="s">
        <v>105</v>
      </c>
      <c r="AF9" s="53" t="s">
        <v>105</v>
      </c>
      <c r="AG9" s="53" t="s">
        <v>105</v>
      </c>
      <c r="AH9" s="53" t="s">
        <v>105</v>
      </c>
      <c r="AI9" s="53" t="s">
        <v>105</v>
      </c>
      <c r="AJ9" s="53" t="s">
        <v>105</v>
      </c>
      <c r="AK9" s="53" t="s">
        <v>105</v>
      </c>
      <c r="AL9" s="53" t="s">
        <v>105</v>
      </c>
      <c r="AM9" s="53" t="s">
        <v>105</v>
      </c>
      <c r="AN9" s="53" t="s">
        <v>105</v>
      </c>
      <c r="AO9" s="53" t="s">
        <v>105</v>
      </c>
      <c r="AP9" s="53" t="s">
        <v>105</v>
      </c>
      <c r="AQ9" s="53" t="s">
        <v>105</v>
      </c>
      <c r="AR9" s="53" t="s">
        <v>105</v>
      </c>
      <c r="AS9" s="55"/>
      <c r="AT9" s="55"/>
      <c r="AU9" s="55"/>
      <c r="AV9" s="53" t="s">
        <v>105</v>
      </c>
      <c r="AW9" s="53" t="s">
        <v>105</v>
      </c>
      <c r="AX9" s="53" t="s">
        <v>105</v>
      </c>
      <c r="AY9" s="53" t="s">
        <v>105</v>
      </c>
      <c r="AZ9" s="53" t="s">
        <v>105</v>
      </c>
      <c r="BA9" s="53" t="s">
        <v>105</v>
      </c>
      <c r="BB9" s="53" t="s">
        <v>105</v>
      </c>
      <c r="BC9" s="53" t="s">
        <v>105</v>
      </c>
      <c r="BD9" s="53" t="s">
        <v>105</v>
      </c>
      <c r="BE9" s="53" t="s">
        <v>105</v>
      </c>
      <c r="BF9" s="53" t="s">
        <v>105</v>
      </c>
      <c r="BG9" s="53" t="s">
        <v>105</v>
      </c>
      <c r="BH9" s="53" t="s">
        <v>105</v>
      </c>
      <c r="BI9" s="53" t="s">
        <v>105</v>
      </c>
      <c r="BJ9" s="53" t="s">
        <v>105</v>
      </c>
      <c r="BK9" s="53" t="s">
        <v>105</v>
      </c>
      <c r="BL9" s="53" t="s">
        <v>105</v>
      </c>
      <c r="BM9" s="53" t="s">
        <v>105</v>
      </c>
      <c r="BN9" s="53" t="s">
        <v>105</v>
      </c>
      <c r="BO9" s="53" t="s">
        <v>105</v>
      </c>
      <c r="BP9" s="53" t="s">
        <v>105</v>
      </c>
      <c r="BQ9" s="53" t="s">
        <v>105</v>
      </c>
      <c r="BR9" s="53" t="s">
        <v>105</v>
      </c>
      <c r="BS9" s="53" t="s">
        <v>105</v>
      </c>
      <c r="BT9" s="53" t="s">
        <v>105</v>
      </c>
      <c r="BU9" s="53" t="s">
        <v>105</v>
      </c>
      <c r="BV9" s="53" t="s">
        <v>105</v>
      </c>
      <c r="BW9" s="53" t="s">
        <v>105</v>
      </c>
      <c r="BX9" s="53" t="s">
        <v>105</v>
      </c>
      <c r="BY9" s="53" t="s">
        <v>105</v>
      </c>
      <c r="BZ9" s="53" t="s">
        <v>105</v>
      </c>
      <c r="CA9" s="53" t="s">
        <v>105</v>
      </c>
      <c r="CB9" s="53" t="s">
        <v>120</v>
      </c>
      <c r="CC9" s="53" t="s">
        <v>120</v>
      </c>
      <c r="CD9" s="53" t="s">
        <v>120</v>
      </c>
      <c r="CE9" s="53" t="s">
        <v>120</v>
      </c>
      <c r="CF9" s="53" t="s">
        <v>120</v>
      </c>
      <c r="CG9" s="53" t="s">
        <v>120</v>
      </c>
      <c r="CH9" s="53" t="s">
        <v>120</v>
      </c>
      <c r="CI9" s="53" t="s">
        <v>120</v>
      </c>
      <c r="CJ9" s="53" t="s">
        <v>120</v>
      </c>
      <c r="CK9" s="53" t="s">
        <v>120</v>
      </c>
      <c r="CL9" s="53" t="s">
        <v>120</v>
      </c>
      <c r="CM9" s="53" t="s">
        <v>120</v>
      </c>
      <c r="CN9" s="53" t="s">
        <v>120</v>
      </c>
      <c r="CO9" s="53" t="s">
        <v>120</v>
      </c>
      <c r="CP9" s="53" t="s">
        <v>120</v>
      </c>
      <c r="CQ9" s="53" t="s">
        <v>120</v>
      </c>
      <c r="CR9" s="55"/>
      <c r="CS9" s="55"/>
      <c r="CT9" s="55"/>
    </row>
    <row r="10" spans="1:98" ht="15.75" customHeight="1" thickBot="1" x14ac:dyDescent="0.4">
      <c r="A10" s="50" t="s">
        <v>220</v>
      </c>
      <c r="B10" s="51"/>
      <c r="C10" s="52" t="s">
        <v>120</v>
      </c>
      <c r="D10" s="55"/>
      <c r="E10" s="53" t="s">
        <v>105</v>
      </c>
      <c r="F10" s="53" t="s">
        <v>105</v>
      </c>
      <c r="G10" s="55"/>
      <c r="H10" s="53" t="s">
        <v>105</v>
      </c>
      <c r="I10" s="53" t="s">
        <v>105</v>
      </c>
      <c r="J10" s="55"/>
      <c r="K10" s="53" t="s">
        <v>105</v>
      </c>
      <c r="L10" s="53" t="s">
        <v>105</v>
      </c>
      <c r="M10" s="55"/>
      <c r="N10" s="53" t="s">
        <v>105</v>
      </c>
      <c r="O10" s="53" t="s">
        <v>105</v>
      </c>
      <c r="P10" s="53" t="s">
        <v>105</v>
      </c>
      <c r="Q10" s="55"/>
      <c r="R10" s="53" t="s">
        <v>105</v>
      </c>
      <c r="S10" s="53" t="s">
        <v>105</v>
      </c>
      <c r="T10" s="55"/>
      <c r="U10" s="53" t="s">
        <v>105</v>
      </c>
      <c r="V10" s="53" t="s">
        <v>105</v>
      </c>
      <c r="W10" s="55"/>
      <c r="X10" s="55"/>
      <c r="Y10" s="55"/>
      <c r="Z10" s="55"/>
      <c r="AA10" s="55"/>
      <c r="AB10" s="55"/>
      <c r="AC10" s="55"/>
      <c r="AD10" s="55"/>
      <c r="AE10" s="53" t="s">
        <v>105</v>
      </c>
      <c r="AF10" s="53" t="s">
        <v>105</v>
      </c>
      <c r="AG10" s="55"/>
      <c r="AH10" s="53" t="s">
        <v>105</v>
      </c>
      <c r="AI10" s="55"/>
      <c r="AJ10" s="53" t="s">
        <v>105</v>
      </c>
      <c r="AK10" s="55"/>
      <c r="AL10" s="53" t="s">
        <v>105</v>
      </c>
      <c r="AM10" s="55"/>
      <c r="AN10" s="53" t="s">
        <v>105</v>
      </c>
      <c r="AO10" s="55"/>
      <c r="AP10" s="53" t="s">
        <v>105</v>
      </c>
      <c r="AQ10" s="55"/>
      <c r="AR10" s="53" t="s">
        <v>105</v>
      </c>
      <c r="AS10" s="53" t="s">
        <v>105</v>
      </c>
      <c r="AT10" s="55"/>
      <c r="AU10" s="53" t="s">
        <v>105</v>
      </c>
      <c r="AV10" s="53" t="s">
        <v>105</v>
      </c>
      <c r="AW10" s="53" t="s">
        <v>120</v>
      </c>
      <c r="AX10" s="53" t="s">
        <v>105</v>
      </c>
      <c r="AY10" s="53" t="s">
        <v>105</v>
      </c>
      <c r="AZ10" s="53" t="s">
        <v>120</v>
      </c>
      <c r="BA10" s="53" t="s">
        <v>120</v>
      </c>
      <c r="BB10" s="55"/>
      <c r="BC10" s="53" t="s">
        <v>105</v>
      </c>
      <c r="BD10" s="55"/>
      <c r="BE10" s="53" t="s">
        <v>105</v>
      </c>
      <c r="BF10" s="55"/>
      <c r="BG10" s="53" t="s">
        <v>105</v>
      </c>
      <c r="BH10" s="55"/>
      <c r="BI10" s="53" t="s">
        <v>105</v>
      </c>
      <c r="BJ10" s="55"/>
      <c r="BK10" s="53" t="s">
        <v>105</v>
      </c>
      <c r="BL10" s="53" t="s">
        <v>105</v>
      </c>
      <c r="BM10" s="53" t="s">
        <v>105</v>
      </c>
      <c r="BN10" s="55"/>
      <c r="BO10" s="53" t="s">
        <v>105</v>
      </c>
      <c r="BP10" s="55"/>
      <c r="BQ10" s="53" t="s">
        <v>105</v>
      </c>
      <c r="BR10" s="53" t="s">
        <v>105</v>
      </c>
      <c r="BS10" s="53" t="s">
        <v>105</v>
      </c>
      <c r="BT10" s="55"/>
      <c r="BU10" s="53" t="s">
        <v>105</v>
      </c>
      <c r="BV10" s="55"/>
      <c r="BW10" s="55"/>
      <c r="BX10" s="55"/>
      <c r="BY10" s="55"/>
      <c r="BZ10" s="55"/>
      <c r="CA10" s="55"/>
      <c r="CB10" s="53" t="s">
        <v>120</v>
      </c>
      <c r="CC10" s="53" t="s">
        <v>120</v>
      </c>
      <c r="CD10" s="53" t="s">
        <v>105</v>
      </c>
      <c r="CE10" s="53" t="s">
        <v>105</v>
      </c>
      <c r="CF10" s="53" t="s">
        <v>120</v>
      </c>
      <c r="CG10" s="53" t="s">
        <v>105</v>
      </c>
      <c r="CH10" s="53" t="s">
        <v>120</v>
      </c>
      <c r="CI10" s="53" t="s">
        <v>105</v>
      </c>
      <c r="CJ10" s="53" t="s">
        <v>105</v>
      </c>
      <c r="CK10" s="53" t="s">
        <v>120</v>
      </c>
      <c r="CL10" s="53" t="s">
        <v>105</v>
      </c>
      <c r="CM10" s="53" t="s">
        <v>120</v>
      </c>
      <c r="CN10" s="53" t="s">
        <v>105</v>
      </c>
      <c r="CO10" s="53" t="s">
        <v>105</v>
      </c>
      <c r="CP10" s="53" t="s">
        <v>120</v>
      </c>
      <c r="CQ10" s="53" t="s">
        <v>105</v>
      </c>
      <c r="CR10" s="55"/>
      <c r="CS10" s="55"/>
      <c r="CT10" s="55"/>
    </row>
    <row r="11" spans="1:98" ht="13.5" thickBot="1" x14ac:dyDescent="0.35">
      <c r="A11" s="58" t="s">
        <v>106</v>
      </c>
      <c r="B11" s="59"/>
      <c r="C11" s="60" t="s">
        <v>25</v>
      </c>
      <c r="D11" s="61" t="s">
        <v>23</v>
      </c>
      <c r="E11" s="61" t="s">
        <v>23</v>
      </c>
      <c r="F11" s="61" t="s">
        <v>23</v>
      </c>
      <c r="G11" s="61" t="s">
        <v>23</v>
      </c>
      <c r="H11" s="61" t="s">
        <v>23</v>
      </c>
      <c r="I11" s="61" t="s">
        <v>23</v>
      </c>
      <c r="J11" s="61" t="s">
        <v>23</v>
      </c>
      <c r="K11" s="61" t="s">
        <v>23</v>
      </c>
      <c r="L11" s="61" t="s">
        <v>23</v>
      </c>
      <c r="M11" s="61" t="s">
        <v>23</v>
      </c>
      <c r="N11" s="61" t="s">
        <v>23</v>
      </c>
      <c r="O11" s="61" t="s">
        <v>23</v>
      </c>
      <c r="P11" s="61" t="s">
        <v>23</v>
      </c>
      <c r="Q11" s="61" t="s">
        <v>23</v>
      </c>
      <c r="R11" s="61" t="s">
        <v>23</v>
      </c>
      <c r="S11" s="61" t="s">
        <v>23</v>
      </c>
      <c r="T11" s="61" t="s">
        <v>23</v>
      </c>
      <c r="U11" s="61" t="s">
        <v>23</v>
      </c>
      <c r="V11" s="61" t="s">
        <v>23</v>
      </c>
      <c r="W11" s="61" t="s">
        <v>23</v>
      </c>
      <c r="X11" s="61" t="s">
        <v>23</v>
      </c>
      <c r="Y11" s="61" t="s">
        <v>23</v>
      </c>
      <c r="Z11" s="61" t="s">
        <v>23</v>
      </c>
      <c r="AA11" s="61" t="s">
        <v>23</v>
      </c>
      <c r="AB11" s="61" t="s">
        <v>23</v>
      </c>
      <c r="AC11" s="61" t="s">
        <v>23</v>
      </c>
      <c r="AD11" s="61" t="s">
        <v>23</v>
      </c>
      <c r="AE11" s="61" t="s">
        <v>23</v>
      </c>
      <c r="AF11" s="61" t="s">
        <v>23</v>
      </c>
      <c r="AG11" s="61" t="s">
        <v>24</v>
      </c>
      <c r="AH11" s="61" t="s">
        <v>24</v>
      </c>
      <c r="AI11" s="61" t="s">
        <v>24</v>
      </c>
      <c r="AJ11" s="61" t="s">
        <v>24</v>
      </c>
      <c r="AK11" s="61" t="s">
        <v>24</v>
      </c>
      <c r="AL11" s="61" t="s">
        <v>24</v>
      </c>
      <c r="AM11" s="61" t="s">
        <v>24</v>
      </c>
      <c r="AN11" s="61" t="s">
        <v>24</v>
      </c>
      <c r="AO11" s="61" t="s">
        <v>24</v>
      </c>
      <c r="AP11" s="61" t="s">
        <v>24</v>
      </c>
      <c r="AQ11" s="61" t="s">
        <v>24</v>
      </c>
      <c r="AR11" s="61" t="s">
        <v>24</v>
      </c>
      <c r="AS11" s="61" t="s">
        <v>24</v>
      </c>
      <c r="AT11" s="61" t="s">
        <v>24</v>
      </c>
      <c r="AU11" s="61" t="s">
        <v>24</v>
      </c>
      <c r="AV11" s="61" t="s">
        <v>25</v>
      </c>
      <c r="AW11" s="61" t="s">
        <v>25</v>
      </c>
      <c r="AX11" s="61" t="s">
        <v>25</v>
      </c>
      <c r="AY11" s="61" t="s">
        <v>25</v>
      </c>
      <c r="AZ11" s="61" t="s">
        <v>25</v>
      </c>
      <c r="BA11" s="61" t="s">
        <v>25</v>
      </c>
      <c r="BB11" s="61" t="s">
        <v>25</v>
      </c>
      <c r="BC11" s="61" t="s">
        <v>25</v>
      </c>
      <c r="BD11" s="61" t="s">
        <v>25</v>
      </c>
      <c r="BE11" s="61" t="s">
        <v>25</v>
      </c>
      <c r="BF11" s="61" t="s">
        <v>25</v>
      </c>
      <c r="BG11" s="61" t="s">
        <v>25</v>
      </c>
      <c r="BH11" s="61" t="s">
        <v>25</v>
      </c>
      <c r="BI11" s="61" t="s">
        <v>25</v>
      </c>
      <c r="BJ11" s="61" t="s">
        <v>25</v>
      </c>
      <c r="BK11" s="61" t="s">
        <v>25</v>
      </c>
      <c r="BL11" s="61" t="s">
        <v>25</v>
      </c>
      <c r="BM11" s="61" t="s">
        <v>25</v>
      </c>
      <c r="BN11" s="61" t="s">
        <v>25</v>
      </c>
      <c r="BO11" s="61" t="s">
        <v>25</v>
      </c>
      <c r="BP11" s="61" t="s">
        <v>25</v>
      </c>
      <c r="BQ11" s="61" t="s">
        <v>25</v>
      </c>
      <c r="BR11" s="61" t="s">
        <v>25</v>
      </c>
      <c r="BS11" s="61" t="s">
        <v>25</v>
      </c>
      <c r="BT11" s="61" t="s">
        <v>25</v>
      </c>
      <c r="BU11" s="61" t="s">
        <v>25</v>
      </c>
      <c r="BV11" s="61" t="s">
        <v>25</v>
      </c>
      <c r="BW11" s="61" t="s">
        <v>25</v>
      </c>
      <c r="BX11" s="61" t="s">
        <v>25</v>
      </c>
      <c r="BY11" s="61" t="s">
        <v>25</v>
      </c>
      <c r="BZ11" s="61" t="s">
        <v>25</v>
      </c>
      <c r="CA11" s="62" t="s">
        <v>25</v>
      </c>
      <c r="CB11" s="63" t="s">
        <v>23</v>
      </c>
      <c r="CC11" s="63" t="s">
        <v>23</v>
      </c>
      <c r="CD11" s="63" t="s">
        <v>23</v>
      </c>
      <c r="CE11" s="63" t="s">
        <v>23</v>
      </c>
      <c r="CF11" s="63" t="s">
        <v>23</v>
      </c>
      <c r="CG11" s="63" t="s">
        <v>23</v>
      </c>
      <c r="CH11" s="63" t="s">
        <v>23</v>
      </c>
      <c r="CI11" s="63" t="s">
        <v>23</v>
      </c>
      <c r="CJ11" s="63" t="s">
        <v>23</v>
      </c>
      <c r="CK11" s="63" t="s">
        <v>23</v>
      </c>
      <c r="CL11" s="63" t="s">
        <v>23</v>
      </c>
      <c r="CM11" s="63" t="s">
        <v>23</v>
      </c>
      <c r="CN11" s="63" t="s">
        <v>23</v>
      </c>
      <c r="CO11" s="63" t="s">
        <v>23</v>
      </c>
      <c r="CP11" s="63" t="s">
        <v>23</v>
      </c>
      <c r="CQ11" s="63" t="s">
        <v>23</v>
      </c>
      <c r="CR11" s="61" t="s">
        <v>24</v>
      </c>
      <c r="CS11" s="61" t="s">
        <v>24</v>
      </c>
      <c r="CT11" s="61" t="s">
        <v>25</v>
      </c>
    </row>
    <row r="12" spans="1:98" ht="15.75" customHeight="1" x14ac:dyDescent="0.25">
      <c r="A12" s="7"/>
      <c r="B12" s="17"/>
      <c r="C12" s="20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</row>
    <row r="13" spans="1:98" ht="15.75" customHeight="1" x14ac:dyDescent="0.25">
      <c r="A13" s="7" t="s">
        <v>26</v>
      </c>
      <c r="B13" s="17"/>
      <c r="C13" s="18">
        <f t="shared" ref="C13:BY13" si="0">SUM(1*(C2&gt;=$B$2)+1*(C3&gt;=$B$3)+1*(C4&gt;=$B$4)+1*(C5&gt;=$B$5)+1*(C6&gt;=$B$6)+1*(C7&gt;=$B$7)+1*(C8&gt;=$B$8)+1*OR(C9="Y",$B$9="N",$B$9="")+1*OR(C10="Y",$B$10="N",$B$10=""))</f>
        <v>9</v>
      </c>
      <c r="D13" s="19">
        <f t="shared" si="0"/>
        <v>8</v>
      </c>
      <c r="E13" s="19">
        <f t="shared" si="0"/>
        <v>8</v>
      </c>
      <c r="F13" s="19">
        <f t="shared" si="0"/>
        <v>8</v>
      </c>
      <c r="G13" s="19">
        <f t="shared" si="0"/>
        <v>8</v>
      </c>
      <c r="H13" s="19">
        <f t="shared" si="0"/>
        <v>8</v>
      </c>
      <c r="I13" s="19">
        <f t="shared" si="0"/>
        <v>8</v>
      </c>
      <c r="J13" s="19">
        <f t="shared" si="0"/>
        <v>8</v>
      </c>
      <c r="K13" s="19">
        <f t="shared" si="0"/>
        <v>8</v>
      </c>
      <c r="L13" s="19">
        <f t="shared" si="0"/>
        <v>8</v>
      </c>
      <c r="M13" s="19">
        <f t="shared" si="0"/>
        <v>8</v>
      </c>
      <c r="N13" s="19">
        <f t="shared" si="0"/>
        <v>8</v>
      </c>
      <c r="O13" s="19">
        <f t="shared" si="0"/>
        <v>8</v>
      </c>
      <c r="P13" s="19">
        <f t="shared" si="0"/>
        <v>8</v>
      </c>
      <c r="Q13" s="19">
        <f t="shared" si="0"/>
        <v>8</v>
      </c>
      <c r="R13" s="19">
        <f t="shared" si="0"/>
        <v>8</v>
      </c>
      <c r="S13" s="19">
        <f t="shared" si="0"/>
        <v>8</v>
      </c>
      <c r="T13" s="19">
        <f t="shared" si="0"/>
        <v>8</v>
      </c>
      <c r="U13" s="19">
        <f t="shared" si="0"/>
        <v>8</v>
      </c>
      <c r="V13" s="19">
        <f t="shared" si="0"/>
        <v>8</v>
      </c>
      <c r="W13" s="19">
        <f t="shared" si="0"/>
        <v>8</v>
      </c>
      <c r="X13" s="19">
        <f t="shared" si="0"/>
        <v>8</v>
      </c>
      <c r="Y13" s="19">
        <f t="shared" si="0"/>
        <v>8</v>
      </c>
      <c r="Z13" s="19">
        <f t="shared" si="0"/>
        <v>8</v>
      </c>
      <c r="AA13" s="19">
        <f t="shared" si="0"/>
        <v>8</v>
      </c>
      <c r="AB13" s="19">
        <f t="shared" si="0"/>
        <v>8</v>
      </c>
      <c r="AC13" s="19">
        <f t="shared" si="0"/>
        <v>8</v>
      </c>
      <c r="AD13" s="19">
        <f t="shared" si="0"/>
        <v>8</v>
      </c>
      <c r="AE13" s="19">
        <f t="shared" si="0"/>
        <v>8</v>
      </c>
      <c r="AF13" s="19">
        <f t="shared" si="0"/>
        <v>8</v>
      </c>
      <c r="AG13" s="19">
        <f t="shared" si="0"/>
        <v>8</v>
      </c>
      <c r="AH13" s="19">
        <f t="shared" si="0"/>
        <v>8</v>
      </c>
      <c r="AI13" s="19">
        <f t="shared" si="0"/>
        <v>8</v>
      </c>
      <c r="AJ13" s="19">
        <f t="shared" si="0"/>
        <v>8</v>
      </c>
      <c r="AK13" s="19">
        <f t="shared" si="0"/>
        <v>8</v>
      </c>
      <c r="AL13" s="19">
        <f t="shared" si="0"/>
        <v>8</v>
      </c>
      <c r="AM13" s="19">
        <f t="shared" si="0"/>
        <v>8</v>
      </c>
      <c r="AN13" s="19">
        <f t="shared" si="0"/>
        <v>8</v>
      </c>
      <c r="AO13" s="19">
        <f t="shared" si="0"/>
        <v>8</v>
      </c>
      <c r="AP13" s="19">
        <f t="shared" si="0"/>
        <v>8</v>
      </c>
      <c r="AQ13" s="19">
        <f t="shared" si="0"/>
        <v>8</v>
      </c>
      <c r="AR13" s="19">
        <f t="shared" si="0"/>
        <v>8</v>
      </c>
      <c r="AS13" s="19">
        <f t="shared" si="0"/>
        <v>8</v>
      </c>
      <c r="AT13" s="19">
        <f t="shared" si="0"/>
        <v>8</v>
      </c>
      <c r="AU13" s="19">
        <f t="shared" si="0"/>
        <v>8</v>
      </c>
      <c r="AV13" s="19">
        <f t="shared" si="0"/>
        <v>9</v>
      </c>
      <c r="AW13" s="19">
        <f t="shared" si="0"/>
        <v>9</v>
      </c>
      <c r="AX13" s="19">
        <f t="shared" si="0"/>
        <v>8</v>
      </c>
      <c r="AY13" s="19">
        <f t="shared" si="0"/>
        <v>8</v>
      </c>
      <c r="AZ13" s="19">
        <f t="shared" si="0"/>
        <v>8</v>
      </c>
      <c r="BA13" s="19">
        <f t="shared" si="0"/>
        <v>8</v>
      </c>
      <c r="BB13" s="19">
        <f t="shared" si="0"/>
        <v>8</v>
      </c>
      <c r="BC13" s="19">
        <f t="shared" si="0"/>
        <v>8</v>
      </c>
      <c r="BD13" s="19">
        <f t="shared" si="0"/>
        <v>8</v>
      </c>
      <c r="BE13" s="19">
        <f t="shared" si="0"/>
        <v>8</v>
      </c>
      <c r="BF13" s="19">
        <f t="shared" si="0"/>
        <v>8</v>
      </c>
      <c r="BG13" s="19">
        <f t="shared" si="0"/>
        <v>8</v>
      </c>
      <c r="BH13" s="19">
        <f t="shared" si="0"/>
        <v>8</v>
      </c>
      <c r="BI13" s="19">
        <f t="shared" si="0"/>
        <v>8</v>
      </c>
      <c r="BJ13" s="19">
        <f t="shared" si="0"/>
        <v>8</v>
      </c>
      <c r="BK13" s="19">
        <f t="shared" si="0"/>
        <v>8</v>
      </c>
      <c r="BL13" s="19">
        <f t="shared" si="0"/>
        <v>8</v>
      </c>
      <c r="BM13" s="19">
        <f t="shared" si="0"/>
        <v>8</v>
      </c>
      <c r="BN13" s="19">
        <f t="shared" si="0"/>
        <v>8</v>
      </c>
      <c r="BO13" s="19">
        <f t="shared" si="0"/>
        <v>8</v>
      </c>
      <c r="BP13" s="19">
        <f t="shared" si="0"/>
        <v>8</v>
      </c>
      <c r="BQ13" s="19">
        <f t="shared" si="0"/>
        <v>8</v>
      </c>
      <c r="BR13" s="19">
        <f t="shared" si="0"/>
        <v>8</v>
      </c>
      <c r="BS13" s="19">
        <f t="shared" si="0"/>
        <v>8</v>
      </c>
      <c r="BT13" s="19">
        <f t="shared" si="0"/>
        <v>8</v>
      </c>
      <c r="BU13" s="19">
        <f t="shared" si="0"/>
        <v>8</v>
      </c>
      <c r="BV13" s="19">
        <f t="shared" si="0"/>
        <v>8</v>
      </c>
      <c r="BW13" s="19">
        <f t="shared" si="0"/>
        <v>8</v>
      </c>
      <c r="BX13" s="19">
        <f t="shared" si="0"/>
        <v>8</v>
      </c>
      <c r="BY13" s="19">
        <f t="shared" si="0"/>
        <v>8</v>
      </c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</row>
    <row r="14" spans="1:98" ht="15.75" customHeight="1" x14ac:dyDescent="0.25">
      <c r="A14" s="7" t="s">
        <v>27</v>
      </c>
      <c r="B14" s="17"/>
      <c r="C14" s="21">
        <f ca="1">IFERROR(VLOOKUP(C1,AllListPrice!$A$2:$D$1000,4,0),0)</f>
        <v>0</v>
      </c>
      <c r="D14" s="22">
        <f ca="1">IFERROR(VLOOKUP(D1,AllListPrice!$A$2:$D$1000,4,0),0)</f>
        <v>463.29</v>
      </c>
      <c r="E14" s="22">
        <f ca="1">IFERROR(VLOOKUP(E1,AllListPrice!$A$2:$D$1000,4,0),0)</f>
        <v>570.55999999999995</v>
      </c>
      <c r="F14" s="22">
        <f ca="1">IFERROR(VLOOKUP(F1,AllListPrice!$A$2:$D$1000,4,0),0)</f>
        <v>757.69</v>
      </c>
      <c r="G14" s="22">
        <f ca="1">IFERROR(VLOOKUP(G1,AllListPrice!$A$2:$D$1000,4,0),0)</f>
        <v>655.57</v>
      </c>
      <c r="H14" s="22">
        <f ca="1">IFERROR(VLOOKUP(H1,AllListPrice!$A$2:$D$1000,4,0),0)</f>
        <v>952.7</v>
      </c>
      <c r="I14" s="22">
        <f ca="1">IFERROR(VLOOKUP(I1,AllListPrice!$A$2:$D$1000,4,0),0)</f>
        <v>1350.49</v>
      </c>
      <c r="J14" s="22">
        <f ca="1">IFERROR(VLOOKUP(J1,AllListPrice!$A$2:$D$1000,4,0),0)</f>
        <v>913.34</v>
      </c>
      <c r="K14" s="22">
        <f ca="1">IFERROR(VLOOKUP(K1,AllListPrice!$A$2:$D$1000,4,0),0)</f>
        <v>1300.6500000000001</v>
      </c>
      <c r="L14" s="22">
        <f ca="1">IFERROR(VLOOKUP(L1,AllListPrice!$A$2:$D$1000,4,0),0)</f>
        <v>1770.54</v>
      </c>
      <c r="M14" s="22">
        <f ca="1">IFERROR(VLOOKUP(M1,AllListPrice!$A$2:$D$1000,4,0),0)</f>
        <v>1434.22</v>
      </c>
      <c r="N14" s="22">
        <f ca="1">IFERROR(VLOOKUP(N1,AllListPrice!$A$2:$D$1000,4,0),0)</f>
        <v>2368.5300000000002</v>
      </c>
      <c r="O14" s="22">
        <f ca="1">IFERROR(VLOOKUP(O1,AllListPrice!$A$2:$D$1000,4,0),0)</f>
        <v>2962.61</v>
      </c>
      <c r="P14" s="22">
        <f ca="1">IFERROR(VLOOKUP(P1,AllListPrice!$A$2:$D$1000,4,0),0)</f>
        <v>1019.52</v>
      </c>
      <c r="Q14" s="22">
        <f ca="1">IFERROR(VLOOKUP(Q1,AllListPrice!$A$2:$D$1000,4,0),0)</f>
        <v>1315.75</v>
      </c>
      <c r="R14" s="22">
        <f ca="1">IFERROR(VLOOKUP(R1,AllListPrice!$A$2:$D$1000,4,0),0)</f>
        <v>1567.48</v>
      </c>
      <c r="S14" s="22">
        <f ca="1">IFERROR(VLOOKUP(S1,AllListPrice!$A$2:$D$1000,4,0),0)</f>
        <v>2131.86</v>
      </c>
      <c r="T14" s="22">
        <f ca="1">IFERROR(VLOOKUP(T1,AllListPrice!$A$2:$D$1000,4,0),0)</f>
        <v>2062.75</v>
      </c>
      <c r="U14" s="22">
        <f ca="1">IFERROR(VLOOKUP(U1,AllListPrice!$A$2:$D$1000,4,0),0)</f>
        <v>2557.4499999999998</v>
      </c>
      <c r="V14" s="22">
        <f ca="1">IFERROR(VLOOKUP(V1,AllListPrice!$A$2:$D$1000,4,0),0)</f>
        <v>3302.25</v>
      </c>
      <c r="W14" s="22">
        <f ca="1">IFERROR(VLOOKUP(W1,AllListPrice!$A$2:$D$1000,4,0),0)</f>
        <v>2264.0100000000002</v>
      </c>
      <c r="X14" s="22">
        <f ca="1">IFERROR(VLOOKUP(X1,AllListPrice!$A$2:$D$1000,4,0),0)</f>
        <v>2306.8000000000002</v>
      </c>
      <c r="Y14" s="22">
        <f ca="1">IFERROR(VLOOKUP(Y1,AllListPrice!$A$2:$D$1000,4,0),0)</f>
        <v>3602.8</v>
      </c>
      <c r="Z14" s="22">
        <f ca="1">IFERROR(VLOOKUP(Z1,AllListPrice!$A$2:$D$1000,4,0),0)</f>
        <v>3725.66</v>
      </c>
      <c r="AA14" s="22">
        <f ca="1">IFERROR(VLOOKUP(AA1,AllListPrice!$A$2:$D$1000,4,0),0)</f>
        <v>4790.18</v>
      </c>
      <c r="AB14" s="22">
        <f ca="1">IFERROR(VLOOKUP(AB1,AllListPrice!$A$2:$D$1000,4,0),0)</f>
        <v>4622.3599999999997</v>
      </c>
      <c r="AC14" s="22">
        <f ca="1">IFERROR(VLOOKUP(AC1,AllListPrice!$A$2:$D$1000,4,0),0)</f>
        <v>1379.74</v>
      </c>
      <c r="AD14" s="22">
        <f ca="1">IFERROR(VLOOKUP(AD1,AllListPrice!$A$2:$D$1000,4,0),0)</f>
        <v>2116.7600000000002</v>
      </c>
      <c r="AE14" s="22">
        <f ca="1">IFERROR(VLOOKUP(AE1,AllListPrice!$A$2:$D$1000,4,0),0)</f>
        <v>2238.02</v>
      </c>
      <c r="AF14" s="22">
        <f ca="1">IFERROR(VLOOKUP(AF1,AllListPrice!$A$2:$D$1000,4,0),0)</f>
        <v>3466.95</v>
      </c>
      <c r="AG14" s="22">
        <f ca="1">IFERROR(VLOOKUP(AG1,AllListPrice!$A$2:$D$1000,4,0),0)</f>
        <v>9916.42</v>
      </c>
      <c r="AH14" s="22">
        <f ca="1">IFERROR(VLOOKUP(AH1,AllListPrice!$A$2:$D$1000,4,0),0)</f>
        <v>11052.8</v>
      </c>
      <c r="AI14" s="22">
        <f ca="1">IFERROR(VLOOKUP(AI1,AllListPrice!$A$2:$D$1000,4,0),0)</f>
        <v>15602.18</v>
      </c>
      <c r="AJ14" s="22">
        <f ca="1">IFERROR(VLOOKUP(AJ1,AllListPrice!$A$2:$D$1000,4,0),0)</f>
        <v>19860.05</v>
      </c>
      <c r="AK14" s="22">
        <f ca="1">IFERROR(VLOOKUP(AK1,AllListPrice!$A$2:$D$1000,4,0),0)</f>
        <v>6063.41</v>
      </c>
      <c r="AL14" s="22">
        <f ca="1">IFERROR(VLOOKUP(AL1,AllListPrice!$A$2:$D$1000,4,0),0)</f>
        <v>7529.2</v>
      </c>
      <c r="AM14" s="22">
        <f ca="1">IFERROR(VLOOKUP(AM1,AllListPrice!$A$2:$D$1000,4,0),0)</f>
        <v>10867.95</v>
      </c>
      <c r="AN14" s="22">
        <f ca="1">IFERROR(VLOOKUP(AN1,AllListPrice!$A$2:$D$1000,4,0),0)</f>
        <v>15269.17</v>
      </c>
      <c r="AO14" s="22">
        <f ca="1">IFERROR(VLOOKUP(AO1,AllListPrice!$A$2:$D$1000,4,0),0)</f>
        <v>8631.4699999999993</v>
      </c>
      <c r="AP14" s="22">
        <f ca="1">IFERROR(VLOOKUP(AP1,AllListPrice!$A$2:$D$1000,4,0),0)</f>
        <v>10097.26</v>
      </c>
      <c r="AQ14" s="22">
        <f ca="1">IFERROR(VLOOKUP(AQ1,AllListPrice!$A$2:$D$1000,4,0),0)</f>
        <v>13436.01</v>
      </c>
      <c r="AR14" s="22">
        <f ca="1">IFERROR(VLOOKUP(AR1,AllListPrice!$A$2:$D$1000,4,0),0)</f>
        <v>17837.21</v>
      </c>
      <c r="AS14" s="22">
        <f ca="1">IFERROR(VLOOKUP(AS1,AllListPrice!$A$2:$D$1000,4,0),0)</f>
        <v>5197.72</v>
      </c>
      <c r="AT14" s="22">
        <f ca="1">IFERROR(VLOOKUP(AT1,AllListPrice!$A$2:$D$1000,4,0),0)</f>
        <v>4748.49</v>
      </c>
      <c r="AU14" s="22">
        <f ca="1">IFERROR(VLOOKUP(AU1,AllListPrice!$A$2:$D$1000,4,0),0)</f>
        <v>5672.87</v>
      </c>
      <c r="AV14" s="22">
        <f ca="1">IFERROR(VLOOKUP(AV1,AllListPrice!$A$2:$D$1000,4,0),0)</f>
        <v>0</v>
      </c>
      <c r="AW14" s="22">
        <f ca="1">IFERROR(VLOOKUP(AW1,AllListPrice!$A$2:$D$1000,4,0),0)</f>
        <v>0</v>
      </c>
      <c r="AX14" s="22">
        <f ca="1">IFERROR(VLOOKUP(AX1,AllListPrice!$A$2:$D$1000,4,0),0)</f>
        <v>0</v>
      </c>
      <c r="AY14" s="22">
        <f ca="1">IFERROR(VLOOKUP(AY1,AllListPrice!$A$2:$D$1000,4,0),0)</f>
        <v>0</v>
      </c>
      <c r="AZ14" s="22">
        <f ca="1">IFERROR(VLOOKUP(AZ1,AllListPrice!$A$2:$D$1000,4,0),0)</f>
        <v>0</v>
      </c>
      <c r="BA14" s="22">
        <f ca="1">IFERROR(VLOOKUP(BA1,AllListPrice!$A$2:$D$1000,4,0),0)</f>
        <v>0</v>
      </c>
      <c r="BB14" s="22">
        <f ca="1">IFERROR(VLOOKUP(BB1,AllListPrice!$A$2:$D$1000,4,0),0)</f>
        <v>13699.63</v>
      </c>
      <c r="BC14" s="22">
        <f ca="1">IFERROR(VLOOKUP(BC1,AllListPrice!$A$2:$D$1000,4,0),0)</f>
        <v>14671.04</v>
      </c>
      <c r="BD14" s="22">
        <f ca="1">IFERROR(VLOOKUP(BD1,AllListPrice!$A$2:$D$1000,4,0),0)</f>
        <v>16613.849999999999</v>
      </c>
      <c r="BE14" s="22">
        <f ca="1">IFERROR(VLOOKUP(BE1,AllListPrice!$A$2:$D$1000,4,0),0)</f>
        <v>17585.240000000002</v>
      </c>
      <c r="BF14" s="22">
        <f ca="1">IFERROR(VLOOKUP(BF1,AllListPrice!$A$2:$D$1000,4,0),0)</f>
        <v>19825.330000000002</v>
      </c>
      <c r="BG14" s="22">
        <f ca="1">IFERROR(VLOOKUP(BG1,AllListPrice!$A$2:$D$1000,4,0),0)</f>
        <v>22545.48</v>
      </c>
      <c r="BH14" s="22">
        <f ca="1">IFERROR(VLOOKUP(BH1,AllListPrice!$A$2:$D$1000,4,0),0)</f>
        <v>22736.79</v>
      </c>
      <c r="BI14" s="22">
        <f ca="1">IFERROR(VLOOKUP(BI1,AllListPrice!$A$2:$D$1000,4,0),0)</f>
        <v>25455.65</v>
      </c>
      <c r="BJ14" s="22">
        <f ca="1">IFERROR(VLOOKUP(BJ1,AllListPrice!$A$2:$D$1000,4,0),0)</f>
        <v>18011.91</v>
      </c>
      <c r="BK14" s="22">
        <f ca="1">IFERROR(VLOOKUP(BK1,AllListPrice!$A$2:$D$1000,4,0),0)</f>
        <v>19547.88</v>
      </c>
      <c r="BL14" s="22">
        <f ca="1">IFERROR(VLOOKUP(BL1,AllListPrice!$A$2:$D$1000,4,0),0)</f>
        <v>20505.61</v>
      </c>
      <c r="BM14" s="22">
        <f ca="1">IFERROR(VLOOKUP(BM1,AllListPrice!$A$2:$D$1000,4,0),0)</f>
        <v>21073.06</v>
      </c>
      <c r="BN14" s="22">
        <f ca="1">IFERROR(VLOOKUP(BN1,AllListPrice!$A$2:$D$1000,4,0),0)</f>
        <v>50184.37</v>
      </c>
      <c r="BO14" s="22">
        <f ca="1">IFERROR(VLOOKUP(BO1,AllListPrice!$A$2:$D$1000,4,0),0)</f>
        <v>25086.799999999999</v>
      </c>
      <c r="BP14" s="22">
        <f ca="1">IFERROR(VLOOKUP(BP1,AllListPrice!$A$2:$D$1000,4,0),0)</f>
        <v>26361.21</v>
      </c>
      <c r="BQ14" s="22">
        <f ca="1">IFERROR(VLOOKUP(BQ1,AllListPrice!$A$2:$D$1000,4,0),0)</f>
        <v>29374.16</v>
      </c>
      <c r="BR14" s="22">
        <f ca="1">IFERROR(VLOOKUP(BR1,AllListPrice!$A$2:$D$1000,4,0),0)</f>
        <v>31290.78</v>
      </c>
      <c r="BS14" s="22">
        <f ca="1">IFERROR(VLOOKUP(BS1,AllListPrice!$A$2:$D$1000,4,0),0)</f>
        <v>32286.54</v>
      </c>
      <c r="BT14" s="22">
        <f ca="1">IFERROR(VLOOKUP(BT1,AllListPrice!$A$2:$D$1000,4,0),0)</f>
        <v>57322.71</v>
      </c>
      <c r="BU14" s="22">
        <f ca="1">IFERROR(VLOOKUP(BU1,AllListPrice!$A$2:$D$1000,4,0),0)</f>
        <v>37491.480000000003</v>
      </c>
      <c r="BV14" s="22">
        <f ca="1">IFERROR(VLOOKUP(BV1,AllListPrice!$A$2:$D$1000,4,0),0)</f>
        <v>86779.49</v>
      </c>
      <c r="BW14" s="22">
        <f ca="1">IFERROR(VLOOKUP(BW1,AllListPrice!$A$2:$D$1000,4,0),0)</f>
        <v>78332.98</v>
      </c>
      <c r="BX14" s="22">
        <f ca="1">IFERROR(VLOOKUP(BX1,AllListPrice!$A$2:$D$1000,4,0),0)</f>
        <v>66036.97</v>
      </c>
      <c r="BY14" s="22">
        <f ca="1">IFERROR(VLOOKUP(BY1,Cisco!$A$2:$D$1000,4,0),0)</f>
        <v>55686.03</v>
      </c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</row>
    <row r="15" spans="1:98" ht="15.75" customHeight="1" x14ac:dyDescent="0.25">
      <c r="A15" s="7" t="s">
        <v>28</v>
      </c>
      <c r="B15" s="17"/>
      <c r="C15" s="18">
        <f t="shared" ref="C15:BY15" si="1">1*(C13=MAX($D$13:$BY$13))</f>
        <v>1</v>
      </c>
      <c r="D15" s="19">
        <f t="shared" si="1"/>
        <v>0</v>
      </c>
      <c r="E15" s="19">
        <f t="shared" si="1"/>
        <v>0</v>
      </c>
      <c r="F15" s="19">
        <f t="shared" si="1"/>
        <v>0</v>
      </c>
      <c r="G15" s="19">
        <f t="shared" si="1"/>
        <v>0</v>
      </c>
      <c r="H15" s="19">
        <f t="shared" si="1"/>
        <v>0</v>
      </c>
      <c r="I15" s="19">
        <f t="shared" si="1"/>
        <v>0</v>
      </c>
      <c r="J15" s="19">
        <f t="shared" si="1"/>
        <v>0</v>
      </c>
      <c r="K15" s="19">
        <f t="shared" si="1"/>
        <v>0</v>
      </c>
      <c r="L15" s="19">
        <f t="shared" si="1"/>
        <v>0</v>
      </c>
      <c r="M15" s="19">
        <f t="shared" si="1"/>
        <v>0</v>
      </c>
      <c r="N15" s="19">
        <f t="shared" si="1"/>
        <v>0</v>
      </c>
      <c r="O15" s="19">
        <f t="shared" si="1"/>
        <v>0</v>
      </c>
      <c r="P15" s="19">
        <f t="shared" si="1"/>
        <v>0</v>
      </c>
      <c r="Q15" s="19">
        <f t="shared" si="1"/>
        <v>0</v>
      </c>
      <c r="R15" s="19">
        <f t="shared" si="1"/>
        <v>0</v>
      </c>
      <c r="S15" s="19">
        <f t="shared" si="1"/>
        <v>0</v>
      </c>
      <c r="T15" s="19">
        <f t="shared" si="1"/>
        <v>0</v>
      </c>
      <c r="U15" s="19">
        <f t="shared" si="1"/>
        <v>0</v>
      </c>
      <c r="V15" s="19">
        <f t="shared" si="1"/>
        <v>0</v>
      </c>
      <c r="W15" s="19">
        <f t="shared" si="1"/>
        <v>0</v>
      </c>
      <c r="X15" s="19">
        <f t="shared" si="1"/>
        <v>0</v>
      </c>
      <c r="Y15" s="19">
        <f t="shared" si="1"/>
        <v>0</v>
      </c>
      <c r="Z15" s="19">
        <f t="shared" si="1"/>
        <v>0</v>
      </c>
      <c r="AA15" s="19">
        <f t="shared" si="1"/>
        <v>0</v>
      </c>
      <c r="AB15" s="19">
        <f t="shared" si="1"/>
        <v>0</v>
      </c>
      <c r="AC15" s="19">
        <f t="shared" si="1"/>
        <v>0</v>
      </c>
      <c r="AD15" s="19">
        <f t="shared" si="1"/>
        <v>0</v>
      </c>
      <c r="AE15" s="19">
        <f t="shared" si="1"/>
        <v>0</v>
      </c>
      <c r="AF15" s="19">
        <f t="shared" si="1"/>
        <v>0</v>
      </c>
      <c r="AG15" s="19">
        <f t="shared" si="1"/>
        <v>0</v>
      </c>
      <c r="AH15" s="19">
        <f t="shared" si="1"/>
        <v>0</v>
      </c>
      <c r="AI15" s="19">
        <f t="shared" si="1"/>
        <v>0</v>
      </c>
      <c r="AJ15" s="19">
        <f t="shared" si="1"/>
        <v>0</v>
      </c>
      <c r="AK15" s="19">
        <f t="shared" si="1"/>
        <v>0</v>
      </c>
      <c r="AL15" s="19">
        <f t="shared" si="1"/>
        <v>0</v>
      </c>
      <c r="AM15" s="19">
        <f t="shared" si="1"/>
        <v>0</v>
      </c>
      <c r="AN15" s="19">
        <f t="shared" si="1"/>
        <v>0</v>
      </c>
      <c r="AO15" s="19">
        <f t="shared" si="1"/>
        <v>0</v>
      </c>
      <c r="AP15" s="19">
        <f t="shared" si="1"/>
        <v>0</v>
      </c>
      <c r="AQ15" s="19">
        <f t="shared" si="1"/>
        <v>0</v>
      </c>
      <c r="AR15" s="19">
        <f t="shared" si="1"/>
        <v>0</v>
      </c>
      <c r="AS15" s="19">
        <f t="shared" si="1"/>
        <v>0</v>
      </c>
      <c r="AT15" s="19">
        <f t="shared" si="1"/>
        <v>0</v>
      </c>
      <c r="AU15" s="19">
        <f t="shared" si="1"/>
        <v>0</v>
      </c>
      <c r="AV15" s="19">
        <f t="shared" si="1"/>
        <v>1</v>
      </c>
      <c r="AW15" s="19">
        <f t="shared" si="1"/>
        <v>1</v>
      </c>
      <c r="AX15" s="19">
        <f t="shared" si="1"/>
        <v>0</v>
      </c>
      <c r="AY15" s="19">
        <f t="shared" si="1"/>
        <v>0</v>
      </c>
      <c r="AZ15" s="19">
        <f t="shared" si="1"/>
        <v>0</v>
      </c>
      <c r="BA15" s="19">
        <f t="shared" si="1"/>
        <v>0</v>
      </c>
      <c r="BB15" s="19">
        <f t="shared" si="1"/>
        <v>0</v>
      </c>
      <c r="BC15" s="19">
        <f t="shared" si="1"/>
        <v>0</v>
      </c>
      <c r="BD15" s="19">
        <f t="shared" si="1"/>
        <v>0</v>
      </c>
      <c r="BE15" s="19">
        <f t="shared" si="1"/>
        <v>0</v>
      </c>
      <c r="BF15" s="19">
        <f t="shared" si="1"/>
        <v>0</v>
      </c>
      <c r="BG15" s="19">
        <f t="shared" si="1"/>
        <v>0</v>
      </c>
      <c r="BH15" s="19">
        <f t="shared" si="1"/>
        <v>0</v>
      </c>
      <c r="BI15" s="19">
        <f t="shared" si="1"/>
        <v>0</v>
      </c>
      <c r="BJ15" s="19">
        <f t="shared" si="1"/>
        <v>0</v>
      </c>
      <c r="BK15" s="19">
        <f t="shared" si="1"/>
        <v>0</v>
      </c>
      <c r="BL15" s="19">
        <f t="shared" si="1"/>
        <v>0</v>
      </c>
      <c r="BM15" s="19">
        <f t="shared" si="1"/>
        <v>0</v>
      </c>
      <c r="BN15" s="19">
        <f t="shared" si="1"/>
        <v>0</v>
      </c>
      <c r="BO15" s="19">
        <f t="shared" si="1"/>
        <v>0</v>
      </c>
      <c r="BP15" s="19">
        <f t="shared" si="1"/>
        <v>0</v>
      </c>
      <c r="BQ15" s="19">
        <f t="shared" si="1"/>
        <v>0</v>
      </c>
      <c r="BR15" s="19">
        <f t="shared" si="1"/>
        <v>0</v>
      </c>
      <c r="BS15" s="19">
        <f t="shared" si="1"/>
        <v>0</v>
      </c>
      <c r="BT15" s="19">
        <f t="shared" si="1"/>
        <v>0</v>
      </c>
      <c r="BU15" s="19">
        <f t="shared" si="1"/>
        <v>0</v>
      </c>
      <c r="BV15" s="19">
        <f t="shared" si="1"/>
        <v>0</v>
      </c>
      <c r="BW15" s="19">
        <f t="shared" si="1"/>
        <v>0</v>
      </c>
      <c r="BX15" s="19">
        <f t="shared" si="1"/>
        <v>0</v>
      </c>
      <c r="BY15" s="19">
        <f t="shared" si="1"/>
        <v>0</v>
      </c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</row>
    <row r="16" spans="1:98" ht="15.75" customHeight="1" x14ac:dyDescent="0.25">
      <c r="A16" s="7" t="s">
        <v>29</v>
      </c>
      <c r="B16" s="17"/>
      <c r="C16" s="18" t="e">
        <f t="shared" ref="C16:BY16" ca="1" si="2">C15*(C14=_xludf.minifs($D$14:$BY$14,$D$15:$BY$15,1))</f>
        <v>#NAME?</v>
      </c>
      <c r="D16" s="19" t="e">
        <f t="shared" ca="1" si="2"/>
        <v>#NAME?</v>
      </c>
      <c r="E16" s="19" t="e">
        <f t="shared" ca="1" si="2"/>
        <v>#NAME?</v>
      </c>
      <c r="F16" s="19" t="e">
        <f t="shared" ca="1" si="2"/>
        <v>#NAME?</v>
      </c>
      <c r="G16" s="19" t="e">
        <f t="shared" ca="1" si="2"/>
        <v>#NAME?</v>
      </c>
      <c r="H16" s="19" t="e">
        <f t="shared" ca="1" si="2"/>
        <v>#NAME?</v>
      </c>
      <c r="I16" s="19" t="e">
        <f t="shared" ca="1" si="2"/>
        <v>#NAME?</v>
      </c>
      <c r="J16" s="19" t="e">
        <f t="shared" ca="1" si="2"/>
        <v>#NAME?</v>
      </c>
      <c r="K16" s="19" t="e">
        <f t="shared" ca="1" si="2"/>
        <v>#NAME?</v>
      </c>
      <c r="L16" s="19" t="e">
        <f t="shared" ca="1" si="2"/>
        <v>#NAME?</v>
      </c>
      <c r="M16" s="19" t="e">
        <f t="shared" ca="1" si="2"/>
        <v>#NAME?</v>
      </c>
      <c r="N16" s="19" t="e">
        <f t="shared" ca="1" si="2"/>
        <v>#NAME?</v>
      </c>
      <c r="O16" s="19" t="e">
        <f t="shared" ca="1" si="2"/>
        <v>#NAME?</v>
      </c>
      <c r="P16" s="19" t="e">
        <f t="shared" ca="1" si="2"/>
        <v>#NAME?</v>
      </c>
      <c r="Q16" s="19" t="e">
        <f t="shared" ca="1" si="2"/>
        <v>#NAME?</v>
      </c>
      <c r="R16" s="19" t="e">
        <f t="shared" ca="1" si="2"/>
        <v>#NAME?</v>
      </c>
      <c r="S16" s="19" t="e">
        <f t="shared" ca="1" si="2"/>
        <v>#NAME?</v>
      </c>
      <c r="T16" s="19" t="e">
        <f t="shared" ca="1" si="2"/>
        <v>#NAME?</v>
      </c>
      <c r="U16" s="19" t="e">
        <f t="shared" ca="1" si="2"/>
        <v>#NAME?</v>
      </c>
      <c r="V16" s="19" t="e">
        <f t="shared" ca="1" si="2"/>
        <v>#NAME?</v>
      </c>
      <c r="W16" s="19" t="e">
        <f t="shared" ca="1" si="2"/>
        <v>#NAME?</v>
      </c>
      <c r="X16" s="19" t="e">
        <f t="shared" ca="1" si="2"/>
        <v>#NAME?</v>
      </c>
      <c r="Y16" s="19" t="e">
        <f t="shared" ca="1" si="2"/>
        <v>#NAME?</v>
      </c>
      <c r="Z16" s="19" t="e">
        <f t="shared" ca="1" si="2"/>
        <v>#NAME?</v>
      </c>
      <c r="AA16" s="19" t="e">
        <f t="shared" ca="1" si="2"/>
        <v>#NAME?</v>
      </c>
      <c r="AB16" s="19" t="e">
        <f t="shared" ca="1" si="2"/>
        <v>#NAME?</v>
      </c>
      <c r="AC16" s="19" t="e">
        <f t="shared" ca="1" si="2"/>
        <v>#NAME?</v>
      </c>
      <c r="AD16" s="19" t="e">
        <f t="shared" ca="1" si="2"/>
        <v>#NAME?</v>
      </c>
      <c r="AE16" s="19" t="e">
        <f t="shared" ca="1" si="2"/>
        <v>#NAME?</v>
      </c>
      <c r="AF16" s="19" t="e">
        <f t="shared" ca="1" si="2"/>
        <v>#NAME?</v>
      </c>
      <c r="AG16" s="19" t="e">
        <f t="shared" ca="1" si="2"/>
        <v>#NAME?</v>
      </c>
      <c r="AH16" s="19" t="e">
        <f t="shared" ca="1" si="2"/>
        <v>#NAME?</v>
      </c>
      <c r="AI16" s="19" t="e">
        <f t="shared" ca="1" si="2"/>
        <v>#NAME?</v>
      </c>
      <c r="AJ16" s="19" t="e">
        <f t="shared" ca="1" si="2"/>
        <v>#NAME?</v>
      </c>
      <c r="AK16" s="19" t="e">
        <f t="shared" ca="1" si="2"/>
        <v>#NAME?</v>
      </c>
      <c r="AL16" s="19" t="e">
        <f t="shared" ca="1" si="2"/>
        <v>#NAME?</v>
      </c>
      <c r="AM16" s="19" t="e">
        <f t="shared" ca="1" si="2"/>
        <v>#NAME?</v>
      </c>
      <c r="AN16" s="19" t="e">
        <f t="shared" ca="1" si="2"/>
        <v>#NAME?</v>
      </c>
      <c r="AO16" s="19" t="e">
        <f t="shared" ca="1" si="2"/>
        <v>#NAME?</v>
      </c>
      <c r="AP16" s="19" t="e">
        <f t="shared" ca="1" si="2"/>
        <v>#NAME?</v>
      </c>
      <c r="AQ16" s="19" t="e">
        <f t="shared" ca="1" si="2"/>
        <v>#NAME?</v>
      </c>
      <c r="AR16" s="19" t="e">
        <f t="shared" ca="1" si="2"/>
        <v>#NAME?</v>
      </c>
      <c r="AS16" s="19" t="e">
        <f t="shared" ca="1" si="2"/>
        <v>#NAME?</v>
      </c>
      <c r="AT16" s="19" t="e">
        <f t="shared" ca="1" si="2"/>
        <v>#NAME?</v>
      </c>
      <c r="AU16" s="19" t="e">
        <f t="shared" ca="1" si="2"/>
        <v>#NAME?</v>
      </c>
      <c r="AV16" s="19" t="e">
        <f t="shared" ca="1" si="2"/>
        <v>#NAME?</v>
      </c>
      <c r="AW16" s="19" t="e">
        <f t="shared" ca="1" si="2"/>
        <v>#NAME?</v>
      </c>
      <c r="AX16" s="19" t="e">
        <f t="shared" ca="1" si="2"/>
        <v>#NAME?</v>
      </c>
      <c r="AY16" s="19" t="e">
        <f t="shared" ca="1" si="2"/>
        <v>#NAME?</v>
      </c>
      <c r="AZ16" s="19" t="e">
        <f t="shared" ca="1" si="2"/>
        <v>#NAME?</v>
      </c>
      <c r="BA16" s="19" t="e">
        <f t="shared" ca="1" si="2"/>
        <v>#NAME?</v>
      </c>
      <c r="BB16" s="19" t="e">
        <f t="shared" ca="1" si="2"/>
        <v>#NAME?</v>
      </c>
      <c r="BC16" s="19" t="e">
        <f t="shared" ca="1" si="2"/>
        <v>#NAME?</v>
      </c>
      <c r="BD16" s="19" t="e">
        <f t="shared" ca="1" si="2"/>
        <v>#NAME?</v>
      </c>
      <c r="BE16" s="19" t="e">
        <f t="shared" ca="1" si="2"/>
        <v>#NAME?</v>
      </c>
      <c r="BF16" s="19" t="e">
        <f t="shared" ca="1" si="2"/>
        <v>#NAME?</v>
      </c>
      <c r="BG16" s="19" t="e">
        <f t="shared" ca="1" si="2"/>
        <v>#NAME?</v>
      </c>
      <c r="BH16" s="19" t="e">
        <f t="shared" ca="1" si="2"/>
        <v>#NAME?</v>
      </c>
      <c r="BI16" s="19" t="e">
        <f t="shared" ca="1" si="2"/>
        <v>#NAME?</v>
      </c>
      <c r="BJ16" s="19" t="e">
        <f t="shared" ca="1" si="2"/>
        <v>#NAME?</v>
      </c>
      <c r="BK16" s="19" t="e">
        <f t="shared" ca="1" si="2"/>
        <v>#NAME?</v>
      </c>
      <c r="BL16" s="19" t="e">
        <f t="shared" ca="1" si="2"/>
        <v>#NAME?</v>
      </c>
      <c r="BM16" s="19" t="e">
        <f t="shared" ca="1" si="2"/>
        <v>#NAME?</v>
      </c>
      <c r="BN16" s="19" t="e">
        <f t="shared" ca="1" si="2"/>
        <v>#NAME?</v>
      </c>
      <c r="BO16" s="19" t="e">
        <f t="shared" ca="1" si="2"/>
        <v>#NAME?</v>
      </c>
      <c r="BP16" s="19" t="e">
        <f t="shared" ca="1" si="2"/>
        <v>#NAME?</v>
      </c>
      <c r="BQ16" s="19" t="e">
        <f t="shared" ca="1" si="2"/>
        <v>#NAME?</v>
      </c>
      <c r="BR16" s="19" t="e">
        <f t="shared" ca="1" si="2"/>
        <v>#NAME?</v>
      </c>
      <c r="BS16" s="19" t="e">
        <f t="shared" ca="1" si="2"/>
        <v>#NAME?</v>
      </c>
      <c r="BT16" s="19" t="e">
        <f t="shared" ca="1" si="2"/>
        <v>#NAME?</v>
      </c>
      <c r="BU16" s="19" t="e">
        <f t="shared" ca="1" si="2"/>
        <v>#NAME?</v>
      </c>
      <c r="BV16" s="19" t="e">
        <f t="shared" ca="1" si="2"/>
        <v>#NAME?</v>
      </c>
      <c r="BW16" s="19" t="e">
        <f t="shared" ca="1" si="2"/>
        <v>#NAME?</v>
      </c>
      <c r="BX16" s="19" t="e">
        <f t="shared" ca="1" si="2"/>
        <v>#NAME?</v>
      </c>
      <c r="BY16" s="19" t="e">
        <f t="shared" ca="1" si="2"/>
        <v>#NAME?</v>
      </c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</row>
    <row r="17" spans="1:93" ht="15.75" customHeight="1" x14ac:dyDescent="0.25">
      <c r="A17" s="7" t="s">
        <v>30</v>
      </c>
      <c r="B17" s="17"/>
      <c r="C17" s="18">
        <f t="shared" ref="C17:BY17" si="3">(1-($C$1=C1))*(C15=1)</f>
        <v>0</v>
      </c>
      <c r="D17" s="19">
        <f t="shared" si="3"/>
        <v>0</v>
      </c>
      <c r="E17" s="19">
        <f t="shared" si="3"/>
        <v>0</v>
      </c>
      <c r="F17" s="19">
        <f t="shared" si="3"/>
        <v>0</v>
      </c>
      <c r="G17" s="19">
        <f t="shared" si="3"/>
        <v>0</v>
      </c>
      <c r="H17" s="19">
        <f t="shared" si="3"/>
        <v>0</v>
      </c>
      <c r="I17" s="19">
        <f t="shared" si="3"/>
        <v>0</v>
      </c>
      <c r="J17" s="19">
        <f t="shared" si="3"/>
        <v>0</v>
      </c>
      <c r="K17" s="19">
        <f t="shared" si="3"/>
        <v>0</v>
      </c>
      <c r="L17" s="19">
        <f t="shared" si="3"/>
        <v>0</v>
      </c>
      <c r="M17" s="19">
        <f t="shared" si="3"/>
        <v>0</v>
      </c>
      <c r="N17" s="19">
        <f t="shared" si="3"/>
        <v>0</v>
      </c>
      <c r="O17" s="19">
        <f t="shared" si="3"/>
        <v>0</v>
      </c>
      <c r="P17" s="19">
        <f t="shared" si="3"/>
        <v>0</v>
      </c>
      <c r="Q17" s="19">
        <f t="shared" si="3"/>
        <v>0</v>
      </c>
      <c r="R17" s="19">
        <f t="shared" si="3"/>
        <v>0</v>
      </c>
      <c r="S17" s="19">
        <f t="shared" si="3"/>
        <v>0</v>
      </c>
      <c r="T17" s="19">
        <f t="shared" si="3"/>
        <v>0</v>
      </c>
      <c r="U17" s="19">
        <f t="shared" si="3"/>
        <v>0</v>
      </c>
      <c r="V17" s="19">
        <f t="shared" si="3"/>
        <v>0</v>
      </c>
      <c r="W17" s="19">
        <f t="shared" si="3"/>
        <v>0</v>
      </c>
      <c r="X17" s="19">
        <f t="shared" si="3"/>
        <v>0</v>
      </c>
      <c r="Y17" s="19">
        <f t="shared" si="3"/>
        <v>0</v>
      </c>
      <c r="Z17" s="19">
        <f t="shared" si="3"/>
        <v>0</v>
      </c>
      <c r="AA17" s="19">
        <f t="shared" si="3"/>
        <v>0</v>
      </c>
      <c r="AB17" s="19">
        <f t="shared" si="3"/>
        <v>0</v>
      </c>
      <c r="AC17" s="19">
        <f t="shared" si="3"/>
        <v>0</v>
      </c>
      <c r="AD17" s="19">
        <f t="shared" si="3"/>
        <v>0</v>
      </c>
      <c r="AE17" s="19">
        <f t="shared" si="3"/>
        <v>0</v>
      </c>
      <c r="AF17" s="19">
        <f t="shared" si="3"/>
        <v>0</v>
      </c>
      <c r="AG17" s="19">
        <f t="shared" si="3"/>
        <v>0</v>
      </c>
      <c r="AH17" s="19">
        <f t="shared" si="3"/>
        <v>0</v>
      </c>
      <c r="AI17" s="19">
        <f t="shared" si="3"/>
        <v>0</v>
      </c>
      <c r="AJ17" s="19">
        <f t="shared" si="3"/>
        <v>0</v>
      </c>
      <c r="AK17" s="19">
        <f t="shared" si="3"/>
        <v>0</v>
      </c>
      <c r="AL17" s="19">
        <f t="shared" si="3"/>
        <v>0</v>
      </c>
      <c r="AM17" s="19">
        <f t="shared" si="3"/>
        <v>0</v>
      </c>
      <c r="AN17" s="19">
        <f t="shared" si="3"/>
        <v>0</v>
      </c>
      <c r="AO17" s="19">
        <f t="shared" si="3"/>
        <v>0</v>
      </c>
      <c r="AP17" s="19">
        <f t="shared" si="3"/>
        <v>0</v>
      </c>
      <c r="AQ17" s="19">
        <f t="shared" si="3"/>
        <v>0</v>
      </c>
      <c r="AR17" s="19">
        <f t="shared" si="3"/>
        <v>0</v>
      </c>
      <c r="AS17" s="19">
        <f t="shared" si="3"/>
        <v>0</v>
      </c>
      <c r="AT17" s="19">
        <f t="shared" si="3"/>
        <v>0</v>
      </c>
      <c r="AU17" s="19">
        <f t="shared" si="3"/>
        <v>0</v>
      </c>
      <c r="AV17" s="19">
        <f t="shared" si="3"/>
        <v>1</v>
      </c>
      <c r="AW17" s="19">
        <f t="shared" si="3"/>
        <v>0</v>
      </c>
      <c r="AX17" s="19">
        <f t="shared" si="3"/>
        <v>0</v>
      </c>
      <c r="AY17" s="19">
        <f t="shared" si="3"/>
        <v>0</v>
      </c>
      <c r="AZ17" s="19">
        <f t="shared" si="3"/>
        <v>0</v>
      </c>
      <c r="BA17" s="19">
        <f t="shared" si="3"/>
        <v>0</v>
      </c>
      <c r="BB17" s="19">
        <f t="shared" si="3"/>
        <v>0</v>
      </c>
      <c r="BC17" s="19">
        <f t="shared" si="3"/>
        <v>0</v>
      </c>
      <c r="BD17" s="19">
        <f t="shared" si="3"/>
        <v>0</v>
      </c>
      <c r="BE17" s="19">
        <f t="shared" si="3"/>
        <v>0</v>
      </c>
      <c r="BF17" s="19">
        <f t="shared" si="3"/>
        <v>0</v>
      </c>
      <c r="BG17" s="19">
        <f t="shared" si="3"/>
        <v>0</v>
      </c>
      <c r="BH17" s="19">
        <f t="shared" si="3"/>
        <v>0</v>
      </c>
      <c r="BI17" s="19">
        <f t="shared" si="3"/>
        <v>0</v>
      </c>
      <c r="BJ17" s="19">
        <f t="shared" si="3"/>
        <v>0</v>
      </c>
      <c r="BK17" s="19">
        <f t="shared" si="3"/>
        <v>0</v>
      </c>
      <c r="BL17" s="19">
        <f t="shared" si="3"/>
        <v>0</v>
      </c>
      <c r="BM17" s="19">
        <f t="shared" si="3"/>
        <v>0</v>
      </c>
      <c r="BN17" s="19">
        <f t="shared" si="3"/>
        <v>0</v>
      </c>
      <c r="BO17" s="19">
        <f t="shared" si="3"/>
        <v>0</v>
      </c>
      <c r="BP17" s="19">
        <f t="shared" si="3"/>
        <v>0</v>
      </c>
      <c r="BQ17" s="19">
        <f t="shared" si="3"/>
        <v>0</v>
      </c>
      <c r="BR17" s="19">
        <f t="shared" si="3"/>
        <v>0</v>
      </c>
      <c r="BS17" s="19">
        <f t="shared" si="3"/>
        <v>0</v>
      </c>
      <c r="BT17" s="19">
        <f t="shared" si="3"/>
        <v>0</v>
      </c>
      <c r="BU17" s="19">
        <f t="shared" si="3"/>
        <v>0</v>
      </c>
      <c r="BV17" s="19">
        <f t="shared" si="3"/>
        <v>0</v>
      </c>
      <c r="BW17" s="19">
        <f t="shared" si="3"/>
        <v>0</v>
      </c>
      <c r="BX17" s="19">
        <f t="shared" si="3"/>
        <v>0</v>
      </c>
      <c r="BY17" s="19">
        <f t="shared" si="3"/>
        <v>0</v>
      </c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</row>
    <row r="18" spans="1:93" ht="15.75" customHeight="1" x14ac:dyDescent="0.25">
      <c r="A18" s="7"/>
      <c r="B18" s="17"/>
      <c r="C18" s="20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</row>
    <row r="19" spans="1:93" x14ac:dyDescent="0.3">
      <c r="A19" s="16" t="s">
        <v>31</v>
      </c>
      <c r="B19" s="17"/>
      <c r="C19" s="23" t="str">
        <f ca="1">IFERROR(__xludf.DUMMYFUNCTION("iferror(filter(D1:BY1,$D$17:$BY$17=1),"""")"),"C1300-16XTS")</f>
        <v>C1300-16XTS</v>
      </c>
      <c r="D19" s="24" t="str">
        <f ca="1">IFERROR(__xludf.DUMMYFUNCTION("""COMPUTED_VALUE"""),"C1300-24XS")</f>
        <v>C1300-24XS</v>
      </c>
      <c r="E19" s="24" t="str">
        <f ca="1">IFERROR(__xludf.DUMMYFUNCTION("""COMPUTED_VALUE"""),"C1300-24XTS")</f>
        <v>C1300-24XTS</v>
      </c>
      <c r="F19" s="24" t="str">
        <f ca="1">IFERROR(__xludf.DUMMYFUNCTION("""COMPUTED_VALUE"""),"C9300-24T")</f>
        <v>C9300-24T</v>
      </c>
      <c r="G19" s="24" t="str">
        <f ca="1">IFERROR(__xludf.DUMMYFUNCTION("""COMPUTED_VALUE"""),"C9300-24P")</f>
        <v>C9300-24P</v>
      </c>
      <c r="H19" s="24" t="str">
        <f ca="1">IFERROR(__xludf.DUMMYFUNCTION("""COMPUTED_VALUE"""),"C9300-24U")</f>
        <v>C9300-24U</v>
      </c>
      <c r="I19" s="24" t="str">
        <f ca="1">IFERROR(__xludf.DUMMYFUNCTION("""COMPUTED_VALUE"""),"C9300-24H")</f>
        <v>C9300-24H</v>
      </c>
      <c r="J19" s="24" t="str">
        <f ca="1">IFERROR(__xludf.DUMMYFUNCTION("""COMPUTED_VALUE"""),"C9300-24S")</f>
        <v>C9300-24S</v>
      </c>
      <c r="K19" s="24" t="str">
        <f ca="1">IFERROR(__xludf.DUMMYFUNCTION("""COMPUTED_VALUE"""),"C9300-24UB")</f>
        <v>C9300-24UB</v>
      </c>
      <c r="L19" s="24" t="str">
        <f ca="1">IFERROR(__xludf.DUMMYFUNCTION("""COMPUTED_VALUE"""),"C9300-48T")</f>
        <v>C9300-48T</v>
      </c>
      <c r="M19" s="24" t="str">
        <f ca="1">IFERROR(__xludf.DUMMYFUNCTION("""COMPUTED_VALUE"""),"C9300-48P")</f>
        <v>C9300-48P</v>
      </c>
      <c r="N19" s="24" t="str">
        <f ca="1">IFERROR(__xludf.DUMMYFUNCTION("""COMPUTED_VALUE"""),"C9300-48U")</f>
        <v>C9300-48U</v>
      </c>
      <c r="O19" s="24" t="str">
        <f ca="1">IFERROR(__xludf.DUMMYFUNCTION("""COMPUTED_VALUE"""),"C9300-48H")</f>
        <v>C9300-48H</v>
      </c>
      <c r="P19" s="24" t="str">
        <f ca="1">IFERROR(__xludf.DUMMYFUNCTION("""COMPUTED_VALUE"""),"C9300-48S")</f>
        <v>C9300-48S</v>
      </c>
      <c r="Q19" s="24" t="str">
        <f ca="1">IFERROR(__xludf.DUMMYFUNCTION("""COMPUTED_VALUE"""),"C9300-48UB")</f>
        <v>C9300-48UB</v>
      </c>
      <c r="R19" s="24" t="str">
        <f ca="1">IFERROR(__xludf.DUMMYFUNCTION("""COMPUTED_VALUE"""),"C9500-48Y4C")</f>
        <v>C9500-48Y4C</v>
      </c>
      <c r="S19" s="24" t="str">
        <f ca="1">IFERROR(__xludf.DUMMYFUNCTION("""COMPUTED_VALUE"""),"C9500-24Y4C")</f>
        <v>C9500-24Y4C</v>
      </c>
      <c r="T19" s="24" t="str">
        <f ca="1">IFERROR(__xludf.DUMMYFUNCTION("""COMPUTED_VALUE"""),"C9500X-60L4D")</f>
        <v>C9500X-60L4D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</row>
    <row r="20" spans="1:93" ht="15.75" customHeight="1" x14ac:dyDescent="0.25">
      <c r="A20" s="7" t="str">
        <f t="shared" ref="A20:B20" si="4">A2</f>
        <v>Switching Bandwidth - Full Duplex (Gbps)</v>
      </c>
      <c r="B20" s="27">
        <f t="shared" si="4"/>
        <v>0</v>
      </c>
      <c r="C20" s="18">
        <f ca="1">IFERROR(__xludf.DUMMYFUNCTION("iferror(filter(D2:BY2,$D$17:$BY$17=1),"""")"),320)</f>
        <v>320</v>
      </c>
      <c r="D20" s="19">
        <f ca="1">IFERROR(__xludf.DUMMYFUNCTION("""COMPUTED_VALUE"""),480)</f>
        <v>480</v>
      </c>
      <c r="E20" s="19">
        <f ca="1">IFERROR(__xludf.DUMMYFUNCTION("""COMPUTED_VALUE"""),480)</f>
        <v>480</v>
      </c>
      <c r="F20" s="19">
        <f ca="1">IFERROR(__xludf.DUMMYFUNCTION("""COMPUTED_VALUE"""),208)</f>
        <v>208</v>
      </c>
      <c r="G20" s="19">
        <f ca="1">IFERROR(__xludf.DUMMYFUNCTION("""COMPUTED_VALUE"""),208)</f>
        <v>208</v>
      </c>
      <c r="H20" s="19">
        <f ca="1">IFERROR(__xludf.DUMMYFUNCTION("""COMPUTED_VALUE"""),208)</f>
        <v>208</v>
      </c>
      <c r="I20" s="19">
        <f ca="1">IFERROR(__xludf.DUMMYFUNCTION("""COMPUTED_VALUE"""),208)</f>
        <v>208</v>
      </c>
      <c r="J20" s="19">
        <f ca="1">IFERROR(__xludf.DUMMYFUNCTION("""COMPUTED_VALUE"""),208)</f>
        <v>208</v>
      </c>
      <c r="K20" s="19">
        <f ca="1">IFERROR(__xludf.DUMMYFUNCTION("""COMPUTED_VALUE"""),208)</f>
        <v>208</v>
      </c>
      <c r="L20" s="19">
        <f ca="1">IFERROR(__xludf.DUMMYFUNCTION("""COMPUTED_VALUE"""),256)</f>
        <v>256</v>
      </c>
      <c r="M20" s="19">
        <f ca="1">IFERROR(__xludf.DUMMYFUNCTION("""COMPUTED_VALUE"""),256)</f>
        <v>256</v>
      </c>
      <c r="N20" s="19">
        <f ca="1">IFERROR(__xludf.DUMMYFUNCTION("""COMPUTED_VALUE"""),256)</f>
        <v>256</v>
      </c>
      <c r="O20" s="19">
        <f ca="1">IFERROR(__xludf.DUMMYFUNCTION("""COMPUTED_VALUE"""),256)</f>
        <v>256</v>
      </c>
      <c r="P20" s="19">
        <f ca="1">IFERROR(__xludf.DUMMYFUNCTION("""COMPUTED_VALUE"""),256)</f>
        <v>256</v>
      </c>
      <c r="Q20" s="19">
        <f ca="1">IFERROR(__xludf.DUMMYFUNCTION("""COMPUTED_VALUE"""),256)</f>
        <v>256</v>
      </c>
      <c r="R20" s="19">
        <f ca="1">IFERROR(__xludf.DUMMYFUNCTION("""COMPUTED_VALUE"""),3200)</f>
        <v>3200</v>
      </c>
      <c r="S20" s="19">
        <f ca="1">IFERROR(__xludf.DUMMYFUNCTION("""COMPUTED_VALUE"""),2000)</f>
        <v>2000</v>
      </c>
      <c r="T20" s="19">
        <f ca="1">IFERROR(__xludf.DUMMYFUNCTION("""COMPUTED_VALUE"""),9200)</f>
        <v>9200</v>
      </c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</row>
    <row r="21" spans="1:93" ht="15.75" customHeight="1" x14ac:dyDescent="0.25">
      <c r="A21" s="7" t="str">
        <f t="shared" ref="A21:B21" si="5">A3</f>
        <v>Forwarding Capacity (Mpps)</v>
      </c>
      <c r="B21" s="27">
        <f t="shared" si="5"/>
        <v>0</v>
      </c>
      <c r="C21" s="18">
        <f ca="1">IFERROR(__xludf.DUMMYFUNCTION("iferror(filter(D3:BY3,$D$17:$BY$17=1),"""")"),238.1)</f>
        <v>238.1</v>
      </c>
      <c r="D21" s="19">
        <f ca="1">IFERROR(__xludf.DUMMYFUNCTION("""COMPUTED_VALUE"""),357.14)</f>
        <v>357.14</v>
      </c>
      <c r="E21" s="19">
        <f ca="1">IFERROR(__xludf.DUMMYFUNCTION("""COMPUTED_VALUE"""),357.12)</f>
        <v>357.12</v>
      </c>
      <c r="F21" s="19">
        <f ca="1">IFERROR(__xludf.DUMMYFUNCTION("""COMPUTED_VALUE"""),154.76)</f>
        <v>154.76</v>
      </c>
      <c r="G21" s="19">
        <f ca="1">IFERROR(__xludf.DUMMYFUNCTION("""COMPUTED_VALUE"""),154.76)</f>
        <v>154.76</v>
      </c>
      <c r="H21" s="19">
        <f ca="1">IFERROR(__xludf.DUMMYFUNCTION("""COMPUTED_VALUE"""),154.76)</f>
        <v>154.76</v>
      </c>
      <c r="I21" s="19">
        <f ca="1">IFERROR(__xludf.DUMMYFUNCTION("""COMPUTED_VALUE"""),154.76)</f>
        <v>154.76</v>
      </c>
      <c r="J21" s="19">
        <f ca="1">IFERROR(__xludf.DUMMYFUNCTION("""COMPUTED_VALUE"""),154.76)</f>
        <v>154.76</v>
      </c>
      <c r="K21" s="19">
        <f ca="1">IFERROR(__xludf.DUMMYFUNCTION("""COMPUTED_VALUE"""),154.76)</f>
        <v>154.76</v>
      </c>
      <c r="L21" s="19">
        <f ca="1">IFERROR(__xludf.DUMMYFUNCTION("""COMPUTED_VALUE"""),190.47)</f>
        <v>190.47</v>
      </c>
      <c r="M21" s="19">
        <f ca="1">IFERROR(__xludf.DUMMYFUNCTION("""COMPUTED_VALUE"""),190.47)</f>
        <v>190.47</v>
      </c>
      <c r="N21" s="19">
        <f ca="1">IFERROR(__xludf.DUMMYFUNCTION("""COMPUTED_VALUE"""),190.48)</f>
        <v>190.48</v>
      </c>
      <c r="O21" s="19">
        <f ca="1">IFERROR(__xludf.DUMMYFUNCTION("""COMPUTED_VALUE"""),190.48)</f>
        <v>190.48</v>
      </c>
      <c r="P21" s="19">
        <f ca="1">IFERROR(__xludf.DUMMYFUNCTION("""COMPUTED_VALUE"""),190.47)</f>
        <v>190.47</v>
      </c>
      <c r="Q21" s="19">
        <f ca="1">IFERROR(__xludf.DUMMYFUNCTION("""COMPUTED_VALUE"""),190.48)</f>
        <v>190.48</v>
      </c>
      <c r="R21" s="19">
        <f ca="1">IFERROR(__xludf.DUMMYFUNCTION("""COMPUTED_VALUE"""),1000)</f>
        <v>1000</v>
      </c>
      <c r="S21" s="19">
        <f ca="1">IFERROR(__xludf.DUMMYFUNCTION("""COMPUTED_VALUE"""),1000)</f>
        <v>1000</v>
      </c>
      <c r="T21" s="19">
        <f ca="1">IFERROR(__xludf.DUMMYFUNCTION("""COMPUTED_VALUE"""),8000)</f>
        <v>8000</v>
      </c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</row>
    <row r="22" spans="1:93" ht="12.5" x14ac:dyDescent="0.25">
      <c r="A22" s="7" t="str">
        <f t="shared" ref="A22:B22" si="6">A4</f>
        <v>Số lượng cổng 1GE đồng</v>
      </c>
      <c r="B22" s="27">
        <f t="shared" si="6"/>
        <v>0</v>
      </c>
      <c r="C22" s="20" t="str">
        <f ca="1">IFERROR(__xludf.DUMMYFUNCTION("iferror(filter(D4:BY4,$D$17:$BY$17=1),"""")"),"")</f>
        <v/>
      </c>
      <c r="D22" s="7"/>
      <c r="E22" s="19"/>
      <c r="F22" s="19">
        <f ca="1">IFERROR(__xludf.DUMMYFUNCTION("""COMPUTED_VALUE"""),24)</f>
        <v>24</v>
      </c>
      <c r="G22" s="19">
        <f ca="1">IFERROR(__xludf.DUMMYFUNCTION("""COMPUTED_VALUE"""),24)</f>
        <v>24</v>
      </c>
      <c r="H22" s="19">
        <f ca="1">IFERROR(__xludf.DUMMYFUNCTION("""COMPUTED_VALUE"""),24)</f>
        <v>24</v>
      </c>
      <c r="I22" s="19">
        <f ca="1">IFERROR(__xludf.DUMMYFUNCTION("""COMPUTED_VALUE"""),24)</f>
        <v>24</v>
      </c>
      <c r="J22" s="19"/>
      <c r="K22" s="19">
        <f ca="1">IFERROR(__xludf.DUMMYFUNCTION("""COMPUTED_VALUE"""),24)</f>
        <v>24</v>
      </c>
      <c r="L22" s="19">
        <f ca="1">IFERROR(__xludf.DUMMYFUNCTION("""COMPUTED_VALUE"""),48)</f>
        <v>48</v>
      </c>
      <c r="M22" s="19">
        <f ca="1">IFERROR(__xludf.DUMMYFUNCTION("""COMPUTED_VALUE"""),48)</f>
        <v>48</v>
      </c>
      <c r="N22" s="19">
        <f ca="1">IFERROR(__xludf.DUMMYFUNCTION("""COMPUTED_VALUE"""),48)</f>
        <v>48</v>
      </c>
      <c r="O22" s="19">
        <f ca="1">IFERROR(__xludf.DUMMYFUNCTION("""COMPUTED_VALUE"""),48)</f>
        <v>48</v>
      </c>
      <c r="P22" s="19"/>
      <c r="Q22" s="19">
        <f ca="1">IFERROR(__xludf.DUMMYFUNCTION("""COMPUTED_VALUE"""),48)</f>
        <v>48</v>
      </c>
      <c r="R22" s="19"/>
      <c r="S22" s="19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</row>
    <row r="23" spans="1:93" ht="12.5" x14ac:dyDescent="0.25">
      <c r="A23" s="7" t="str">
        <f t="shared" ref="A23:B23" si="7">A5</f>
        <v>Số lượng cổng 1GE SFP</v>
      </c>
      <c r="B23" s="27">
        <f t="shared" si="7"/>
        <v>0</v>
      </c>
      <c r="C23" s="18">
        <f ca="1">IFERROR(__xludf.DUMMYFUNCTION("iferror(filter(D5:BY5,$D$17:$BY$17=1),"""")"),8)</f>
        <v>8</v>
      </c>
      <c r="D23" s="19">
        <f ca="1">IFERROR(__xludf.DUMMYFUNCTION("""COMPUTED_VALUE"""),24)</f>
        <v>24</v>
      </c>
      <c r="E23" s="19">
        <f ca="1">IFERROR(__xludf.DUMMYFUNCTION("""COMPUTED_VALUE"""),12)</f>
        <v>12</v>
      </c>
      <c r="F23" s="19">
        <f ca="1">IFERROR(__xludf.DUMMYFUNCTION("""COMPUTED_VALUE"""),8)</f>
        <v>8</v>
      </c>
      <c r="G23" s="19">
        <f ca="1">IFERROR(__xludf.DUMMYFUNCTION("""COMPUTED_VALUE"""),8)</f>
        <v>8</v>
      </c>
      <c r="H23" s="19">
        <f ca="1">IFERROR(__xludf.DUMMYFUNCTION("""COMPUTED_VALUE"""),8)</f>
        <v>8</v>
      </c>
      <c r="I23" s="19">
        <f ca="1">IFERROR(__xludf.DUMMYFUNCTION("""COMPUTED_VALUE"""),8)</f>
        <v>8</v>
      </c>
      <c r="J23" s="19">
        <f ca="1">IFERROR(__xludf.DUMMYFUNCTION("""COMPUTED_VALUE"""),32)</f>
        <v>32</v>
      </c>
      <c r="K23" s="19">
        <f ca="1">IFERROR(__xludf.DUMMYFUNCTION("""COMPUTED_VALUE"""),8)</f>
        <v>8</v>
      </c>
      <c r="L23" s="19">
        <f ca="1">IFERROR(__xludf.DUMMYFUNCTION("""COMPUTED_VALUE"""),8)</f>
        <v>8</v>
      </c>
      <c r="M23" s="19">
        <f ca="1">IFERROR(__xludf.DUMMYFUNCTION("""COMPUTED_VALUE"""),8)</f>
        <v>8</v>
      </c>
      <c r="N23" s="19">
        <f ca="1">IFERROR(__xludf.DUMMYFUNCTION("""COMPUTED_VALUE"""),8)</f>
        <v>8</v>
      </c>
      <c r="O23" s="19">
        <f ca="1">IFERROR(__xludf.DUMMYFUNCTION("""COMPUTED_VALUE"""),8)</f>
        <v>8</v>
      </c>
      <c r="P23" s="19">
        <f ca="1">IFERROR(__xludf.DUMMYFUNCTION("""COMPUTED_VALUE"""),56)</f>
        <v>56</v>
      </c>
      <c r="Q23" s="19">
        <f ca="1">IFERROR(__xludf.DUMMYFUNCTION("""COMPUTED_VALUE"""),8)</f>
        <v>8</v>
      </c>
      <c r="R23" s="19">
        <f ca="1">IFERROR(__xludf.DUMMYFUNCTION("""COMPUTED_VALUE"""),48)</f>
        <v>48</v>
      </c>
      <c r="S23" s="19">
        <f ca="1">IFERROR(__xludf.DUMMYFUNCTION("""COMPUTED_VALUE"""),24)</f>
        <v>24</v>
      </c>
      <c r="T23" s="19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</row>
    <row r="24" spans="1:93" ht="12.5" x14ac:dyDescent="0.25">
      <c r="A24" s="7" t="str">
        <f t="shared" ref="A24:B24" si="8">A6</f>
        <v>Số lượng cổng 10GE đồng</v>
      </c>
      <c r="B24" s="27">
        <f t="shared" si="8"/>
        <v>48</v>
      </c>
      <c r="C24" s="18">
        <f ca="1">IFERROR(__xludf.DUMMYFUNCTION("iferror(filter(D6:BY6,$D$17:$BY$17=1),"""")"),8)</f>
        <v>8</v>
      </c>
      <c r="D24" s="19">
        <f ca="1">IFERROR(__xludf.DUMMYFUNCTION("""COMPUTED_VALUE"""),4)</f>
        <v>4</v>
      </c>
      <c r="E24" s="7">
        <f ca="1">IFERROR(__xludf.DUMMYFUNCTION("""COMPUTED_VALUE"""),12)</f>
        <v>12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</row>
    <row r="25" spans="1:93" ht="12.5" x14ac:dyDescent="0.25">
      <c r="A25" s="7" t="str">
        <f t="shared" ref="A25:B25" si="9">A7</f>
        <v>Số lượng cổng 10GE quang</v>
      </c>
      <c r="B25" s="17">
        <f t="shared" si="9"/>
        <v>0</v>
      </c>
      <c r="C25" s="18">
        <f ca="1">IFERROR(__xludf.DUMMYFUNCTION("iferror(filter(D7:BY7,$D$17:$BY$17=1),"""")"),8)</f>
        <v>8</v>
      </c>
      <c r="D25" s="19">
        <f ca="1">IFERROR(__xludf.DUMMYFUNCTION("""COMPUTED_VALUE"""),24)</f>
        <v>24</v>
      </c>
      <c r="E25" s="19">
        <f ca="1">IFERROR(__xludf.DUMMYFUNCTION("""COMPUTED_VALUE"""),12)</f>
        <v>12</v>
      </c>
      <c r="F25" s="19">
        <f ca="1">IFERROR(__xludf.DUMMYFUNCTION("""COMPUTED_VALUE"""),8)</f>
        <v>8</v>
      </c>
      <c r="G25" s="19">
        <f ca="1">IFERROR(__xludf.DUMMYFUNCTION("""COMPUTED_VALUE"""),8)</f>
        <v>8</v>
      </c>
      <c r="H25" s="19">
        <f ca="1">IFERROR(__xludf.DUMMYFUNCTION("""COMPUTED_VALUE"""),8)</f>
        <v>8</v>
      </c>
      <c r="I25" s="19">
        <f ca="1">IFERROR(__xludf.DUMMYFUNCTION("""COMPUTED_VALUE"""),8)</f>
        <v>8</v>
      </c>
      <c r="J25" s="19">
        <f ca="1">IFERROR(__xludf.DUMMYFUNCTION("""COMPUTED_VALUE"""),8)</f>
        <v>8</v>
      </c>
      <c r="K25" s="19">
        <f ca="1">IFERROR(__xludf.DUMMYFUNCTION("""COMPUTED_VALUE"""),8)</f>
        <v>8</v>
      </c>
      <c r="L25" s="19">
        <f ca="1">IFERROR(__xludf.DUMMYFUNCTION("""COMPUTED_VALUE"""),8)</f>
        <v>8</v>
      </c>
      <c r="M25" s="19">
        <f ca="1">IFERROR(__xludf.DUMMYFUNCTION("""COMPUTED_VALUE"""),8)</f>
        <v>8</v>
      </c>
      <c r="N25" s="19">
        <f ca="1">IFERROR(__xludf.DUMMYFUNCTION("""COMPUTED_VALUE"""),8)</f>
        <v>8</v>
      </c>
      <c r="O25" s="19">
        <f ca="1">IFERROR(__xludf.DUMMYFUNCTION("""COMPUTED_VALUE"""),8)</f>
        <v>8</v>
      </c>
      <c r="P25" s="19">
        <f ca="1">IFERROR(__xludf.DUMMYFUNCTION("""COMPUTED_VALUE"""),8)</f>
        <v>8</v>
      </c>
      <c r="Q25" s="19">
        <f ca="1">IFERROR(__xludf.DUMMYFUNCTION("""COMPUTED_VALUE"""),8)</f>
        <v>8</v>
      </c>
      <c r="R25" s="19">
        <f ca="1">IFERROR(__xludf.DUMMYFUNCTION("""COMPUTED_VALUE"""),48)</f>
        <v>48</v>
      </c>
      <c r="S25" s="19">
        <f ca="1">IFERROR(__xludf.DUMMYFUNCTION("""COMPUTED_VALUE"""),24)</f>
        <v>24</v>
      </c>
      <c r="T25" s="19">
        <f ca="1">IFERROR(__xludf.DUMMYFUNCTION("""COMPUTED_VALUE"""),60)</f>
        <v>60</v>
      </c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</row>
    <row r="26" spans="1:93" ht="12.5" x14ac:dyDescent="0.25">
      <c r="A26" s="7" t="str">
        <f t="shared" ref="A26:B26" si="10">A8</f>
        <v>Số lượng cổng 100GE</v>
      </c>
      <c r="B26" s="17">
        <f t="shared" si="10"/>
        <v>0</v>
      </c>
      <c r="C26" s="20" t="str">
        <f ca="1">IFERROR(__xludf.DUMMYFUNCTION("iferror(filter(D8:BY8,$D$17:$BY$17=1),"""")"),"")</f>
        <v/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>
        <f ca="1">IFERROR(__xludf.DUMMYFUNCTION("""COMPUTED_VALUE"""),4)</f>
        <v>4</v>
      </c>
      <c r="S26" s="7">
        <f ca="1">IFERROR(__xludf.DUMMYFUNCTION("""COMPUTED_VALUE"""),4)</f>
        <v>4</v>
      </c>
      <c r="T26" s="19">
        <f ca="1">IFERROR(__xludf.DUMMYFUNCTION("""COMPUTED_VALUE"""),4)</f>
        <v>4</v>
      </c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</row>
    <row r="27" spans="1:93" ht="12.5" x14ac:dyDescent="0.25">
      <c r="A27" s="7" t="str">
        <f t="shared" ref="A27:B27" si="11">A9</f>
        <v>Stacking (Y/N)</v>
      </c>
      <c r="B27" s="27">
        <f t="shared" si="11"/>
        <v>0</v>
      </c>
      <c r="C27" s="18" t="str">
        <f ca="1">IFERROR(__xludf.DUMMYFUNCTION("iferror(filter(D9:BY9,$D$17:$BY$17=1),"""")"),"Y")</f>
        <v>Y</v>
      </c>
      <c r="D27" s="19" t="str">
        <f ca="1">IFERROR(__xludf.DUMMYFUNCTION("""COMPUTED_VALUE"""),"Y")</f>
        <v>Y</v>
      </c>
      <c r="E27" s="19" t="str">
        <f ca="1">IFERROR(__xludf.DUMMYFUNCTION("""COMPUTED_VALUE"""),"Y")</f>
        <v>Y</v>
      </c>
      <c r="F27" s="19" t="str">
        <f ca="1">IFERROR(__xludf.DUMMYFUNCTION("""COMPUTED_VALUE"""),"Y")</f>
        <v>Y</v>
      </c>
      <c r="G27" s="19" t="str">
        <f ca="1">IFERROR(__xludf.DUMMYFUNCTION("""COMPUTED_VALUE"""),"Y")</f>
        <v>Y</v>
      </c>
      <c r="H27" s="19" t="str">
        <f ca="1">IFERROR(__xludf.DUMMYFUNCTION("""COMPUTED_VALUE"""),"Y")</f>
        <v>Y</v>
      </c>
      <c r="I27" s="19" t="str">
        <f ca="1">IFERROR(__xludf.DUMMYFUNCTION("""COMPUTED_VALUE"""),"Y")</f>
        <v>Y</v>
      </c>
      <c r="J27" s="19" t="str">
        <f ca="1">IFERROR(__xludf.DUMMYFUNCTION("""COMPUTED_VALUE"""),"Y")</f>
        <v>Y</v>
      </c>
      <c r="K27" s="19" t="str">
        <f ca="1">IFERROR(__xludf.DUMMYFUNCTION("""COMPUTED_VALUE"""),"Y")</f>
        <v>Y</v>
      </c>
      <c r="L27" s="19" t="str">
        <f ca="1">IFERROR(__xludf.DUMMYFUNCTION("""COMPUTED_VALUE"""),"Y")</f>
        <v>Y</v>
      </c>
      <c r="M27" s="19" t="str">
        <f ca="1">IFERROR(__xludf.DUMMYFUNCTION("""COMPUTED_VALUE"""),"Y")</f>
        <v>Y</v>
      </c>
      <c r="N27" s="19" t="str">
        <f ca="1">IFERROR(__xludf.DUMMYFUNCTION("""COMPUTED_VALUE"""),"Y")</f>
        <v>Y</v>
      </c>
      <c r="O27" s="19" t="str">
        <f ca="1">IFERROR(__xludf.DUMMYFUNCTION("""COMPUTED_VALUE"""),"Y")</f>
        <v>Y</v>
      </c>
      <c r="P27" s="19" t="str">
        <f ca="1">IFERROR(__xludf.DUMMYFUNCTION("""COMPUTED_VALUE"""),"Y")</f>
        <v>Y</v>
      </c>
      <c r="Q27" s="19" t="str">
        <f ca="1">IFERROR(__xludf.DUMMYFUNCTION("""COMPUTED_VALUE"""),"Y")</f>
        <v>Y</v>
      </c>
      <c r="R27" s="19" t="str">
        <f ca="1">IFERROR(__xludf.DUMMYFUNCTION("""COMPUTED_VALUE"""),"Y")</f>
        <v>Y</v>
      </c>
      <c r="S27" s="19" t="str">
        <f ca="1">IFERROR(__xludf.DUMMYFUNCTION("""COMPUTED_VALUE"""),"Y")</f>
        <v>Y</v>
      </c>
      <c r="T27" s="19" t="str">
        <f ca="1">IFERROR(__xludf.DUMMYFUNCTION("""COMPUTED_VALUE"""),"Y")</f>
        <v>Y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</row>
    <row r="28" spans="1:93" ht="12.5" x14ac:dyDescent="0.25">
      <c r="A28" s="7" t="str">
        <f>A10</f>
        <v>PoE (Y/N)</v>
      </c>
      <c r="B28" s="17"/>
      <c r="C28" s="20" t="str">
        <f ca="1">IFERROR(__xludf.DUMMYFUNCTION("iferror(filter(D10:AQ10,$D$17:$AQ$17=1),"""")"),"")</f>
        <v/>
      </c>
      <c r="D28" s="7"/>
      <c r="E28" s="19"/>
      <c r="F28" s="7"/>
      <c r="G28" s="19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</row>
    <row r="29" spans="1:93" ht="12.5" x14ac:dyDescent="0.25">
      <c r="A29" s="7"/>
      <c r="B29" s="17"/>
      <c r="C29" s="2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</row>
    <row r="30" spans="1:93" ht="12.5" x14ac:dyDescent="0.25">
      <c r="A30" s="7"/>
      <c r="B30" s="17"/>
      <c r="C30" s="20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</row>
    <row r="31" spans="1:93" ht="12.5" x14ac:dyDescent="0.25">
      <c r="A31" s="7"/>
      <c r="B31" s="17"/>
      <c r="C31" s="20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</row>
    <row r="32" spans="1:93" ht="12.5" x14ac:dyDescent="0.25">
      <c r="A32" s="7"/>
      <c r="B32" s="17"/>
      <c r="C32" s="20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</row>
    <row r="33" spans="1:93" ht="12.5" x14ac:dyDescent="0.25">
      <c r="A33" s="7"/>
      <c r="B33" s="17"/>
      <c r="C33" s="20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</row>
    <row r="34" spans="1:93" ht="12.5" x14ac:dyDescent="0.25">
      <c r="A34" s="7"/>
      <c r="B34" s="17"/>
      <c r="C34" s="20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</row>
    <row r="35" spans="1:93" ht="12.5" x14ac:dyDescent="0.25">
      <c r="A35" s="7"/>
      <c r="B35" s="17"/>
      <c r="C35" s="20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</row>
    <row r="36" spans="1:93" ht="12.5" x14ac:dyDescent="0.25">
      <c r="A36" s="7"/>
      <c r="B36" s="17"/>
      <c r="C36" s="20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</row>
    <row r="37" spans="1:93" ht="12.5" x14ac:dyDescent="0.25">
      <c r="A37" s="7"/>
      <c r="B37" s="17"/>
      <c r="C37" s="20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</row>
    <row r="38" spans="1:93" ht="12.5" x14ac:dyDescent="0.25">
      <c r="A38" s="7"/>
      <c r="B38" s="17"/>
      <c r="C38" s="20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</row>
    <row r="39" spans="1:93" ht="12.5" x14ac:dyDescent="0.25">
      <c r="A39" s="7"/>
      <c r="B39" s="17"/>
      <c r="C39" s="2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</row>
    <row r="40" spans="1:93" ht="12.5" x14ac:dyDescent="0.25">
      <c r="A40" s="7"/>
      <c r="B40" s="17"/>
      <c r="C40" s="2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</row>
    <row r="41" spans="1:93" ht="12.5" x14ac:dyDescent="0.25">
      <c r="A41" s="7"/>
      <c r="B41" s="17"/>
      <c r="C41" s="20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</row>
    <row r="42" spans="1:93" ht="12.5" x14ac:dyDescent="0.25">
      <c r="A42" s="7"/>
      <c r="B42" s="17"/>
      <c r="C42" s="20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</row>
    <row r="43" spans="1:93" ht="12.5" x14ac:dyDescent="0.25">
      <c r="A43" s="7"/>
      <c r="B43" s="17"/>
      <c r="C43" s="2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</row>
    <row r="44" spans="1:93" ht="12.5" x14ac:dyDescent="0.25">
      <c r="A44" s="7"/>
      <c r="B44" s="17"/>
      <c r="C44" s="2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</row>
    <row r="45" spans="1:93" ht="12.5" x14ac:dyDescent="0.25">
      <c r="A45" s="7"/>
      <c r="B45" s="17"/>
      <c r="C45" s="20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</row>
    <row r="46" spans="1:93" ht="12.5" x14ac:dyDescent="0.25">
      <c r="A46" s="7"/>
      <c r="B46" s="17"/>
      <c r="C46" s="20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</row>
    <row r="47" spans="1:93" ht="12.5" x14ac:dyDescent="0.25">
      <c r="A47" s="7"/>
      <c r="B47" s="17"/>
      <c r="C47" s="20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</row>
    <row r="48" spans="1:93" ht="12.5" x14ac:dyDescent="0.25">
      <c r="A48" s="7"/>
      <c r="B48" s="17"/>
      <c r="C48" s="20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</row>
    <row r="49" spans="1:93" ht="12.5" x14ac:dyDescent="0.25">
      <c r="A49" s="7"/>
      <c r="B49" s="17"/>
      <c r="C49" s="20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</row>
    <row r="50" spans="1:93" ht="12.5" x14ac:dyDescent="0.25">
      <c r="A50" s="7"/>
      <c r="B50" s="17"/>
      <c r="C50" s="20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</row>
    <row r="51" spans="1:93" ht="12.5" x14ac:dyDescent="0.25">
      <c r="A51" s="7"/>
      <c r="B51" s="17"/>
      <c r="C51" s="2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</row>
    <row r="52" spans="1:93" ht="12.5" x14ac:dyDescent="0.25">
      <c r="A52" s="7"/>
      <c r="B52" s="17"/>
      <c r="C52" s="2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</row>
    <row r="53" spans="1:93" ht="12.5" x14ac:dyDescent="0.25">
      <c r="A53" s="7"/>
      <c r="B53" s="17"/>
      <c r="C53" s="20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</row>
    <row r="54" spans="1:93" ht="12.5" x14ac:dyDescent="0.25">
      <c r="A54" s="7"/>
      <c r="B54" s="17"/>
      <c r="C54" s="20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</row>
    <row r="55" spans="1:93" ht="12.5" x14ac:dyDescent="0.25">
      <c r="A55" s="7"/>
      <c r="B55" s="17"/>
      <c r="C55" s="2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</row>
    <row r="56" spans="1:93" ht="12.5" x14ac:dyDescent="0.25">
      <c r="A56" s="7"/>
      <c r="B56" s="17"/>
      <c r="C56" s="20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</row>
    <row r="57" spans="1:93" ht="12.5" x14ac:dyDescent="0.25">
      <c r="A57" s="7"/>
      <c r="B57" s="17"/>
      <c r="C57" s="20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</row>
    <row r="58" spans="1:93" ht="12.5" x14ac:dyDescent="0.25">
      <c r="A58" s="7"/>
      <c r="B58" s="17"/>
      <c r="C58" s="20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</row>
    <row r="59" spans="1:93" ht="12.5" x14ac:dyDescent="0.25">
      <c r="A59" s="7"/>
      <c r="B59" s="17"/>
      <c r="C59" s="20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</row>
    <row r="60" spans="1:93" ht="12.5" x14ac:dyDescent="0.25">
      <c r="A60" s="7"/>
      <c r="B60" s="17"/>
      <c r="C60" s="20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</row>
    <row r="61" spans="1:93" ht="12.5" x14ac:dyDescent="0.25">
      <c r="A61" s="7"/>
      <c r="B61" s="17"/>
      <c r="C61" s="20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</row>
    <row r="62" spans="1:93" ht="12.5" x14ac:dyDescent="0.25">
      <c r="A62" s="7"/>
      <c r="B62" s="17"/>
      <c r="C62" s="20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</row>
    <row r="63" spans="1:93" ht="12.5" x14ac:dyDescent="0.25">
      <c r="A63" s="7"/>
      <c r="B63" s="17"/>
      <c r="C63" s="20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</row>
    <row r="64" spans="1:93" ht="12.5" x14ac:dyDescent="0.25">
      <c r="A64" s="7"/>
      <c r="B64" s="17"/>
      <c r="C64" s="20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</row>
    <row r="65" spans="1:93" ht="12.5" x14ac:dyDescent="0.25">
      <c r="A65" s="7"/>
      <c r="B65" s="17"/>
      <c r="C65" s="20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</row>
    <row r="66" spans="1:93" ht="12.5" x14ac:dyDescent="0.25">
      <c r="A66" s="7"/>
      <c r="B66" s="17"/>
      <c r="C66" s="20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</row>
    <row r="67" spans="1:93" ht="12.5" x14ac:dyDescent="0.25">
      <c r="A67" s="7"/>
      <c r="B67" s="17"/>
      <c r="C67" s="20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</row>
    <row r="68" spans="1:93" ht="12.5" x14ac:dyDescent="0.25">
      <c r="A68" s="7"/>
      <c r="B68" s="17"/>
      <c r="C68" s="20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</row>
    <row r="69" spans="1:93" ht="12.5" x14ac:dyDescent="0.25">
      <c r="A69" s="7"/>
      <c r="B69" s="17"/>
      <c r="C69" s="20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</row>
    <row r="70" spans="1:93" ht="12.5" x14ac:dyDescent="0.25">
      <c r="A70" s="7"/>
      <c r="B70" s="17"/>
      <c r="C70" s="20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</row>
    <row r="71" spans="1:93" ht="12.5" x14ac:dyDescent="0.25">
      <c r="A71" s="7"/>
      <c r="B71" s="17"/>
      <c r="C71" s="20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</row>
    <row r="72" spans="1:93" ht="12.5" x14ac:dyDescent="0.25">
      <c r="A72" s="7"/>
      <c r="B72" s="17"/>
      <c r="C72" s="20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</row>
    <row r="73" spans="1:93" ht="12.5" x14ac:dyDescent="0.25">
      <c r="A73" s="7"/>
      <c r="B73" s="17"/>
      <c r="C73" s="20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</row>
    <row r="74" spans="1:93" ht="12.5" x14ac:dyDescent="0.25">
      <c r="A74" s="7"/>
      <c r="B74" s="17"/>
      <c r="C74" s="20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</row>
    <row r="75" spans="1:93" ht="12.5" x14ac:dyDescent="0.25">
      <c r="A75" s="7"/>
      <c r="B75" s="17"/>
      <c r="C75" s="20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</row>
    <row r="76" spans="1:93" ht="12.5" x14ac:dyDescent="0.25">
      <c r="A76" s="7"/>
      <c r="B76" s="17"/>
      <c r="C76" s="20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</row>
    <row r="77" spans="1:93" ht="12.5" x14ac:dyDescent="0.25">
      <c r="A77" s="7"/>
      <c r="B77" s="17"/>
      <c r="C77" s="20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</row>
    <row r="78" spans="1:93" ht="12.5" x14ac:dyDescent="0.25">
      <c r="A78" s="7"/>
      <c r="B78" s="17"/>
      <c r="C78" s="20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</row>
    <row r="79" spans="1:93" ht="12.5" x14ac:dyDescent="0.25">
      <c r="A79" s="7"/>
      <c r="B79" s="17"/>
      <c r="C79" s="20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</row>
    <row r="80" spans="1:93" ht="12.5" x14ac:dyDescent="0.25">
      <c r="A80" s="7"/>
      <c r="B80" s="17"/>
      <c r="C80" s="20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</row>
    <row r="81" spans="1:93" ht="12.5" x14ac:dyDescent="0.25">
      <c r="A81" s="7"/>
      <c r="B81" s="17"/>
      <c r="C81" s="20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</row>
    <row r="82" spans="1:93" ht="12.5" x14ac:dyDescent="0.25">
      <c r="A82" s="7"/>
      <c r="B82" s="17"/>
      <c r="C82" s="20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</row>
    <row r="83" spans="1:93" ht="12.5" x14ac:dyDescent="0.25">
      <c r="A83" s="7"/>
      <c r="B83" s="17"/>
      <c r="C83" s="20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</row>
    <row r="84" spans="1:93" ht="12.5" x14ac:dyDescent="0.25">
      <c r="A84" s="7"/>
      <c r="B84" s="17"/>
      <c r="C84" s="20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</row>
    <row r="85" spans="1:93" ht="12.5" x14ac:dyDescent="0.25">
      <c r="A85" s="7"/>
      <c r="B85" s="17"/>
      <c r="C85" s="20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</row>
    <row r="86" spans="1:93" ht="12.5" x14ac:dyDescent="0.25">
      <c r="A86" s="7"/>
      <c r="B86" s="17"/>
      <c r="C86" s="20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</row>
    <row r="87" spans="1:93" ht="12.5" x14ac:dyDescent="0.25">
      <c r="A87" s="7"/>
      <c r="B87" s="17"/>
      <c r="C87" s="20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</row>
    <row r="88" spans="1:93" ht="12.5" x14ac:dyDescent="0.25">
      <c r="A88" s="7"/>
      <c r="B88" s="17"/>
      <c r="C88" s="20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</row>
    <row r="89" spans="1:93" ht="12.5" x14ac:dyDescent="0.25">
      <c r="A89" s="7"/>
      <c r="B89" s="17"/>
      <c r="C89" s="20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</row>
    <row r="90" spans="1:93" ht="12.5" x14ac:dyDescent="0.25">
      <c r="A90" s="7"/>
      <c r="B90" s="17"/>
      <c r="C90" s="20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</row>
    <row r="91" spans="1:93" ht="12.5" x14ac:dyDescent="0.25">
      <c r="A91" s="7"/>
      <c r="B91" s="17"/>
      <c r="C91" s="20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</row>
    <row r="92" spans="1:93" ht="12.5" x14ac:dyDescent="0.25">
      <c r="A92" s="7"/>
      <c r="B92" s="17"/>
      <c r="C92" s="20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</row>
    <row r="93" spans="1:93" ht="12.5" x14ac:dyDescent="0.25">
      <c r="A93" s="7"/>
      <c r="B93" s="17"/>
      <c r="C93" s="20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</row>
    <row r="94" spans="1:93" ht="12.5" x14ac:dyDescent="0.25">
      <c r="A94" s="7"/>
      <c r="B94" s="17"/>
      <c r="C94" s="20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</row>
    <row r="95" spans="1:93" ht="12.5" x14ac:dyDescent="0.25">
      <c r="A95" s="7"/>
      <c r="B95" s="17"/>
      <c r="C95" s="20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</row>
    <row r="96" spans="1:93" ht="12.5" x14ac:dyDescent="0.25">
      <c r="A96" s="7"/>
      <c r="B96" s="17"/>
      <c r="C96" s="20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</row>
    <row r="97" spans="1:93" ht="12.5" x14ac:dyDescent="0.25">
      <c r="A97" s="7"/>
      <c r="B97" s="17"/>
      <c r="C97" s="20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</row>
    <row r="98" spans="1:93" ht="12.5" x14ac:dyDescent="0.25">
      <c r="A98" s="7"/>
      <c r="B98" s="17"/>
      <c r="C98" s="20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</row>
    <row r="99" spans="1:93" ht="12.5" x14ac:dyDescent="0.25">
      <c r="A99" s="7"/>
      <c r="B99" s="17"/>
      <c r="C99" s="20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</row>
    <row r="100" spans="1:93" ht="12.5" x14ac:dyDescent="0.25">
      <c r="A100" s="7"/>
      <c r="B100" s="17"/>
      <c r="C100" s="20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</row>
    <row r="101" spans="1:93" ht="12.5" x14ac:dyDescent="0.25">
      <c r="A101" s="7"/>
      <c r="B101" s="17"/>
      <c r="C101" s="20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</row>
    <row r="102" spans="1:93" ht="12.5" x14ac:dyDescent="0.25">
      <c r="A102" s="7"/>
      <c r="B102" s="17"/>
      <c r="C102" s="20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</row>
    <row r="103" spans="1:93" ht="12.5" x14ac:dyDescent="0.25">
      <c r="A103" s="7"/>
      <c r="B103" s="17"/>
      <c r="C103" s="20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</row>
    <row r="104" spans="1:93" ht="12.5" x14ac:dyDescent="0.25">
      <c r="A104" s="7"/>
      <c r="B104" s="17"/>
      <c r="C104" s="20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</row>
    <row r="105" spans="1:93" ht="12.5" x14ac:dyDescent="0.25">
      <c r="A105" s="7"/>
      <c r="B105" s="17"/>
      <c r="C105" s="20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</row>
    <row r="106" spans="1:93" ht="12.5" x14ac:dyDescent="0.25">
      <c r="A106" s="7"/>
      <c r="B106" s="17"/>
      <c r="C106" s="20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</row>
    <row r="107" spans="1:93" ht="12.5" x14ac:dyDescent="0.25">
      <c r="A107" s="7"/>
      <c r="B107" s="17"/>
      <c r="C107" s="20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</row>
    <row r="108" spans="1:93" ht="12.5" x14ac:dyDescent="0.25">
      <c r="A108" s="7"/>
      <c r="B108" s="17"/>
      <c r="C108" s="20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</row>
    <row r="109" spans="1:93" ht="12.5" x14ac:dyDescent="0.25">
      <c r="A109" s="7"/>
      <c r="B109" s="17"/>
      <c r="C109" s="20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</row>
    <row r="110" spans="1:93" ht="12.5" x14ac:dyDescent="0.25">
      <c r="A110" s="7"/>
      <c r="B110" s="17"/>
      <c r="C110" s="20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</row>
    <row r="111" spans="1:93" ht="12.5" x14ac:dyDescent="0.25">
      <c r="A111" s="7"/>
      <c r="B111" s="17"/>
      <c r="C111" s="20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</row>
    <row r="112" spans="1:93" ht="12.5" x14ac:dyDescent="0.25">
      <c r="A112" s="7"/>
      <c r="B112" s="17"/>
      <c r="C112" s="20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</row>
    <row r="113" spans="1:93" ht="12.5" x14ac:dyDescent="0.25">
      <c r="A113" s="7"/>
      <c r="B113" s="17"/>
      <c r="C113" s="20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</row>
    <row r="114" spans="1:93" ht="12.5" x14ac:dyDescent="0.25">
      <c r="A114" s="7"/>
      <c r="B114" s="17"/>
      <c r="C114" s="20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</row>
    <row r="115" spans="1:93" ht="12.5" x14ac:dyDescent="0.25">
      <c r="A115" s="7"/>
      <c r="B115" s="17"/>
      <c r="C115" s="20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</row>
    <row r="116" spans="1:93" ht="12.5" x14ac:dyDescent="0.25">
      <c r="A116" s="7"/>
      <c r="B116" s="17"/>
      <c r="C116" s="20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</row>
    <row r="117" spans="1:93" ht="12.5" x14ac:dyDescent="0.25">
      <c r="A117" s="7"/>
      <c r="B117" s="17"/>
      <c r="C117" s="20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</row>
    <row r="118" spans="1:93" ht="12.5" x14ac:dyDescent="0.25">
      <c r="A118" s="7"/>
      <c r="B118" s="17"/>
      <c r="C118" s="20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</row>
    <row r="119" spans="1:93" ht="12.5" x14ac:dyDescent="0.25">
      <c r="A119" s="7"/>
      <c r="B119" s="17"/>
      <c r="C119" s="20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</row>
    <row r="120" spans="1:93" ht="12.5" x14ac:dyDescent="0.25">
      <c r="A120" s="7"/>
      <c r="B120" s="17"/>
      <c r="C120" s="20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</row>
    <row r="121" spans="1:93" ht="12.5" x14ac:dyDescent="0.25">
      <c r="A121" s="7"/>
      <c r="B121" s="17"/>
      <c r="C121" s="20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</row>
    <row r="122" spans="1:93" ht="12.5" x14ac:dyDescent="0.25">
      <c r="A122" s="7"/>
      <c r="B122" s="17"/>
      <c r="C122" s="20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</row>
    <row r="123" spans="1:93" ht="12.5" x14ac:dyDescent="0.25">
      <c r="A123" s="7"/>
      <c r="B123" s="17"/>
      <c r="C123" s="20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</row>
    <row r="124" spans="1:93" ht="12.5" x14ac:dyDescent="0.25">
      <c r="A124" s="7"/>
      <c r="B124" s="17"/>
      <c r="C124" s="20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</row>
    <row r="125" spans="1:93" ht="12.5" x14ac:dyDescent="0.25">
      <c r="A125" s="7"/>
      <c r="B125" s="17"/>
      <c r="C125" s="20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</row>
    <row r="126" spans="1:93" ht="12.5" x14ac:dyDescent="0.25">
      <c r="A126" s="7"/>
      <c r="B126" s="17"/>
      <c r="C126" s="20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</row>
    <row r="127" spans="1:93" ht="12.5" x14ac:dyDescent="0.25">
      <c r="A127" s="7"/>
      <c r="B127" s="17"/>
      <c r="C127" s="20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</row>
    <row r="128" spans="1:93" ht="12.5" x14ac:dyDescent="0.25">
      <c r="A128" s="7"/>
      <c r="B128" s="17"/>
      <c r="C128" s="20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</row>
    <row r="129" spans="1:93" ht="12.5" x14ac:dyDescent="0.25">
      <c r="A129" s="7"/>
      <c r="B129" s="17"/>
      <c r="C129" s="20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</row>
    <row r="130" spans="1:93" ht="12.5" x14ac:dyDescent="0.25">
      <c r="A130" s="7"/>
      <c r="B130" s="17"/>
      <c r="C130" s="20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</row>
    <row r="131" spans="1:93" ht="12.5" x14ac:dyDescent="0.25">
      <c r="A131" s="7"/>
      <c r="B131" s="17"/>
      <c r="C131" s="20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</row>
    <row r="132" spans="1:93" ht="12.5" x14ac:dyDescent="0.25">
      <c r="A132" s="7"/>
      <c r="B132" s="17"/>
      <c r="C132" s="20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</row>
    <row r="133" spans="1:93" ht="12.5" x14ac:dyDescent="0.25">
      <c r="A133" s="7"/>
      <c r="B133" s="17"/>
      <c r="C133" s="20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</row>
    <row r="134" spans="1:93" ht="12.5" x14ac:dyDescent="0.25">
      <c r="A134" s="7"/>
      <c r="B134" s="17"/>
      <c r="C134" s="20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</row>
    <row r="135" spans="1:93" ht="12.5" x14ac:dyDescent="0.25">
      <c r="A135" s="7"/>
      <c r="B135" s="17"/>
      <c r="C135" s="20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</row>
    <row r="136" spans="1:93" ht="12.5" x14ac:dyDescent="0.25">
      <c r="A136" s="7"/>
      <c r="B136" s="17"/>
      <c r="C136" s="20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</row>
    <row r="137" spans="1:93" ht="12.5" x14ac:dyDescent="0.25">
      <c r="A137" s="7"/>
      <c r="B137" s="17"/>
      <c r="C137" s="20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</row>
    <row r="138" spans="1:93" ht="12.5" x14ac:dyDescent="0.25">
      <c r="A138" s="7"/>
      <c r="B138" s="17"/>
      <c r="C138" s="20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</row>
    <row r="139" spans="1:93" ht="12.5" x14ac:dyDescent="0.25">
      <c r="A139" s="7"/>
      <c r="B139" s="17"/>
      <c r="C139" s="20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</row>
    <row r="140" spans="1:93" ht="12.5" x14ac:dyDescent="0.25">
      <c r="A140" s="7"/>
      <c r="B140" s="17"/>
      <c r="C140" s="20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</row>
    <row r="141" spans="1:93" ht="12.5" x14ac:dyDescent="0.25">
      <c r="A141" s="7"/>
      <c r="B141" s="17"/>
      <c r="C141" s="20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</row>
    <row r="142" spans="1:93" ht="12.5" x14ac:dyDescent="0.25">
      <c r="A142" s="7"/>
      <c r="B142" s="17"/>
      <c r="C142" s="20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</row>
    <row r="143" spans="1:93" ht="12.5" x14ac:dyDescent="0.25">
      <c r="A143" s="7"/>
      <c r="B143" s="17"/>
      <c r="C143" s="20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</row>
    <row r="144" spans="1:93" ht="12.5" x14ac:dyDescent="0.25">
      <c r="A144" s="7"/>
      <c r="B144" s="17"/>
      <c r="C144" s="20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</row>
    <row r="145" spans="1:93" ht="12.5" x14ac:dyDescent="0.25">
      <c r="A145" s="7"/>
      <c r="B145" s="17"/>
      <c r="C145" s="20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</row>
    <row r="146" spans="1:93" ht="12.5" x14ac:dyDescent="0.25">
      <c r="A146" s="7"/>
      <c r="B146" s="17"/>
      <c r="C146" s="20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</row>
    <row r="147" spans="1:93" ht="12.5" x14ac:dyDescent="0.25">
      <c r="A147" s="7"/>
      <c r="B147" s="17"/>
      <c r="C147" s="20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</row>
    <row r="148" spans="1:93" ht="12.5" x14ac:dyDescent="0.25">
      <c r="A148" s="7"/>
      <c r="B148" s="17"/>
      <c r="C148" s="20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</row>
    <row r="149" spans="1:93" ht="12.5" x14ac:dyDescent="0.25">
      <c r="A149" s="7"/>
      <c r="B149" s="17"/>
      <c r="C149" s="20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</row>
    <row r="150" spans="1:93" ht="12.5" x14ac:dyDescent="0.25">
      <c r="A150" s="7"/>
      <c r="B150" s="17"/>
      <c r="C150" s="20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</row>
    <row r="151" spans="1:93" ht="12.5" x14ac:dyDescent="0.25">
      <c r="A151" s="7"/>
      <c r="B151" s="17"/>
      <c r="C151" s="20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</row>
    <row r="152" spans="1:93" ht="12.5" x14ac:dyDescent="0.25">
      <c r="A152" s="7"/>
      <c r="B152" s="17"/>
      <c r="C152" s="20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</row>
    <row r="153" spans="1:93" ht="12.5" x14ac:dyDescent="0.25">
      <c r="A153" s="7"/>
      <c r="B153" s="17"/>
      <c r="C153" s="20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</row>
    <row r="154" spans="1:93" ht="12.5" x14ac:dyDescent="0.25">
      <c r="A154" s="7"/>
      <c r="B154" s="17"/>
      <c r="C154" s="20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</row>
    <row r="155" spans="1:93" ht="12.5" x14ac:dyDescent="0.25">
      <c r="A155" s="7"/>
      <c r="B155" s="17"/>
      <c r="C155" s="20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</row>
    <row r="156" spans="1:93" ht="12.5" x14ac:dyDescent="0.25">
      <c r="A156" s="7"/>
      <c r="B156" s="17"/>
      <c r="C156" s="20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</row>
    <row r="157" spans="1:93" ht="12.5" x14ac:dyDescent="0.25">
      <c r="A157" s="7"/>
      <c r="B157" s="17"/>
      <c r="C157" s="20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</row>
    <row r="158" spans="1:93" ht="12.5" x14ac:dyDescent="0.25">
      <c r="A158" s="7"/>
      <c r="B158" s="17"/>
      <c r="C158" s="20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</row>
    <row r="159" spans="1:93" ht="12.5" x14ac:dyDescent="0.25">
      <c r="A159" s="7"/>
      <c r="B159" s="17"/>
      <c r="C159" s="20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</row>
    <row r="160" spans="1:93" ht="12.5" x14ac:dyDescent="0.25">
      <c r="A160" s="7"/>
      <c r="B160" s="17"/>
      <c r="C160" s="20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</row>
    <row r="161" spans="1:93" ht="12.5" x14ac:dyDescent="0.25">
      <c r="A161" s="7"/>
      <c r="B161" s="17"/>
      <c r="C161" s="20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</row>
    <row r="162" spans="1:93" ht="12.5" x14ac:dyDescent="0.25">
      <c r="A162" s="7"/>
      <c r="B162" s="17"/>
      <c r="C162" s="20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</row>
    <row r="163" spans="1:93" ht="12.5" x14ac:dyDescent="0.25">
      <c r="A163" s="7"/>
      <c r="B163" s="17"/>
      <c r="C163" s="20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</row>
    <row r="164" spans="1:93" ht="12.5" x14ac:dyDescent="0.25">
      <c r="A164" s="7"/>
      <c r="B164" s="17"/>
      <c r="C164" s="20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</row>
    <row r="165" spans="1:93" ht="12.5" x14ac:dyDescent="0.25">
      <c r="A165" s="7"/>
      <c r="B165" s="17"/>
      <c r="C165" s="20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</row>
    <row r="166" spans="1:93" ht="12.5" x14ac:dyDescent="0.25">
      <c r="A166" s="7"/>
      <c r="B166" s="17"/>
      <c r="C166" s="20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</row>
    <row r="167" spans="1:93" ht="12.5" x14ac:dyDescent="0.25">
      <c r="A167" s="7"/>
      <c r="B167" s="17"/>
      <c r="C167" s="20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</row>
    <row r="168" spans="1:93" ht="12.5" x14ac:dyDescent="0.25">
      <c r="A168" s="7"/>
      <c r="B168" s="17"/>
      <c r="C168" s="20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</row>
    <row r="169" spans="1:93" ht="12.5" x14ac:dyDescent="0.25">
      <c r="A169" s="7"/>
      <c r="B169" s="17"/>
      <c r="C169" s="20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</row>
    <row r="170" spans="1:93" ht="12.5" x14ac:dyDescent="0.25">
      <c r="A170" s="7"/>
      <c r="B170" s="17"/>
      <c r="C170" s="20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</row>
    <row r="171" spans="1:93" ht="12.5" x14ac:dyDescent="0.25">
      <c r="A171" s="7"/>
      <c r="B171" s="17"/>
      <c r="C171" s="20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</row>
    <row r="172" spans="1:93" ht="12.5" x14ac:dyDescent="0.25">
      <c r="A172" s="7"/>
      <c r="B172" s="17"/>
      <c r="C172" s="20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</row>
    <row r="173" spans="1:93" ht="12.5" x14ac:dyDescent="0.25">
      <c r="A173" s="7"/>
      <c r="B173" s="17"/>
      <c r="C173" s="20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</row>
    <row r="174" spans="1:93" ht="12.5" x14ac:dyDescent="0.25">
      <c r="A174" s="7"/>
      <c r="B174" s="17"/>
      <c r="C174" s="20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</row>
    <row r="175" spans="1:93" ht="12.5" x14ac:dyDescent="0.25">
      <c r="A175" s="7"/>
      <c r="B175" s="17"/>
      <c r="C175" s="20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</row>
    <row r="176" spans="1:93" ht="12.5" x14ac:dyDescent="0.25">
      <c r="A176" s="7"/>
      <c r="B176" s="17"/>
      <c r="C176" s="20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</row>
    <row r="177" spans="1:93" ht="12.5" x14ac:dyDescent="0.25">
      <c r="A177" s="7"/>
      <c r="B177" s="17"/>
      <c r="C177" s="20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</row>
    <row r="178" spans="1:93" ht="12.5" x14ac:dyDescent="0.25">
      <c r="A178" s="7"/>
      <c r="B178" s="17"/>
      <c r="C178" s="20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</row>
    <row r="179" spans="1:93" ht="12.5" x14ac:dyDescent="0.25">
      <c r="A179" s="7"/>
      <c r="B179" s="17"/>
      <c r="C179" s="20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</row>
    <row r="180" spans="1:93" ht="12.5" x14ac:dyDescent="0.25">
      <c r="A180" s="7"/>
      <c r="B180" s="17"/>
      <c r="C180" s="20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</row>
    <row r="181" spans="1:93" ht="12.5" x14ac:dyDescent="0.25">
      <c r="A181" s="7"/>
      <c r="B181" s="17"/>
      <c r="C181" s="20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</row>
    <row r="182" spans="1:93" ht="12.5" x14ac:dyDescent="0.25">
      <c r="A182" s="7"/>
      <c r="B182" s="17"/>
      <c r="C182" s="20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</row>
    <row r="183" spans="1:93" ht="12.5" x14ac:dyDescent="0.25">
      <c r="A183" s="7"/>
      <c r="B183" s="17"/>
      <c r="C183" s="20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</row>
    <row r="184" spans="1:93" ht="12.5" x14ac:dyDescent="0.25">
      <c r="A184" s="7"/>
      <c r="B184" s="17"/>
      <c r="C184" s="20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</row>
    <row r="185" spans="1:93" ht="12.5" x14ac:dyDescent="0.25">
      <c r="A185" s="7"/>
      <c r="B185" s="17"/>
      <c r="C185" s="20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</row>
    <row r="186" spans="1:93" ht="12.5" x14ac:dyDescent="0.25">
      <c r="A186" s="7"/>
      <c r="B186" s="17"/>
      <c r="C186" s="20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</row>
    <row r="187" spans="1:93" ht="12.5" x14ac:dyDescent="0.25">
      <c r="A187" s="7"/>
      <c r="B187" s="17"/>
      <c r="C187" s="20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</row>
    <row r="188" spans="1:93" ht="12.5" x14ac:dyDescent="0.25">
      <c r="A188" s="7"/>
      <c r="B188" s="17"/>
      <c r="C188" s="20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</row>
    <row r="189" spans="1:93" ht="12.5" x14ac:dyDescent="0.25">
      <c r="A189" s="7"/>
      <c r="B189" s="17"/>
      <c r="C189" s="20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</row>
    <row r="190" spans="1:93" ht="12.5" x14ac:dyDescent="0.25">
      <c r="A190" s="7"/>
      <c r="B190" s="17"/>
      <c r="C190" s="20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</row>
    <row r="191" spans="1:93" ht="12.5" x14ac:dyDescent="0.25">
      <c r="A191" s="7"/>
      <c r="B191" s="17"/>
      <c r="C191" s="20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</row>
    <row r="192" spans="1:93" ht="12.5" x14ac:dyDescent="0.25">
      <c r="A192" s="7"/>
      <c r="B192" s="17"/>
      <c r="C192" s="20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</row>
    <row r="193" spans="1:93" ht="12.5" x14ac:dyDescent="0.25">
      <c r="A193" s="7"/>
      <c r="B193" s="17"/>
      <c r="C193" s="20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</row>
    <row r="194" spans="1:93" ht="12.5" x14ac:dyDescent="0.25">
      <c r="A194" s="7"/>
      <c r="B194" s="17"/>
      <c r="C194" s="20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</row>
    <row r="195" spans="1:93" ht="12.5" x14ac:dyDescent="0.25">
      <c r="A195" s="7"/>
      <c r="B195" s="17"/>
      <c r="C195" s="20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</row>
    <row r="196" spans="1:93" ht="12.5" x14ac:dyDescent="0.25">
      <c r="A196" s="7"/>
      <c r="B196" s="17"/>
      <c r="C196" s="20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</row>
    <row r="197" spans="1:93" ht="12.5" x14ac:dyDescent="0.25">
      <c r="A197" s="7"/>
      <c r="B197" s="17"/>
      <c r="C197" s="20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</row>
    <row r="198" spans="1:93" ht="12.5" x14ac:dyDescent="0.25">
      <c r="A198" s="7"/>
      <c r="B198" s="17"/>
      <c r="C198" s="20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</row>
    <row r="199" spans="1:93" ht="12.5" x14ac:dyDescent="0.25">
      <c r="A199" s="7"/>
      <c r="B199" s="17"/>
      <c r="C199" s="20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</row>
    <row r="200" spans="1:93" ht="12.5" x14ac:dyDescent="0.25">
      <c r="A200" s="7"/>
      <c r="B200" s="17"/>
      <c r="C200" s="20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</row>
    <row r="201" spans="1:93" ht="12.5" x14ac:dyDescent="0.25">
      <c r="A201" s="7"/>
      <c r="B201" s="17"/>
      <c r="C201" s="20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</row>
    <row r="202" spans="1:93" ht="12.5" x14ac:dyDescent="0.25">
      <c r="A202" s="7"/>
      <c r="B202" s="17"/>
      <c r="C202" s="20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</row>
    <row r="203" spans="1:93" ht="12.5" x14ac:dyDescent="0.25">
      <c r="A203" s="7"/>
      <c r="B203" s="17"/>
      <c r="C203" s="20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</row>
    <row r="204" spans="1:93" ht="12.5" x14ac:dyDescent="0.25">
      <c r="A204" s="7"/>
      <c r="B204" s="17"/>
      <c r="C204" s="20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</row>
    <row r="205" spans="1:93" ht="12.5" x14ac:dyDescent="0.25">
      <c r="A205" s="7"/>
      <c r="B205" s="17"/>
      <c r="C205" s="20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</row>
    <row r="206" spans="1:93" ht="12.5" x14ac:dyDescent="0.25">
      <c r="A206" s="7"/>
      <c r="B206" s="17"/>
      <c r="C206" s="20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</row>
    <row r="207" spans="1:93" ht="12.5" x14ac:dyDescent="0.25">
      <c r="A207" s="7"/>
      <c r="B207" s="17"/>
      <c r="C207" s="20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</row>
    <row r="208" spans="1:93" ht="12.5" x14ac:dyDescent="0.25">
      <c r="A208" s="7"/>
      <c r="B208" s="17"/>
      <c r="C208" s="20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</row>
    <row r="209" spans="1:93" ht="12.5" x14ac:dyDescent="0.25">
      <c r="A209" s="7"/>
      <c r="B209" s="17"/>
      <c r="C209" s="20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</row>
    <row r="210" spans="1:93" ht="12.5" x14ac:dyDescent="0.25">
      <c r="A210" s="7"/>
      <c r="B210" s="17"/>
      <c r="C210" s="20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</row>
    <row r="211" spans="1:93" ht="12.5" x14ac:dyDescent="0.25">
      <c r="A211" s="7"/>
      <c r="B211" s="17"/>
      <c r="C211" s="20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</row>
    <row r="212" spans="1:93" ht="12.5" x14ac:dyDescent="0.25">
      <c r="A212" s="7"/>
      <c r="B212" s="17"/>
      <c r="C212" s="20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</row>
    <row r="213" spans="1:93" ht="12.5" x14ac:dyDescent="0.25">
      <c r="A213" s="7"/>
      <c r="B213" s="17"/>
      <c r="C213" s="20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</row>
    <row r="214" spans="1:93" ht="12.5" x14ac:dyDescent="0.25">
      <c r="A214" s="7"/>
      <c r="B214" s="17"/>
      <c r="C214" s="20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</row>
    <row r="215" spans="1:93" ht="12.5" x14ac:dyDescent="0.25">
      <c r="A215" s="7"/>
      <c r="B215" s="17"/>
      <c r="C215" s="20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</row>
    <row r="216" spans="1:93" ht="12.5" x14ac:dyDescent="0.25">
      <c r="A216" s="7"/>
      <c r="B216" s="17"/>
      <c r="C216" s="20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</row>
    <row r="217" spans="1:93" ht="12.5" x14ac:dyDescent="0.25">
      <c r="A217" s="7"/>
      <c r="B217" s="17"/>
      <c r="C217" s="20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</row>
    <row r="218" spans="1:93" ht="12.5" x14ac:dyDescent="0.25">
      <c r="A218" s="7"/>
      <c r="B218" s="17"/>
      <c r="C218" s="20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</row>
    <row r="219" spans="1:93" ht="12.5" x14ac:dyDescent="0.25">
      <c r="A219" s="7"/>
      <c r="B219" s="17"/>
      <c r="C219" s="20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</row>
    <row r="220" spans="1:93" ht="12.5" x14ac:dyDescent="0.25">
      <c r="A220" s="7"/>
      <c r="B220" s="17"/>
      <c r="C220" s="20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</row>
    <row r="221" spans="1:93" ht="12.5" x14ac:dyDescent="0.25">
      <c r="A221" s="7"/>
      <c r="B221" s="17"/>
      <c r="C221" s="20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</row>
    <row r="222" spans="1:93" ht="12.5" x14ac:dyDescent="0.25">
      <c r="A222" s="7"/>
      <c r="B222" s="17"/>
      <c r="C222" s="20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</row>
    <row r="223" spans="1:93" ht="12.5" x14ac:dyDescent="0.25">
      <c r="A223" s="7"/>
      <c r="B223" s="17"/>
      <c r="C223" s="20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</row>
    <row r="224" spans="1:93" ht="12.5" x14ac:dyDescent="0.25">
      <c r="A224" s="7"/>
      <c r="B224" s="17"/>
      <c r="C224" s="20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</row>
    <row r="225" spans="1:93" ht="12.5" x14ac:dyDescent="0.25">
      <c r="A225" s="7"/>
      <c r="B225" s="17"/>
      <c r="C225" s="20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</row>
    <row r="226" spans="1:93" ht="12.5" x14ac:dyDescent="0.25">
      <c r="A226" s="7"/>
      <c r="B226" s="17"/>
      <c r="C226" s="20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</row>
    <row r="227" spans="1:93" ht="12.5" x14ac:dyDescent="0.25">
      <c r="A227" s="7"/>
      <c r="B227" s="17"/>
      <c r="C227" s="20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</row>
    <row r="228" spans="1:93" ht="12.5" x14ac:dyDescent="0.25">
      <c r="A228" s="7"/>
      <c r="B228" s="17"/>
      <c r="C228" s="20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</row>
    <row r="229" spans="1:93" ht="12.5" x14ac:dyDescent="0.25">
      <c r="A229" s="7"/>
      <c r="B229" s="17"/>
      <c r="C229" s="20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</row>
    <row r="230" spans="1:93" ht="12.5" x14ac:dyDescent="0.25">
      <c r="A230" s="7"/>
      <c r="B230" s="17"/>
      <c r="C230" s="20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</row>
    <row r="231" spans="1:93" ht="12.5" x14ac:dyDescent="0.25">
      <c r="A231" s="7"/>
      <c r="B231" s="17"/>
      <c r="C231" s="20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</row>
    <row r="232" spans="1:93" ht="12.5" x14ac:dyDescent="0.25">
      <c r="A232" s="7"/>
      <c r="B232" s="17"/>
      <c r="C232" s="20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</row>
    <row r="233" spans="1:93" ht="12.5" x14ac:dyDescent="0.25">
      <c r="A233" s="7"/>
      <c r="B233" s="17"/>
      <c r="C233" s="20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</row>
    <row r="234" spans="1:93" ht="12.5" x14ac:dyDescent="0.25">
      <c r="A234" s="7"/>
      <c r="B234" s="17"/>
      <c r="C234" s="20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</row>
    <row r="235" spans="1:93" ht="12.5" x14ac:dyDescent="0.25">
      <c r="A235" s="7"/>
      <c r="B235" s="17"/>
      <c r="C235" s="20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</row>
    <row r="236" spans="1:93" ht="12.5" x14ac:dyDescent="0.25">
      <c r="A236" s="7"/>
      <c r="B236" s="17"/>
      <c r="C236" s="20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</row>
    <row r="237" spans="1:93" ht="12.5" x14ac:dyDescent="0.25">
      <c r="A237" s="7"/>
      <c r="B237" s="17"/>
      <c r="C237" s="2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</row>
    <row r="238" spans="1:93" ht="12.5" x14ac:dyDescent="0.25">
      <c r="A238" s="7"/>
      <c r="B238" s="17"/>
      <c r="C238" s="20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</row>
    <row r="239" spans="1:93" ht="12.5" x14ac:dyDescent="0.25">
      <c r="A239" s="7"/>
      <c r="B239" s="17"/>
      <c r="C239" s="20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</row>
    <row r="240" spans="1:93" ht="12.5" x14ac:dyDescent="0.25">
      <c r="A240" s="7"/>
      <c r="B240" s="17"/>
      <c r="C240" s="20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</row>
    <row r="241" spans="1:93" ht="12.5" x14ac:dyDescent="0.25">
      <c r="A241" s="7"/>
      <c r="B241" s="17"/>
      <c r="C241" s="20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</row>
    <row r="242" spans="1:93" ht="12.5" x14ac:dyDescent="0.25">
      <c r="A242" s="7"/>
      <c r="B242" s="17"/>
      <c r="C242" s="20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</row>
    <row r="243" spans="1:93" ht="12.5" x14ac:dyDescent="0.25">
      <c r="A243" s="7"/>
      <c r="B243" s="17"/>
      <c r="C243" s="20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</row>
    <row r="244" spans="1:93" ht="12.5" x14ac:dyDescent="0.25">
      <c r="A244" s="7"/>
      <c r="B244" s="17"/>
      <c r="C244" s="20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</row>
    <row r="245" spans="1:93" ht="12.5" x14ac:dyDescent="0.25">
      <c r="A245" s="7"/>
      <c r="B245" s="17"/>
      <c r="C245" s="20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</row>
    <row r="246" spans="1:93" ht="12.5" x14ac:dyDescent="0.25">
      <c r="A246" s="7"/>
      <c r="B246" s="17"/>
      <c r="C246" s="20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</row>
    <row r="247" spans="1:93" ht="12.5" x14ac:dyDescent="0.25">
      <c r="A247" s="7"/>
      <c r="B247" s="17"/>
      <c r="C247" s="20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</row>
    <row r="248" spans="1:93" ht="12.5" x14ac:dyDescent="0.25">
      <c r="A248" s="7"/>
      <c r="B248" s="17"/>
      <c r="C248" s="20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</row>
    <row r="249" spans="1:93" ht="12.5" x14ac:dyDescent="0.25">
      <c r="A249" s="7"/>
      <c r="B249" s="17"/>
      <c r="C249" s="20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</row>
    <row r="250" spans="1:93" ht="12.5" x14ac:dyDescent="0.25">
      <c r="A250" s="7"/>
      <c r="B250" s="17"/>
      <c r="C250" s="20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</row>
    <row r="251" spans="1:93" ht="12.5" x14ac:dyDescent="0.25">
      <c r="A251" s="7"/>
      <c r="B251" s="17"/>
      <c r="C251" s="20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</row>
    <row r="252" spans="1:93" ht="12.5" x14ac:dyDescent="0.25">
      <c r="A252" s="7"/>
      <c r="B252" s="17"/>
      <c r="C252" s="20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</row>
    <row r="253" spans="1:93" ht="12.5" x14ac:dyDescent="0.25">
      <c r="A253" s="7"/>
      <c r="B253" s="17"/>
      <c r="C253" s="20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</row>
    <row r="254" spans="1:93" ht="12.5" x14ac:dyDescent="0.25">
      <c r="A254" s="7"/>
      <c r="B254" s="17"/>
      <c r="C254" s="20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</row>
    <row r="255" spans="1:93" ht="12.5" x14ac:dyDescent="0.25">
      <c r="A255" s="7"/>
      <c r="B255" s="17"/>
      <c r="C255" s="20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</row>
    <row r="256" spans="1:93" ht="12.5" x14ac:dyDescent="0.25">
      <c r="A256" s="7"/>
      <c r="B256" s="17"/>
      <c r="C256" s="20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</row>
    <row r="257" spans="1:93" ht="12.5" x14ac:dyDescent="0.25">
      <c r="A257" s="7"/>
      <c r="B257" s="17"/>
      <c r="C257" s="20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</row>
    <row r="258" spans="1:93" ht="12.5" x14ac:dyDescent="0.25">
      <c r="A258" s="7"/>
      <c r="B258" s="17"/>
      <c r="C258" s="20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</row>
    <row r="259" spans="1:93" ht="12.5" x14ac:dyDescent="0.25">
      <c r="A259" s="7"/>
      <c r="B259" s="17"/>
      <c r="C259" s="20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</row>
    <row r="260" spans="1:93" ht="12.5" x14ac:dyDescent="0.25">
      <c r="A260" s="7"/>
      <c r="B260" s="17"/>
      <c r="C260" s="20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</row>
    <row r="261" spans="1:93" ht="12.5" x14ac:dyDescent="0.25">
      <c r="A261" s="7"/>
      <c r="B261" s="17"/>
      <c r="C261" s="20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</row>
    <row r="262" spans="1:93" ht="12.5" x14ac:dyDescent="0.25">
      <c r="A262" s="7"/>
      <c r="B262" s="17"/>
      <c r="C262" s="20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</row>
    <row r="263" spans="1:93" ht="12.5" x14ac:dyDescent="0.25">
      <c r="A263" s="7"/>
      <c r="B263" s="17"/>
      <c r="C263" s="20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</row>
    <row r="264" spans="1:93" ht="12.5" x14ac:dyDescent="0.25">
      <c r="A264" s="7"/>
      <c r="B264" s="17"/>
      <c r="C264" s="20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</row>
    <row r="265" spans="1:93" ht="12.5" x14ac:dyDescent="0.25">
      <c r="A265" s="7"/>
      <c r="B265" s="17"/>
      <c r="C265" s="20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</row>
    <row r="266" spans="1:93" ht="12.5" x14ac:dyDescent="0.25">
      <c r="A266" s="7"/>
      <c r="B266" s="17"/>
      <c r="C266" s="20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</row>
    <row r="267" spans="1:93" ht="12.5" x14ac:dyDescent="0.25">
      <c r="A267" s="7"/>
      <c r="B267" s="17"/>
      <c r="C267" s="20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</row>
    <row r="268" spans="1:93" ht="12.5" x14ac:dyDescent="0.25">
      <c r="A268" s="7"/>
      <c r="B268" s="17"/>
      <c r="C268" s="20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</row>
    <row r="269" spans="1:93" ht="12.5" x14ac:dyDescent="0.25">
      <c r="A269" s="7"/>
      <c r="B269" s="17"/>
      <c r="C269" s="20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</row>
    <row r="270" spans="1:93" ht="12.5" x14ac:dyDescent="0.25">
      <c r="A270" s="7"/>
      <c r="B270" s="17"/>
      <c r="C270" s="20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</row>
    <row r="271" spans="1:93" ht="12.5" x14ac:dyDescent="0.25">
      <c r="A271" s="7"/>
      <c r="B271" s="17"/>
      <c r="C271" s="20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</row>
    <row r="272" spans="1:93" ht="12.5" x14ac:dyDescent="0.25">
      <c r="A272" s="7"/>
      <c r="B272" s="17"/>
      <c r="C272" s="20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</row>
    <row r="273" spans="1:93" ht="12.5" x14ac:dyDescent="0.25">
      <c r="A273" s="7"/>
      <c r="B273" s="17"/>
      <c r="C273" s="20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</row>
    <row r="274" spans="1:93" ht="12.5" x14ac:dyDescent="0.25">
      <c r="A274" s="7"/>
      <c r="B274" s="17"/>
      <c r="C274" s="20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</row>
    <row r="275" spans="1:93" ht="12.5" x14ac:dyDescent="0.25">
      <c r="A275" s="7"/>
      <c r="B275" s="17"/>
      <c r="C275" s="20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</row>
    <row r="276" spans="1:93" ht="12.5" x14ac:dyDescent="0.25">
      <c r="A276" s="7"/>
      <c r="B276" s="17"/>
      <c r="C276" s="20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</row>
    <row r="277" spans="1:93" ht="12.5" x14ac:dyDescent="0.25">
      <c r="A277" s="7"/>
      <c r="B277" s="17"/>
      <c r="C277" s="20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</row>
    <row r="278" spans="1:93" ht="12.5" x14ac:dyDescent="0.25">
      <c r="A278" s="7"/>
      <c r="B278" s="17"/>
      <c r="C278" s="20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</row>
    <row r="279" spans="1:93" ht="12.5" x14ac:dyDescent="0.25">
      <c r="A279" s="7"/>
      <c r="B279" s="17"/>
      <c r="C279" s="20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</row>
    <row r="280" spans="1:93" ht="12.5" x14ac:dyDescent="0.25">
      <c r="A280" s="7"/>
      <c r="B280" s="17"/>
      <c r="C280" s="20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</row>
    <row r="281" spans="1:93" ht="12.5" x14ac:dyDescent="0.25">
      <c r="A281" s="7"/>
      <c r="B281" s="17"/>
      <c r="C281" s="20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</row>
    <row r="282" spans="1:93" ht="12.5" x14ac:dyDescent="0.25">
      <c r="A282" s="7"/>
      <c r="B282" s="17"/>
      <c r="C282" s="20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</row>
    <row r="283" spans="1:93" ht="12.5" x14ac:dyDescent="0.25">
      <c r="A283" s="7"/>
      <c r="B283" s="17"/>
      <c r="C283" s="20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</row>
    <row r="284" spans="1:93" ht="12.5" x14ac:dyDescent="0.25">
      <c r="A284" s="7"/>
      <c r="B284" s="17"/>
      <c r="C284" s="20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</row>
    <row r="285" spans="1:93" ht="12.5" x14ac:dyDescent="0.25">
      <c r="A285" s="7"/>
      <c r="B285" s="17"/>
      <c r="C285" s="20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</row>
    <row r="286" spans="1:93" ht="12.5" x14ac:dyDescent="0.25">
      <c r="A286" s="7"/>
      <c r="B286" s="17"/>
      <c r="C286" s="20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</row>
    <row r="287" spans="1:93" ht="12.5" x14ac:dyDescent="0.25">
      <c r="A287" s="7"/>
      <c r="B287" s="17"/>
      <c r="C287" s="20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</row>
    <row r="288" spans="1:93" ht="12.5" x14ac:dyDescent="0.25">
      <c r="A288" s="7"/>
      <c r="B288" s="17"/>
      <c r="C288" s="20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</row>
    <row r="289" spans="1:93" ht="12.5" x14ac:dyDescent="0.25">
      <c r="A289" s="7"/>
      <c r="B289" s="17"/>
      <c r="C289" s="20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</row>
    <row r="290" spans="1:93" ht="12.5" x14ac:dyDescent="0.25">
      <c r="A290" s="7"/>
      <c r="B290" s="17"/>
      <c r="C290" s="20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</row>
    <row r="291" spans="1:93" ht="12.5" x14ac:dyDescent="0.25">
      <c r="A291" s="7"/>
      <c r="B291" s="17"/>
      <c r="C291" s="20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</row>
    <row r="292" spans="1:93" ht="12.5" x14ac:dyDescent="0.25">
      <c r="A292" s="7"/>
      <c r="B292" s="17"/>
      <c r="C292" s="20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</row>
    <row r="293" spans="1:93" ht="12.5" x14ac:dyDescent="0.25">
      <c r="A293" s="7"/>
      <c r="B293" s="17"/>
      <c r="C293" s="20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</row>
    <row r="294" spans="1:93" ht="12.5" x14ac:dyDescent="0.25">
      <c r="A294" s="7"/>
      <c r="B294" s="17"/>
      <c r="C294" s="20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</row>
    <row r="295" spans="1:93" ht="12.5" x14ac:dyDescent="0.25">
      <c r="A295" s="7"/>
      <c r="B295" s="17"/>
      <c r="C295" s="20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</row>
    <row r="296" spans="1:93" ht="12.5" x14ac:dyDescent="0.25">
      <c r="A296" s="7"/>
      <c r="B296" s="17"/>
      <c r="C296" s="20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</row>
    <row r="297" spans="1:93" ht="12.5" x14ac:dyDescent="0.25">
      <c r="A297" s="7"/>
      <c r="B297" s="17"/>
      <c r="C297" s="20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</row>
    <row r="298" spans="1:93" ht="12.5" x14ac:dyDescent="0.25">
      <c r="A298" s="7"/>
      <c r="B298" s="17"/>
      <c r="C298" s="20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</row>
    <row r="299" spans="1:93" ht="12.5" x14ac:dyDescent="0.25">
      <c r="A299" s="7"/>
      <c r="B299" s="17"/>
      <c r="C299" s="20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</row>
    <row r="300" spans="1:93" ht="12.5" x14ac:dyDescent="0.25">
      <c r="A300" s="7"/>
      <c r="B300" s="17"/>
      <c r="C300" s="20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</row>
    <row r="301" spans="1:93" ht="12.5" x14ac:dyDescent="0.25">
      <c r="A301" s="7"/>
      <c r="B301" s="17"/>
      <c r="C301" s="20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</row>
    <row r="302" spans="1:93" ht="12.5" x14ac:dyDescent="0.25">
      <c r="A302" s="7"/>
      <c r="B302" s="17"/>
      <c r="C302" s="20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</row>
    <row r="303" spans="1:93" ht="12.5" x14ac:dyDescent="0.25">
      <c r="A303" s="7"/>
      <c r="B303" s="17"/>
      <c r="C303" s="20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</row>
    <row r="304" spans="1:93" ht="12.5" x14ac:dyDescent="0.25">
      <c r="A304" s="7"/>
      <c r="B304" s="17"/>
      <c r="C304" s="20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</row>
    <row r="305" spans="1:93" ht="12.5" x14ac:dyDescent="0.25">
      <c r="A305" s="7"/>
      <c r="B305" s="17"/>
      <c r="C305" s="20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</row>
    <row r="306" spans="1:93" ht="12.5" x14ac:dyDescent="0.25">
      <c r="A306" s="7"/>
      <c r="B306" s="17"/>
      <c r="C306" s="20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</row>
    <row r="307" spans="1:93" ht="12.5" x14ac:dyDescent="0.25">
      <c r="A307" s="7"/>
      <c r="B307" s="17"/>
      <c r="C307" s="20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</row>
    <row r="308" spans="1:93" ht="12.5" x14ac:dyDescent="0.25">
      <c r="A308" s="7"/>
      <c r="B308" s="17"/>
      <c r="C308" s="20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</row>
    <row r="309" spans="1:93" ht="12.5" x14ac:dyDescent="0.25">
      <c r="A309" s="7"/>
      <c r="B309" s="17"/>
      <c r="C309" s="20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</row>
    <row r="310" spans="1:93" ht="12.5" x14ac:dyDescent="0.25">
      <c r="A310" s="7"/>
      <c r="B310" s="17"/>
      <c r="C310" s="20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</row>
    <row r="311" spans="1:93" ht="12.5" x14ac:dyDescent="0.25">
      <c r="A311" s="7"/>
      <c r="B311" s="17"/>
      <c r="C311" s="20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</row>
    <row r="312" spans="1:93" ht="12.5" x14ac:dyDescent="0.25">
      <c r="A312" s="7"/>
      <c r="B312" s="17"/>
      <c r="C312" s="20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</row>
    <row r="313" spans="1:93" ht="12.5" x14ac:dyDescent="0.25">
      <c r="A313" s="7"/>
      <c r="B313" s="17"/>
      <c r="C313" s="20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</row>
    <row r="314" spans="1:93" ht="12.5" x14ac:dyDescent="0.25">
      <c r="A314" s="7"/>
      <c r="B314" s="17"/>
      <c r="C314" s="20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</row>
    <row r="315" spans="1:93" ht="12.5" x14ac:dyDescent="0.25">
      <c r="A315" s="7"/>
      <c r="B315" s="17"/>
      <c r="C315" s="20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</row>
    <row r="316" spans="1:93" ht="12.5" x14ac:dyDescent="0.25">
      <c r="A316" s="7"/>
      <c r="B316" s="17"/>
      <c r="C316" s="20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</row>
    <row r="317" spans="1:93" ht="12.5" x14ac:dyDescent="0.25">
      <c r="A317" s="7"/>
      <c r="B317" s="17"/>
      <c r="C317" s="20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</row>
    <row r="318" spans="1:93" ht="12.5" x14ac:dyDescent="0.25">
      <c r="A318" s="7"/>
      <c r="B318" s="17"/>
      <c r="C318" s="20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</row>
    <row r="319" spans="1:93" ht="12.5" x14ac:dyDescent="0.25">
      <c r="A319" s="7"/>
      <c r="B319" s="17"/>
      <c r="C319" s="20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</row>
    <row r="320" spans="1:93" ht="12.5" x14ac:dyDescent="0.25">
      <c r="A320" s="7"/>
      <c r="B320" s="17"/>
      <c r="C320" s="20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</row>
    <row r="321" spans="1:93" ht="12.5" x14ac:dyDescent="0.25">
      <c r="A321" s="7"/>
      <c r="B321" s="17"/>
      <c r="C321" s="20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</row>
    <row r="322" spans="1:93" ht="12.5" x14ac:dyDescent="0.25">
      <c r="A322" s="7"/>
      <c r="B322" s="17"/>
      <c r="C322" s="20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</row>
    <row r="323" spans="1:93" ht="12.5" x14ac:dyDescent="0.25">
      <c r="A323" s="7"/>
      <c r="B323" s="17"/>
      <c r="C323" s="20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</row>
    <row r="324" spans="1:93" ht="12.5" x14ac:dyDescent="0.25">
      <c r="A324" s="7"/>
      <c r="B324" s="17"/>
      <c r="C324" s="20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</row>
    <row r="325" spans="1:93" ht="12.5" x14ac:dyDescent="0.25">
      <c r="A325" s="7"/>
      <c r="B325" s="17"/>
      <c r="C325" s="20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</row>
    <row r="326" spans="1:93" ht="12.5" x14ac:dyDescent="0.25">
      <c r="A326" s="7"/>
      <c r="B326" s="17"/>
      <c r="C326" s="20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</row>
    <row r="327" spans="1:93" ht="12.5" x14ac:dyDescent="0.25">
      <c r="A327" s="7"/>
      <c r="B327" s="17"/>
      <c r="C327" s="20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</row>
    <row r="328" spans="1:93" ht="12.5" x14ac:dyDescent="0.25">
      <c r="A328" s="7"/>
      <c r="B328" s="17"/>
      <c r="C328" s="20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</row>
    <row r="329" spans="1:93" ht="12.5" x14ac:dyDescent="0.25">
      <c r="A329" s="7"/>
      <c r="B329" s="17"/>
      <c r="C329" s="20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</row>
    <row r="330" spans="1:93" ht="12.5" x14ac:dyDescent="0.25">
      <c r="A330" s="7"/>
      <c r="B330" s="17"/>
      <c r="C330" s="20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</row>
    <row r="331" spans="1:93" ht="12.5" x14ac:dyDescent="0.25">
      <c r="A331" s="7"/>
      <c r="B331" s="17"/>
      <c r="C331" s="20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</row>
    <row r="332" spans="1:93" ht="12.5" x14ac:dyDescent="0.25">
      <c r="A332" s="7"/>
      <c r="B332" s="17"/>
      <c r="C332" s="20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</row>
    <row r="333" spans="1:93" ht="12.5" x14ac:dyDescent="0.25">
      <c r="A333" s="7"/>
      <c r="B333" s="17"/>
      <c r="C333" s="20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</row>
    <row r="334" spans="1:93" ht="12.5" x14ac:dyDescent="0.25">
      <c r="A334" s="7"/>
      <c r="B334" s="17"/>
      <c r="C334" s="20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</row>
    <row r="335" spans="1:93" ht="12.5" x14ac:dyDescent="0.25">
      <c r="A335" s="7"/>
      <c r="B335" s="17"/>
      <c r="C335" s="20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</row>
    <row r="336" spans="1:93" ht="12.5" x14ac:dyDescent="0.25">
      <c r="A336" s="7"/>
      <c r="B336" s="17"/>
      <c r="C336" s="20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</row>
    <row r="337" spans="1:93" ht="12.5" x14ac:dyDescent="0.25">
      <c r="A337" s="7"/>
      <c r="B337" s="17"/>
      <c r="C337" s="20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</row>
    <row r="338" spans="1:93" ht="12.5" x14ac:dyDescent="0.25">
      <c r="A338" s="7"/>
      <c r="B338" s="17"/>
      <c r="C338" s="20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</row>
    <row r="339" spans="1:93" ht="12.5" x14ac:dyDescent="0.25">
      <c r="A339" s="7"/>
      <c r="B339" s="17"/>
      <c r="C339" s="20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</row>
    <row r="340" spans="1:93" ht="12.5" x14ac:dyDescent="0.25">
      <c r="A340" s="7"/>
      <c r="B340" s="17"/>
      <c r="C340" s="20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</row>
    <row r="341" spans="1:93" ht="12.5" x14ac:dyDescent="0.25">
      <c r="A341" s="7"/>
      <c r="B341" s="17"/>
      <c r="C341" s="20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</row>
    <row r="342" spans="1:93" ht="12.5" x14ac:dyDescent="0.25">
      <c r="A342" s="7"/>
      <c r="B342" s="17"/>
      <c r="C342" s="20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</row>
    <row r="343" spans="1:93" ht="12.5" x14ac:dyDescent="0.25">
      <c r="A343" s="7"/>
      <c r="B343" s="17"/>
      <c r="C343" s="20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</row>
    <row r="344" spans="1:93" ht="12.5" x14ac:dyDescent="0.25">
      <c r="A344" s="7"/>
      <c r="B344" s="17"/>
      <c r="C344" s="20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</row>
    <row r="345" spans="1:93" ht="12.5" x14ac:dyDescent="0.25">
      <c r="A345" s="7"/>
      <c r="B345" s="17"/>
      <c r="C345" s="20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</row>
    <row r="346" spans="1:93" ht="12.5" x14ac:dyDescent="0.25">
      <c r="A346" s="7"/>
      <c r="B346" s="17"/>
      <c r="C346" s="20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</row>
    <row r="347" spans="1:93" ht="12.5" x14ac:dyDescent="0.25">
      <c r="A347" s="7"/>
      <c r="B347" s="17"/>
      <c r="C347" s="20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</row>
    <row r="348" spans="1:93" ht="12.5" x14ac:dyDescent="0.25">
      <c r="A348" s="7"/>
      <c r="B348" s="17"/>
      <c r="C348" s="20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</row>
    <row r="349" spans="1:93" ht="12.5" x14ac:dyDescent="0.25">
      <c r="A349" s="7"/>
      <c r="B349" s="17"/>
      <c r="C349" s="20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</row>
    <row r="350" spans="1:93" ht="12.5" x14ac:dyDescent="0.25">
      <c r="A350" s="7"/>
      <c r="B350" s="17"/>
      <c r="C350" s="20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</row>
    <row r="351" spans="1:93" ht="12.5" x14ac:dyDescent="0.25">
      <c r="A351" s="7"/>
      <c r="B351" s="17"/>
      <c r="C351" s="20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</row>
    <row r="352" spans="1:93" ht="12.5" x14ac:dyDescent="0.25">
      <c r="A352" s="7"/>
      <c r="B352" s="17"/>
      <c r="C352" s="20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</row>
    <row r="353" spans="1:93" ht="12.5" x14ac:dyDescent="0.25">
      <c r="A353" s="7"/>
      <c r="B353" s="17"/>
      <c r="C353" s="20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</row>
    <row r="354" spans="1:93" ht="12.5" x14ac:dyDescent="0.25">
      <c r="A354" s="7"/>
      <c r="B354" s="17"/>
      <c r="C354" s="20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</row>
    <row r="355" spans="1:93" ht="12.5" x14ac:dyDescent="0.25">
      <c r="A355" s="7"/>
      <c r="B355" s="17"/>
      <c r="C355" s="20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</row>
    <row r="356" spans="1:93" ht="12.5" x14ac:dyDescent="0.25">
      <c r="A356" s="7"/>
      <c r="B356" s="17"/>
      <c r="C356" s="20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</row>
    <row r="357" spans="1:93" ht="12.5" x14ac:dyDescent="0.25">
      <c r="A357" s="7"/>
      <c r="B357" s="17"/>
      <c r="C357" s="20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</row>
    <row r="358" spans="1:93" ht="12.5" x14ac:dyDescent="0.25">
      <c r="A358" s="7"/>
      <c r="B358" s="17"/>
      <c r="C358" s="20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</row>
    <row r="359" spans="1:93" ht="12.5" x14ac:dyDescent="0.25">
      <c r="A359" s="7"/>
      <c r="B359" s="17"/>
      <c r="C359" s="20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</row>
    <row r="360" spans="1:93" ht="12.5" x14ac:dyDescent="0.25">
      <c r="A360" s="7"/>
      <c r="B360" s="17"/>
      <c r="C360" s="20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</row>
    <row r="361" spans="1:93" ht="12.5" x14ac:dyDescent="0.25">
      <c r="A361" s="7"/>
      <c r="B361" s="17"/>
      <c r="C361" s="20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</row>
    <row r="362" spans="1:93" ht="12.5" x14ac:dyDescent="0.25">
      <c r="A362" s="7"/>
      <c r="B362" s="17"/>
      <c r="C362" s="20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</row>
    <row r="363" spans="1:93" ht="12.5" x14ac:dyDescent="0.25">
      <c r="A363" s="7"/>
      <c r="B363" s="17"/>
      <c r="C363" s="2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</row>
    <row r="364" spans="1:93" ht="12.5" x14ac:dyDescent="0.25">
      <c r="A364" s="7"/>
      <c r="B364" s="17"/>
      <c r="C364" s="20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</row>
    <row r="365" spans="1:93" ht="12.5" x14ac:dyDescent="0.25">
      <c r="A365" s="7"/>
      <c r="B365" s="17"/>
      <c r="C365" s="20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</row>
    <row r="366" spans="1:93" ht="12.5" x14ac:dyDescent="0.25">
      <c r="A366" s="7"/>
      <c r="B366" s="17"/>
      <c r="C366" s="20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</row>
    <row r="367" spans="1:93" ht="12.5" x14ac:dyDescent="0.25">
      <c r="A367" s="7"/>
      <c r="B367" s="17"/>
      <c r="C367" s="20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</row>
    <row r="368" spans="1:93" ht="12.5" x14ac:dyDescent="0.25">
      <c r="A368" s="7"/>
      <c r="B368" s="17"/>
      <c r="C368" s="20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</row>
    <row r="369" spans="1:93" ht="12.5" x14ac:dyDescent="0.25">
      <c r="A369" s="7"/>
      <c r="B369" s="17"/>
      <c r="C369" s="2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</row>
    <row r="370" spans="1:93" ht="12.5" x14ac:dyDescent="0.25">
      <c r="A370" s="7"/>
      <c r="B370" s="17"/>
      <c r="C370" s="20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</row>
    <row r="371" spans="1:93" ht="12.5" x14ac:dyDescent="0.25">
      <c r="A371" s="7"/>
      <c r="B371" s="17"/>
      <c r="C371" s="2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</row>
    <row r="372" spans="1:93" ht="12.5" x14ac:dyDescent="0.25">
      <c r="A372" s="7"/>
      <c r="B372" s="17"/>
      <c r="C372" s="2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</row>
    <row r="373" spans="1:93" ht="12.5" x14ac:dyDescent="0.25">
      <c r="A373" s="7"/>
      <c r="B373" s="17"/>
      <c r="C373" s="20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</row>
    <row r="374" spans="1:93" ht="12.5" x14ac:dyDescent="0.25">
      <c r="A374" s="7"/>
      <c r="B374" s="17"/>
      <c r="C374" s="20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</row>
    <row r="375" spans="1:93" ht="12.5" x14ac:dyDescent="0.25">
      <c r="A375" s="7"/>
      <c r="B375" s="17"/>
      <c r="C375" s="20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</row>
    <row r="376" spans="1:93" ht="12.5" x14ac:dyDescent="0.25">
      <c r="A376" s="7"/>
      <c r="B376" s="17"/>
      <c r="C376" s="20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</row>
    <row r="377" spans="1:93" ht="12.5" x14ac:dyDescent="0.25">
      <c r="A377" s="7"/>
      <c r="B377" s="17"/>
      <c r="C377" s="20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</row>
    <row r="378" spans="1:93" ht="12.5" x14ac:dyDescent="0.25">
      <c r="A378" s="7"/>
      <c r="B378" s="17"/>
      <c r="C378" s="20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</row>
    <row r="379" spans="1:93" ht="12.5" x14ac:dyDescent="0.25">
      <c r="A379" s="7"/>
      <c r="B379" s="17"/>
      <c r="C379" s="20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</row>
    <row r="380" spans="1:93" ht="12.5" x14ac:dyDescent="0.25">
      <c r="A380" s="7"/>
      <c r="B380" s="17"/>
      <c r="C380" s="20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</row>
    <row r="381" spans="1:93" ht="12.5" x14ac:dyDescent="0.25">
      <c r="A381" s="7"/>
      <c r="B381" s="17"/>
      <c r="C381" s="20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</row>
    <row r="382" spans="1:93" ht="12.5" x14ac:dyDescent="0.25">
      <c r="A382" s="7"/>
      <c r="B382" s="17"/>
      <c r="C382" s="20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</row>
    <row r="383" spans="1:93" ht="12.5" x14ac:dyDescent="0.25">
      <c r="A383" s="7"/>
      <c r="B383" s="17"/>
      <c r="C383" s="20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</row>
    <row r="384" spans="1:93" ht="12.5" x14ac:dyDescent="0.25">
      <c r="A384" s="7"/>
      <c r="B384" s="17"/>
      <c r="C384" s="20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</row>
    <row r="385" spans="1:93" ht="12.5" x14ac:dyDescent="0.25">
      <c r="A385" s="7"/>
      <c r="B385" s="17"/>
      <c r="C385" s="20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</row>
    <row r="386" spans="1:93" ht="12.5" x14ac:dyDescent="0.25">
      <c r="A386" s="7"/>
      <c r="B386" s="17"/>
      <c r="C386" s="20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</row>
    <row r="387" spans="1:93" ht="12.5" x14ac:dyDescent="0.25">
      <c r="A387" s="7"/>
      <c r="B387" s="17"/>
      <c r="C387" s="20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</row>
    <row r="388" spans="1:93" ht="12.5" x14ac:dyDescent="0.25">
      <c r="A388" s="7"/>
      <c r="B388" s="17"/>
      <c r="C388" s="20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</row>
    <row r="389" spans="1:93" ht="12.5" x14ac:dyDescent="0.25">
      <c r="A389" s="7"/>
      <c r="B389" s="17"/>
      <c r="C389" s="20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</row>
    <row r="390" spans="1:93" ht="12.5" x14ac:dyDescent="0.25">
      <c r="A390" s="7"/>
      <c r="B390" s="17"/>
      <c r="C390" s="20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</row>
    <row r="391" spans="1:93" ht="12.5" x14ac:dyDescent="0.25">
      <c r="A391" s="7"/>
      <c r="B391" s="17"/>
      <c r="C391" s="20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</row>
    <row r="392" spans="1:93" ht="12.5" x14ac:dyDescent="0.25">
      <c r="A392" s="7"/>
      <c r="B392" s="17"/>
      <c r="C392" s="20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</row>
    <row r="393" spans="1:93" ht="12.5" x14ac:dyDescent="0.25">
      <c r="A393" s="7"/>
      <c r="B393" s="17"/>
      <c r="C393" s="20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</row>
    <row r="394" spans="1:93" ht="12.5" x14ac:dyDescent="0.25">
      <c r="A394" s="7"/>
      <c r="B394" s="17"/>
      <c r="C394" s="20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</row>
    <row r="395" spans="1:93" ht="12.5" x14ac:dyDescent="0.25">
      <c r="A395" s="7"/>
      <c r="B395" s="17"/>
      <c r="C395" s="20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</row>
    <row r="396" spans="1:93" ht="12.5" x14ac:dyDescent="0.25">
      <c r="A396" s="7"/>
      <c r="B396" s="17"/>
      <c r="C396" s="20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</row>
    <row r="397" spans="1:93" ht="12.5" x14ac:dyDescent="0.25">
      <c r="A397" s="7"/>
      <c r="B397" s="17"/>
      <c r="C397" s="20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</row>
    <row r="398" spans="1:93" ht="12.5" x14ac:dyDescent="0.25">
      <c r="A398" s="7"/>
      <c r="B398" s="17"/>
      <c r="C398" s="20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</row>
    <row r="399" spans="1:93" ht="12.5" x14ac:dyDescent="0.25">
      <c r="A399" s="7"/>
      <c r="B399" s="17"/>
      <c r="C399" s="20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</row>
    <row r="400" spans="1:93" ht="12.5" x14ac:dyDescent="0.25">
      <c r="A400" s="7"/>
      <c r="B400" s="17"/>
      <c r="C400" s="20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</row>
    <row r="401" spans="1:93" ht="12.5" x14ac:dyDescent="0.25">
      <c r="A401" s="7"/>
      <c r="B401" s="17"/>
      <c r="C401" s="20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</row>
    <row r="402" spans="1:93" ht="12.5" x14ac:dyDescent="0.25">
      <c r="A402" s="7"/>
      <c r="B402" s="17"/>
      <c r="C402" s="20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</row>
    <row r="403" spans="1:93" ht="12.5" x14ac:dyDescent="0.25">
      <c r="A403" s="7"/>
      <c r="B403" s="17"/>
      <c r="C403" s="20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</row>
    <row r="404" spans="1:93" ht="12.5" x14ac:dyDescent="0.25">
      <c r="A404" s="7"/>
      <c r="B404" s="17"/>
      <c r="C404" s="20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</row>
    <row r="405" spans="1:93" ht="12.5" x14ac:dyDescent="0.25">
      <c r="A405" s="7"/>
      <c r="B405" s="17"/>
      <c r="C405" s="20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</row>
    <row r="406" spans="1:93" ht="12.5" x14ac:dyDescent="0.25">
      <c r="A406" s="7"/>
      <c r="B406" s="17"/>
      <c r="C406" s="20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</row>
    <row r="407" spans="1:93" ht="12.5" x14ac:dyDescent="0.25">
      <c r="A407" s="7"/>
      <c r="B407" s="17"/>
      <c r="C407" s="20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</row>
    <row r="408" spans="1:93" ht="12.5" x14ac:dyDescent="0.25">
      <c r="A408" s="7"/>
      <c r="B408" s="17"/>
      <c r="C408" s="20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</row>
    <row r="409" spans="1:93" ht="12.5" x14ac:dyDescent="0.25">
      <c r="A409" s="7"/>
      <c r="B409" s="17"/>
      <c r="C409" s="20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</row>
    <row r="410" spans="1:93" ht="12.5" x14ac:dyDescent="0.25">
      <c r="A410" s="7"/>
      <c r="B410" s="17"/>
      <c r="C410" s="20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</row>
    <row r="411" spans="1:93" ht="12.5" x14ac:dyDescent="0.25">
      <c r="A411" s="7"/>
      <c r="B411" s="17"/>
      <c r="C411" s="20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</row>
    <row r="412" spans="1:93" ht="12.5" x14ac:dyDescent="0.25">
      <c r="A412" s="7"/>
      <c r="B412" s="17"/>
      <c r="C412" s="20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</row>
    <row r="413" spans="1:93" ht="12.5" x14ac:dyDescent="0.25">
      <c r="A413" s="7"/>
      <c r="B413" s="17"/>
      <c r="C413" s="20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</row>
    <row r="414" spans="1:93" ht="12.5" x14ac:dyDescent="0.25">
      <c r="A414" s="7"/>
      <c r="B414" s="17"/>
      <c r="C414" s="20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</row>
    <row r="415" spans="1:93" ht="12.5" x14ac:dyDescent="0.25">
      <c r="A415" s="7"/>
      <c r="B415" s="17"/>
      <c r="C415" s="20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</row>
    <row r="416" spans="1:93" ht="12.5" x14ac:dyDescent="0.25">
      <c r="A416" s="7"/>
      <c r="B416" s="17"/>
      <c r="C416" s="20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</row>
    <row r="417" spans="1:93" ht="12.5" x14ac:dyDescent="0.25">
      <c r="A417" s="7"/>
      <c r="B417" s="17"/>
      <c r="C417" s="20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</row>
    <row r="418" spans="1:93" ht="12.5" x14ac:dyDescent="0.25">
      <c r="A418" s="7"/>
      <c r="B418" s="17"/>
      <c r="C418" s="20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</row>
    <row r="419" spans="1:93" ht="12.5" x14ac:dyDescent="0.25">
      <c r="A419" s="7"/>
      <c r="B419" s="17"/>
      <c r="C419" s="20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</row>
    <row r="420" spans="1:93" ht="12.5" x14ac:dyDescent="0.25">
      <c r="A420" s="7"/>
      <c r="B420" s="17"/>
      <c r="C420" s="20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</row>
    <row r="421" spans="1:93" ht="12.5" x14ac:dyDescent="0.25">
      <c r="A421" s="7"/>
      <c r="B421" s="17"/>
      <c r="C421" s="20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</row>
    <row r="422" spans="1:93" ht="12.5" x14ac:dyDescent="0.25">
      <c r="A422" s="7"/>
      <c r="B422" s="17"/>
      <c r="C422" s="20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</row>
    <row r="423" spans="1:93" ht="12.5" x14ac:dyDescent="0.25">
      <c r="A423" s="7"/>
      <c r="B423" s="17"/>
      <c r="C423" s="20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</row>
    <row r="424" spans="1:93" ht="12.5" x14ac:dyDescent="0.25">
      <c r="A424" s="7"/>
      <c r="B424" s="17"/>
      <c r="C424" s="20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</row>
    <row r="425" spans="1:93" ht="12.5" x14ac:dyDescent="0.25">
      <c r="A425" s="7"/>
      <c r="B425" s="17"/>
      <c r="C425" s="20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</row>
    <row r="426" spans="1:93" ht="12.5" x14ac:dyDescent="0.25">
      <c r="A426" s="7"/>
      <c r="B426" s="17"/>
      <c r="C426" s="20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</row>
    <row r="427" spans="1:93" ht="12.5" x14ac:dyDescent="0.25">
      <c r="A427" s="7"/>
      <c r="B427" s="17"/>
      <c r="C427" s="20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</row>
    <row r="428" spans="1:93" ht="12.5" x14ac:dyDescent="0.25">
      <c r="A428" s="7"/>
      <c r="B428" s="17"/>
      <c r="C428" s="20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</row>
    <row r="429" spans="1:93" ht="12.5" x14ac:dyDescent="0.25">
      <c r="A429" s="7"/>
      <c r="B429" s="17"/>
      <c r="C429" s="20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</row>
    <row r="430" spans="1:93" ht="12.5" x14ac:dyDescent="0.25">
      <c r="A430" s="7"/>
      <c r="B430" s="17"/>
      <c r="C430" s="20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</row>
    <row r="431" spans="1:93" ht="12.5" x14ac:dyDescent="0.25">
      <c r="A431" s="7"/>
      <c r="B431" s="17"/>
      <c r="C431" s="20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</row>
    <row r="432" spans="1:93" ht="12.5" x14ac:dyDescent="0.25">
      <c r="A432" s="7"/>
      <c r="B432" s="17"/>
      <c r="C432" s="20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</row>
    <row r="433" spans="1:93" ht="12.5" x14ac:dyDescent="0.25">
      <c r="A433" s="7"/>
      <c r="B433" s="17"/>
      <c r="C433" s="20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</row>
    <row r="434" spans="1:93" ht="12.5" x14ac:dyDescent="0.25">
      <c r="A434" s="7"/>
      <c r="B434" s="17"/>
      <c r="C434" s="20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</row>
    <row r="435" spans="1:93" ht="12.5" x14ac:dyDescent="0.25">
      <c r="A435" s="7"/>
      <c r="B435" s="17"/>
      <c r="C435" s="20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</row>
    <row r="436" spans="1:93" ht="12.5" x14ac:dyDescent="0.25">
      <c r="A436" s="7"/>
      <c r="B436" s="17"/>
      <c r="C436" s="20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</row>
    <row r="437" spans="1:93" ht="12.5" x14ac:dyDescent="0.25">
      <c r="A437" s="7"/>
      <c r="B437" s="17"/>
      <c r="C437" s="20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</row>
    <row r="438" spans="1:93" ht="12.5" x14ac:dyDescent="0.25">
      <c r="A438" s="7"/>
      <c r="B438" s="17"/>
      <c r="C438" s="20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</row>
    <row r="439" spans="1:93" ht="12.5" x14ac:dyDescent="0.25">
      <c r="A439" s="7"/>
      <c r="B439" s="17"/>
      <c r="C439" s="20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</row>
    <row r="440" spans="1:93" ht="12.5" x14ac:dyDescent="0.25">
      <c r="A440" s="7"/>
      <c r="B440" s="17"/>
      <c r="C440" s="20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</row>
    <row r="441" spans="1:93" ht="12.5" x14ac:dyDescent="0.25">
      <c r="A441" s="7"/>
      <c r="B441" s="17"/>
      <c r="C441" s="20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</row>
    <row r="442" spans="1:93" ht="12.5" x14ac:dyDescent="0.25">
      <c r="A442" s="7"/>
      <c r="B442" s="17"/>
      <c r="C442" s="20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</row>
    <row r="443" spans="1:93" ht="12.5" x14ac:dyDescent="0.25">
      <c r="A443" s="7"/>
      <c r="B443" s="17"/>
      <c r="C443" s="20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</row>
    <row r="444" spans="1:93" ht="12.5" x14ac:dyDescent="0.25">
      <c r="A444" s="7"/>
      <c r="B444" s="17"/>
      <c r="C444" s="20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</row>
    <row r="445" spans="1:93" ht="12.5" x14ac:dyDescent="0.25">
      <c r="A445" s="7"/>
      <c r="B445" s="17"/>
      <c r="C445" s="20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</row>
    <row r="446" spans="1:93" ht="12.5" x14ac:dyDescent="0.25">
      <c r="A446" s="7"/>
      <c r="B446" s="17"/>
      <c r="C446" s="20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</row>
    <row r="447" spans="1:93" ht="12.5" x14ac:dyDescent="0.25">
      <c r="A447" s="7"/>
      <c r="B447" s="17"/>
      <c r="C447" s="20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</row>
    <row r="448" spans="1:93" ht="12.5" x14ac:dyDescent="0.25">
      <c r="A448" s="7"/>
      <c r="B448" s="17"/>
      <c r="C448" s="20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</row>
    <row r="449" spans="1:93" ht="12.5" x14ac:dyDescent="0.25">
      <c r="A449" s="7"/>
      <c r="B449" s="17"/>
      <c r="C449" s="20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</row>
    <row r="450" spans="1:93" ht="12.5" x14ac:dyDescent="0.25">
      <c r="A450" s="7"/>
      <c r="B450" s="17"/>
      <c r="C450" s="20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</row>
    <row r="451" spans="1:93" ht="12.5" x14ac:dyDescent="0.25">
      <c r="A451" s="7"/>
      <c r="B451" s="17"/>
      <c r="C451" s="20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</row>
    <row r="452" spans="1:93" ht="12.5" x14ac:dyDescent="0.25">
      <c r="A452" s="7"/>
      <c r="B452" s="17"/>
      <c r="C452" s="20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</row>
    <row r="453" spans="1:93" ht="12.5" x14ac:dyDescent="0.25">
      <c r="A453" s="7"/>
      <c r="B453" s="17"/>
      <c r="C453" s="20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</row>
    <row r="454" spans="1:93" ht="12.5" x14ac:dyDescent="0.25">
      <c r="A454" s="7"/>
      <c r="B454" s="17"/>
      <c r="C454" s="20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</row>
    <row r="455" spans="1:93" ht="12.5" x14ac:dyDescent="0.25">
      <c r="A455" s="7"/>
      <c r="B455" s="17"/>
      <c r="C455" s="20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</row>
    <row r="456" spans="1:93" ht="12.5" x14ac:dyDescent="0.25">
      <c r="A456" s="7"/>
      <c r="B456" s="17"/>
      <c r="C456" s="20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</row>
    <row r="457" spans="1:93" ht="12.5" x14ac:dyDescent="0.25">
      <c r="A457" s="7"/>
      <c r="B457" s="17"/>
      <c r="C457" s="20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</row>
    <row r="458" spans="1:93" ht="12.5" x14ac:dyDescent="0.25">
      <c r="A458" s="7"/>
      <c r="B458" s="17"/>
      <c r="C458" s="20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</row>
    <row r="459" spans="1:93" ht="12.5" x14ac:dyDescent="0.25">
      <c r="A459" s="7"/>
      <c r="B459" s="17"/>
      <c r="C459" s="20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</row>
    <row r="460" spans="1:93" ht="12.5" x14ac:dyDescent="0.25">
      <c r="A460" s="7"/>
      <c r="B460" s="17"/>
      <c r="C460" s="20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</row>
    <row r="461" spans="1:93" ht="12.5" x14ac:dyDescent="0.25">
      <c r="A461" s="7"/>
      <c r="B461" s="17"/>
      <c r="C461" s="20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</row>
    <row r="462" spans="1:93" ht="12.5" x14ac:dyDescent="0.25">
      <c r="A462" s="7"/>
      <c r="B462" s="17"/>
      <c r="C462" s="20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</row>
    <row r="463" spans="1:93" ht="12.5" x14ac:dyDescent="0.25">
      <c r="A463" s="7"/>
      <c r="B463" s="17"/>
      <c r="C463" s="20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</row>
    <row r="464" spans="1:93" ht="12.5" x14ac:dyDescent="0.25">
      <c r="A464" s="7"/>
      <c r="B464" s="17"/>
      <c r="C464" s="20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</row>
    <row r="465" spans="1:93" ht="12.5" x14ac:dyDescent="0.25">
      <c r="A465" s="7"/>
      <c r="B465" s="17"/>
      <c r="C465" s="20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</row>
    <row r="466" spans="1:93" ht="12.5" x14ac:dyDescent="0.25">
      <c r="A466" s="7"/>
      <c r="B466" s="17"/>
      <c r="C466" s="20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</row>
    <row r="467" spans="1:93" ht="12.5" x14ac:dyDescent="0.25">
      <c r="A467" s="7"/>
      <c r="B467" s="17"/>
      <c r="C467" s="20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</row>
    <row r="468" spans="1:93" ht="12.5" x14ac:dyDescent="0.25">
      <c r="A468" s="7"/>
      <c r="B468" s="17"/>
      <c r="C468" s="20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</row>
    <row r="469" spans="1:93" ht="12.5" x14ac:dyDescent="0.25">
      <c r="A469" s="7"/>
      <c r="B469" s="17"/>
      <c r="C469" s="20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</row>
    <row r="470" spans="1:93" ht="12.5" x14ac:dyDescent="0.25">
      <c r="A470" s="7"/>
      <c r="B470" s="17"/>
      <c r="C470" s="20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</row>
    <row r="471" spans="1:93" ht="12.5" x14ac:dyDescent="0.25">
      <c r="A471" s="7"/>
      <c r="B471" s="17"/>
      <c r="C471" s="20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</row>
    <row r="472" spans="1:93" ht="12.5" x14ac:dyDescent="0.25">
      <c r="A472" s="7"/>
      <c r="B472" s="17"/>
      <c r="C472" s="20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</row>
    <row r="473" spans="1:93" ht="12.5" x14ac:dyDescent="0.25">
      <c r="A473" s="7"/>
      <c r="B473" s="17"/>
      <c r="C473" s="20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</row>
    <row r="474" spans="1:93" ht="12.5" x14ac:dyDescent="0.25">
      <c r="A474" s="7"/>
      <c r="B474" s="17"/>
      <c r="C474" s="20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</row>
    <row r="475" spans="1:93" ht="12.5" x14ac:dyDescent="0.25">
      <c r="A475" s="7"/>
      <c r="B475" s="17"/>
      <c r="C475" s="20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</row>
    <row r="476" spans="1:93" ht="12.5" x14ac:dyDescent="0.25">
      <c r="A476" s="7"/>
      <c r="B476" s="17"/>
      <c r="C476" s="20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</row>
    <row r="477" spans="1:93" ht="12.5" x14ac:dyDescent="0.25">
      <c r="A477" s="7"/>
      <c r="B477" s="17"/>
      <c r="C477" s="20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</row>
    <row r="478" spans="1:93" ht="12.5" x14ac:dyDescent="0.25">
      <c r="A478" s="7"/>
      <c r="B478" s="17"/>
      <c r="C478" s="20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</row>
    <row r="479" spans="1:93" ht="12.5" x14ac:dyDescent="0.25">
      <c r="A479" s="7"/>
      <c r="B479" s="17"/>
      <c r="C479" s="20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</row>
    <row r="480" spans="1:93" ht="12.5" x14ac:dyDescent="0.25">
      <c r="A480" s="7"/>
      <c r="B480" s="17"/>
      <c r="C480" s="20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</row>
    <row r="481" spans="1:93" ht="12.5" x14ac:dyDescent="0.25">
      <c r="A481" s="7"/>
      <c r="B481" s="17"/>
      <c r="C481" s="20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</row>
    <row r="482" spans="1:93" ht="12.5" x14ac:dyDescent="0.25">
      <c r="A482" s="7"/>
      <c r="B482" s="17"/>
      <c r="C482" s="20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</row>
    <row r="483" spans="1:93" ht="12.5" x14ac:dyDescent="0.25">
      <c r="A483" s="7"/>
      <c r="B483" s="17"/>
      <c r="C483" s="20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</row>
    <row r="484" spans="1:93" ht="12.5" x14ac:dyDescent="0.25">
      <c r="A484" s="7"/>
      <c r="B484" s="17"/>
      <c r="C484" s="20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</row>
    <row r="485" spans="1:93" ht="12.5" x14ac:dyDescent="0.25">
      <c r="A485" s="7"/>
      <c r="B485" s="17"/>
      <c r="C485" s="20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</row>
    <row r="486" spans="1:93" ht="12.5" x14ac:dyDescent="0.25">
      <c r="A486" s="7"/>
      <c r="B486" s="17"/>
      <c r="C486" s="20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</row>
    <row r="487" spans="1:93" ht="12.5" x14ac:dyDescent="0.25">
      <c r="A487" s="7"/>
      <c r="B487" s="17"/>
      <c r="C487" s="20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</row>
    <row r="488" spans="1:93" ht="12.5" x14ac:dyDescent="0.25">
      <c r="A488" s="7"/>
      <c r="B488" s="17"/>
      <c r="C488" s="20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</row>
    <row r="489" spans="1:93" ht="12.5" x14ac:dyDescent="0.25">
      <c r="A489" s="7"/>
      <c r="B489" s="17"/>
      <c r="C489" s="20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</row>
    <row r="490" spans="1:93" ht="12.5" x14ac:dyDescent="0.25">
      <c r="A490" s="7"/>
      <c r="B490" s="17"/>
      <c r="C490" s="20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</row>
    <row r="491" spans="1:93" ht="12.5" x14ac:dyDescent="0.25">
      <c r="A491" s="7"/>
      <c r="B491" s="17"/>
      <c r="C491" s="20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</row>
    <row r="492" spans="1:93" ht="12.5" x14ac:dyDescent="0.25">
      <c r="A492" s="7"/>
      <c r="B492" s="17"/>
      <c r="C492" s="20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</row>
    <row r="493" spans="1:93" ht="12.5" x14ac:dyDescent="0.25">
      <c r="A493" s="7"/>
      <c r="B493" s="17"/>
      <c r="C493" s="20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</row>
    <row r="494" spans="1:93" ht="12.5" x14ac:dyDescent="0.25">
      <c r="A494" s="7"/>
      <c r="B494" s="17"/>
      <c r="C494" s="20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</row>
    <row r="495" spans="1:93" ht="12.5" x14ac:dyDescent="0.25">
      <c r="A495" s="7"/>
      <c r="B495" s="17"/>
      <c r="C495" s="20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</row>
    <row r="496" spans="1:93" ht="12.5" x14ac:dyDescent="0.25">
      <c r="A496" s="7"/>
      <c r="B496" s="17"/>
      <c r="C496" s="20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</row>
    <row r="497" spans="1:93" ht="12.5" x14ac:dyDescent="0.25">
      <c r="A497" s="7"/>
      <c r="B497" s="17"/>
      <c r="C497" s="20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</row>
    <row r="498" spans="1:93" ht="12.5" x14ac:dyDescent="0.25">
      <c r="A498" s="7"/>
      <c r="B498" s="17"/>
      <c r="C498" s="20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</row>
    <row r="499" spans="1:93" ht="12.5" x14ac:dyDescent="0.25">
      <c r="A499" s="7"/>
      <c r="B499" s="17"/>
      <c r="C499" s="20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</row>
    <row r="500" spans="1:93" ht="12.5" x14ac:dyDescent="0.25">
      <c r="A500" s="7"/>
      <c r="B500" s="17"/>
      <c r="C500" s="20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</row>
    <row r="501" spans="1:93" ht="12.5" x14ac:dyDescent="0.25">
      <c r="A501" s="7"/>
      <c r="B501" s="17"/>
      <c r="C501" s="20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</row>
    <row r="502" spans="1:93" ht="12.5" x14ac:dyDescent="0.25">
      <c r="A502" s="7"/>
      <c r="B502" s="17"/>
      <c r="C502" s="20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</row>
    <row r="503" spans="1:93" ht="12.5" x14ac:dyDescent="0.25">
      <c r="A503" s="7"/>
      <c r="B503" s="17"/>
      <c r="C503" s="20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</row>
    <row r="504" spans="1:93" ht="12.5" x14ac:dyDescent="0.25">
      <c r="A504" s="7"/>
      <c r="B504" s="17"/>
      <c r="C504" s="20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</row>
    <row r="505" spans="1:93" ht="12.5" x14ac:dyDescent="0.25">
      <c r="A505" s="7"/>
      <c r="B505" s="17"/>
      <c r="C505" s="20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</row>
    <row r="506" spans="1:93" ht="12.5" x14ac:dyDescent="0.25">
      <c r="A506" s="7"/>
      <c r="B506" s="17"/>
      <c r="C506" s="20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</row>
    <row r="507" spans="1:93" ht="12.5" x14ac:dyDescent="0.25">
      <c r="A507" s="7"/>
      <c r="B507" s="17"/>
      <c r="C507" s="20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</row>
    <row r="508" spans="1:93" ht="12.5" x14ac:dyDescent="0.25">
      <c r="A508" s="7"/>
      <c r="B508" s="17"/>
      <c r="C508" s="20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</row>
    <row r="509" spans="1:93" ht="12.5" x14ac:dyDescent="0.25">
      <c r="A509" s="7"/>
      <c r="B509" s="17"/>
      <c r="C509" s="20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</row>
    <row r="510" spans="1:93" ht="12.5" x14ac:dyDescent="0.25">
      <c r="A510" s="7"/>
      <c r="B510" s="17"/>
      <c r="C510" s="20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</row>
    <row r="511" spans="1:93" ht="12.5" x14ac:dyDescent="0.25">
      <c r="A511" s="7"/>
      <c r="B511" s="17"/>
      <c r="C511" s="20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</row>
    <row r="512" spans="1:93" ht="12.5" x14ac:dyDescent="0.25">
      <c r="A512" s="7"/>
      <c r="B512" s="17"/>
      <c r="C512" s="20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</row>
    <row r="513" spans="1:93" ht="12.5" x14ac:dyDescent="0.25">
      <c r="A513" s="7"/>
      <c r="B513" s="17"/>
      <c r="C513" s="20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</row>
    <row r="514" spans="1:93" ht="12.5" x14ac:dyDescent="0.25">
      <c r="A514" s="7"/>
      <c r="B514" s="17"/>
      <c r="C514" s="20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</row>
    <row r="515" spans="1:93" ht="12.5" x14ac:dyDescent="0.25">
      <c r="A515" s="7"/>
      <c r="B515" s="17"/>
      <c r="C515" s="20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</row>
    <row r="516" spans="1:93" ht="12.5" x14ac:dyDescent="0.25">
      <c r="A516" s="7"/>
      <c r="B516" s="17"/>
      <c r="C516" s="20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</row>
    <row r="517" spans="1:93" ht="12.5" x14ac:dyDescent="0.25">
      <c r="A517" s="7"/>
      <c r="B517" s="17"/>
      <c r="C517" s="20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</row>
    <row r="518" spans="1:93" ht="12.5" x14ac:dyDescent="0.25">
      <c r="A518" s="7"/>
      <c r="B518" s="17"/>
      <c r="C518" s="20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</row>
    <row r="519" spans="1:93" ht="12.5" x14ac:dyDescent="0.25">
      <c r="A519" s="7"/>
      <c r="B519" s="17"/>
      <c r="C519" s="20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</row>
    <row r="520" spans="1:93" ht="12.5" x14ac:dyDescent="0.25">
      <c r="A520" s="7"/>
      <c r="B520" s="17"/>
      <c r="C520" s="20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</row>
    <row r="521" spans="1:93" ht="12.5" x14ac:dyDescent="0.25">
      <c r="A521" s="7"/>
      <c r="B521" s="17"/>
      <c r="C521" s="20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</row>
    <row r="522" spans="1:93" ht="12.5" x14ac:dyDescent="0.25">
      <c r="A522" s="7"/>
      <c r="B522" s="17"/>
      <c r="C522" s="20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</row>
    <row r="523" spans="1:93" ht="12.5" x14ac:dyDescent="0.25">
      <c r="A523" s="7"/>
      <c r="B523" s="17"/>
      <c r="C523" s="20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</row>
    <row r="524" spans="1:93" ht="12.5" x14ac:dyDescent="0.25">
      <c r="A524" s="7"/>
      <c r="B524" s="17"/>
      <c r="C524" s="20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</row>
    <row r="525" spans="1:93" ht="12.5" x14ac:dyDescent="0.25">
      <c r="A525" s="7"/>
      <c r="B525" s="17"/>
      <c r="C525" s="20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</row>
    <row r="526" spans="1:93" ht="12.5" x14ac:dyDescent="0.25">
      <c r="A526" s="7"/>
      <c r="B526" s="17"/>
      <c r="C526" s="20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</row>
    <row r="527" spans="1:93" ht="12.5" x14ac:dyDescent="0.25">
      <c r="A527" s="7"/>
      <c r="B527" s="17"/>
      <c r="C527" s="20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</row>
    <row r="528" spans="1:93" ht="12.5" x14ac:dyDescent="0.25">
      <c r="A528" s="7"/>
      <c r="B528" s="17"/>
      <c r="C528" s="20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</row>
    <row r="529" spans="1:93" ht="12.5" x14ac:dyDescent="0.25">
      <c r="A529" s="7"/>
      <c r="B529" s="17"/>
      <c r="C529" s="20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</row>
    <row r="530" spans="1:93" ht="12.5" x14ac:dyDescent="0.25">
      <c r="A530" s="7"/>
      <c r="B530" s="17"/>
      <c r="C530" s="20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</row>
    <row r="531" spans="1:93" ht="12.5" x14ac:dyDescent="0.25">
      <c r="A531" s="7"/>
      <c r="B531" s="17"/>
      <c r="C531" s="20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</row>
    <row r="532" spans="1:93" ht="12.5" x14ac:dyDescent="0.25">
      <c r="A532" s="7"/>
      <c r="B532" s="17"/>
      <c r="C532" s="20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</row>
    <row r="533" spans="1:93" ht="12.5" x14ac:dyDescent="0.25">
      <c r="A533" s="7"/>
      <c r="B533" s="17"/>
      <c r="C533" s="20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</row>
    <row r="534" spans="1:93" ht="12.5" x14ac:dyDescent="0.25">
      <c r="A534" s="7"/>
      <c r="B534" s="17"/>
      <c r="C534" s="20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</row>
    <row r="535" spans="1:93" ht="12.5" x14ac:dyDescent="0.25">
      <c r="A535" s="7"/>
      <c r="B535" s="17"/>
      <c r="C535" s="20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</row>
    <row r="536" spans="1:93" ht="12.5" x14ac:dyDescent="0.25">
      <c r="A536" s="7"/>
      <c r="B536" s="17"/>
      <c r="C536" s="20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</row>
    <row r="537" spans="1:93" ht="12.5" x14ac:dyDescent="0.25">
      <c r="A537" s="7"/>
      <c r="B537" s="17"/>
      <c r="C537" s="20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</row>
    <row r="538" spans="1:93" ht="12.5" x14ac:dyDescent="0.25">
      <c r="A538" s="7"/>
      <c r="B538" s="17"/>
      <c r="C538" s="20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</row>
    <row r="539" spans="1:93" ht="12.5" x14ac:dyDescent="0.25">
      <c r="A539" s="7"/>
      <c r="B539" s="17"/>
      <c r="C539" s="20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</row>
    <row r="540" spans="1:93" ht="12.5" x14ac:dyDescent="0.25">
      <c r="A540" s="7"/>
      <c r="B540" s="17"/>
      <c r="C540" s="20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</row>
    <row r="541" spans="1:93" ht="12.5" x14ac:dyDescent="0.25">
      <c r="A541" s="7"/>
      <c r="B541" s="17"/>
      <c r="C541" s="20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</row>
    <row r="542" spans="1:93" ht="12.5" x14ac:dyDescent="0.25">
      <c r="A542" s="7"/>
      <c r="B542" s="17"/>
      <c r="C542" s="20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</row>
    <row r="543" spans="1:93" ht="12.5" x14ac:dyDescent="0.25">
      <c r="A543" s="7"/>
      <c r="B543" s="17"/>
      <c r="C543" s="20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</row>
    <row r="544" spans="1:93" ht="12.5" x14ac:dyDescent="0.25">
      <c r="A544" s="7"/>
      <c r="B544" s="17"/>
      <c r="C544" s="20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</row>
    <row r="545" spans="1:93" ht="12.5" x14ac:dyDescent="0.25">
      <c r="A545" s="7"/>
      <c r="B545" s="17"/>
      <c r="C545" s="20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</row>
    <row r="546" spans="1:93" ht="12.5" x14ac:dyDescent="0.25">
      <c r="A546" s="7"/>
      <c r="B546" s="17"/>
      <c r="C546" s="20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</row>
    <row r="547" spans="1:93" ht="12.5" x14ac:dyDescent="0.25">
      <c r="A547" s="7"/>
      <c r="B547" s="17"/>
      <c r="C547" s="20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</row>
    <row r="548" spans="1:93" ht="12.5" x14ac:dyDescent="0.25">
      <c r="A548" s="7"/>
      <c r="B548" s="17"/>
      <c r="C548" s="20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</row>
    <row r="549" spans="1:93" ht="12.5" x14ac:dyDescent="0.25">
      <c r="A549" s="7"/>
      <c r="B549" s="17"/>
      <c r="C549" s="20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</row>
    <row r="550" spans="1:93" ht="12.5" x14ac:dyDescent="0.25">
      <c r="A550" s="7"/>
      <c r="B550" s="17"/>
      <c r="C550" s="20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</row>
    <row r="551" spans="1:93" ht="12.5" x14ac:dyDescent="0.25">
      <c r="A551" s="7"/>
      <c r="B551" s="17"/>
      <c r="C551" s="20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</row>
    <row r="552" spans="1:93" ht="12.5" x14ac:dyDescent="0.25">
      <c r="A552" s="7"/>
      <c r="B552" s="17"/>
      <c r="C552" s="20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</row>
    <row r="553" spans="1:93" ht="12.5" x14ac:dyDescent="0.25">
      <c r="A553" s="7"/>
      <c r="B553" s="17"/>
      <c r="C553" s="20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</row>
    <row r="554" spans="1:93" ht="12.5" x14ac:dyDescent="0.25">
      <c r="A554" s="7"/>
      <c r="B554" s="17"/>
      <c r="C554" s="20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</row>
    <row r="555" spans="1:93" ht="12.5" x14ac:dyDescent="0.25">
      <c r="A555" s="7"/>
      <c r="B555" s="17"/>
      <c r="C555" s="20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</row>
    <row r="556" spans="1:93" ht="12.5" x14ac:dyDescent="0.25">
      <c r="A556" s="7"/>
      <c r="B556" s="17"/>
      <c r="C556" s="20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</row>
    <row r="557" spans="1:93" ht="12.5" x14ac:dyDescent="0.25">
      <c r="A557" s="7"/>
      <c r="B557" s="17"/>
      <c r="C557" s="20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</row>
    <row r="558" spans="1:93" ht="12.5" x14ac:dyDescent="0.25">
      <c r="A558" s="7"/>
      <c r="B558" s="17"/>
      <c r="C558" s="20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</row>
    <row r="559" spans="1:93" ht="12.5" x14ac:dyDescent="0.25">
      <c r="A559" s="7"/>
      <c r="B559" s="17"/>
      <c r="C559" s="20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</row>
    <row r="560" spans="1:93" ht="12.5" x14ac:dyDescent="0.25">
      <c r="A560" s="7"/>
      <c r="B560" s="17"/>
      <c r="C560" s="20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</row>
    <row r="561" spans="1:93" ht="12.5" x14ac:dyDescent="0.25">
      <c r="A561" s="7"/>
      <c r="B561" s="17"/>
      <c r="C561" s="20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</row>
    <row r="562" spans="1:93" ht="12.5" x14ac:dyDescent="0.25">
      <c r="A562" s="7"/>
      <c r="B562" s="17"/>
      <c r="C562" s="20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</row>
    <row r="563" spans="1:93" ht="12.5" x14ac:dyDescent="0.25">
      <c r="A563" s="7"/>
      <c r="B563" s="17"/>
      <c r="C563" s="20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</row>
    <row r="564" spans="1:93" ht="12.5" x14ac:dyDescent="0.25">
      <c r="A564" s="7"/>
      <c r="B564" s="17"/>
      <c r="C564" s="20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</row>
    <row r="565" spans="1:93" ht="12.5" x14ac:dyDescent="0.25">
      <c r="A565" s="7"/>
      <c r="B565" s="17"/>
      <c r="C565" s="20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</row>
    <row r="566" spans="1:93" ht="12.5" x14ac:dyDescent="0.25">
      <c r="A566" s="7"/>
      <c r="B566" s="17"/>
      <c r="C566" s="20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</row>
    <row r="567" spans="1:93" ht="12.5" x14ac:dyDescent="0.25">
      <c r="A567" s="7"/>
      <c r="B567" s="17"/>
      <c r="C567" s="20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</row>
    <row r="568" spans="1:93" ht="12.5" x14ac:dyDescent="0.25">
      <c r="A568" s="7"/>
      <c r="B568" s="17"/>
      <c r="C568" s="20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</row>
    <row r="569" spans="1:93" ht="12.5" x14ac:dyDescent="0.25">
      <c r="A569" s="7"/>
      <c r="B569" s="17"/>
      <c r="C569" s="20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</row>
    <row r="570" spans="1:93" ht="12.5" x14ac:dyDescent="0.25">
      <c r="A570" s="7"/>
      <c r="B570" s="17"/>
      <c r="C570" s="20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</row>
    <row r="571" spans="1:93" ht="12.5" x14ac:dyDescent="0.25">
      <c r="A571" s="7"/>
      <c r="B571" s="17"/>
      <c r="C571" s="20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</row>
    <row r="572" spans="1:93" ht="12.5" x14ac:dyDescent="0.25">
      <c r="A572" s="7"/>
      <c r="B572" s="17"/>
      <c r="C572" s="20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</row>
    <row r="573" spans="1:93" ht="12.5" x14ac:dyDescent="0.25">
      <c r="A573" s="7"/>
      <c r="B573" s="17"/>
      <c r="C573" s="20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</row>
    <row r="574" spans="1:93" ht="12.5" x14ac:dyDescent="0.25">
      <c r="A574" s="7"/>
      <c r="B574" s="17"/>
      <c r="C574" s="20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</row>
    <row r="575" spans="1:93" ht="12.5" x14ac:dyDescent="0.25">
      <c r="A575" s="7"/>
      <c r="B575" s="17"/>
      <c r="C575" s="20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</row>
    <row r="576" spans="1:93" ht="12.5" x14ac:dyDescent="0.25">
      <c r="A576" s="7"/>
      <c r="B576" s="17"/>
      <c r="C576" s="20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</row>
    <row r="577" spans="1:93" ht="12.5" x14ac:dyDescent="0.25">
      <c r="A577" s="7"/>
      <c r="B577" s="17"/>
      <c r="C577" s="20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</row>
    <row r="578" spans="1:93" ht="12.5" x14ac:dyDescent="0.25">
      <c r="A578" s="7"/>
      <c r="B578" s="17"/>
      <c r="C578" s="20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</row>
    <row r="579" spans="1:93" ht="12.5" x14ac:dyDescent="0.25">
      <c r="A579" s="7"/>
      <c r="B579" s="17"/>
      <c r="C579" s="20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</row>
    <row r="580" spans="1:93" ht="12.5" x14ac:dyDescent="0.25">
      <c r="A580" s="7"/>
      <c r="B580" s="17"/>
      <c r="C580" s="20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</row>
    <row r="581" spans="1:93" ht="12.5" x14ac:dyDescent="0.25">
      <c r="A581" s="7"/>
      <c r="B581" s="17"/>
      <c r="C581" s="20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</row>
    <row r="582" spans="1:93" ht="12.5" x14ac:dyDescent="0.25">
      <c r="A582" s="7"/>
      <c r="B582" s="17"/>
      <c r="C582" s="20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</row>
    <row r="583" spans="1:93" ht="12.5" x14ac:dyDescent="0.25">
      <c r="A583" s="7"/>
      <c r="B583" s="17"/>
      <c r="C583" s="20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</row>
    <row r="584" spans="1:93" ht="12.5" x14ac:dyDescent="0.25">
      <c r="A584" s="7"/>
      <c r="B584" s="17"/>
      <c r="C584" s="20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</row>
    <row r="585" spans="1:93" ht="12.5" x14ac:dyDescent="0.25">
      <c r="A585" s="7"/>
      <c r="B585" s="17"/>
      <c r="C585" s="20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</row>
    <row r="586" spans="1:93" ht="12.5" x14ac:dyDescent="0.25">
      <c r="A586" s="7"/>
      <c r="B586" s="17"/>
      <c r="C586" s="20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</row>
    <row r="587" spans="1:93" ht="12.5" x14ac:dyDescent="0.25">
      <c r="A587" s="7"/>
      <c r="B587" s="17"/>
      <c r="C587" s="20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</row>
    <row r="588" spans="1:93" ht="12.5" x14ac:dyDescent="0.25">
      <c r="A588" s="7"/>
      <c r="B588" s="17"/>
      <c r="C588" s="20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</row>
    <row r="589" spans="1:93" ht="12.5" x14ac:dyDescent="0.25">
      <c r="A589" s="7"/>
      <c r="B589" s="17"/>
      <c r="C589" s="20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</row>
    <row r="590" spans="1:93" ht="12.5" x14ac:dyDescent="0.25">
      <c r="A590" s="7"/>
      <c r="B590" s="17"/>
      <c r="C590" s="20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</row>
    <row r="591" spans="1:93" ht="12.5" x14ac:dyDescent="0.25">
      <c r="A591" s="7"/>
      <c r="B591" s="17"/>
      <c r="C591" s="20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</row>
    <row r="592" spans="1:93" ht="12.5" x14ac:dyDescent="0.25">
      <c r="A592" s="7"/>
      <c r="B592" s="17"/>
      <c r="C592" s="20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</row>
    <row r="593" spans="1:93" ht="12.5" x14ac:dyDescent="0.25">
      <c r="A593" s="7"/>
      <c r="B593" s="17"/>
      <c r="C593" s="20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</row>
    <row r="594" spans="1:93" ht="12.5" x14ac:dyDescent="0.25">
      <c r="A594" s="7"/>
      <c r="B594" s="17"/>
      <c r="C594" s="20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</row>
    <row r="595" spans="1:93" ht="12.5" x14ac:dyDescent="0.25">
      <c r="A595" s="7"/>
      <c r="B595" s="17"/>
      <c r="C595" s="20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</row>
    <row r="596" spans="1:93" ht="12.5" x14ac:dyDescent="0.25">
      <c r="A596" s="7"/>
      <c r="B596" s="17"/>
      <c r="C596" s="20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</row>
    <row r="597" spans="1:93" ht="12.5" x14ac:dyDescent="0.25">
      <c r="A597" s="7"/>
      <c r="B597" s="17"/>
      <c r="C597" s="20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</row>
    <row r="598" spans="1:93" ht="12.5" x14ac:dyDescent="0.25">
      <c r="A598" s="7"/>
      <c r="B598" s="17"/>
      <c r="C598" s="20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</row>
    <row r="599" spans="1:93" ht="12.5" x14ac:dyDescent="0.25">
      <c r="A599" s="7"/>
      <c r="B599" s="17"/>
      <c r="C599" s="20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</row>
    <row r="600" spans="1:93" ht="12.5" x14ac:dyDescent="0.25">
      <c r="A600" s="7"/>
      <c r="B600" s="17"/>
      <c r="C600" s="20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</row>
    <row r="601" spans="1:93" ht="12.5" x14ac:dyDescent="0.25">
      <c r="A601" s="7"/>
      <c r="B601" s="17"/>
      <c r="C601" s="20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</row>
    <row r="602" spans="1:93" ht="12.5" x14ac:dyDescent="0.25">
      <c r="A602" s="7"/>
      <c r="B602" s="17"/>
      <c r="C602" s="20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</row>
    <row r="603" spans="1:93" ht="12.5" x14ac:dyDescent="0.25">
      <c r="A603" s="7"/>
      <c r="B603" s="17"/>
      <c r="C603" s="20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</row>
    <row r="604" spans="1:93" ht="12.5" x14ac:dyDescent="0.25">
      <c r="A604" s="7"/>
      <c r="B604" s="17"/>
      <c r="C604" s="20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</row>
    <row r="605" spans="1:93" ht="12.5" x14ac:dyDescent="0.25">
      <c r="A605" s="7"/>
      <c r="B605" s="17"/>
      <c r="C605" s="20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</row>
    <row r="606" spans="1:93" ht="12.5" x14ac:dyDescent="0.25">
      <c r="A606" s="7"/>
      <c r="B606" s="17"/>
      <c r="C606" s="20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</row>
    <row r="607" spans="1:93" ht="12.5" x14ac:dyDescent="0.25">
      <c r="A607" s="7"/>
      <c r="B607" s="17"/>
      <c r="C607" s="20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</row>
    <row r="608" spans="1:93" ht="12.5" x14ac:dyDescent="0.25">
      <c r="A608" s="7"/>
      <c r="B608" s="17"/>
      <c r="C608" s="20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</row>
    <row r="609" spans="1:93" ht="12.5" x14ac:dyDescent="0.25">
      <c r="A609" s="7"/>
      <c r="B609" s="17"/>
      <c r="C609" s="20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</row>
    <row r="610" spans="1:93" ht="12.5" x14ac:dyDescent="0.25">
      <c r="A610" s="7"/>
      <c r="B610" s="17"/>
      <c r="C610" s="20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</row>
    <row r="611" spans="1:93" ht="12.5" x14ac:dyDescent="0.25">
      <c r="A611" s="7"/>
      <c r="B611" s="17"/>
      <c r="C611" s="20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</row>
    <row r="612" spans="1:93" ht="12.5" x14ac:dyDescent="0.25">
      <c r="A612" s="7"/>
      <c r="B612" s="17"/>
      <c r="C612" s="20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</row>
    <row r="613" spans="1:93" ht="12.5" x14ac:dyDescent="0.25">
      <c r="A613" s="7"/>
      <c r="B613" s="17"/>
      <c r="C613" s="20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</row>
    <row r="614" spans="1:93" ht="12.5" x14ac:dyDescent="0.25">
      <c r="A614" s="7"/>
      <c r="B614" s="17"/>
      <c r="C614" s="20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</row>
    <row r="615" spans="1:93" ht="12.5" x14ac:dyDescent="0.25">
      <c r="A615" s="7"/>
      <c r="B615" s="17"/>
      <c r="C615" s="20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</row>
    <row r="616" spans="1:93" ht="12.5" x14ac:dyDescent="0.25">
      <c r="A616" s="7"/>
      <c r="B616" s="17"/>
      <c r="C616" s="20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</row>
    <row r="617" spans="1:93" ht="12.5" x14ac:dyDescent="0.25">
      <c r="A617" s="7"/>
      <c r="B617" s="17"/>
      <c r="C617" s="20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</row>
    <row r="618" spans="1:93" ht="12.5" x14ac:dyDescent="0.25">
      <c r="A618" s="7"/>
      <c r="B618" s="17"/>
      <c r="C618" s="20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</row>
    <row r="619" spans="1:93" ht="12.5" x14ac:dyDescent="0.25">
      <c r="A619" s="7"/>
      <c r="B619" s="17"/>
      <c r="C619" s="20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</row>
    <row r="620" spans="1:93" ht="12.5" x14ac:dyDescent="0.25">
      <c r="A620" s="7"/>
      <c r="B620" s="17"/>
      <c r="C620" s="20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</row>
    <row r="621" spans="1:93" ht="12.5" x14ac:dyDescent="0.25">
      <c r="A621" s="7"/>
      <c r="B621" s="17"/>
      <c r="C621" s="20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</row>
    <row r="622" spans="1:93" ht="12.5" x14ac:dyDescent="0.25">
      <c r="A622" s="7"/>
      <c r="B622" s="17"/>
      <c r="C622" s="20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</row>
    <row r="623" spans="1:93" ht="12.5" x14ac:dyDescent="0.25">
      <c r="A623" s="7"/>
      <c r="B623" s="17"/>
      <c r="C623" s="20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</row>
    <row r="624" spans="1:93" ht="12.5" x14ac:dyDescent="0.25">
      <c r="A624" s="7"/>
      <c r="B624" s="17"/>
      <c r="C624" s="20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</row>
    <row r="625" spans="1:93" ht="12.5" x14ac:dyDescent="0.25">
      <c r="A625" s="7"/>
      <c r="B625" s="17"/>
      <c r="C625" s="20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</row>
    <row r="626" spans="1:93" ht="12.5" x14ac:dyDescent="0.25">
      <c r="A626" s="7"/>
      <c r="B626" s="17"/>
      <c r="C626" s="20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</row>
    <row r="627" spans="1:93" ht="12.5" x14ac:dyDescent="0.25">
      <c r="A627" s="7"/>
      <c r="B627" s="17"/>
      <c r="C627" s="20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</row>
    <row r="628" spans="1:93" ht="12.5" x14ac:dyDescent="0.25">
      <c r="A628" s="7"/>
      <c r="B628" s="17"/>
      <c r="C628" s="20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</row>
    <row r="629" spans="1:93" ht="12.5" x14ac:dyDescent="0.25">
      <c r="A629" s="7"/>
      <c r="B629" s="17"/>
      <c r="C629" s="20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</row>
    <row r="630" spans="1:93" ht="12.5" x14ac:dyDescent="0.25">
      <c r="A630" s="7"/>
      <c r="B630" s="17"/>
      <c r="C630" s="20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</row>
    <row r="631" spans="1:93" ht="12.5" x14ac:dyDescent="0.25">
      <c r="A631" s="7"/>
      <c r="B631" s="17"/>
      <c r="C631" s="20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</row>
    <row r="632" spans="1:93" ht="12.5" x14ac:dyDescent="0.25">
      <c r="A632" s="7"/>
      <c r="B632" s="17"/>
      <c r="C632" s="20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</row>
    <row r="633" spans="1:93" ht="12.5" x14ac:dyDescent="0.25">
      <c r="A633" s="7"/>
      <c r="B633" s="17"/>
      <c r="C633" s="20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</row>
    <row r="634" spans="1:93" ht="12.5" x14ac:dyDescent="0.25">
      <c r="A634" s="7"/>
      <c r="B634" s="17"/>
      <c r="C634" s="20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</row>
    <row r="635" spans="1:93" ht="12.5" x14ac:dyDescent="0.25">
      <c r="A635" s="7"/>
      <c r="B635" s="17"/>
      <c r="C635" s="20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</row>
    <row r="636" spans="1:93" ht="12.5" x14ac:dyDescent="0.25">
      <c r="A636" s="7"/>
      <c r="B636" s="17"/>
      <c r="C636" s="20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</row>
    <row r="637" spans="1:93" ht="12.5" x14ac:dyDescent="0.25">
      <c r="A637" s="7"/>
      <c r="B637" s="17"/>
      <c r="C637" s="20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</row>
    <row r="638" spans="1:93" ht="12.5" x14ac:dyDescent="0.25">
      <c r="A638" s="7"/>
      <c r="B638" s="17"/>
      <c r="C638" s="20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</row>
    <row r="639" spans="1:93" ht="12.5" x14ac:dyDescent="0.25">
      <c r="A639" s="7"/>
      <c r="B639" s="17"/>
      <c r="C639" s="20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</row>
    <row r="640" spans="1:93" ht="12.5" x14ac:dyDescent="0.25">
      <c r="A640" s="7"/>
      <c r="B640" s="17"/>
      <c r="C640" s="20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</row>
    <row r="641" spans="1:93" ht="12.5" x14ac:dyDescent="0.25">
      <c r="A641" s="7"/>
      <c r="B641" s="17"/>
      <c r="C641" s="20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</row>
    <row r="642" spans="1:93" ht="12.5" x14ac:dyDescent="0.25">
      <c r="A642" s="7"/>
      <c r="B642" s="17"/>
      <c r="C642" s="20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</row>
    <row r="643" spans="1:93" ht="12.5" x14ac:dyDescent="0.25">
      <c r="A643" s="7"/>
      <c r="B643" s="17"/>
      <c r="C643" s="20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</row>
    <row r="644" spans="1:93" ht="12.5" x14ac:dyDescent="0.25">
      <c r="A644" s="7"/>
      <c r="B644" s="17"/>
      <c r="C644" s="20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</row>
    <row r="645" spans="1:93" ht="12.5" x14ac:dyDescent="0.25">
      <c r="A645" s="7"/>
      <c r="B645" s="17"/>
      <c r="C645" s="20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</row>
    <row r="646" spans="1:93" ht="12.5" x14ac:dyDescent="0.25">
      <c r="A646" s="7"/>
      <c r="B646" s="17"/>
      <c r="C646" s="20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</row>
    <row r="647" spans="1:93" ht="12.5" x14ac:dyDescent="0.25">
      <c r="A647" s="7"/>
      <c r="B647" s="17"/>
      <c r="C647" s="20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</row>
    <row r="648" spans="1:93" ht="12.5" x14ac:dyDescent="0.25">
      <c r="A648" s="7"/>
      <c r="B648" s="17"/>
      <c r="C648" s="20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</row>
    <row r="649" spans="1:93" ht="12.5" x14ac:dyDescent="0.25">
      <c r="A649" s="7"/>
      <c r="B649" s="17"/>
      <c r="C649" s="20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</row>
    <row r="650" spans="1:93" ht="12.5" x14ac:dyDescent="0.25">
      <c r="A650" s="7"/>
      <c r="B650" s="17"/>
      <c r="C650" s="20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</row>
    <row r="651" spans="1:93" ht="12.5" x14ac:dyDescent="0.25">
      <c r="A651" s="7"/>
      <c r="B651" s="17"/>
      <c r="C651" s="20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</row>
    <row r="652" spans="1:93" ht="12.5" x14ac:dyDescent="0.25">
      <c r="A652" s="7"/>
      <c r="B652" s="17"/>
      <c r="C652" s="20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</row>
    <row r="653" spans="1:93" ht="12.5" x14ac:dyDescent="0.25">
      <c r="A653" s="7"/>
      <c r="B653" s="17"/>
      <c r="C653" s="20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</row>
    <row r="654" spans="1:93" ht="12.5" x14ac:dyDescent="0.25">
      <c r="A654" s="7"/>
      <c r="B654" s="17"/>
      <c r="C654" s="20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</row>
    <row r="655" spans="1:93" ht="12.5" x14ac:dyDescent="0.25">
      <c r="A655" s="7"/>
      <c r="B655" s="17"/>
      <c r="C655" s="20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</row>
    <row r="656" spans="1:93" ht="12.5" x14ac:dyDescent="0.25">
      <c r="A656" s="7"/>
      <c r="B656" s="17"/>
      <c r="C656" s="20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</row>
    <row r="657" spans="1:93" ht="12.5" x14ac:dyDescent="0.25">
      <c r="A657" s="7"/>
      <c r="B657" s="17"/>
      <c r="C657" s="20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</row>
    <row r="658" spans="1:93" ht="12.5" x14ac:dyDescent="0.25">
      <c r="A658" s="7"/>
      <c r="B658" s="17"/>
      <c r="C658" s="20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</row>
    <row r="659" spans="1:93" ht="12.5" x14ac:dyDescent="0.25">
      <c r="A659" s="7"/>
      <c r="B659" s="17"/>
      <c r="C659" s="20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</row>
    <row r="660" spans="1:93" ht="12.5" x14ac:dyDescent="0.25">
      <c r="A660" s="7"/>
      <c r="B660" s="17"/>
      <c r="C660" s="20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</row>
    <row r="661" spans="1:93" ht="12.5" x14ac:dyDescent="0.25">
      <c r="A661" s="7"/>
      <c r="B661" s="17"/>
      <c r="C661" s="20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</row>
    <row r="662" spans="1:93" ht="12.5" x14ac:dyDescent="0.25">
      <c r="A662" s="7"/>
      <c r="B662" s="17"/>
      <c r="C662" s="20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</row>
    <row r="663" spans="1:93" ht="12.5" x14ac:dyDescent="0.25">
      <c r="A663" s="7"/>
      <c r="B663" s="17"/>
      <c r="C663" s="20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</row>
    <row r="664" spans="1:93" ht="12.5" x14ac:dyDescent="0.25">
      <c r="A664" s="7"/>
      <c r="B664" s="17"/>
      <c r="C664" s="20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</row>
    <row r="665" spans="1:93" ht="12.5" x14ac:dyDescent="0.25">
      <c r="A665" s="7"/>
      <c r="B665" s="17"/>
      <c r="C665" s="20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</row>
    <row r="666" spans="1:93" ht="12.5" x14ac:dyDescent="0.25">
      <c r="A666" s="7"/>
      <c r="B666" s="17"/>
      <c r="C666" s="20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</row>
    <row r="667" spans="1:93" ht="12.5" x14ac:dyDescent="0.25">
      <c r="A667" s="7"/>
      <c r="B667" s="17"/>
      <c r="C667" s="20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</row>
    <row r="668" spans="1:93" ht="12.5" x14ac:dyDescent="0.25">
      <c r="A668" s="7"/>
      <c r="B668" s="17"/>
      <c r="C668" s="20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</row>
    <row r="669" spans="1:93" ht="12.5" x14ac:dyDescent="0.25">
      <c r="A669" s="7"/>
      <c r="B669" s="17"/>
      <c r="C669" s="20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</row>
    <row r="670" spans="1:93" ht="12.5" x14ac:dyDescent="0.25">
      <c r="A670" s="7"/>
      <c r="B670" s="17"/>
      <c r="C670" s="20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</row>
    <row r="671" spans="1:93" ht="12.5" x14ac:dyDescent="0.25">
      <c r="A671" s="7"/>
      <c r="B671" s="17"/>
      <c r="C671" s="20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</row>
    <row r="672" spans="1:93" ht="12.5" x14ac:dyDescent="0.25">
      <c r="A672" s="7"/>
      <c r="B672" s="17"/>
      <c r="C672" s="20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</row>
    <row r="673" spans="1:93" ht="12.5" x14ac:dyDescent="0.25">
      <c r="A673" s="7"/>
      <c r="B673" s="17"/>
      <c r="C673" s="20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</row>
    <row r="674" spans="1:93" ht="12.5" x14ac:dyDescent="0.25">
      <c r="A674" s="7"/>
      <c r="B674" s="17"/>
      <c r="C674" s="20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</row>
    <row r="675" spans="1:93" ht="12.5" x14ac:dyDescent="0.25">
      <c r="A675" s="7"/>
      <c r="B675" s="17"/>
      <c r="C675" s="20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</row>
    <row r="676" spans="1:93" ht="12.5" x14ac:dyDescent="0.25">
      <c r="A676" s="7"/>
      <c r="B676" s="17"/>
      <c r="C676" s="20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</row>
    <row r="677" spans="1:93" ht="12.5" x14ac:dyDescent="0.25">
      <c r="A677" s="7"/>
      <c r="B677" s="17"/>
      <c r="C677" s="20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</row>
    <row r="678" spans="1:93" ht="12.5" x14ac:dyDescent="0.25">
      <c r="A678" s="7"/>
      <c r="B678" s="17"/>
      <c r="C678" s="20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</row>
    <row r="679" spans="1:93" ht="12.5" x14ac:dyDescent="0.25">
      <c r="A679" s="7"/>
      <c r="B679" s="17"/>
      <c r="C679" s="20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</row>
    <row r="680" spans="1:93" ht="12.5" x14ac:dyDescent="0.25">
      <c r="A680" s="7"/>
      <c r="B680" s="17"/>
      <c r="C680" s="20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</row>
    <row r="681" spans="1:93" ht="12.5" x14ac:dyDescent="0.25">
      <c r="A681" s="7"/>
      <c r="B681" s="17"/>
      <c r="C681" s="20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</row>
    <row r="682" spans="1:93" ht="12.5" x14ac:dyDescent="0.25">
      <c r="A682" s="7"/>
      <c r="B682" s="17"/>
      <c r="C682" s="20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</row>
    <row r="683" spans="1:93" ht="12.5" x14ac:dyDescent="0.25">
      <c r="A683" s="7"/>
      <c r="B683" s="17"/>
      <c r="C683" s="20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</row>
    <row r="684" spans="1:93" ht="12.5" x14ac:dyDescent="0.25">
      <c r="A684" s="7"/>
      <c r="B684" s="17"/>
      <c r="C684" s="20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</row>
    <row r="685" spans="1:93" ht="12.5" x14ac:dyDescent="0.25">
      <c r="A685" s="7"/>
      <c r="B685" s="17"/>
      <c r="C685" s="20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</row>
    <row r="686" spans="1:93" ht="12.5" x14ac:dyDescent="0.25">
      <c r="A686" s="7"/>
      <c r="B686" s="17"/>
      <c r="C686" s="20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</row>
    <row r="687" spans="1:93" ht="12.5" x14ac:dyDescent="0.25">
      <c r="A687" s="7"/>
      <c r="B687" s="17"/>
      <c r="C687" s="20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</row>
    <row r="688" spans="1:93" ht="12.5" x14ac:dyDescent="0.25">
      <c r="A688" s="7"/>
      <c r="B688" s="17"/>
      <c r="C688" s="20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</row>
    <row r="689" spans="1:93" ht="12.5" x14ac:dyDescent="0.25">
      <c r="A689" s="7"/>
      <c r="B689" s="17"/>
      <c r="C689" s="20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</row>
    <row r="690" spans="1:93" ht="12.5" x14ac:dyDescent="0.25">
      <c r="A690" s="7"/>
      <c r="B690" s="17"/>
      <c r="C690" s="20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</row>
    <row r="691" spans="1:93" ht="12.5" x14ac:dyDescent="0.25">
      <c r="A691" s="7"/>
      <c r="B691" s="17"/>
      <c r="C691" s="20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</row>
    <row r="692" spans="1:93" ht="12.5" x14ac:dyDescent="0.25">
      <c r="A692" s="7"/>
      <c r="B692" s="17"/>
      <c r="C692" s="20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</row>
    <row r="693" spans="1:93" ht="12.5" x14ac:dyDescent="0.25">
      <c r="A693" s="7"/>
      <c r="B693" s="17"/>
      <c r="C693" s="20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</row>
    <row r="694" spans="1:93" ht="12.5" x14ac:dyDescent="0.25">
      <c r="A694" s="7"/>
      <c r="B694" s="17"/>
      <c r="C694" s="20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</row>
    <row r="695" spans="1:93" ht="12.5" x14ac:dyDescent="0.25">
      <c r="A695" s="7"/>
      <c r="B695" s="17"/>
      <c r="C695" s="20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</row>
    <row r="696" spans="1:93" ht="12.5" x14ac:dyDescent="0.25">
      <c r="A696" s="7"/>
      <c r="B696" s="17"/>
      <c r="C696" s="20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</row>
    <row r="697" spans="1:93" ht="12.5" x14ac:dyDescent="0.25">
      <c r="A697" s="7"/>
      <c r="B697" s="17"/>
      <c r="C697" s="20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</row>
    <row r="698" spans="1:93" ht="12.5" x14ac:dyDescent="0.25">
      <c r="A698" s="7"/>
      <c r="B698" s="17"/>
      <c r="C698" s="20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</row>
    <row r="699" spans="1:93" ht="12.5" x14ac:dyDescent="0.25">
      <c r="A699" s="7"/>
      <c r="B699" s="17"/>
      <c r="C699" s="20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</row>
    <row r="700" spans="1:93" ht="12.5" x14ac:dyDescent="0.25">
      <c r="A700" s="7"/>
      <c r="B700" s="17"/>
      <c r="C700" s="20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</row>
    <row r="701" spans="1:93" ht="12.5" x14ac:dyDescent="0.25">
      <c r="A701" s="7"/>
      <c r="B701" s="17"/>
      <c r="C701" s="20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</row>
    <row r="702" spans="1:93" ht="12.5" x14ac:dyDescent="0.25">
      <c r="A702" s="7"/>
      <c r="B702" s="17"/>
      <c r="C702" s="20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</row>
    <row r="703" spans="1:93" ht="12.5" x14ac:dyDescent="0.25">
      <c r="A703" s="7"/>
      <c r="B703" s="17"/>
      <c r="C703" s="20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</row>
    <row r="704" spans="1:93" ht="12.5" x14ac:dyDescent="0.25">
      <c r="A704" s="7"/>
      <c r="B704" s="17"/>
      <c r="C704" s="20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</row>
    <row r="705" spans="1:93" ht="12.5" x14ac:dyDescent="0.25">
      <c r="A705" s="7"/>
      <c r="B705" s="17"/>
      <c r="C705" s="20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</row>
    <row r="706" spans="1:93" ht="12.5" x14ac:dyDescent="0.25">
      <c r="A706" s="7"/>
      <c r="B706" s="17"/>
      <c r="C706" s="20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</row>
    <row r="707" spans="1:93" ht="12.5" x14ac:dyDescent="0.25">
      <c r="A707" s="7"/>
      <c r="B707" s="17"/>
      <c r="C707" s="20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</row>
    <row r="708" spans="1:93" ht="12.5" x14ac:dyDescent="0.25">
      <c r="A708" s="7"/>
      <c r="B708" s="17"/>
      <c r="C708" s="20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</row>
    <row r="709" spans="1:93" ht="12.5" x14ac:dyDescent="0.25">
      <c r="A709" s="7"/>
      <c r="B709" s="17"/>
      <c r="C709" s="20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</row>
    <row r="710" spans="1:93" ht="12.5" x14ac:dyDescent="0.25">
      <c r="A710" s="7"/>
      <c r="B710" s="17"/>
      <c r="C710" s="20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</row>
    <row r="711" spans="1:93" ht="12.5" x14ac:dyDescent="0.25">
      <c r="A711" s="7"/>
      <c r="B711" s="17"/>
      <c r="C711" s="20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</row>
    <row r="712" spans="1:93" ht="12.5" x14ac:dyDescent="0.25">
      <c r="A712" s="7"/>
      <c r="B712" s="17"/>
      <c r="C712" s="20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</row>
    <row r="713" spans="1:93" ht="12.5" x14ac:dyDescent="0.25">
      <c r="A713" s="7"/>
      <c r="B713" s="17"/>
      <c r="C713" s="20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</row>
    <row r="714" spans="1:93" ht="12.5" x14ac:dyDescent="0.25">
      <c r="A714" s="7"/>
      <c r="B714" s="17"/>
      <c r="C714" s="20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</row>
    <row r="715" spans="1:93" ht="12.5" x14ac:dyDescent="0.25">
      <c r="A715" s="7"/>
      <c r="B715" s="17"/>
      <c r="C715" s="20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</row>
    <row r="716" spans="1:93" ht="12.5" x14ac:dyDescent="0.25">
      <c r="A716" s="7"/>
      <c r="B716" s="17"/>
      <c r="C716" s="20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</row>
    <row r="717" spans="1:93" ht="12.5" x14ac:dyDescent="0.25">
      <c r="A717" s="7"/>
      <c r="B717" s="17"/>
      <c r="C717" s="20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</row>
    <row r="718" spans="1:93" ht="12.5" x14ac:dyDescent="0.25">
      <c r="A718" s="7"/>
      <c r="B718" s="17"/>
      <c r="C718" s="20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</row>
    <row r="719" spans="1:93" ht="12.5" x14ac:dyDescent="0.25">
      <c r="A719" s="7"/>
      <c r="B719" s="17"/>
      <c r="C719" s="20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</row>
    <row r="720" spans="1:93" ht="12.5" x14ac:dyDescent="0.25">
      <c r="A720" s="7"/>
      <c r="B720" s="17"/>
      <c r="C720" s="20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</row>
    <row r="721" spans="1:93" ht="12.5" x14ac:dyDescent="0.25">
      <c r="A721" s="7"/>
      <c r="B721" s="17"/>
      <c r="C721" s="20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</row>
    <row r="722" spans="1:93" ht="12.5" x14ac:dyDescent="0.25">
      <c r="A722" s="7"/>
      <c r="B722" s="17"/>
      <c r="C722" s="20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</row>
    <row r="723" spans="1:93" ht="12.5" x14ac:dyDescent="0.25">
      <c r="A723" s="7"/>
      <c r="B723" s="17"/>
      <c r="C723" s="20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</row>
    <row r="724" spans="1:93" ht="12.5" x14ac:dyDescent="0.25">
      <c r="A724" s="7"/>
      <c r="B724" s="17"/>
      <c r="C724" s="20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</row>
    <row r="725" spans="1:93" ht="12.5" x14ac:dyDescent="0.25">
      <c r="A725" s="7"/>
      <c r="B725" s="17"/>
      <c r="C725" s="20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</row>
    <row r="726" spans="1:93" ht="12.5" x14ac:dyDescent="0.25">
      <c r="A726" s="7"/>
      <c r="B726" s="17"/>
      <c r="C726" s="20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</row>
    <row r="727" spans="1:93" ht="12.5" x14ac:dyDescent="0.25">
      <c r="A727" s="7"/>
      <c r="B727" s="17"/>
      <c r="C727" s="20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</row>
    <row r="728" spans="1:93" ht="12.5" x14ac:dyDescent="0.25">
      <c r="A728" s="7"/>
      <c r="B728" s="17"/>
      <c r="C728" s="20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</row>
    <row r="729" spans="1:93" ht="12.5" x14ac:dyDescent="0.25">
      <c r="A729" s="7"/>
      <c r="B729" s="17"/>
      <c r="C729" s="20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</row>
    <row r="730" spans="1:93" ht="12.5" x14ac:dyDescent="0.25">
      <c r="A730" s="7"/>
      <c r="B730" s="17"/>
      <c r="C730" s="20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</row>
    <row r="731" spans="1:93" ht="12.5" x14ac:dyDescent="0.25">
      <c r="A731" s="7"/>
      <c r="B731" s="17"/>
      <c r="C731" s="20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</row>
    <row r="732" spans="1:93" ht="12.5" x14ac:dyDescent="0.25">
      <c r="A732" s="7"/>
      <c r="B732" s="17"/>
      <c r="C732" s="20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</row>
    <row r="733" spans="1:93" ht="12.5" x14ac:dyDescent="0.25">
      <c r="A733" s="7"/>
      <c r="B733" s="17"/>
      <c r="C733" s="20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</row>
    <row r="734" spans="1:93" ht="12.5" x14ac:dyDescent="0.25">
      <c r="A734" s="7"/>
      <c r="B734" s="17"/>
      <c r="C734" s="20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</row>
    <row r="735" spans="1:93" ht="12.5" x14ac:dyDescent="0.25">
      <c r="A735" s="7"/>
      <c r="B735" s="17"/>
      <c r="C735" s="20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</row>
    <row r="736" spans="1:93" ht="12.5" x14ac:dyDescent="0.25">
      <c r="A736" s="7"/>
      <c r="B736" s="17"/>
      <c r="C736" s="20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</row>
    <row r="737" spans="1:93" ht="12.5" x14ac:dyDescent="0.25">
      <c r="A737" s="7"/>
      <c r="B737" s="17"/>
      <c r="C737" s="20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</row>
    <row r="738" spans="1:93" ht="12.5" x14ac:dyDescent="0.25">
      <c r="A738" s="7"/>
      <c r="B738" s="17"/>
      <c r="C738" s="20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</row>
    <row r="739" spans="1:93" ht="12.5" x14ac:dyDescent="0.25">
      <c r="A739" s="7"/>
      <c r="B739" s="17"/>
      <c r="C739" s="20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</row>
    <row r="740" spans="1:93" ht="12.5" x14ac:dyDescent="0.25">
      <c r="A740" s="7"/>
      <c r="B740" s="17"/>
      <c r="C740" s="20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</row>
    <row r="741" spans="1:93" ht="12.5" x14ac:dyDescent="0.25">
      <c r="A741" s="7"/>
      <c r="B741" s="17"/>
      <c r="C741" s="20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</row>
    <row r="742" spans="1:93" ht="12.5" x14ac:dyDescent="0.25">
      <c r="A742" s="7"/>
      <c r="B742" s="17"/>
      <c r="C742" s="20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</row>
    <row r="743" spans="1:93" ht="12.5" x14ac:dyDescent="0.25">
      <c r="A743" s="7"/>
      <c r="B743" s="17"/>
      <c r="C743" s="20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</row>
    <row r="744" spans="1:93" ht="12.5" x14ac:dyDescent="0.25">
      <c r="A744" s="7"/>
      <c r="B744" s="17"/>
      <c r="C744" s="20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</row>
    <row r="745" spans="1:93" ht="12.5" x14ac:dyDescent="0.25">
      <c r="A745" s="7"/>
      <c r="B745" s="17"/>
      <c r="C745" s="20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</row>
    <row r="746" spans="1:93" ht="12.5" x14ac:dyDescent="0.25">
      <c r="A746" s="7"/>
      <c r="B746" s="17"/>
      <c r="C746" s="20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</row>
    <row r="747" spans="1:93" ht="12.5" x14ac:dyDescent="0.25">
      <c r="A747" s="7"/>
      <c r="B747" s="17"/>
      <c r="C747" s="20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</row>
    <row r="748" spans="1:93" ht="12.5" x14ac:dyDescent="0.25">
      <c r="A748" s="7"/>
      <c r="B748" s="17"/>
      <c r="C748" s="20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</row>
    <row r="749" spans="1:93" ht="12.5" x14ac:dyDescent="0.25">
      <c r="A749" s="7"/>
      <c r="B749" s="17"/>
      <c r="C749" s="20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</row>
    <row r="750" spans="1:93" ht="12.5" x14ac:dyDescent="0.25">
      <c r="A750" s="7"/>
      <c r="B750" s="17"/>
      <c r="C750" s="20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</row>
    <row r="751" spans="1:93" ht="12.5" x14ac:dyDescent="0.25">
      <c r="A751" s="7"/>
      <c r="B751" s="17"/>
      <c r="C751" s="20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</row>
    <row r="752" spans="1:93" ht="12.5" x14ac:dyDescent="0.25">
      <c r="A752" s="7"/>
      <c r="B752" s="17"/>
      <c r="C752" s="20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</row>
    <row r="753" spans="1:93" ht="12.5" x14ac:dyDescent="0.25">
      <c r="A753" s="7"/>
      <c r="B753" s="17"/>
      <c r="C753" s="20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</row>
    <row r="754" spans="1:93" ht="12.5" x14ac:dyDescent="0.25">
      <c r="A754" s="7"/>
      <c r="B754" s="17"/>
      <c r="C754" s="20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</row>
    <row r="755" spans="1:93" ht="12.5" x14ac:dyDescent="0.25">
      <c r="A755" s="7"/>
      <c r="B755" s="17"/>
      <c r="C755" s="20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</row>
    <row r="756" spans="1:93" ht="12.5" x14ac:dyDescent="0.25">
      <c r="A756" s="7"/>
      <c r="B756" s="17"/>
      <c r="C756" s="20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</row>
    <row r="757" spans="1:93" ht="12.5" x14ac:dyDescent="0.25">
      <c r="A757" s="7"/>
      <c r="B757" s="17"/>
      <c r="C757" s="20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</row>
    <row r="758" spans="1:93" ht="12.5" x14ac:dyDescent="0.25">
      <c r="A758" s="7"/>
      <c r="B758" s="17"/>
      <c r="C758" s="20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</row>
    <row r="759" spans="1:93" ht="12.5" x14ac:dyDescent="0.25">
      <c r="A759" s="7"/>
      <c r="B759" s="17"/>
      <c r="C759" s="20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</row>
    <row r="760" spans="1:93" ht="12.5" x14ac:dyDescent="0.25">
      <c r="A760" s="7"/>
      <c r="B760" s="17"/>
      <c r="C760" s="20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</row>
    <row r="761" spans="1:93" ht="12.5" x14ac:dyDescent="0.25">
      <c r="A761" s="7"/>
      <c r="B761" s="17"/>
      <c r="C761" s="20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</row>
    <row r="762" spans="1:93" ht="12.5" x14ac:dyDescent="0.25">
      <c r="A762" s="7"/>
      <c r="B762" s="17"/>
      <c r="C762" s="20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</row>
    <row r="763" spans="1:93" ht="12.5" x14ac:dyDescent="0.25">
      <c r="A763" s="7"/>
      <c r="B763" s="17"/>
      <c r="C763" s="20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</row>
    <row r="764" spans="1:93" ht="12.5" x14ac:dyDescent="0.25">
      <c r="A764" s="7"/>
      <c r="B764" s="17"/>
      <c r="C764" s="20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</row>
    <row r="765" spans="1:93" ht="12.5" x14ac:dyDescent="0.25">
      <c r="A765" s="7"/>
      <c r="B765" s="17"/>
      <c r="C765" s="20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</row>
    <row r="766" spans="1:93" ht="12.5" x14ac:dyDescent="0.25">
      <c r="A766" s="7"/>
      <c r="B766" s="17"/>
      <c r="C766" s="20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</row>
    <row r="767" spans="1:93" ht="12.5" x14ac:dyDescent="0.25">
      <c r="A767" s="7"/>
      <c r="B767" s="17"/>
      <c r="C767" s="20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</row>
    <row r="768" spans="1:93" ht="12.5" x14ac:dyDescent="0.25">
      <c r="A768" s="7"/>
      <c r="B768" s="17"/>
      <c r="C768" s="20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</row>
    <row r="769" spans="1:93" ht="12.5" x14ac:dyDescent="0.25">
      <c r="A769" s="7"/>
      <c r="B769" s="17"/>
      <c r="C769" s="20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</row>
    <row r="770" spans="1:93" ht="12.5" x14ac:dyDescent="0.25">
      <c r="A770" s="7"/>
      <c r="B770" s="17"/>
      <c r="C770" s="20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</row>
    <row r="771" spans="1:93" ht="12.5" x14ac:dyDescent="0.25">
      <c r="A771" s="7"/>
      <c r="B771" s="17"/>
      <c r="C771" s="20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</row>
    <row r="772" spans="1:93" ht="12.5" x14ac:dyDescent="0.25">
      <c r="A772" s="7"/>
      <c r="B772" s="17"/>
      <c r="C772" s="20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</row>
    <row r="773" spans="1:93" ht="12.5" x14ac:dyDescent="0.25">
      <c r="A773" s="7"/>
      <c r="B773" s="17"/>
      <c r="C773" s="20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</row>
    <row r="774" spans="1:93" ht="12.5" x14ac:dyDescent="0.25">
      <c r="A774" s="7"/>
      <c r="B774" s="17"/>
      <c r="C774" s="20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</row>
    <row r="775" spans="1:93" ht="12.5" x14ac:dyDescent="0.25">
      <c r="A775" s="7"/>
      <c r="B775" s="17"/>
      <c r="C775" s="20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</row>
    <row r="776" spans="1:93" ht="12.5" x14ac:dyDescent="0.25">
      <c r="A776" s="7"/>
      <c r="B776" s="17"/>
      <c r="C776" s="20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</row>
    <row r="777" spans="1:93" ht="12.5" x14ac:dyDescent="0.25">
      <c r="A777" s="7"/>
      <c r="B777" s="17"/>
      <c r="C777" s="20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</row>
    <row r="778" spans="1:93" ht="12.5" x14ac:dyDescent="0.25">
      <c r="A778" s="7"/>
      <c r="B778" s="17"/>
      <c r="C778" s="20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</row>
    <row r="779" spans="1:93" ht="12.5" x14ac:dyDescent="0.25">
      <c r="A779" s="7"/>
      <c r="B779" s="17"/>
      <c r="C779" s="20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</row>
    <row r="780" spans="1:93" ht="12.5" x14ac:dyDescent="0.25">
      <c r="A780" s="7"/>
      <c r="B780" s="17"/>
      <c r="C780" s="20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</row>
    <row r="781" spans="1:93" ht="12.5" x14ac:dyDescent="0.25">
      <c r="A781" s="7"/>
      <c r="B781" s="17"/>
      <c r="C781" s="20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</row>
    <row r="782" spans="1:93" ht="12.5" x14ac:dyDescent="0.25">
      <c r="A782" s="7"/>
      <c r="B782" s="17"/>
      <c r="C782" s="20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</row>
    <row r="783" spans="1:93" ht="12.5" x14ac:dyDescent="0.25">
      <c r="A783" s="7"/>
      <c r="B783" s="17"/>
      <c r="C783" s="20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</row>
    <row r="784" spans="1:93" ht="12.5" x14ac:dyDescent="0.25">
      <c r="A784" s="7"/>
      <c r="B784" s="17"/>
      <c r="C784" s="20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</row>
    <row r="785" spans="1:93" ht="12.5" x14ac:dyDescent="0.25">
      <c r="A785" s="7"/>
      <c r="B785" s="17"/>
      <c r="C785" s="20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</row>
    <row r="786" spans="1:93" ht="12.5" x14ac:dyDescent="0.25">
      <c r="A786" s="7"/>
      <c r="B786" s="17"/>
      <c r="C786" s="20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</row>
    <row r="787" spans="1:93" ht="12.5" x14ac:dyDescent="0.25">
      <c r="A787" s="7"/>
      <c r="B787" s="17"/>
      <c r="C787" s="20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</row>
    <row r="788" spans="1:93" ht="12.5" x14ac:dyDescent="0.25">
      <c r="A788" s="7"/>
      <c r="B788" s="17"/>
      <c r="C788" s="20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</row>
    <row r="789" spans="1:93" ht="12.5" x14ac:dyDescent="0.25">
      <c r="A789" s="7"/>
      <c r="B789" s="17"/>
      <c r="C789" s="20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</row>
    <row r="790" spans="1:93" ht="12.5" x14ac:dyDescent="0.25">
      <c r="A790" s="7"/>
      <c r="B790" s="17"/>
      <c r="C790" s="20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</row>
    <row r="791" spans="1:93" ht="12.5" x14ac:dyDescent="0.25">
      <c r="A791" s="7"/>
      <c r="B791" s="17"/>
      <c r="C791" s="20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</row>
    <row r="792" spans="1:93" ht="12.5" x14ac:dyDescent="0.25">
      <c r="A792" s="7"/>
      <c r="B792" s="17"/>
      <c r="C792" s="20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</row>
    <row r="793" spans="1:93" ht="12.5" x14ac:dyDescent="0.25">
      <c r="A793" s="7"/>
      <c r="B793" s="17"/>
      <c r="C793" s="20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</row>
    <row r="794" spans="1:93" ht="12.5" x14ac:dyDescent="0.25">
      <c r="A794" s="7"/>
      <c r="B794" s="17"/>
      <c r="C794" s="20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</row>
    <row r="795" spans="1:93" ht="12.5" x14ac:dyDescent="0.25">
      <c r="A795" s="7"/>
      <c r="B795" s="17"/>
      <c r="C795" s="20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</row>
    <row r="796" spans="1:93" ht="12.5" x14ac:dyDescent="0.25">
      <c r="A796" s="7"/>
      <c r="B796" s="17"/>
      <c r="C796" s="20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</row>
    <row r="797" spans="1:93" ht="12.5" x14ac:dyDescent="0.25">
      <c r="A797" s="7"/>
      <c r="B797" s="17"/>
      <c r="C797" s="20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</row>
    <row r="798" spans="1:93" ht="12.5" x14ac:dyDescent="0.25">
      <c r="A798" s="7"/>
      <c r="B798" s="17"/>
      <c r="C798" s="20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</row>
    <row r="799" spans="1:93" ht="12.5" x14ac:dyDescent="0.25">
      <c r="A799" s="7"/>
      <c r="B799" s="17"/>
      <c r="C799" s="20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</row>
    <row r="800" spans="1:93" ht="12.5" x14ac:dyDescent="0.25">
      <c r="A800" s="7"/>
      <c r="B800" s="17"/>
      <c r="C800" s="20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</row>
    <row r="801" spans="1:93" ht="12.5" x14ac:dyDescent="0.25">
      <c r="A801" s="7"/>
      <c r="B801" s="17"/>
      <c r="C801" s="20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</row>
    <row r="802" spans="1:93" ht="12.5" x14ac:dyDescent="0.25">
      <c r="A802" s="7"/>
      <c r="B802" s="17"/>
      <c r="C802" s="20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</row>
    <row r="803" spans="1:93" ht="12.5" x14ac:dyDescent="0.25">
      <c r="A803" s="7"/>
      <c r="B803" s="17"/>
      <c r="C803" s="20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</row>
    <row r="804" spans="1:93" ht="12.5" x14ac:dyDescent="0.25">
      <c r="A804" s="7"/>
      <c r="B804" s="17"/>
      <c r="C804" s="20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</row>
    <row r="805" spans="1:93" ht="12.5" x14ac:dyDescent="0.25">
      <c r="A805" s="7"/>
      <c r="B805" s="17"/>
      <c r="C805" s="20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</row>
    <row r="806" spans="1:93" ht="12.5" x14ac:dyDescent="0.25">
      <c r="A806" s="7"/>
      <c r="B806" s="17"/>
      <c r="C806" s="20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</row>
    <row r="807" spans="1:93" ht="12.5" x14ac:dyDescent="0.25">
      <c r="A807" s="7"/>
      <c r="B807" s="17"/>
      <c r="C807" s="20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</row>
    <row r="808" spans="1:93" ht="12.5" x14ac:dyDescent="0.25">
      <c r="A808" s="7"/>
      <c r="B808" s="17"/>
      <c r="C808" s="20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</row>
    <row r="809" spans="1:93" ht="12.5" x14ac:dyDescent="0.25">
      <c r="A809" s="7"/>
      <c r="B809" s="17"/>
      <c r="C809" s="20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</row>
    <row r="810" spans="1:93" ht="12.5" x14ac:dyDescent="0.25">
      <c r="A810" s="7"/>
      <c r="B810" s="17"/>
      <c r="C810" s="20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</row>
    <row r="811" spans="1:93" ht="12.5" x14ac:dyDescent="0.25">
      <c r="A811" s="7"/>
      <c r="B811" s="17"/>
      <c r="C811" s="20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</row>
    <row r="812" spans="1:93" ht="12.5" x14ac:dyDescent="0.25">
      <c r="A812" s="7"/>
      <c r="B812" s="17"/>
      <c r="C812" s="20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</row>
    <row r="813" spans="1:93" ht="12.5" x14ac:dyDescent="0.25">
      <c r="A813" s="7"/>
      <c r="B813" s="17"/>
      <c r="C813" s="20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</row>
    <row r="814" spans="1:93" ht="12.5" x14ac:dyDescent="0.25">
      <c r="A814" s="7"/>
      <c r="B814" s="17"/>
      <c r="C814" s="20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</row>
    <row r="815" spans="1:93" ht="12.5" x14ac:dyDescent="0.25">
      <c r="A815" s="7"/>
      <c r="B815" s="17"/>
      <c r="C815" s="20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</row>
    <row r="816" spans="1:93" ht="12.5" x14ac:dyDescent="0.25">
      <c r="A816" s="7"/>
      <c r="B816" s="17"/>
      <c r="C816" s="20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</row>
    <row r="817" spans="1:93" ht="12.5" x14ac:dyDescent="0.25">
      <c r="A817" s="7"/>
      <c r="B817" s="17"/>
      <c r="C817" s="20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</row>
    <row r="818" spans="1:93" ht="12.5" x14ac:dyDescent="0.25">
      <c r="A818" s="7"/>
      <c r="B818" s="17"/>
      <c r="C818" s="20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</row>
    <row r="819" spans="1:93" ht="12.5" x14ac:dyDescent="0.25">
      <c r="A819" s="7"/>
      <c r="B819" s="17"/>
      <c r="C819" s="20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</row>
    <row r="820" spans="1:93" ht="12.5" x14ac:dyDescent="0.25">
      <c r="A820" s="7"/>
      <c r="B820" s="17"/>
      <c r="C820" s="20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</row>
    <row r="821" spans="1:93" ht="12.5" x14ac:dyDescent="0.25">
      <c r="A821" s="7"/>
      <c r="B821" s="17"/>
      <c r="C821" s="20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</row>
    <row r="822" spans="1:93" ht="12.5" x14ac:dyDescent="0.25">
      <c r="A822" s="7"/>
      <c r="B822" s="17"/>
      <c r="C822" s="20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</row>
    <row r="823" spans="1:93" ht="12.5" x14ac:dyDescent="0.25">
      <c r="A823" s="7"/>
      <c r="B823" s="17"/>
      <c r="C823" s="20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</row>
    <row r="824" spans="1:93" ht="12.5" x14ac:dyDescent="0.25">
      <c r="A824" s="7"/>
      <c r="B824" s="17"/>
      <c r="C824" s="20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</row>
    <row r="825" spans="1:93" ht="12.5" x14ac:dyDescent="0.25">
      <c r="A825" s="7"/>
      <c r="B825" s="17"/>
      <c r="C825" s="20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</row>
    <row r="826" spans="1:93" ht="12.5" x14ac:dyDescent="0.25">
      <c r="A826" s="7"/>
      <c r="B826" s="17"/>
      <c r="C826" s="20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</row>
    <row r="827" spans="1:93" ht="12.5" x14ac:dyDescent="0.25">
      <c r="A827" s="7"/>
      <c r="B827" s="17"/>
      <c r="C827" s="20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</row>
    <row r="828" spans="1:93" ht="12.5" x14ac:dyDescent="0.25">
      <c r="A828" s="7"/>
      <c r="B828" s="17"/>
      <c r="C828" s="20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</row>
    <row r="829" spans="1:93" ht="12.5" x14ac:dyDescent="0.25">
      <c r="A829" s="7"/>
      <c r="B829" s="17"/>
      <c r="C829" s="20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</row>
    <row r="830" spans="1:93" ht="12.5" x14ac:dyDescent="0.25">
      <c r="A830" s="7"/>
      <c r="B830" s="17"/>
      <c r="C830" s="20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</row>
    <row r="831" spans="1:93" ht="12.5" x14ac:dyDescent="0.25">
      <c r="A831" s="7"/>
      <c r="B831" s="17"/>
      <c r="C831" s="20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</row>
    <row r="832" spans="1:93" ht="12.5" x14ac:dyDescent="0.25">
      <c r="A832" s="7"/>
      <c r="B832" s="17"/>
      <c r="C832" s="20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</row>
    <row r="833" spans="1:93" ht="12.5" x14ac:dyDescent="0.25">
      <c r="A833" s="7"/>
      <c r="B833" s="17"/>
      <c r="C833" s="20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</row>
    <row r="834" spans="1:93" ht="12.5" x14ac:dyDescent="0.25">
      <c r="A834" s="7"/>
      <c r="B834" s="17"/>
      <c r="C834" s="20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</row>
    <row r="835" spans="1:93" ht="12.5" x14ac:dyDescent="0.25">
      <c r="A835" s="7"/>
      <c r="B835" s="17"/>
      <c r="C835" s="20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</row>
    <row r="836" spans="1:93" ht="12.5" x14ac:dyDescent="0.25">
      <c r="A836" s="7"/>
      <c r="B836" s="17"/>
      <c r="C836" s="20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</row>
    <row r="837" spans="1:93" ht="12.5" x14ac:dyDescent="0.25">
      <c r="A837" s="7"/>
      <c r="B837" s="17"/>
      <c r="C837" s="20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</row>
    <row r="838" spans="1:93" ht="12.5" x14ac:dyDescent="0.25">
      <c r="A838" s="7"/>
      <c r="B838" s="17"/>
      <c r="C838" s="20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</row>
    <row r="839" spans="1:93" ht="12.5" x14ac:dyDescent="0.25">
      <c r="A839" s="7"/>
      <c r="B839" s="17"/>
      <c r="C839" s="20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</row>
    <row r="840" spans="1:93" ht="12.5" x14ac:dyDescent="0.25">
      <c r="A840" s="7"/>
      <c r="B840" s="17"/>
      <c r="C840" s="20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</row>
    <row r="841" spans="1:93" ht="12.5" x14ac:dyDescent="0.25">
      <c r="A841" s="7"/>
      <c r="B841" s="17"/>
      <c r="C841" s="20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</row>
    <row r="842" spans="1:93" ht="12.5" x14ac:dyDescent="0.25">
      <c r="A842" s="7"/>
      <c r="B842" s="17"/>
      <c r="C842" s="20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</row>
    <row r="843" spans="1:93" ht="12.5" x14ac:dyDescent="0.25">
      <c r="A843" s="7"/>
      <c r="B843" s="17"/>
      <c r="C843" s="20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</row>
    <row r="844" spans="1:93" ht="12.5" x14ac:dyDescent="0.25">
      <c r="A844" s="7"/>
      <c r="B844" s="17"/>
      <c r="C844" s="20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</row>
    <row r="845" spans="1:93" ht="12.5" x14ac:dyDescent="0.25">
      <c r="A845" s="7"/>
      <c r="B845" s="17"/>
      <c r="C845" s="20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</row>
    <row r="846" spans="1:93" ht="12.5" x14ac:dyDescent="0.25">
      <c r="A846" s="7"/>
      <c r="B846" s="17"/>
      <c r="C846" s="20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</row>
    <row r="847" spans="1:93" ht="12.5" x14ac:dyDescent="0.25">
      <c r="A847" s="7"/>
      <c r="B847" s="17"/>
      <c r="C847" s="20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</row>
    <row r="848" spans="1:93" ht="12.5" x14ac:dyDescent="0.25">
      <c r="A848" s="7"/>
      <c r="B848" s="17"/>
      <c r="C848" s="20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</row>
    <row r="849" spans="1:93" ht="12.5" x14ac:dyDescent="0.25">
      <c r="A849" s="7"/>
      <c r="B849" s="17"/>
      <c r="C849" s="20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</row>
    <row r="850" spans="1:93" ht="12.5" x14ac:dyDescent="0.25">
      <c r="A850" s="7"/>
      <c r="B850" s="17"/>
      <c r="C850" s="20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</row>
    <row r="851" spans="1:93" ht="12.5" x14ac:dyDescent="0.25">
      <c r="A851" s="7"/>
      <c r="B851" s="17"/>
      <c r="C851" s="20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</row>
    <row r="852" spans="1:93" ht="12.5" x14ac:dyDescent="0.25">
      <c r="A852" s="7"/>
      <c r="B852" s="17"/>
      <c r="C852" s="20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</row>
    <row r="853" spans="1:93" ht="12.5" x14ac:dyDescent="0.25">
      <c r="A853" s="7"/>
      <c r="B853" s="17"/>
      <c r="C853" s="20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</row>
    <row r="854" spans="1:93" ht="12.5" x14ac:dyDescent="0.25">
      <c r="A854" s="7"/>
      <c r="B854" s="17"/>
      <c r="C854" s="20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</row>
    <row r="855" spans="1:93" ht="12.5" x14ac:dyDescent="0.25">
      <c r="A855" s="7"/>
      <c r="B855" s="17"/>
      <c r="C855" s="20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</row>
    <row r="856" spans="1:93" ht="12.5" x14ac:dyDescent="0.25">
      <c r="A856" s="7"/>
      <c r="B856" s="17"/>
      <c r="C856" s="20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</row>
    <row r="857" spans="1:93" ht="12.5" x14ac:dyDescent="0.25">
      <c r="A857" s="7"/>
      <c r="B857" s="17"/>
      <c r="C857" s="20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</row>
    <row r="858" spans="1:93" ht="12.5" x14ac:dyDescent="0.25">
      <c r="A858" s="7"/>
      <c r="B858" s="17"/>
      <c r="C858" s="20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</row>
    <row r="859" spans="1:93" ht="12.5" x14ac:dyDescent="0.25">
      <c r="A859" s="7"/>
      <c r="B859" s="17"/>
      <c r="C859" s="20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</row>
    <row r="860" spans="1:93" ht="12.5" x14ac:dyDescent="0.25">
      <c r="A860" s="7"/>
      <c r="B860" s="17"/>
      <c r="C860" s="20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</row>
    <row r="861" spans="1:93" ht="12.5" x14ac:dyDescent="0.25">
      <c r="A861" s="7"/>
      <c r="B861" s="17"/>
      <c r="C861" s="20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</row>
    <row r="862" spans="1:93" ht="12.5" x14ac:dyDescent="0.25">
      <c r="A862" s="7"/>
      <c r="B862" s="17"/>
      <c r="C862" s="20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</row>
    <row r="863" spans="1:93" ht="12.5" x14ac:dyDescent="0.25">
      <c r="A863" s="7"/>
      <c r="B863" s="17"/>
      <c r="C863" s="20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</row>
    <row r="864" spans="1:93" ht="12.5" x14ac:dyDescent="0.25">
      <c r="A864" s="7"/>
      <c r="B864" s="17"/>
      <c r="C864" s="20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</row>
    <row r="865" spans="1:93" ht="12.5" x14ac:dyDescent="0.25">
      <c r="A865" s="7"/>
      <c r="B865" s="17"/>
      <c r="C865" s="20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</row>
    <row r="866" spans="1:93" ht="12.5" x14ac:dyDescent="0.25">
      <c r="A866" s="7"/>
      <c r="B866" s="17"/>
      <c r="C866" s="20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</row>
    <row r="867" spans="1:93" ht="12.5" x14ac:dyDescent="0.25">
      <c r="A867" s="7"/>
      <c r="B867" s="17"/>
      <c r="C867" s="20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</row>
    <row r="868" spans="1:93" ht="12.5" x14ac:dyDescent="0.25">
      <c r="A868" s="7"/>
      <c r="B868" s="17"/>
      <c r="C868" s="20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</row>
    <row r="869" spans="1:93" ht="12.5" x14ac:dyDescent="0.25">
      <c r="A869" s="7"/>
      <c r="B869" s="17"/>
      <c r="C869" s="20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</row>
    <row r="870" spans="1:93" ht="12.5" x14ac:dyDescent="0.25">
      <c r="A870" s="7"/>
      <c r="B870" s="17"/>
      <c r="C870" s="20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</row>
    <row r="871" spans="1:93" ht="12.5" x14ac:dyDescent="0.25">
      <c r="A871" s="7"/>
      <c r="B871" s="17"/>
      <c r="C871" s="20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</row>
    <row r="872" spans="1:93" ht="12.5" x14ac:dyDescent="0.25">
      <c r="A872" s="7"/>
      <c r="B872" s="17"/>
      <c r="C872" s="20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</row>
    <row r="873" spans="1:93" ht="12.5" x14ac:dyDescent="0.25">
      <c r="A873" s="7"/>
      <c r="B873" s="17"/>
      <c r="C873" s="20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</row>
    <row r="874" spans="1:93" ht="12.5" x14ac:dyDescent="0.25">
      <c r="A874" s="7"/>
      <c r="B874" s="17"/>
      <c r="C874" s="20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</row>
    <row r="875" spans="1:93" ht="12.5" x14ac:dyDescent="0.25">
      <c r="A875" s="7"/>
      <c r="B875" s="17"/>
      <c r="C875" s="20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</row>
    <row r="876" spans="1:93" ht="12.5" x14ac:dyDescent="0.25">
      <c r="A876" s="7"/>
      <c r="B876" s="17"/>
      <c r="C876" s="20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</row>
    <row r="877" spans="1:93" ht="12.5" x14ac:dyDescent="0.25">
      <c r="A877" s="7"/>
      <c r="B877" s="17"/>
      <c r="C877" s="20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</row>
    <row r="878" spans="1:93" ht="12.5" x14ac:dyDescent="0.25">
      <c r="A878" s="7"/>
      <c r="B878" s="17"/>
      <c r="C878" s="20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</row>
    <row r="879" spans="1:93" ht="12.5" x14ac:dyDescent="0.25">
      <c r="A879" s="7"/>
      <c r="B879" s="17"/>
      <c r="C879" s="20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</row>
    <row r="880" spans="1:93" ht="12.5" x14ac:dyDescent="0.25">
      <c r="A880" s="7"/>
      <c r="B880" s="17"/>
      <c r="C880" s="20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</row>
    <row r="881" spans="1:93" ht="12.5" x14ac:dyDescent="0.25">
      <c r="A881" s="7"/>
      <c r="B881" s="17"/>
      <c r="C881" s="20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</row>
    <row r="882" spans="1:93" ht="12.5" x14ac:dyDescent="0.25">
      <c r="A882" s="7"/>
      <c r="B882" s="17"/>
      <c r="C882" s="20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</row>
    <row r="883" spans="1:93" ht="12.5" x14ac:dyDescent="0.25">
      <c r="A883" s="7"/>
      <c r="B883" s="17"/>
      <c r="C883" s="20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</row>
    <row r="884" spans="1:93" ht="12.5" x14ac:dyDescent="0.25">
      <c r="A884" s="7"/>
      <c r="B884" s="17"/>
      <c r="C884" s="20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</row>
    <row r="885" spans="1:93" ht="12.5" x14ac:dyDescent="0.25">
      <c r="A885" s="7"/>
      <c r="B885" s="17"/>
      <c r="C885" s="20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</row>
    <row r="886" spans="1:93" ht="12.5" x14ac:dyDescent="0.25">
      <c r="A886" s="7"/>
      <c r="B886" s="17"/>
      <c r="C886" s="20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</row>
    <row r="887" spans="1:93" ht="12.5" x14ac:dyDescent="0.25">
      <c r="A887" s="7"/>
      <c r="B887" s="17"/>
      <c r="C887" s="20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</row>
    <row r="888" spans="1:93" ht="12.5" x14ac:dyDescent="0.25">
      <c r="A888" s="7"/>
      <c r="B888" s="17"/>
      <c r="C888" s="20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</row>
    <row r="889" spans="1:93" ht="12.5" x14ac:dyDescent="0.25">
      <c r="A889" s="7"/>
      <c r="B889" s="17"/>
      <c r="C889" s="20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</row>
    <row r="890" spans="1:93" ht="12.5" x14ac:dyDescent="0.25">
      <c r="A890" s="7"/>
      <c r="B890" s="17"/>
      <c r="C890" s="20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</row>
    <row r="891" spans="1:93" ht="12.5" x14ac:dyDescent="0.25">
      <c r="A891" s="7"/>
      <c r="B891" s="17"/>
      <c r="C891" s="20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</row>
    <row r="892" spans="1:93" ht="12.5" x14ac:dyDescent="0.25">
      <c r="A892" s="7"/>
      <c r="B892" s="17"/>
      <c r="C892" s="20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</row>
    <row r="893" spans="1:93" ht="12.5" x14ac:dyDescent="0.25">
      <c r="A893" s="7"/>
      <c r="B893" s="17"/>
      <c r="C893" s="20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</row>
    <row r="894" spans="1:93" ht="12.5" x14ac:dyDescent="0.25">
      <c r="A894" s="7"/>
      <c r="B894" s="17"/>
      <c r="C894" s="20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</row>
    <row r="895" spans="1:93" ht="12.5" x14ac:dyDescent="0.25">
      <c r="A895" s="7"/>
      <c r="B895" s="17"/>
      <c r="C895" s="20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</row>
    <row r="896" spans="1:93" ht="12.5" x14ac:dyDescent="0.25">
      <c r="A896" s="7"/>
      <c r="B896" s="17"/>
      <c r="C896" s="20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</row>
    <row r="897" spans="1:93" ht="12.5" x14ac:dyDescent="0.25">
      <c r="A897" s="7"/>
      <c r="B897" s="17"/>
      <c r="C897" s="20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</row>
    <row r="898" spans="1:93" ht="12.5" x14ac:dyDescent="0.25">
      <c r="A898" s="7"/>
      <c r="B898" s="17"/>
      <c r="C898" s="20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</row>
    <row r="899" spans="1:93" ht="12.5" x14ac:dyDescent="0.25">
      <c r="A899" s="7"/>
      <c r="B899" s="17"/>
      <c r="C899" s="20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</row>
    <row r="900" spans="1:93" ht="12.5" x14ac:dyDescent="0.25">
      <c r="A900" s="7"/>
      <c r="B900" s="17"/>
      <c r="C900" s="20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</row>
    <row r="901" spans="1:93" ht="12.5" x14ac:dyDescent="0.25">
      <c r="A901" s="7"/>
      <c r="B901" s="17"/>
      <c r="C901" s="20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</row>
    <row r="902" spans="1:93" ht="12.5" x14ac:dyDescent="0.25">
      <c r="A902" s="7"/>
      <c r="B902" s="17"/>
      <c r="C902" s="20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</row>
    <row r="903" spans="1:93" ht="12.5" x14ac:dyDescent="0.25">
      <c r="A903" s="7"/>
      <c r="B903" s="17"/>
      <c r="C903" s="20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</row>
    <row r="904" spans="1:93" ht="12.5" x14ac:dyDescent="0.25">
      <c r="A904" s="7"/>
      <c r="B904" s="17"/>
      <c r="C904" s="20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</row>
    <row r="905" spans="1:93" ht="12.5" x14ac:dyDescent="0.25">
      <c r="A905" s="7"/>
      <c r="B905" s="17"/>
      <c r="C905" s="20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</row>
    <row r="906" spans="1:93" ht="12.5" x14ac:dyDescent="0.25">
      <c r="A906" s="7"/>
      <c r="B906" s="17"/>
      <c r="C906" s="20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</row>
    <row r="907" spans="1:93" ht="12.5" x14ac:dyDescent="0.25">
      <c r="A907" s="7"/>
      <c r="B907" s="17"/>
      <c r="C907" s="20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</row>
    <row r="908" spans="1:93" ht="12.5" x14ac:dyDescent="0.25">
      <c r="A908" s="7"/>
      <c r="B908" s="17"/>
      <c r="C908" s="20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</row>
    <row r="909" spans="1:93" ht="12.5" x14ac:dyDescent="0.25">
      <c r="A909" s="7"/>
      <c r="B909" s="17"/>
      <c r="C909" s="20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</row>
    <row r="910" spans="1:93" ht="12.5" x14ac:dyDescent="0.25">
      <c r="A910" s="7"/>
      <c r="B910" s="17"/>
      <c r="C910" s="20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</row>
    <row r="911" spans="1:93" ht="12.5" x14ac:dyDescent="0.25">
      <c r="A911" s="7"/>
      <c r="B911" s="17"/>
      <c r="C911" s="20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</row>
    <row r="912" spans="1:93" ht="12.5" x14ac:dyDescent="0.25">
      <c r="A912" s="7"/>
      <c r="B912" s="17"/>
      <c r="C912" s="20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</row>
    <row r="913" spans="1:93" ht="12.5" x14ac:dyDescent="0.25">
      <c r="A913" s="7"/>
      <c r="B913" s="17"/>
      <c r="C913" s="20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</row>
    <row r="914" spans="1:93" ht="12.5" x14ac:dyDescent="0.25">
      <c r="A914" s="7"/>
      <c r="B914" s="17"/>
      <c r="C914" s="20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</row>
    <row r="915" spans="1:93" ht="12.5" x14ac:dyDescent="0.25">
      <c r="A915" s="7"/>
      <c r="B915" s="17"/>
      <c r="C915" s="20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</row>
    <row r="916" spans="1:93" ht="12.5" x14ac:dyDescent="0.25">
      <c r="A916" s="7"/>
      <c r="B916" s="17"/>
      <c r="C916" s="20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</row>
    <row r="917" spans="1:93" ht="12.5" x14ac:dyDescent="0.25">
      <c r="A917" s="7"/>
      <c r="B917" s="17"/>
      <c r="C917" s="20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</row>
    <row r="918" spans="1:93" ht="12.5" x14ac:dyDescent="0.25">
      <c r="A918" s="7"/>
      <c r="B918" s="17"/>
      <c r="C918" s="20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</row>
    <row r="919" spans="1:93" ht="12.5" x14ac:dyDescent="0.25">
      <c r="A919" s="7"/>
      <c r="B919" s="17"/>
      <c r="C919" s="20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</row>
    <row r="920" spans="1:93" ht="12.5" x14ac:dyDescent="0.25">
      <c r="A920" s="7"/>
      <c r="B920" s="17"/>
      <c r="C920" s="20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</row>
    <row r="921" spans="1:93" ht="12.5" x14ac:dyDescent="0.25">
      <c r="A921" s="7"/>
      <c r="B921" s="17"/>
      <c r="C921" s="20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</row>
    <row r="922" spans="1:93" ht="12.5" x14ac:dyDescent="0.25">
      <c r="A922" s="7"/>
      <c r="B922" s="17"/>
      <c r="C922" s="20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</row>
    <row r="923" spans="1:93" ht="12.5" x14ac:dyDescent="0.25">
      <c r="A923" s="7"/>
      <c r="B923" s="17"/>
      <c r="C923" s="20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</row>
    <row r="924" spans="1:93" ht="12.5" x14ac:dyDescent="0.25">
      <c r="A924" s="7"/>
      <c r="B924" s="17"/>
      <c r="C924" s="20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</row>
    <row r="925" spans="1:93" ht="12.5" x14ac:dyDescent="0.25">
      <c r="A925" s="7"/>
      <c r="B925" s="17"/>
      <c r="C925" s="20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</row>
    <row r="926" spans="1:93" ht="12.5" x14ac:dyDescent="0.25">
      <c r="A926" s="7"/>
      <c r="B926" s="17"/>
      <c r="C926" s="20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</row>
    <row r="927" spans="1:93" ht="12.5" x14ac:dyDescent="0.25">
      <c r="A927" s="7"/>
      <c r="B927" s="17"/>
      <c r="C927" s="20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</row>
    <row r="928" spans="1:93" ht="12.5" x14ac:dyDescent="0.25">
      <c r="A928" s="7"/>
      <c r="B928" s="17"/>
      <c r="C928" s="20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</row>
    <row r="929" spans="1:93" ht="12.5" x14ac:dyDescent="0.25">
      <c r="A929" s="7"/>
      <c r="B929" s="17"/>
      <c r="C929" s="20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</row>
    <row r="930" spans="1:93" ht="12.5" x14ac:dyDescent="0.25">
      <c r="A930" s="7"/>
      <c r="B930" s="17"/>
      <c r="C930" s="20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</row>
    <row r="931" spans="1:93" ht="12.5" x14ac:dyDescent="0.25">
      <c r="A931" s="7"/>
      <c r="B931" s="17"/>
      <c r="C931" s="20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</row>
    <row r="932" spans="1:93" ht="12.5" x14ac:dyDescent="0.25">
      <c r="A932" s="7"/>
      <c r="B932" s="17"/>
      <c r="C932" s="20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</row>
    <row r="933" spans="1:93" ht="12.5" x14ac:dyDescent="0.25">
      <c r="A933" s="7"/>
      <c r="B933" s="17"/>
      <c r="C933" s="20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</row>
    <row r="934" spans="1:93" ht="12.5" x14ac:dyDescent="0.25">
      <c r="A934" s="7"/>
      <c r="B934" s="17"/>
      <c r="C934" s="20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</row>
    <row r="935" spans="1:93" ht="12.5" x14ac:dyDescent="0.25">
      <c r="A935" s="7"/>
      <c r="B935" s="17"/>
      <c r="C935" s="20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</row>
    <row r="936" spans="1:93" ht="12.5" x14ac:dyDescent="0.25">
      <c r="A936" s="7"/>
      <c r="B936" s="17"/>
      <c r="C936" s="20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</row>
    <row r="937" spans="1:93" ht="12.5" x14ac:dyDescent="0.25">
      <c r="A937" s="7"/>
      <c r="B937" s="17"/>
      <c r="C937" s="20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</row>
    <row r="938" spans="1:93" ht="12.5" x14ac:dyDescent="0.25">
      <c r="A938" s="7"/>
      <c r="B938" s="17"/>
      <c r="C938" s="20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</row>
    <row r="939" spans="1:93" ht="12.5" x14ac:dyDescent="0.25">
      <c r="A939" s="7"/>
      <c r="B939" s="17"/>
      <c r="C939" s="20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</row>
    <row r="940" spans="1:93" ht="12.5" x14ac:dyDescent="0.25">
      <c r="A940" s="7"/>
      <c r="B940" s="17"/>
      <c r="C940" s="20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</row>
    <row r="941" spans="1:93" ht="12.5" x14ac:dyDescent="0.25">
      <c r="A941" s="7"/>
      <c r="B941" s="17"/>
      <c r="C941" s="20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</row>
    <row r="942" spans="1:93" ht="12.5" x14ac:dyDescent="0.25">
      <c r="A942" s="7"/>
      <c r="B942" s="17"/>
      <c r="C942" s="20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</row>
    <row r="943" spans="1:93" ht="12.5" x14ac:dyDescent="0.25">
      <c r="A943" s="7"/>
      <c r="B943" s="17"/>
      <c r="C943" s="20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</row>
    <row r="944" spans="1:93" ht="12.5" x14ac:dyDescent="0.25">
      <c r="A944" s="7"/>
      <c r="B944" s="17"/>
      <c r="C944" s="20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</row>
    <row r="945" spans="1:93" ht="12.5" x14ac:dyDescent="0.25">
      <c r="A945" s="7"/>
      <c r="B945" s="17"/>
      <c r="C945" s="20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</row>
    <row r="946" spans="1:93" ht="12.5" x14ac:dyDescent="0.25">
      <c r="A946" s="7"/>
      <c r="B946" s="17"/>
      <c r="C946" s="20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</row>
    <row r="947" spans="1:93" ht="12.5" x14ac:dyDescent="0.25">
      <c r="A947" s="7"/>
      <c r="B947" s="17"/>
      <c r="C947" s="20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</row>
    <row r="948" spans="1:93" ht="12.5" x14ac:dyDescent="0.25">
      <c r="A948" s="7"/>
      <c r="B948" s="17"/>
      <c r="C948" s="20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</row>
    <row r="949" spans="1:93" ht="12.5" x14ac:dyDescent="0.25">
      <c r="A949" s="7"/>
      <c r="B949" s="17"/>
      <c r="C949" s="20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</row>
    <row r="950" spans="1:93" ht="12.5" x14ac:dyDescent="0.25">
      <c r="A950" s="7"/>
      <c r="B950" s="17"/>
      <c r="C950" s="20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</row>
    <row r="951" spans="1:93" ht="12.5" x14ac:dyDescent="0.25">
      <c r="A951" s="7"/>
      <c r="B951" s="17"/>
      <c r="C951" s="20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</row>
    <row r="952" spans="1:93" ht="12.5" x14ac:dyDescent="0.25">
      <c r="A952" s="7"/>
      <c r="B952" s="17"/>
      <c r="C952" s="20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</row>
    <row r="953" spans="1:93" ht="12.5" x14ac:dyDescent="0.25">
      <c r="A953" s="7"/>
      <c r="B953" s="17"/>
      <c r="C953" s="20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</row>
    <row r="954" spans="1:93" ht="12.5" x14ac:dyDescent="0.25">
      <c r="A954" s="7"/>
      <c r="B954" s="17"/>
      <c r="C954" s="20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</row>
    <row r="955" spans="1:93" ht="12.5" x14ac:dyDescent="0.25">
      <c r="A955" s="7"/>
      <c r="B955" s="17"/>
      <c r="C955" s="20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</row>
    <row r="956" spans="1:93" ht="12.5" x14ac:dyDescent="0.25">
      <c r="A956" s="7"/>
      <c r="B956" s="17"/>
      <c r="C956" s="20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</row>
    <row r="957" spans="1:93" ht="12.5" x14ac:dyDescent="0.25">
      <c r="A957" s="7"/>
      <c r="B957" s="17"/>
      <c r="C957" s="20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</row>
    <row r="958" spans="1:93" ht="12.5" x14ac:dyDescent="0.25">
      <c r="A958" s="7"/>
      <c r="B958" s="17"/>
      <c r="C958" s="20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</row>
    <row r="959" spans="1:93" ht="12.5" x14ac:dyDescent="0.25">
      <c r="A959" s="7"/>
      <c r="B959" s="17"/>
      <c r="C959" s="20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</row>
    <row r="960" spans="1:93" ht="12.5" x14ac:dyDescent="0.25">
      <c r="A960" s="7"/>
      <c r="B960" s="17"/>
      <c r="C960" s="20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</row>
    <row r="961" spans="1:93" ht="12.5" x14ac:dyDescent="0.25">
      <c r="A961" s="7"/>
      <c r="B961" s="17"/>
      <c r="C961" s="20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</row>
    <row r="962" spans="1:93" ht="12.5" x14ac:dyDescent="0.25">
      <c r="A962" s="7"/>
      <c r="B962" s="17"/>
      <c r="C962" s="20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</row>
    <row r="963" spans="1:93" ht="12.5" x14ac:dyDescent="0.25">
      <c r="A963" s="7"/>
      <c r="B963" s="17"/>
      <c r="C963" s="20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</row>
    <row r="964" spans="1:93" ht="12.5" x14ac:dyDescent="0.25">
      <c r="A964" s="7"/>
      <c r="B964" s="17"/>
      <c r="C964" s="20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</row>
    <row r="965" spans="1:93" ht="12.5" x14ac:dyDescent="0.25">
      <c r="A965" s="7"/>
      <c r="B965" s="17"/>
      <c r="C965" s="20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</row>
    <row r="966" spans="1:93" ht="12.5" x14ac:dyDescent="0.25">
      <c r="A966" s="7"/>
      <c r="B966" s="17"/>
      <c r="C966" s="20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</row>
    <row r="967" spans="1:93" ht="12.5" x14ac:dyDescent="0.25">
      <c r="A967" s="7"/>
      <c r="B967" s="17"/>
      <c r="C967" s="20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</row>
    <row r="968" spans="1:93" ht="12.5" x14ac:dyDescent="0.25">
      <c r="A968" s="7"/>
      <c r="B968" s="17"/>
      <c r="C968" s="20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</row>
    <row r="969" spans="1:93" ht="12.5" x14ac:dyDescent="0.25">
      <c r="A969" s="7"/>
      <c r="B969" s="17"/>
      <c r="C969" s="20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</row>
    <row r="970" spans="1:93" ht="12.5" x14ac:dyDescent="0.25">
      <c r="A970" s="7"/>
      <c r="B970" s="17"/>
      <c r="C970" s="20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</row>
    <row r="971" spans="1:93" ht="12.5" x14ac:dyDescent="0.25">
      <c r="A971" s="7"/>
      <c r="B971" s="17"/>
      <c r="C971" s="20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</row>
    <row r="972" spans="1:93" ht="12.5" x14ac:dyDescent="0.25">
      <c r="A972" s="7"/>
      <c r="B972" s="17"/>
      <c r="C972" s="20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</row>
    <row r="973" spans="1:93" ht="12.5" x14ac:dyDescent="0.25">
      <c r="A973" s="7"/>
      <c r="B973" s="17"/>
      <c r="C973" s="20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</row>
    <row r="974" spans="1:93" ht="12.5" x14ac:dyDescent="0.25">
      <c r="A974" s="7"/>
      <c r="B974" s="17"/>
      <c r="C974" s="20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</row>
    <row r="975" spans="1:93" ht="12.5" x14ac:dyDescent="0.25">
      <c r="A975" s="7"/>
      <c r="B975" s="17"/>
      <c r="C975" s="20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</row>
    <row r="976" spans="1:93" ht="12.5" x14ac:dyDescent="0.25">
      <c r="A976" s="7"/>
      <c r="B976" s="17"/>
      <c r="C976" s="20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</row>
    <row r="977" spans="1:93" ht="12.5" x14ac:dyDescent="0.25">
      <c r="A977" s="7"/>
      <c r="B977" s="17"/>
      <c r="C977" s="20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</row>
    <row r="978" spans="1:93" ht="12.5" x14ac:dyDescent="0.25">
      <c r="A978" s="7"/>
      <c r="B978" s="17"/>
      <c r="C978" s="20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</row>
    <row r="979" spans="1:93" ht="12.5" x14ac:dyDescent="0.25">
      <c r="A979" s="7"/>
      <c r="B979" s="17"/>
      <c r="C979" s="20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</row>
    <row r="980" spans="1:93" ht="12.5" x14ac:dyDescent="0.25">
      <c r="A980" s="7"/>
      <c r="B980" s="17"/>
      <c r="C980" s="20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</row>
    <row r="981" spans="1:93" ht="12.5" x14ac:dyDescent="0.25">
      <c r="A981" s="7"/>
      <c r="B981" s="17"/>
      <c r="C981" s="20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</row>
    <row r="982" spans="1:93" ht="12.5" x14ac:dyDescent="0.25">
      <c r="A982" s="7"/>
      <c r="B982" s="17"/>
      <c r="C982" s="20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</row>
    <row r="983" spans="1:93" ht="12.5" x14ac:dyDescent="0.25">
      <c r="A983" s="7"/>
      <c r="B983" s="17"/>
      <c r="C983" s="20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</row>
    <row r="984" spans="1:93" ht="12.5" x14ac:dyDescent="0.25">
      <c r="A984" s="7"/>
      <c r="B984" s="17"/>
      <c r="C984" s="20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</row>
    <row r="985" spans="1:93" ht="12.5" x14ac:dyDescent="0.25">
      <c r="A985" s="7"/>
      <c r="B985" s="17"/>
      <c r="C985" s="20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</row>
    <row r="986" spans="1:93" ht="12.5" x14ac:dyDescent="0.25">
      <c r="A986" s="7"/>
      <c r="B986" s="17"/>
      <c r="C986" s="20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</row>
    <row r="987" spans="1:93" ht="12.5" x14ac:dyDescent="0.25">
      <c r="A987" s="7"/>
      <c r="B987" s="17"/>
      <c r="C987" s="20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</row>
    <row r="988" spans="1:93" ht="12.5" x14ac:dyDescent="0.25">
      <c r="A988" s="7"/>
      <c r="B988" s="17"/>
      <c r="C988" s="20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</row>
    <row r="989" spans="1:93" ht="12.5" x14ac:dyDescent="0.25">
      <c r="A989" s="7"/>
      <c r="B989" s="17"/>
      <c r="C989" s="20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</row>
    <row r="990" spans="1:93" ht="12.5" x14ac:dyDescent="0.25">
      <c r="A990" s="7"/>
      <c r="B990" s="17"/>
      <c r="C990" s="20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</row>
    <row r="991" spans="1:93" ht="12.5" x14ac:dyDescent="0.25">
      <c r="A991" s="7"/>
      <c r="B991" s="17"/>
      <c r="C991" s="20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</row>
    <row r="992" spans="1:93" ht="12.5" x14ac:dyDescent="0.25">
      <c r="A992" s="7"/>
      <c r="B992" s="17"/>
      <c r="C992" s="20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</row>
    <row r="993" spans="1:93" ht="12.5" x14ac:dyDescent="0.25">
      <c r="A993" s="7"/>
      <c r="B993" s="17"/>
      <c r="C993" s="20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</row>
    <row r="994" spans="1:93" ht="12.5" x14ac:dyDescent="0.25">
      <c r="A994" s="7"/>
      <c r="B994" s="17"/>
      <c r="C994" s="20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</row>
    <row r="995" spans="1:93" ht="12.5" x14ac:dyDescent="0.25">
      <c r="A995" s="7"/>
      <c r="B995" s="17"/>
      <c r="C995" s="20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</row>
    <row r="996" spans="1:93" ht="12.5" x14ac:dyDescent="0.25">
      <c r="A996" s="7"/>
      <c r="B996" s="17"/>
      <c r="C996" s="20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</row>
    <row r="997" spans="1:93" ht="12.5" x14ac:dyDescent="0.25">
      <c r="A997" s="7"/>
      <c r="B997" s="17"/>
      <c r="C997" s="20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</row>
    <row r="998" spans="1:93" ht="12.5" x14ac:dyDescent="0.25">
      <c r="A998" s="7"/>
      <c r="B998" s="17"/>
      <c r="C998" s="20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</row>
    <row r="999" spans="1:93" ht="12.5" x14ac:dyDescent="0.25">
      <c r="A999" s="7"/>
      <c r="B999" s="17"/>
      <c r="C999" s="20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</row>
    <row r="1000" spans="1:93" ht="12.5" x14ac:dyDescent="0.25">
      <c r="A1000" s="7"/>
      <c r="B1000" s="17"/>
      <c r="C1000" s="20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</row>
    <row r="1001" spans="1:93" ht="12.5" x14ac:dyDescent="0.25">
      <c r="A1001" s="7"/>
      <c r="B1001" s="17"/>
      <c r="C1001" s="20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</row>
    <row r="1002" spans="1:93" ht="12.5" x14ac:dyDescent="0.25">
      <c r="A1002" s="7"/>
      <c r="B1002" s="17"/>
      <c r="C1002" s="20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</row>
    <row r="1003" spans="1:93" ht="12.5" x14ac:dyDescent="0.25">
      <c r="A1003" s="7"/>
      <c r="B1003" s="17"/>
      <c r="C1003" s="20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03"/>
  <sheetViews>
    <sheetView workbookViewId="0"/>
  </sheetViews>
  <sheetFormatPr defaultColWidth="12.6328125" defaultRowHeight="15.75" customHeight="1" x14ac:dyDescent="0.25"/>
  <cols>
    <col min="1" max="1" width="37.36328125" customWidth="1"/>
    <col min="3" max="8" width="16.7265625" customWidth="1"/>
    <col min="9" max="9" width="22" customWidth="1"/>
    <col min="10" max="10" width="19.6328125" customWidth="1"/>
    <col min="11" max="11" width="23.6328125" customWidth="1"/>
    <col min="12" max="12" width="18.453125" customWidth="1"/>
    <col min="13" max="13" width="25.08984375" customWidth="1"/>
    <col min="14" max="14" width="23.36328125" customWidth="1"/>
    <col min="15" max="15" width="20.08984375" customWidth="1"/>
    <col min="16" max="16" width="20.7265625" customWidth="1"/>
  </cols>
  <sheetData>
    <row r="1" spans="1:24" ht="15.75" customHeight="1" x14ac:dyDescent="0.35">
      <c r="A1" s="1" t="str">
        <f>Specs!D1</f>
        <v>ModularSwitch</v>
      </c>
      <c r="B1" s="2" t="s">
        <v>0</v>
      </c>
      <c r="C1" s="3" t="e">
        <f t="array" aca="1" ref="C1" ca="1">INDEX(D1:H1, MATCH(1, D16:H16, 0))</f>
        <v>#N/A</v>
      </c>
      <c r="D1" s="25" t="s">
        <v>107</v>
      </c>
      <c r="E1" s="25" t="s">
        <v>108</v>
      </c>
      <c r="F1" s="25" t="s">
        <v>109</v>
      </c>
      <c r="G1" s="25" t="s">
        <v>110</v>
      </c>
      <c r="H1" s="4" t="s">
        <v>111</v>
      </c>
      <c r="I1" s="4" t="s">
        <v>112</v>
      </c>
      <c r="J1" s="4" t="s">
        <v>113</v>
      </c>
      <c r="K1" s="4" t="s">
        <v>114</v>
      </c>
      <c r="L1" s="4" t="s">
        <v>115</v>
      </c>
      <c r="M1" s="4" t="s">
        <v>116</v>
      </c>
      <c r="N1" s="4" t="s">
        <v>117</v>
      </c>
      <c r="O1" s="4" t="s">
        <v>118</v>
      </c>
      <c r="P1" s="4" t="s">
        <v>119</v>
      </c>
      <c r="Q1" s="7"/>
      <c r="R1" s="7"/>
      <c r="S1" s="7"/>
      <c r="T1" s="7"/>
      <c r="U1" s="7"/>
      <c r="V1" s="7"/>
      <c r="W1" s="7"/>
      <c r="X1" s="7"/>
    </row>
    <row r="2" spans="1:24" ht="15.75" customHeight="1" x14ac:dyDescent="0.35">
      <c r="A2" s="8" t="str">
        <f>Specs!D2</f>
        <v>Switching Bandwidth - Full Duplex (Gbps)</v>
      </c>
      <c r="B2" s="9" t="str">
        <f ca="1">IFERROR(__xludf.DUMMYFUNCTION("IMPORTRANGE(""https://docs.google.com/spreadsheets/d/18TjePryHG687L54fIGU6Od12DGyT3mPoblPemZTZRY4"",""SwitchCampus!B3:B10"")"),"")</f>
        <v/>
      </c>
      <c r="C2" s="10" t="e">
        <f ca="1">HLOOKUP($C$1,$D$1:$H$10,2,0)</f>
        <v>#N/A</v>
      </c>
      <c r="D2" s="26">
        <f>480*2</f>
        <v>960</v>
      </c>
      <c r="E2" s="26">
        <f>480*5</f>
        <v>2400</v>
      </c>
      <c r="F2" s="26">
        <f>480*8</f>
        <v>3840</v>
      </c>
      <c r="G2" s="26">
        <f>3200*4</f>
        <v>12800</v>
      </c>
      <c r="H2" s="8"/>
      <c r="I2" s="8"/>
      <c r="J2" s="8"/>
      <c r="K2" s="8"/>
      <c r="L2" s="8"/>
      <c r="M2" s="8"/>
      <c r="N2" s="8"/>
      <c r="O2" s="8"/>
      <c r="P2" s="8"/>
      <c r="Q2" s="7"/>
      <c r="R2" s="7"/>
      <c r="S2" s="7"/>
      <c r="T2" s="7"/>
      <c r="U2" s="7"/>
      <c r="V2" s="7"/>
      <c r="W2" s="7"/>
      <c r="X2" s="7"/>
    </row>
    <row r="3" spans="1:24" ht="15.75" customHeight="1" x14ac:dyDescent="0.25">
      <c r="A3" s="8" t="str">
        <f>Specs!D3</f>
        <v>Forwarding Capacity (Mpps)</v>
      </c>
      <c r="B3" s="9"/>
      <c r="C3" s="15" t="e">
        <f ca="1">HLOOKUP($C$1,$D$1:$H$10,3,0)</f>
        <v>#N/A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7"/>
      <c r="R3" s="7"/>
      <c r="S3" s="7"/>
      <c r="T3" s="7"/>
      <c r="U3" s="7"/>
      <c r="V3" s="7"/>
      <c r="W3" s="7"/>
      <c r="X3" s="7"/>
    </row>
    <row r="4" spans="1:24" ht="15.75" customHeight="1" x14ac:dyDescent="0.35">
      <c r="A4" s="8" t="str">
        <f>Specs!D4</f>
        <v>Số lượng cổng 1GE đồng</v>
      </c>
      <c r="B4" s="9"/>
      <c r="C4" s="10" t="e">
        <f ca="1">HLOOKUP($C$1,$D$1:$H$10,4,0)</f>
        <v>#N/A</v>
      </c>
      <c r="D4" s="26">
        <v>96</v>
      </c>
      <c r="E4" s="26">
        <v>240</v>
      </c>
      <c r="F4" s="26">
        <v>384</v>
      </c>
      <c r="G4" s="26">
        <v>192</v>
      </c>
      <c r="H4" s="8"/>
      <c r="I4" s="28">
        <v>48</v>
      </c>
      <c r="J4" s="28">
        <v>48</v>
      </c>
      <c r="K4" s="8"/>
      <c r="L4" s="8"/>
      <c r="M4" s="28">
        <v>48</v>
      </c>
      <c r="N4" s="8"/>
      <c r="O4" s="8"/>
      <c r="P4" s="8"/>
      <c r="Q4" s="7"/>
      <c r="R4" s="7"/>
      <c r="S4" s="7"/>
      <c r="T4" s="7"/>
      <c r="U4" s="7"/>
      <c r="V4" s="7"/>
      <c r="W4" s="7"/>
      <c r="X4" s="7"/>
    </row>
    <row r="5" spans="1:24" ht="15.75" customHeight="1" x14ac:dyDescent="0.35">
      <c r="A5" s="8" t="str">
        <f>Specs!D5</f>
        <v>Số lượng cổng 1GE SFP</v>
      </c>
      <c r="B5" s="9"/>
      <c r="C5" s="10" t="e">
        <f ca="1">HLOOKUP($C$1,$D$1:$H$10,5,0)</f>
        <v>#N/A</v>
      </c>
      <c r="D5" s="26">
        <v>96</v>
      </c>
      <c r="E5" s="26">
        <v>240</v>
      </c>
      <c r="F5" s="26">
        <v>384</v>
      </c>
      <c r="G5" s="26">
        <v>192</v>
      </c>
      <c r="H5" s="8"/>
      <c r="I5" s="8"/>
      <c r="J5" s="8"/>
      <c r="K5" s="28">
        <v>48</v>
      </c>
      <c r="L5" s="28">
        <v>48</v>
      </c>
      <c r="M5" s="8"/>
      <c r="N5" s="28">
        <v>48</v>
      </c>
      <c r="O5" s="28">
        <v>40</v>
      </c>
      <c r="P5" s="8"/>
      <c r="Q5" s="7"/>
      <c r="R5" s="7"/>
      <c r="S5" s="7"/>
      <c r="T5" s="7"/>
      <c r="U5" s="7"/>
      <c r="V5" s="7"/>
      <c r="W5" s="7"/>
      <c r="X5" s="7"/>
    </row>
    <row r="6" spans="1:24" ht="15.75" customHeight="1" x14ac:dyDescent="0.35">
      <c r="A6" s="8" t="str">
        <f>Specs!D6</f>
        <v>Số lượng cổng 10GE đồng</v>
      </c>
      <c r="B6" s="9"/>
      <c r="C6" s="10" t="e">
        <f ca="1">HLOOKUP($C$1,$D$1:$H$10,6,0)</f>
        <v>#N/A</v>
      </c>
      <c r="D6" s="26">
        <v>96</v>
      </c>
      <c r="E6" s="26">
        <v>240</v>
      </c>
      <c r="F6" s="26">
        <v>384</v>
      </c>
      <c r="G6" s="26">
        <v>192</v>
      </c>
      <c r="H6" s="8"/>
      <c r="I6" s="8"/>
      <c r="J6" s="28">
        <v>48</v>
      </c>
      <c r="K6" s="8"/>
      <c r="L6" s="8"/>
      <c r="M6" s="28">
        <v>48</v>
      </c>
      <c r="N6" s="8"/>
      <c r="O6" s="8"/>
      <c r="P6" s="8"/>
      <c r="Q6" s="7"/>
      <c r="R6" s="7"/>
      <c r="S6" s="7"/>
      <c r="T6" s="7"/>
      <c r="U6" s="7"/>
      <c r="V6" s="7"/>
      <c r="W6" s="7"/>
      <c r="X6" s="7"/>
    </row>
    <row r="7" spans="1:24" ht="15.75" customHeight="1" x14ac:dyDescent="0.35">
      <c r="A7" s="8" t="str">
        <f>Specs!D7</f>
        <v>Số lượng cổng 10GE quang</v>
      </c>
      <c r="B7" s="13">
        <f ca="1">IFERROR(__xludf.DUMMYFUNCTION("""COMPUTED_VALUE"""),8)</f>
        <v>8</v>
      </c>
      <c r="C7" s="10" t="e">
        <f ca="1">HLOOKUP($C$1,$D$1:$H$10,7,0)</f>
        <v>#N/A</v>
      </c>
      <c r="D7" s="26">
        <v>96</v>
      </c>
      <c r="E7" s="26">
        <v>240</v>
      </c>
      <c r="F7" s="26">
        <v>384</v>
      </c>
      <c r="G7" s="26">
        <v>224</v>
      </c>
      <c r="H7" s="8"/>
      <c r="I7" s="8"/>
      <c r="J7" s="8"/>
      <c r="K7" s="8"/>
      <c r="L7" s="28">
        <v>48</v>
      </c>
      <c r="M7" s="8"/>
      <c r="N7" s="28">
        <v>48</v>
      </c>
      <c r="O7" s="28">
        <v>40</v>
      </c>
      <c r="P7" s="8"/>
      <c r="Q7" s="7"/>
      <c r="R7" s="7"/>
      <c r="S7" s="7"/>
      <c r="T7" s="7"/>
      <c r="U7" s="7"/>
      <c r="V7" s="7"/>
      <c r="W7" s="7"/>
      <c r="X7" s="7"/>
    </row>
    <row r="8" spans="1:24" ht="15.75" customHeight="1" x14ac:dyDescent="0.35">
      <c r="A8" s="8" t="str">
        <f>Specs!D8</f>
        <v>Số lượng cổng 100GE</v>
      </c>
      <c r="B8" s="13"/>
      <c r="C8" s="10" t="e">
        <f ca="1">HLOOKUP($C$1,$D$1:$H$10,8,0)</f>
        <v>#N/A</v>
      </c>
      <c r="D8" s="26">
        <v>8</v>
      </c>
      <c r="E8" s="26">
        <v>20</v>
      </c>
      <c r="F8" s="26">
        <v>32</v>
      </c>
      <c r="G8" s="26">
        <v>128</v>
      </c>
      <c r="H8" s="28">
        <v>12</v>
      </c>
      <c r="I8" s="8"/>
      <c r="J8" s="8"/>
      <c r="K8" s="8"/>
      <c r="L8" s="8"/>
      <c r="M8" s="8"/>
      <c r="N8" s="8"/>
      <c r="O8" s="28">
        <v>4</v>
      </c>
      <c r="P8" s="28">
        <v>12</v>
      </c>
      <c r="Q8" s="7"/>
      <c r="R8" s="7"/>
      <c r="S8" s="7"/>
      <c r="T8" s="7"/>
      <c r="U8" s="7"/>
      <c r="V8" s="7"/>
      <c r="W8" s="7"/>
      <c r="X8" s="7"/>
    </row>
    <row r="9" spans="1:24" ht="15.75" customHeight="1" x14ac:dyDescent="0.35">
      <c r="A9" s="8" t="str">
        <f>Specs!D9</f>
        <v>Stacking (Y/N)</v>
      </c>
      <c r="B9" s="9"/>
      <c r="C9" s="10" t="e">
        <f ca="1">HLOOKUP($C$1,$D$1:$H$10,9,0)</f>
        <v>#N/A</v>
      </c>
      <c r="D9" s="26" t="s">
        <v>105</v>
      </c>
      <c r="E9" s="26" t="s">
        <v>105</v>
      </c>
      <c r="F9" s="26" t="s">
        <v>105</v>
      </c>
      <c r="G9" s="26" t="s">
        <v>105</v>
      </c>
      <c r="H9" s="8"/>
      <c r="I9" s="8"/>
      <c r="J9" s="8"/>
      <c r="K9" s="8"/>
      <c r="L9" s="8"/>
      <c r="M9" s="8"/>
      <c r="N9" s="8"/>
      <c r="O9" s="8"/>
      <c r="P9" s="8"/>
      <c r="Q9" s="7"/>
      <c r="R9" s="7"/>
      <c r="S9" s="7"/>
      <c r="T9" s="7"/>
      <c r="U9" s="7"/>
      <c r="V9" s="7"/>
      <c r="W9" s="7"/>
      <c r="X9" s="7"/>
    </row>
    <row r="10" spans="1:24" ht="15.75" customHeight="1" x14ac:dyDescent="0.35">
      <c r="A10" s="8" t="str">
        <f>Specs!D10</f>
        <v>PoE (Y/N)</v>
      </c>
      <c r="B10" s="13"/>
      <c r="C10" s="10" t="e">
        <f ca="1">HLOOKUP($C$1,$D$1:$H$10,10,0)</f>
        <v>#N/A</v>
      </c>
      <c r="D10" s="26" t="s">
        <v>105</v>
      </c>
      <c r="E10" s="26" t="s">
        <v>105</v>
      </c>
      <c r="F10" s="26" t="s">
        <v>105</v>
      </c>
      <c r="G10" s="26" t="s">
        <v>120</v>
      </c>
      <c r="H10" s="8"/>
      <c r="I10" s="8"/>
      <c r="J10" s="8"/>
      <c r="K10" s="8"/>
      <c r="L10" s="8"/>
      <c r="M10" s="8"/>
      <c r="N10" s="8"/>
      <c r="O10" s="8"/>
      <c r="P10" s="8"/>
      <c r="Q10" s="7"/>
      <c r="R10" s="7"/>
      <c r="S10" s="7"/>
      <c r="T10" s="7"/>
      <c r="U10" s="7"/>
      <c r="V10" s="7"/>
      <c r="W10" s="7"/>
      <c r="X10" s="7"/>
    </row>
    <row r="11" spans="1:24" x14ac:dyDescent="0.3">
      <c r="A11" s="16" t="s">
        <v>106</v>
      </c>
      <c r="B11" s="17"/>
      <c r="C11" s="18" t="e">
        <f ca="1">HLOOKUP($C$1,$D$1:$H$11,11,0)</f>
        <v>#N/A</v>
      </c>
      <c r="D11" s="19" t="s">
        <v>25</v>
      </c>
      <c r="E11" s="19" t="s">
        <v>25</v>
      </c>
      <c r="F11" s="19" t="s">
        <v>25</v>
      </c>
      <c r="G11" s="19" t="s">
        <v>25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.75" customHeight="1" x14ac:dyDescent="0.25">
      <c r="A12" s="7"/>
      <c r="B12" s="17"/>
      <c r="C12" s="20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.75" customHeight="1" x14ac:dyDescent="0.25">
      <c r="A13" s="7" t="s">
        <v>26</v>
      </c>
      <c r="B13" s="17"/>
      <c r="C13" s="18" t="e">
        <f t="shared" ref="C13:X13" ca="1" si="0">SUM(1*(C2&gt;=$B$2)+1*(C3&gt;=$B$3)+1*(C4&gt;=$B$4)+1*(C5&gt;=$B$5)+1*(C6&gt;=$B$6)+1*(C7&gt;=$B$7)+1*(C8&gt;=$B$8)+1*OR(C9="Y",$B$9="N",$B$9="")+1*OR(C10="Y",$B$10="N",$B$10=""))</f>
        <v>#N/A</v>
      </c>
      <c r="D13" s="19">
        <f t="shared" ca="1" si="0"/>
        <v>8</v>
      </c>
      <c r="E13" s="19">
        <f t="shared" ca="1" si="0"/>
        <v>8</v>
      </c>
      <c r="F13" s="19">
        <f t="shared" ca="1" si="0"/>
        <v>8</v>
      </c>
      <c r="G13" s="19">
        <f t="shared" ca="1" si="0"/>
        <v>8</v>
      </c>
      <c r="H13" s="19">
        <f t="shared" ca="1" si="0"/>
        <v>8</v>
      </c>
      <c r="I13" s="19">
        <f t="shared" ca="1" si="0"/>
        <v>8</v>
      </c>
      <c r="J13" s="19">
        <f t="shared" ca="1" si="0"/>
        <v>8</v>
      </c>
      <c r="K13" s="19">
        <f t="shared" ca="1" si="0"/>
        <v>8</v>
      </c>
      <c r="L13" s="19">
        <f t="shared" ca="1" si="0"/>
        <v>9</v>
      </c>
      <c r="M13" s="19">
        <f t="shared" ca="1" si="0"/>
        <v>8</v>
      </c>
      <c r="N13" s="19">
        <f t="shared" ca="1" si="0"/>
        <v>9</v>
      </c>
      <c r="O13" s="19">
        <f t="shared" ca="1" si="0"/>
        <v>9</v>
      </c>
      <c r="P13" s="19">
        <f t="shared" ca="1" si="0"/>
        <v>8</v>
      </c>
      <c r="Q13" s="19">
        <f t="shared" ca="1" si="0"/>
        <v>8</v>
      </c>
      <c r="R13" s="19">
        <f t="shared" ca="1" si="0"/>
        <v>8</v>
      </c>
      <c r="S13" s="19">
        <f t="shared" ca="1" si="0"/>
        <v>8</v>
      </c>
      <c r="T13" s="19">
        <f t="shared" ca="1" si="0"/>
        <v>8</v>
      </c>
      <c r="U13" s="19">
        <f t="shared" ca="1" si="0"/>
        <v>8</v>
      </c>
      <c r="V13" s="19">
        <f t="shared" ca="1" si="0"/>
        <v>8</v>
      </c>
      <c r="W13" s="19">
        <f t="shared" ca="1" si="0"/>
        <v>8</v>
      </c>
      <c r="X13" s="19">
        <f t="shared" ca="1" si="0"/>
        <v>8</v>
      </c>
    </row>
    <row r="14" spans="1:24" ht="15.75" customHeight="1" x14ac:dyDescent="0.25">
      <c r="A14" s="7" t="s">
        <v>27</v>
      </c>
      <c r="B14" s="17"/>
      <c r="C14" s="21">
        <f ca="1">IFERROR(VLOOKUP(C1,AllListPrice!$A$2:$D$1000,4,0),0)</f>
        <v>0</v>
      </c>
      <c r="D14" s="22">
        <f ca="1">IFERROR(VLOOKUP(D1,AllListPrice!$A$2:$D$1000,4,0),0)</f>
        <v>117530.33</v>
      </c>
      <c r="E14" s="22">
        <f ca="1">IFERROR(VLOOKUP(E1,AllListPrice!$A$2:$D$1000,4,0),0)</f>
        <v>136174.70000000001</v>
      </c>
      <c r="F14" s="22">
        <f ca="1">IFERROR(VLOOKUP(F1,AllListPrice!$A$2:$D$1000,4,0),0)</f>
        <v>144810.28</v>
      </c>
      <c r="G14" s="22">
        <f ca="1">IFERROR(VLOOKUP(G1,AllListPrice!$A$2:$D$1000,4,0),0)</f>
        <v>246495.41</v>
      </c>
      <c r="H14" s="22">
        <f ca="1">IFERROR(VLOOKUP(H1,Cisco!$A$2:$D$1000,4,0),0)</f>
        <v>38258</v>
      </c>
      <c r="I14" s="22">
        <f ca="1">IFERROR(VLOOKUP(I1,AllListPrice!$A$2:$D$1000,4,0),0)</f>
        <v>8689.51</v>
      </c>
      <c r="J14" s="22">
        <f ca="1">IFERROR(VLOOKUP(J1,Cisco!$A$2:$D$1000,4,0),0)</f>
        <v>19129</v>
      </c>
      <c r="K14" s="22">
        <f ca="1">IFERROR(VLOOKUP(K1,AllListPrice!$A$2:$D$1000,4,0),0)</f>
        <v>30425.45</v>
      </c>
      <c r="L14" s="22">
        <f ca="1">IFERROR(VLOOKUP(L1,Cisco!$A$2:$D$1000,4,0),0)</f>
        <v>47564</v>
      </c>
      <c r="M14" s="22">
        <f ca="1">IFERROR(VLOOKUP(M1,AllListPrice!$A$2:$D$1000,4,0),0)</f>
        <v>28916.35</v>
      </c>
      <c r="N14" s="22">
        <f ca="1">IFERROR(VLOOKUP(N1,Cisco!$A$2:$D$1000,4,0),0)</f>
        <v>28916.35</v>
      </c>
      <c r="O14" s="22">
        <f ca="1">IFERROR(VLOOKUP(O1,AllListPrice!$A$2:$D$1000,4,0),0)</f>
        <v>34122</v>
      </c>
      <c r="P14" s="22">
        <f ca="1">IFERROR(VLOOKUP(P1,Cisco!$A$2:$D$1000,4,0),0)</f>
        <v>32859.49</v>
      </c>
      <c r="Q14" s="22">
        <f ca="1">IFERROR(VLOOKUP(Q1,AllListPrice!$A$2:$D$1000,4,0),0)</f>
        <v>0</v>
      </c>
      <c r="R14" s="22">
        <f ca="1">IFERROR(VLOOKUP(R1,Cisco!$A$2:$D$1000,4,0),0)</f>
        <v>0</v>
      </c>
      <c r="S14" s="22">
        <f ca="1">IFERROR(VLOOKUP(S1,AllListPrice!$A$2:$D$1000,4,0),0)</f>
        <v>0</v>
      </c>
      <c r="T14" s="22">
        <f ca="1">IFERROR(VLOOKUP(T1,Cisco!$A$2:$D$1000,4,0),0)</f>
        <v>0</v>
      </c>
      <c r="U14" s="22">
        <f ca="1">IFERROR(VLOOKUP(U1,AllListPrice!$A$2:$D$1000,4,0),0)</f>
        <v>0</v>
      </c>
      <c r="V14" s="22">
        <f ca="1">IFERROR(VLOOKUP(V1,Cisco!$A$2:$D$1000,4,0),0)</f>
        <v>0</v>
      </c>
      <c r="W14" s="22">
        <f ca="1">IFERROR(VLOOKUP(W1,AllListPrice!$A$2:$D$1000,4,0),0)</f>
        <v>0</v>
      </c>
      <c r="X14" s="22">
        <f ca="1">IFERROR(VLOOKUP(X1,Cisco!$A$2:$D$1000,4,0),0)</f>
        <v>0</v>
      </c>
    </row>
    <row r="15" spans="1:24" ht="15.75" customHeight="1" x14ac:dyDescent="0.25">
      <c r="A15" s="7" t="s">
        <v>28</v>
      </c>
      <c r="B15" s="17"/>
      <c r="C15" s="18" t="e">
        <f t="shared" ref="C15:X15" ca="1" si="1">1*(C13=MAX($D$13:$H$13))</f>
        <v>#N/A</v>
      </c>
      <c r="D15" s="19">
        <f t="shared" ca="1" si="1"/>
        <v>1</v>
      </c>
      <c r="E15" s="19">
        <f t="shared" ca="1" si="1"/>
        <v>1</v>
      </c>
      <c r="F15" s="19">
        <f t="shared" ca="1" si="1"/>
        <v>1</v>
      </c>
      <c r="G15" s="19">
        <f t="shared" ca="1" si="1"/>
        <v>1</v>
      </c>
      <c r="H15" s="19">
        <f t="shared" ca="1" si="1"/>
        <v>1</v>
      </c>
      <c r="I15" s="19">
        <f t="shared" ca="1" si="1"/>
        <v>1</v>
      </c>
      <c r="J15" s="19">
        <f t="shared" ca="1" si="1"/>
        <v>1</v>
      </c>
      <c r="K15" s="19">
        <f t="shared" ca="1" si="1"/>
        <v>1</v>
      </c>
      <c r="L15" s="19">
        <f t="shared" ca="1" si="1"/>
        <v>0</v>
      </c>
      <c r="M15" s="19">
        <f t="shared" ca="1" si="1"/>
        <v>1</v>
      </c>
      <c r="N15" s="19">
        <f t="shared" ca="1" si="1"/>
        <v>0</v>
      </c>
      <c r="O15" s="19">
        <f t="shared" ca="1" si="1"/>
        <v>0</v>
      </c>
      <c r="P15" s="19">
        <f t="shared" ca="1" si="1"/>
        <v>1</v>
      </c>
      <c r="Q15" s="19">
        <f t="shared" ca="1" si="1"/>
        <v>1</v>
      </c>
      <c r="R15" s="19">
        <f t="shared" ca="1" si="1"/>
        <v>1</v>
      </c>
      <c r="S15" s="19">
        <f t="shared" ca="1" si="1"/>
        <v>1</v>
      </c>
      <c r="T15" s="19">
        <f t="shared" ca="1" si="1"/>
        <v>1</v>
      </c>
      <c r="U15" s="19">
        <f t="shared" ca="1" si="1"/>
        <v>1</v>
      </c>
      <c r="V15" s="19">
        <f t="shared" ca="1" si="1"/>
        <v>1</v>
      </c>
      <c r="W15" s="19">
        <f t="shared" ca="1" si="1"/>
        <v>1</v>
      </c>
      <c r="X15" s="19">
        <f t="shared" ca="1" si="1"/>
        <v>1</v>
      </c>
    </row>
    <row r="16" spans="1:24" ht="15.75" customHeight="1" x14ac:dyDescent="0.25">
      <c r="A16" s="7" t="s">
        <v>29</v>
      </c>
      <c r="B16" s="17"/>
      <c r="C16" s="18" t="e">
        <f t="shared" ref="C16:X16" ca="1" si="2">C15*(C14=_xludf.minifs($D$14:$H$14,$D$15:$H$15,1))</f>
        <v>#N/A</v>
      </c>
      <c r="D16" s="19" t="e">
        <f t="shared" ca="1" si="2"/>
        <v>#NAME?</v>
      </c>
      <c r="E16" s="19" t="e">
        <f t="shared" ca="1" si="2"/>
        <v>#NAME?</v>
      </c>
      <c r="F16" s="19" t="e">
        <f t="shared" ca="1" si="2"/>
        <v>#NAME?</v>
      </c>
      <c r="G16" s="19" t="e">
        <f t="shared" ca="1" si="2"/>
        <v>#NAME?</v>
      </c>
      <c r="H16" s="19" t="e">
        <f t="shared" ca="1" si="2"/>
        <v>#NAME?</v>
      </c>
      <c r="I16" s="19" t="e">
        <f t="shared" ca="1" si="2"/>
        <v>#NAME?</v>
      </c>
      <c r="J16" s="19" t="e">
        <f t="shared" ca="1" si="2"/>
        <v>#NAME?</v>
      </c>
      <c r="K16" s="19" t="e">
        <f t="shared" ca="1" si="2"/>
        <v>#NAME?</v>
      </c>
      <c r="L16" s="19" t="e">
        <f t="shared" ca="1" si="2"/>
        <v>#NAME?</v>
      </c>
      <c r="M16" s="19" t="e">
        <f t="shared" ca="1" si="2"/>
        <v>#NAME?</v>
      </c>
      <c r="N16" s="19" t="e">
        <f t="shared" ca="1" si="2"/>
        <v>#NAME?</v>
      </c>
      <c r="O16" s="19" t="e">
        <f t="shared" ca="1" si="2"/>
        <v>#NAME?</v>
      </c>
      <c r="P16" s="19" t="e">
        <f t="shared" ca="1" si="2"/>
        <v>#NAME?</v>
      </c>
      <c r="Q16" s="19" t="e">
        <f t="shared" ca="1" si="2"/>
        <v>#NAME?</v>
      </c>
      <c r="R16" s="19" t="e">
        <f t="shared" ca="1" si="2"/>
        <v>#NAME?</v>
      </c>
      <c r="S16" s="19" t="e">
        <f t="shared" ca="1" si="2"/>
        <v>#NAME?</v>
      </c>
      <c r="T16" s="19" t="e">
        <f t="shared" ca="1" si="2"/>
        <v>#NAME?</v>
      </c>
      <c r="U16" s="19" t="e">
        <f t="shared" ca="1" si="2"/>
        <v>#NAME?</v>
      </c>
      <c r="V16" s="19" t="e">
        <f t="shared" ca="1" si="2"/>
        <v>#NAME?</v>
      </c>
      <c r="W16" s="19" t="e">
        <f t="shared" ca="1" si="2"/>
        <v>#NAME?</v>
      </c>
      <c r="X16" s="19" t="e">
        <f t="shared" ca="1" si="2"/>
        <v>#NAME?</v>
      </c>
    </row>
    <row r="17" spans="1:24" ht="15.75" customHeight="1" x14ac:dyDescent="0.25">
      <c r="A17" s="7" t="s">
        <v>30</v>
      </c>
      <c r="B17" s="17"/>
      <c r="C17" s="18" t="e">
        <f t="shared" ref="C17:X17" ca="1" si="3">(1-($C$1=C1))*(C15=1)</f>
        <v>#N/A</v>
      </c>
      <c r="D17" s="19" t="e">
        <f t="shared" ca="1" si="3"/>
        <v>#N/A</v>
      </c>
      <c r="E17" s="19" t="e">
        <f t="shared" ca="1" si="3"/>
        <v>#N/A</v>
      </c>
      <c r="F17" s="19" t="e">
        <f t="shared" ca="1" si="3"/>
        <v>#N/A</v>
      </c>
      <c r="G17" s="19" t="e">
        <f t="shared" ca="1" si="3"/>
        <v>#N/A</v>
      </c>
      <c r="H17" s="19" t="e">
        <f t="shared" ca="1" si="3"/>
        <v>#N/A</v>
      </c>
      <c r="I17" s="19" t="e">
        <f t="shared" ca="1" si="3"/>
        <v>#N/A</v>
      </c>
      <c r="J17" s="19" t="e">
        <f t="shared" ca="1" si="3"/>
        <v>#N/A</v>
      </c>
      <c r="K17" s="19" t="e">
        <f t="shared" ca="1" si="3"/>
        <v>#N/A</v>
      </c>
      <c r="L17" s="19" t="e">
        <f t="shared" ca="1" si="3"/>
        <v>#N/A</v>
      </c>
      <c r="M17" s="19" t="e">
        <f t="shared" ca="1" si="3"/>
        <v>#N/A</v>
      </c>
      <c r="N17" s="19" t="e">
        <f t="shared" ca="1" si="3"/>
        <v>#N/A</v>
      </c>
      <c r="O17" s="19" t="e">
        <f t="shared" ca="1" si="3"/>
        <v>#N/A</v>
      </c>
      <c r="P17" s="19" t="e">
        <f t="shared" ca="1" si="3"/>
        <v>#N/A</v>
      </c>
      <c r="Q17" s="19" t="e">
        <f t="shared" ca="1" si="3"/>
        <v>#N/A</v>
      </c>
      <c r="R17" s="19" t="e">
        <f t="shared" ca="1" si="3"/>
        <v>#N/A</v>
      </c>
      <c r="S17" s="19" t="e">
        <f t="shared" ca="1" si="3"/>
        <v>#N/A</v>
      </c>
      <c r="T17" s="19" t="e">
        <f t="shared" ca="1" si="3"/>
        <v>#N/A</v>
      </c>
      <c r="U17" s="19" t="e">
        <f t="shared" ca="1" si="3"/>
        <v>#N/A</v>
      </c>
      <c r="V17" s="19" t="e">
        <f t="shared" ca="1" si="3"/>
        <v>#N/A</v>
      </c>
      <c r="W17" s="19" t="e">
        <f t="shared" ca="1" si="3"/>
        <v>#N/A</v>
      </c>
      <c r="X17" s="19" t="e">
        <f t="shared" ca="1" si="3"/>
        <v>#N/A</v>
      </c>
    </row>
    <row r="18" spans="1:24" ht="15.75" customHeight="1" x14ac:dyDescent="0.25">
      <c r="A18" s="7"/>
      <c r="B18" s="17"/>
      <c r="C18" s="20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3">
      <c r="A19" s="16" t="s">
        <v>31</v>
      </c>
      <c r="B19" s="17"/>
      <c r="C19" s="23" t="str">
        <f ca="1">IFERROR(__xludf.DUMMYFUNCTION("iferror(filter(D1:H1,$D$17:$H$17=1),"""")"),"C9407R")</f>
        <v>C9407R</v>
      </c>
      <c r="D19" s="24" t="str">
        <f ca="1">IFERROR(__xludf.DUMMYFUNCTION("""COMPUTED_VALUE"""),"C9410R")</f>
        <v>C9410R</v>
      </c>
      <c r="E19" s="24" t="str">
        <f ca="1">IFERROR(__xludf.DUMMYFUNCTION("""COMPUTED_VALUE"""),"C9606R")</f>
        <v>C9606R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ht="12.5" x14ac:dyDescent="0.25">
      <c r="A20" s="7" t="str">
        <f t="shared" ref="A20:B20" si="4">A2</f>
        <v>Switching Bandwidth - Full Duplex (Gbps)</v>
      </c>
      <c r="B20" s="27" t="str">
        <f t="shared" ca="1" si="4"/>
        <v/>
      </c>
      <c r="C20" s="18">
        <f ca="1">IFERROR(__xludf.DUMMYFUNCTION("iferror(filter(D2:H2,$D$17:$H$17=1),"""")"),2400)</f>
        <v>2400</v>
      </c>
      <c r="D20" s="19">
        <f ca="1">IFERROR(__xludf.DUMMYFUNCTION("""COMPUTED_VALUE"""),3840)</f>
        <v>3840</v>
      </c>
      <c r="E20" s="19">
        <f ca="1">IFERROR(__xludf.DUMMYFUNCTION("""COMPUTED_VALUE"""),12800)</f>
        <v>12800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ht="12.5" x14ac:dyDescent="0.25">
      <c r="A21" s="7" t="str">
        <f t="shared" ref="A21:B21" si="5">A3</f>
        <v>Forwarding Capacity (Mpps)</v>
      </c>
      <c r="B21" s="27">
        <f t="shared" si="5"/>
        <v>0</v>
      </c>
      <c r="C21" s="20" t="str">
        <f ca="1">IFERROR(__xludf.DUMMYFUNCTION("iferror(filter(D3:H3,$D$17:$H$17=1),"""")"),"")</f>
        <v/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ht="12.5" x14ac:dyDescent="0.25">
      <c r="A22" s="7" t="str">
        <f t="shared" ref="A22:B22" si="6">A4</f>
        <v>Số lượng cổng 1GE đồng</v>
      </c>
      <c r="B22" s="27">
        <f t="shared" si="6"/>
        <v>0</v>
      </c>
      <c r="C22" s="18">
        <f ca="1">IFERROR(__xludf.DUMMYFUNCTION("iferror(filter(D4:H4,$D$17:$H$17=1),"""")"),240)</f>
        <v>240</v>
      </c>
      <c r="D22" s="19">
        <f ca="1">IFERROR(__xludf.DUMMYFUNCTION("""COMPUTED_VALUE"""),384)</f>
        <v>384</v>
      </c>
      <c r="E22" s="19">
        <f ca="1">IFERROR(__xludf.DUMMYFUNCTION("""COMPUTED_VALUE"""),192)</f>
        <v>192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ht="12.5" x14ac:dyDescent="0.25">
      <c r="A23" s="7" t="str">
        <f t="shared" ref="A23:B23" si="7">A5</f>
        <v>Số lượng cổng 1GE SFP</v>
      </c>
      <c r="B23" s="27">
        <f t="shared" si="7"/>
        <v>0</v>
      </c>
      <c r="C23" s="18">
        <f ca="1">IFERROR(__xludf.DUMMYFUNCTION("iferror(filter(D5:H5,$D$17:$H$17=1),"""")"),240)</f>
        <v>240</v>
      </c>
      <c r="D23" s="19">
        <f ca="1">IFERROR(__xludf.DUMMYFUNCTION("""COMPUTED_VALUE"""),384)</f>
        <v>384</v>
      </c>
      <c r="E23" s="19">
        <f ca="1">IFERROR(__xludf.DUMMYFUNCTION("""COMPUTED_VALUE"""),192)</f>
        <v>192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ht="12.5" x14ac:dyDescent="0.25">
      <c r="A24" s="7" t="str">
        <f t="shared" ref="A24:B24" si="8">A6</f>
        <v>Số lượng cổng 10GE đồng</v>
      </c>
      <c r="B24" s="27">
        <f t="shared" si="8"/>
        <v>0</v>
      </c>
      <c r="C24" s="18">
        <f ca="1">IFERROR(__xludf.DUMMYFUNCTION("iferror(filter(D6:H6,$D$17:$H$17=1),"""")"),240)</f>
        <v>240</v>
      </c>
      <c r="D24" s="19">
        <f ca="1">IFERROR(__xludf.DUMMYFUNCTION("""COMPUTED_VALUE"""),384)</f>
        <v>384</v>
      </c>
      <c r="E24" s="19">
        <f ca="1">IFERROR(__xludf.DUMMYFUNCTION("""COMPUTED_VALUE"""),192)</f>
        <v>192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ht="12.5" x14ac:dyDescent="0.25">
      <c r="A25" s="7" t="str">
        <f t="shared" ref="A25:B25" si="9">A7</f>
        <v>Số lượng cổng 10GE quang</v>
      </c>
      <c r="B25" s="17">
        <f t="shared" ca="1" si="9"/>
        <v>8</v>
      </c>
      <c r="C25" s="18">
        <f ca="1">IFERROR(__xludf.DUMMYFUNCTION("iferror(filter(D7:H7,$D$17:$H$17=1),"""")"),240)</f>
        <v>240</v>
      </c>
      <c r="D25" s="19">
        <f ca="1">IFERROR(__xludf.DUMMYFUNCTION("""COMPUTED_VALUE"""),384)</f>
        <v>384</v>
      </c>
      <c r="E25" s="19">
        <f ca="1">IFERROR(__xludf.DUMMYFUNCTION("""COMPUTED_VALUE"""),224)</f>
        <v>224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ht="12.5" x14ac:dyDescent="0.25">
      <c r="A26" s="7" t="str">
        <f t="shared" ref="A26:B26" si="10">A8</f>
        <v>Số lượng cổng 100GE</v>
      </c>
      <c r="B26" s="17">
        <f t="shared" si="10"/>
        <v>0</v>
      </c>
      <c r="C26" s="18">
        <f ca="1">IFERROR(__xludf.DUMMYFUNCTION("iferror(filter(D8:H8,$D$17:$H$17=1),"""")"),20)</f>
        <v>20</v>
      </c>
      <c r="D26" s="19">
        <f ca="1">IFERROR(__xludf.DUMMYFUNCTION("""COMPUTED_VALUE"""),32)</f>
        <v>32</v>
      </c>
      <c r="E26" s="19">
        <f ca="1">IFERROR(__xludf.DUMMYFUNCTION("""COMPUTED_VALUE"""),128)</f>
        <v>128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ht="12.5" x14ac:dyDescent="0.25">
      <c r="A27" s="7" t="str">
        <f t="shared" ref="A27:B27" si="11">A9</f>
        <v>Stacking (Y/N)</v>
      </c>
      <c r="B27" s="27">
        <f t="shared" si="11"/>
        <v>0</v>
      </c>
      <c r="C27" s="18" t="str">
        <f ca="1">IFERROR(__xludf.DUMMYFUNCTION("iferror(filter(D9:H9,$D$17:$H$17=1),"""")"),"Y")</f>
        <v>Y</v>
      </c>
      <c r="D27" s="19" t="str">
        <f ca="1">IFERROR(__xludf.DUMMYFUNCTION("""COMPUTED_VALUE"""),"Y")</f>
        <v>Y</v>
      </c>
      <c r="E27" s="19" t="str">
        <f ca="1">IFERROR(__xludf.DUMMYFUNCTION("""COMPUTED_VALUE"""),"Y")</f>
        <v>Y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ht="12.5" x14ac:dyDescent="0.25">
      <c r="A28" s="7" t="str">
        <f>A10</f>
        <v>PoE (Y/N)</v>
      </c>
      <c r="B28" s="17"/>
      <c r="C28" s="18" t="str">
        <f ca="1">IFERROR(__xludf.DUMMYFUNCTION("iferror(filter(D10:G10,$D$17:$G$17=1),"""")"),"Y")</f>
        <v>Y</v>
      </c>
      <c r="D28" s="19" t="str">
        <f ca="1">IFERROR(__xludf.DUMMYFUNCTION("""COMPUTED_VALUE"""),"Y")</f>
        <v>Y</v>
      </c>
      <c r="E28" s="19" t="str">
        <f ca="1">IFERROR(__xludf.DUMMYFUNCTION("""COMPUTED_VALUE"""),"N")</f>
        <v>N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ht="12.5" x14ac:dyDescent="0.25">
      <c r="A29" s="7"/>
      <c r="B29" s="17"/>
      <c r="C29" s="2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ht="12.5" x14ac:dyDescent="0.25">
      <c r="A30" s="7"/>
      <c r="B30" s="17"/>
      <c r="C30" s="20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ht="12.5" x14ac:dyDescent="0.25">
      <c r="A31" s="7"/>
      <c r="B31" s="17"/>
      <c r="C31" s="20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ht="12.5" x14ac:dyDescent="0.25">
      <c r="A32" s="7"/>
      <c r="B32" s="17"/>
      <c r="C32" s="20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ht="12.5" x14ac:dyDescent="0.25">
      <c r="A33" s="7"/>
      <c r="B33" s="17"/>
      <c r="C33" s="20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ht="12.5" x14ac:dyDescent="0.25">
      <c r="A34" s="7"/>
      <c r="B34" s="17"/>
      <c r="C34" s="20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ht="12.5" x14ac:dyDescent="0.25">
      <c r="A35" s="7"/>
      <c r="B35" s="17"/>
      <c r="C35" s="20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ht="12.5" x14ac:dyDescent="0.25">
      <c r="A36" s="7"/>
      <c r="B36" s="17"/>
      <c r="C36" s="20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ht="12.5" x14ac:dyDescent="0.25">
      <c r="A37" s="7"/>
      <c r="B37" s="17"/>
      <c r="C37" s="20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ht="12.5" x14ac:dyDescent="0.25">
      <c r="A38" s="7"/>
      <c r="B38" s="17"/>
      <c r="C38" s="20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ht="12.5" x14ac:dyDescent="0.25">
      <c r="A39" s="7"/>
      <c r="B39" s="17"/>
      <c r="C39" s="2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ht="12.5" x14ac:dyDescent="0.25">
      <c r="A40" s="7"/>
      <c r="B40" s="17"/>
      <c r="C40" s="2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ht="12.5" x14ac:dyDescent="0.25">
      <c r="A41" s="7"/>
      <c r="B41" s="17"/>
      <c r="C41" s="20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ht="12.5" x14ac:dyDescent="0.25">
      <c r="A42" s="7"/>
      <c r="B42" s="17"/>
      <c r="C42" s="20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ht="12.5" x14ac:dyDescent="0.25">
      <c r="A43" s="7"/>
      <c r="B43" s="17"/>
      <c r="C43" s="2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ht="12.5" x14ac:dyDescent="0.25">
      <c r="A44" s="7"/>
      <c r="B44" s="17"/>
      <c r="C44" s="2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ht="12.5" x14ac:dyDescent="0.25">
      <c r="A45" s="7"/>
      <c r="B45" s="17"/>
      <c r="C45" s="20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ht="12.5" x14ac:dyDescent="0.25">
      <c r="A46" s="7"/>
      <c r="B46" s="17"/>
      <c r="C46" s="20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ht="12.5" x14ac:dyDescent="0.25">
      <c r="A47" s="7"/>
      <c r="B47" s="17"/>
      <c r="C47" s="20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ht="12.5" x14ac:dyDescent="0.25">
      <c r="A48" s="7"/>
      <c r="B48" s="17"/>
      <c r="C48" s="20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ht="12.5" x14ac:dyDescent="0.25">
      <c r="A49" s="7"/>
      <c r="B49" s="17"/>
      <c r="C49" s="20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spans="1:24" ht="12.5" x14ac:dyDescent="0.25">
      <c r="A50" s="7"/>
      <c r="B50" s="17"/>
      <c r="C50" s="20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spans="1:24" ht="12.5" x14ac:dyDescent="0.25">
      <c r="A51" s="7"/>
      <c r="B51" s="17"/>
      <c r="C51" s="2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spans="1:24" ht="12.5" x14ac:dyDescent="0.25">
      <c r="A52" s="7"/>
      <c r="B52" s="17"/>
      <c r="C52" s="2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spans="1:24" ht="12.5" x14ac:dyDescent="0.25">
      <c r="A53" s="7"/>
      <c r="B53" s="17"/>
      <c r="C53" s="20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 spans="1:24" ht="12.5" x14ac:dyDescent="0.25">
      <c r="A54" s="7"/>
      <c r="B54" s="17"/>
      <c r="C54" s="20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ht="12.5" x14ac:dyDescent="0.25">
      <c r="A55" s="7"/>
      <c r="B55" s="17"/>
      <c r="C55" s="2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ht="12.5" x14ac:dyDescent="0.25">
      <c r="A56" s="7"/>
      <c r="B56" s="17"/>
      <c r="C56" s="20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ht="12.5" x14ac:dyDescent="0.25">
      <c r="A57" s="7"/>
      <c r="B57" s="17"/>
      <c r="C57" s="20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ht="12.5" x14ac:dyDescent="0.25">
      <c r="A58" s="7"/>
      <c r="B58" s="17"/>
      <c r="C58" s="20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ht="12.5" x14ac:dyDescent="0.25">
      <c r="A59" s="7"/>
      <c r="B59" s="17"/>
      <c r="C59" s="20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ht="12.5" x14ac:dyDescent="0.25">
      <c r="A60" s="7"/>
      <c r="B60" s="17"/>
      <c r="C60" s="20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ht="12.5" x14ac:dyDescent="0.25">
      <c r="A61" s="7"/>
      <c r="B61" s="17"/>
      <c r="C61" s="20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ht="12.5" x14ac:dyDescent="0.25">
      <c r="A62" s="7"/>
      <c r="B62" s="17"/>
      <c r="C62" s="20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ht="12.5" x14ac:dyDescent="0.25">
      <c r="A63" s="7"/>
      <c r="B63" s="17"/>
      <c r="C63" s="20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ht="12.5" x14ac:dyDescent="0.25">
      <c r="A64" s="7"/>
      <c r="B64" s="17"/>
      <c r="C64" s="20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ht="12.5" x14ac:dyDescent="0.25">
      <c r="A65" s="7"/>
      <c r="B65" s="17"/>
      <c r="C65" s="20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ht="12.5" x14ac:dyDescent="0.25">
      <c r="A66" s="7"/>
      <c r="B66" s="17"/>
      <c r="C66" s="20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ht="12.5" x14ac:dyDescent="0.25">
      <c r="A67" s="7"/>
      <c r="B67" s="17"/>
      <c r="C67" s="20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ht="12.5" x14ac:dyDescent="0.25">
      <c r="A68" s="7"/>
      <c r="B68" s="17"/>
      <c r="C68" s="20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ht="12.5" x14ac:dyDescent="0.25">
      <c r="A69" s="7"/>
      <c r="B69" s="17"/>
      <c r="C69" s="20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ht="12.5" x14ac:dyDescent="0.25">
      <c r="A70" s="7"/>
      <c r="B70" s="17"/>
      <c r="C70" s="20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ht="12.5" x14ac:dyDescent="0.25">
      <c r="A71" s="7"/>
      <c r="B71" s="17"/>
      <c r="C71" s="20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ht="12.5" x14ac:dyDescent="0.25">
      <c r="A72" s="7"/>
      <c r="B72" s="17"/>
      <c r="C72" s="20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ht="12.5" x14ac:dyDescent="0.25">
      <c r="A73" s="7"/>
      <c r="B73" s="17"/>
      <c r="C73" s="20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ht="12.5" x14ac:dyDescent="0.25">
      <c r="A74" s="7"/>
      <c r="B74" s="17"/>
      <c r="C74" s="20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ht="12.5" x14ac:dyDescent="0.25">
      <c r="A75" s="7"/>
      <c r="B75" s="17"/>
      <c r="C75" s="20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ht="12.5" x14ac:dyDescent="0.25">
      <c r="A76" s="7"/>
      <c r="B76" s="17"/>
      <c r="C76" s="20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ht="12.5" x14ac:dyDescent="0.25">
      <c r="A77" s="7"/>
      <c r="B77" s="17"/>
      <c r="C77" s="20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ht="12.5" x14ac:dyDescent="0.25">
      <c r="A78" s="7"/>
      <c r="B78" s="17"/>
      <c r="C78" s="20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ht="12.5" x14ac:dyDescent="0.25">
      <c r="A79" s="7"/>
      <c r="B79" s="17"/>
      <c r="C79" s="20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ht="12.5" x14ac:dyDescent="0.25">
      <c r="A80" s="7"/>
      <c r="B80" s="17"/>
      <c r="C80" s="20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1:24" ht="12.5" x14ac:dyDescent="0.25">
      <c r="A81" s="7"/>
      <c r="B81" s="17"/>
      <c r="C81" s="20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1:24" ht="12.5" x14ac:dyDescent="0.25">
      <c r="A82" s="7"/>
      <c r="B82" s="17"/>
      <c r="C82" s="20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1:24" ht="12.5" x14ac:dyDescent="0.25">
      <c r="A83" s="7"/>
      <c r="B83" s="17"/>
      <c r="C83" s="20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1:24" ht="12.5" x14ac:dyDescent="0.25">
      <c r="A84" s="7"/>
      <c r="B84" s="17"/>
      <c r="C84" s="20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1:24" ht="12.5" x14ac:dyDescent="0.25">
      <c r="A85" s="7"/>
      <c r="B85" s="17"/>
      <c r="C85" s="20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1:24" ht="12.5" x14ac:dyDescent="0.25">
      <c r="A86" s="7"/>
      <c r="B86" s="17"/>
      <c r="C86" s="20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1:24" ht="12.5" x14ac:dyDescent="0.25">
      <c r="A87" s="7"/>
      <c r="B87" s="17"/>
      <c r="C87" s="20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1:24" ht="12.5" x14ac:dyDescent="0.25">
      <c r="A88" s="7"/>
      <c r="B88" s="17"/>
      <c r="C88" s="20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1:24" ht="12.5" x14ac:dyDescent="0.25">
      <c r="A89" s="7"/>
      <c r="B89" s="17"/>
      <c r="C89" s="20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1:24" ht="12.5" x14ac:dyDescent="0.25">
      <c r="A90" s="7"/>
      <c r="B90" s="17"/>
      <c r="C90" s="20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1:24" ht="12.5" x14ac:dyDescent="0.25">
      <c r="A91" s="7"/>
      <c r="B91" s="17"/>
      <c r="C91" s="20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1:24" ht="12.5" x14ac:dyDescent="0.25">
      <c r="A92" s="7"/>
      <c r="B92" s="17"/>
      <c r="C92" s="20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1:24" ht="12.5" x14ac:dyDescent="0.25">
      <c r="A93" s="7"/>
      <c r="B93" s="17"/>
      <c r="C93" s="20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1:24" ht="12.5" x14ac:dyDescent="0.25">
      <c r="A94" s="7"/>
      <c r="B94" s="17"/>
      <c r="C94" s="20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1:24" ht="12.5" x14ac:dyDescent="0.25">
      <c r="A95" s="7"/>
      <c r="B95" s="17"/>
      <c r="C95" s="20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1:24" ht="12.5" x14ac:dyDescent="0.25">
      <c r="A96" s="7"/>
      <c r="B96" s="17"/>
      <c r="C96" s="20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1:24" ht="12.5" x14ac:dyDescent="0.25">
      <c r="A97" s="7"/>
      <c r="B97" s="17"/>
      <c r="C97" s="20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1:24" ht="12.5" x14ac:dyDescent="0.25">
      <c r="A98" s="7"/>
      <c r="B98" s="17"/>
      <c r="C98" s="20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1:24" ht="12.5" x14ac:dyDescent="0.25">
      <c r="A99" s="7"/>
      <c r="B99" s="17"/>
      <c r="C99" s="20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1:24" ht="12.5" x14ac:dyDescent="0.25">
      <c r="A100" s="7"/>
      <c r="B100" s="17"/>
      <c r="C100" s="20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1:24" ht="12.5" x14ac:dyDescent="0.25">
      <c r="A101" s="7"/>
      <c r="B101" s="17"/>
      <c r="C101" s="20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1:24" ht="12.5" x14ac:dyDescent="0.25">
      <c r="A102" s="7"/>
      <c r="B102" s="17"/>
      <c r="C102" s="20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1:24" ht="12.5" x14ac:dyDescent="0.25">
      <c r="A103" s="7"/>
      <c r="B103" s="17"/>
      <c r="C103" s="20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1:24" ht="12.5" x14ac:dyDescent="0.25">
      <c r="A104" s="7"/>
      <c r="B104" s="17"/>
      <c r="C104" s="20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1:24" ht="12.5" x14ac:dyDescent="0.25">
      <c r="A105" s="7"/>
      <c r="B105" s="17"/>
      <c r="C105" s="20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1:24" ht="12.5" x14ac:dyDescent="0.25">
      <c r="A106" s="7"/>
      <c r="B106" s="17"/>
      <c r="C106" s="20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1:24" ht="12.5" x14ac:dyDescent="0.25">
      <c r="A107" s="7"/>
      <c r="B107" s="17"/>
      <c r="C107" s="20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1:24" ht="12.5" x14ac:dyDescent="0.25">
      <c r="A108" s="7"/>
      <c r="B108" s="17"/>
      <c r="C108" s="20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1:24" ht="12.5" x14ac:dyDescent="0.25">
      <c r="A109" s="7"/>
      <c r="B109" s="17"/>
      <c r="C109" s="20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1:24" ht="12.5" x14ac:dyDescent="0.25">
      <c r="A110" s="7"/>
      <c r="B110" s="17"/>
      <c r="C110" s="20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1:24" ht="12.5" x14ac:dyDescent="0.25">
      <c r="A111" s="7"/>
      <c r="B111" s="17"/>
      <c r="C111" s="20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1:24" ht="12.5" x14ac:dyDescent="0.25">
      <c r="A112" s="7"/>
      <c r="B112" s="17"/>
      <c r="C112" s="20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1:24" ht="12.5" x14ac:dyDescent="0.25">
      <c r="A113" s="7"/>
      <c r="B113" s="17"/>
      <c r="C113" s="20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1:24" ht="12.5" x14ac:dyDescent="0.25">
      <c r="A114" s="7"/>
      <c r="B114" s="17"/>
      <c r="C114" s="20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1:24" ht="12.5" x14ac:dyDescent="0.25">
      <c r="A115" s="7"/>
      <c r="B115" s="17"/>
      <c r="C115" s="20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1:24" ht="12.5" x14ac:dyDescent="0.25">
      <c r="A116" s="7"/>
      <c r="B116" s="17"/>
      <c r="C116" s="20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1:24" ht="12.5" x14ac:dyDescent="0.25">
      <c r="A117" s="7"/>
      <c r="B117" s="17"/>
      <c r="C117" s="20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1:24" ht="12.5" x14ac:dyDescent="0.25">
      <c r="A118" s="7"/>
      <c r="B118" s="17"/>
      <c r="C118" s="20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1:24" ht="12.5" x14ac:dyDescent="0.25">
      <c r="A119" s="7"/>
      <c r="B119" s="17"/>
      <c r="C119" s="20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1:24" ht="12.5" x14ac:dyDescent="0.25">
      <c r="A120" s="7"/>
      <c r="B120" s="17"/>
      <c r="C120" s="20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1:24" ht="12.5" x14ac:dyDescent="0.25">
      <c r="A121" s="7"/>
      <c r="B121" s="17"/>
      <c r="C121" s="20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1:24" ht="12.5" x14ac:dyDescent="0.25">
      <c r="A122" s="7"/>
      <c r="B122" s="17"/>
      <c r="C122" s="20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1:24" ht="12.5" x14ac:dyDescent="0.25">
      <c r="A123" s="7"/>
      <c r="B123" s="17"/>
      <c r="C123" s="20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1:24" ht="12.5" x14ac:dyDescent="0.25">
      <c r="A124" s="7"/>
      <c r="B124" s="17"/>
      <c r="C124" s="20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1:24" ht="12.5" x14ac:dyDescent="0.25">
      <c r="A125" s="7"/>
      <c r="B125" s="17"/>
      <c r="C125" s="20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1:24" ht="12.5" x14ac:dyDescent="0.25">
      <c r="A126" s="7"/>
      <c r="B126" s="17"/>
      <c r="C126" s="20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1:24" ht="12.5" x14ac:dyDescent="0.25">
      <c r="A127" s="7"/>
      <c r="B127" s="17"/>
      <c r="C127" s="20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1:24" ht="12.5" x14ac:dyDescent="0.25">
      <c r="A128" s="7"/>
      <c r="B128" s="17"/>
      <c r="C128" s="20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1:24" ht="12.5" x14ac:dyDescent="0.25">
      <c r="A129" s="7"/>
      <c r="B129" s="17"/>
      <c r="C129" s="20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1:24" ht="12.5" x14ac:dyDescent="0.25">
      <c r="A130" s="7"/>
      <c r="B130" s="17"/>
      <c r="C130" s="20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1:24" ht="12.5" x14ac:dyDescent="0.25">
      <c r="A131" s="7"/>
      <c r="B131" s="17"/>
      <c r="C131" s="20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1:24" ht="12.5" x14ac:dyDescent="0.25">
      <c r="A132" s="7"/>
      <c r="B132" s="17"/>
      <c r="C132" s="20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1:24" ht="12.5" x14ac:dyDescent="0.25">
      <c r="A133" s="7"/>
      <c r="B133" s="17"/>
      <c r="C133" s="20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1:24" ht="12.5" x14ac:dyDescent="0.25">
      <c r="A134" s="7"/>
      <c r="B134" s="17"/>
      <c r="C134" s="20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1:24" ht="12.5" x14ac:dyDescent="0.25">
      <c r="A135" s="7"/>
      <c r="B135" s="17"/>
      <c r="C135" s="20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1:24" ht="12.5" x14ac:dyDescent="0.25">
      <c r="A136" s="7"/>
      <c r="B136" s="17"/>
      <c r="C136" s="20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1:24" ht="12.5" x14ac:dyDescent="0.25">
      <c r="A137" s="7"/>
      <c r="B137" s="17"/>
      <c r="C137" s="20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1:24" ht="12.5" x14ac:dyDescent="0.25">
      <c r="A138" s="7"/>
      <c r="B138" s="17"/>
      <c r="C138" s="20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1:24" ht="12.5" x14ac:dyDescent="0.25">
      <c r="A139" s="7"/>
      <c r="B139" s="17"/>
      <c r="C139" s="20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1:24" ht="12.5" x14ac:dyDescent="0.25">
      <c r="A140" s="7"/>
      <c r="B140" s="17"/>
      <c r="C140" s="20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1:24" ht="12.5" x14ac:dyDescent="0.25">
      <c r="A141" s="7"/>
      <c r="B141" s="17"/>
      <c r="C141" s="20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1:24" ht="12.5" x14ac:dyDescent="0.25">
      <c r="A142" s="7"/>
      <c r="B142" s="17"/>
      <c r="C142" s="20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1:24" ht="12.5" x14ac:dyDescent="0.25">
      <c r="A143" s="7"/>
      <c r="B143" s="17"/>
      <c r="C143" s="20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1:24" ht="12.5" x14ac:dyDescent="0.25">
      <c r="A144" s="7"/>
      <c r="B144" s="17"/>
      <c r="C144" s="20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1:24" ht="12.5" x14ac:dyDescent="0.25">
      <c r="A145" s="7"/>
      <c r="B145" s="17"/>
      <c r="C145" s="20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1:24" ht="12.5" x14ac:dyDescent="0.25">
      <c r="A146" s="7"/>
      <c r="B146" s="17"/>
      <c r="C146" s="20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1:24" ht="12.5" x14ac:dyDescent="0.25">
      <c r="A147" s="7"/>
      <c r="B147" s="17"/>
      <c r="C147" s="20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1:24" ht="12.5" x14ac:dyDescent="0.25">
      <c r="A148" s="7"/>
      <c r="B148" s="17"/>
      <c r="C148" s="20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1:24" ht="12.5" x14ac:dyDescent="0.25">
      <c r="A149" s="7"/>
      <c r="B149" s="17"/>
      <c r="C149" s="20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1:24" ht="12.5" x14ac:dyDescent="0.25">
      <c r="A150" s="7"/>
      <c r="B150" s="17"/>
      <c r="C150" s="20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1:24" ht="12.5" x14ac:dyDescent="0.25">
      <c r="A151" s="7"/>
      <c r="B151" s="17"/>
      <c r="C151" s="20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1:24" ht="12.5" x14ac:dyDescent="0.25">
      <c r="A152" s="7"/>
      <c r="B152" s="17"/>
      <c r="C152" s="20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1:24" ht="12.5" x14ac:dyDescent="0.25">
      <c r="A153" s="7"/>
      <c r="B153" s="17"/>
      <c r="C153" s="20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1:24" ht="12.5" x14ac:dyDescent="0.25">
      <c r="A154" s="7"/>
      <c r="B154" s="17"/>
      <c r="C154" s="20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1:24" ht="12.5" x14ac:dyDescent="0.25">
      <c r="A155" s="7"/>
      <c r="B155" s="17"/>
      <c r="C155" s="20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1:24" ht="12.5" x14ac:dyDescent="0.25">
      <c r="A156" s="7"/>
      <c r="B156" s="17"/>
      <c r="C156" s="20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1:24" ht="12.5" x14ac:dyDescent="0.25">
      <c r="A157" s="7"/>
      <c r="B157" s="17"/>
      <c r="C157" s="20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1:24" ht="12.5" x14ac:dyDescent="0.25">
      <c r="A158" s="7"/>
      <c r="B158" s="17"/>
      <c r="C158" s="20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1:24" ht="12.5" x14ac:dyDescent="0.25">
      <c r="A159" s="7"/>
      <c r="B159" s="17"/>
      <c r="C159" s="20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1:24" ht="12.5" x14ac:dyDescent="0.25">
      <c r="A160" s="7"/>
      <c r="B160" s="17"/>
      <c r="C160" s="20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1:24" ht="12.5" x14ac:dyDescent="0.25">
      <c r="A161" s="7"/>
      <c r="B161" s="17"/>
      <c r="C161" s="20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1:24" ht="12.5" x14ac:dyDescent="0.25">
      <c r="A162" s="7"/>
      <c r="B162" s="17"/>
      <c r="C162" s="20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1:24" ht="12.5" x14ac:dyDescent="0.25">
      <c r="A163" s="7"/>
      <c r="B163" s="17"/>
      <c r="C163" s="20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1:24" ht="12.5" x14ac:dyDescent="0.25">
      <c r="A164" s="7"/>
      <c r="B164" s="17"/>
      <c r="C164" s="20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1:24" ht="12.5" x14ac:dyDescent="0.25">
      <c r="A165" s="7"/>
      <c r="B165" s="17"/>
      <c r="C165" s="20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1:24" ht="12.5" x14ac:dyDescent="0.25">
      <c r="A166" s="7"/>
      <c r="B166" s="17"/>
      <c r="C166" s="20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1:24" ht="12.5" x14ac:dyDescent="0.25">
      <c r="A167" s="7"/>
      <c r="B167" s="17"/>
      <c r="C167" s="20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1:24" ht="12.5" x14ac:dyDescent="0.25">
      <c r="A168" s="7"/>
      <c r="B168" s="17"/>
      <c r="C168" s="20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1:24" ht="12.5" x14ac:dyDescent="0.25">
      <c r="A169" s="7"/>
      <c r="B169" s="17"/>
      <c r="C169" s="20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1:24" ht="12.5" x14ac:dyDescent="0.25">
      <c r="A170" s="7"/>
      <c r="B170" s="17"/>
      <c r="C170" s="20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1:24" ht="12.5" x14ac:dyDescent="0.25">
      <c r="A171" s="7"/>
      <c r="B171" s="17"/>
      <c r="C171" s="20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1:24" ht="12.5" x14ac:dyDescent="0.25">
      <c r="A172" s="7"/>
      <c r="B172" s="17"/>
      <c r="C172" s="20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1:24" ht="12.5" x14ac:dyDescent="0.25">
      <c r="A173" s="7"/>
      <c r="B173" s="17"/>
      <c r="C173" s="20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1:24" ht="12.5" x14ac:dyDescent="0.25">
      <c r="A174" s="7"/>
      <c r="B174" s="17"/>
      <c r="C174" s="20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1:24" ht="12.5" x14ac:dyDescent="0.25">
      <c r="A175" s="7"/>
      <c r="B175" s="17"/>
      <c r="C175" s="20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1:24" ht="12.5" x14ac:dyDescent="0.25">
      <c r="A176" s="7"/>
      <c r="B176" s="17"/>
      <c r="C176" s="20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1:24" ht="12.5" x14ac:dyDescent="0.25">
      <c r="A177" s="7"/>
      <c r="B177" s="17"/>
      <c r="C177" s="20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1:24" ht="12.5" x14ac:dyDescent="0.25">
      <c r="A178" s="7"/>
      <c r="B178" s="17"/>
      <c r="C178" s="20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1:24" ht="12.5" x14ac:dyDescent="0.25">
      <c r="A179" s="7"/>
      <c r="B179" s="17"/>
      <c r="C179" s="20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1:24" ht="12.5" x14ac:dyDescent="0.25">
      <c r="A180" s="7"/>
      <c r="B180" s="17"/>
      <c r="C180" s="20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1:24" ht="12.5" x14ac:dyDescent="0.25">
      <c r="A181" s="7"/>
      <c r="B181" s="17"/>
      <c r="C181" s="20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1:24" ht="12.5" x14ac:dyDescent="0.25">
      <c r="A182" s="7"/>
      <c r="B182" s="17"/>
      <c r="C182" s="20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1:24" ht="12.5" x14ac:dyDescent="0.25">
      <c r="A183" s="7"/>
      <c r="B183" s="17"/>
      <c r="C183" s="20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1:24" ht="12.5" x14ac:dyDescent="0.25">
      <c r="A184" s="7"/>
      <c r="B184" s="17"/>
      <c r="C184" s="20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1:24" ht="12.5" x14ac:dyDescent="0.25">
      <c r="A185" s="7"/>
      <c r="B185" s="17"/>
      <c r="C185" s="20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1:24" ht="12.5" x14ac:dyDescent="0.25">
      <c r="A186" s="7"/>
      <c r="B186" s="17"/>
      <c r="C186" s="20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1:24" ht="12.5" x14ac:dyDescent="0.25">
      <c r="A187" s="7"/>
      <c r="B187" s="17"/>
      <c r="C187" s="20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1:24" ht="12.5" x14ac:dyDescent="0.25">
      <c r="A188" s="7"/>
      <c r="B188" s="17"/>
      <c r="C188" s="20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1:24" ht="12.5" x14ac:dyDescent="0.25">
      <c r="A189" s="7"/>
      <c r="B189" s="17"/>
      <c r="C189" s="20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1:24" ht="12.5" x14ac:dyDescent="0.25">
      <c r="A190" s="7"/>
      <c r="B190" s="17"/>
      <c r="C190" s="20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1:24" ht="12.5" x14ac:dyDescent="0.25">
      <c r="A191" s="7"/>
      <c r="B191" s="17"/>
      <c r="C191" s="20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1:24" ht="12.5" x14ac:dyDescent="0.25">
      <c r="A192" s="7"/>
      <c r="B192" s="17"/>
      <c r="C192" s="20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1:24" ht="12.5" x14ac:dyDescent="0.25">
      <c r="A193" s="7"/>
      <c r="B193" s="17"/>
      <c r="C193" s="20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1:24" ht="12.5" x14ac:dyDescent="0.25">
      <c r="A194" s="7"/>
      <c r="B194" s="17"/>
      <c r="C194" s="20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1:24" ht="12.5" x14ac:dyDescent="0.25">
      <c r="A195" s="7"/>
      <c r="B195" s="17"/>
      <c r="C195" s="20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1:24" ht="12.5" x14ac:dyDescent="0.25">
      <c r="A196" s="7"/>
      <c r="B196" s="17"/>
      <c r="C196" s="20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1:24" ht="12.5" x14ac:dyDescent="0.25">
      <c r="A197" s="7"/>
      <c r="B197" s="17"/>
      <c r="C197" s="20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1:24" ht="12.5" x14ac:dyDescent="0.25">
      <c r="A198" s="7"/>
      <c r="B198" s="17"/>
      <c r="C198" s="20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1:24" ht="12.5" x14ac:dyDescent="0.25">
      <c r="A199" s="7"/>
      <c r="B199" s="17"/>
      <c r="C199" s="20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1:24" ht="12.5" x14ac:dyDescent="0.25">
      <c r="A200" s="7"/>
      <c r="B200" s="17"/>
      <c r="C200" s="20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1:24" ht="12.5" x14ac:dyDescent="0.25">
      <c r="A201" s="7"/>
      <c r="B201" s="17"/>
      <c r="C201" s="20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1:24" ht="12.5" x14ac:dyDescent="0.25">
      <c r="A202" s="7"/>
      <c r="B202" s="17"/>
      <c r="C202" s="20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1:24" ht="12.5" x14ac:dyDescent="0.25">
      <c r="A203" s="7"/>
      <c r="B203" s="17"/>
      <c r="C203" s="20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1:24" ht="12.5" x14ac:dyDescent="0.25">
      <c r="A204" s="7"/>
      <c r="B204" s="17"/>
      <c r="C204" s="20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1:24" ht="12.5" x14ac:dyDescent="0.25">
      <c r="A205" s="7"/>
      <c r="B205" s="17"/>
      <c r="C205" s="20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1:24" ht="12.5" x14ac:dyDescent="0.25">
      <c r="A206" s="7"/>
      <c r="B206" s="17"/>
      <c r="C206" s="20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1:24" ht="12.5" x14ac:dyDescent="0.25">
      <c r="A207" s="7"/>
      <c r="B207" s="17"/>
      <c r="C207" s="20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1:24" ht="12.5" x14ac:dyDescent="0.25">
      <c r="A208" s="7"/>
      <c r="B208" s="17"/>
      <c r="C208" s="20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1:24" ht="12.5" x14ac:dyDescent="0.25">
      <c r="A209" s="7"/>
      <c r="B209" s="17"/>
      <c r="C209" s="20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1:24" ht="12.5" x14ac:dyDescent="0.25">
      <c r="A210" s="7"/>
      <c r="B210" s="17"/>
      <c r="C210" s="20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1:24" ht="12.5" x14ac:dyDescent="0.25">
      <c r="A211" s="7"/>
      <c r="B211" s="17"/>
      <c r="C211" s="20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1:24" ht="12.5" x14ac:dyDescent="0.25">
      <c r="A212" s="7"/>
      <c r="B212" s="17"/>
      <c r="C212" s="20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1:24" ht="12.5" x14ac:dyDescent="0.25">
      <c r="A213" s="7"/>
      <c r="B213" s="17"/>
      <c r="C213" s="20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1:24" ht="12.5" x14ac:dyDescent="0.25">
      <c r="A214" s="7"/>
      <c r="B214" s="17"/>
      <c r="C214" s="20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1:24" ht="12.5" x14ac:dyDescent="0.25">
      <c r="A215" s="7"/>
      <c r="B215" s="17"/>
      <c r="C215" s="20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1:24" ht="12.5" x14ac:dyDescent="0.25">
      <c r="A216" s="7"/>
      <c r="B216" s="17"/>
      <c r="C216" s="20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1:24" ht="12.5" x14ac:dyDescent="0.25">
      <c r="A217" s="7"/>
      <c r="B217" s="17"/>
      <c r="C217" s="20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1:24" ht="12.5" x14ac:dyDescent="0.25">
      <c r="A218" s="7"/>
      <c r="B218" s="17"/>
      <c r="C218" s="20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1:24" ht="12.5" x14ac:dyDescent="0.25">
      <c r="A219" s="7"/>
      <c r="B219" s="17"/>
      <c r="C219" s="20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1:24" ht="12.5" x14ac:dyDescent="0.25">
      <c r="A220" s="7"/>
      <c r="B220" s="17"/>
      <c r="C220" s="20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1:24" ht="12.5" x14ac:dyDescent="0.25">
      <c r="A221" s="7"/>
      <c r="B221" s="17"/>
      <c r="C221" s="20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1:24" ht="12.5" x14ac:dyDescent="0.25">
      <c r="A222" s="7"/>
      <c r="B222" s="17"/>
      <c r="C222" s="20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1:24" ht="12.5" x14ac:dyDescent="0.25">
      <c r="A223" s="7"/>
      <c r="B223" s="17"/>
      <c r="C223" s="20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1:24" ht="12.5" x14ac:dyDescent="0.25">
      <c r="A224" s="7"/>
      <c r="B224" s="17"/>
      <c r="C224" s="20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1:24" ht="12.5" x14ac:dyDescent="0.25">
      <c r="A225" s="7"/>
      <c r="B225" s="17"/>
      <c r="C225" s="20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1:24" ht="12.5" x14ac:dyDescent="0.25">
      <c r="A226" s="7"/>
      <c r="B226" s="17"/>
      <c r="C226" s="20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1:24" ht="12.5" x14ac:dyDescent="0.25">
      <c r="A227" s="7"/>
      <c r="B227" s="17"/>
      <c r="C227" s="20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1:24" ht="12.5" x14ac:dyDescent="0.25">
      <c r="A228" s="7"/>
      <c r="B228" s="17"/>
      <c r="C228" s="20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1:24" ht="12.5" x14ac:dyDescent="0.25">
      <c r="A229" s="7"/>
      <c r="B229" s="17"/>
      <c r="C229" s="20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1:24" ht="12.5" x14ac:dyDescent="0.25">
      <c r="A230" s="7"/>
      <c r="B230" s="17"/>
      <c r="C230" s="20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1:24" ht="12.5" x14ac:dyDescent="0.25">
      <c r="A231" s="7"/>
      <c r="B231" s="17"/>
      <c r="C231" s="20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1:24" ht="12.5" x14ac:dyDescent="0.25">
      <c r="A232" s="7"/>
      <c r="B232" s="17"/>
      <c r="C232" s="20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1:24" ht="12.5" x14ac:dyDescent="0.25">
      <c r="A233" s="7"/>
      <c r="B233" s="17"/>
      <c r="C233" s="20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1:24" ht="12.5" x14ac:dyDescent="0.25">
      <c r="A234" s="7"/>
      <c r="B234" s="17"/>
      <c r="C234" s="20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1:24" ht="12.5" x14ac:dyDescent="0.25">
      <c r="A235" s="7"/>
      <c r="B235" s="17"/>
      <c r="C235" s="20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1:24" ht="12.5" x14ac:dyDescent="0.25">
      <c r="A236" s="7"/>
      <c r="B236" s="17"/>
      <c r="C236" s="20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1:24" ht="12.5" x14ac:dyDescent="0.25">
      <c r="A237" s="7"/>
      <c r="B237" s="17"/>
      <c r="C237" s="2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1:24" ht="12.5" x14ac:dyDescent="0.25">
      <c r="A238" s="7"/>
      <c r="B238" s="17"/>
      <c r="C238" s="20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1:24" ht="12.5" x14ac:dyDescent="0.25">
      <c r="A239" s="7"/>
      <c r="B239" s="17"/>
      <c r="C239" s="20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1:24" ht="12.5" x14ac:dyDescent="0.25">
      <c r="A240" s="7"/>
      <c r="B240" s="17"/>
      <c r="C240" s="20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1:24" ht="12.5" x14ac:dyDescent="0.25">
      <c r="A241" s="7"/>
      <c r="B241" s="17"/>
      <c r="C241" s="20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1:24" ht="12.5" x14ac:dyDescent="0.25">
      <c r="A242" s="7"/>
      <c r="B242" s="17"/>
      <c r="C242" s="20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1:24" ht="12.5" x14ac:dyDescent="0.25">
      <c r="A243" s="7"/>
      <c r="B243" s="17"/>
      <c r="C243" s="20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1:24" ht="12.5" x14ac:dyDescent="0.25">
      <c r="A244" s="7"/>
      <c r="B244" s="17"/>
      <c r="C244" s="20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1:24" ht="12.5" x14ac:dyDescent="0.25">
      <c r="A245" s="7"/>
      <c r="B245" s="17"/>
      <c r="C245" s="20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1:24" ht="12.5" x14ac:dyDescent="0.25">
      <c r="A246" s="7"/>
      <c r="B246" s="17"/>
      <c r="C246" s="20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1:24" ht="12.5" x14ac:dyDescent="0.25">
      <c r="A247" s="7"/>
      <c r="B247" s="17"/>
      <c r="C247" s="20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1:24" ht="12.5" x14ac:dyDescent="0.25">
      <c r="A248" s="7"/>
      <c r="B248" s="17"/>
      <c r="C248" s="20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1:24" ht="12.5" x14ac:dyDescent="0.25">
      <c r="A249" s="7"/>
      <c r="B249" s="17"/>
      <c r="C249" s="20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1:24" ht="12.5" x14ac:dyDescent="0.25">
      <c r="A250" s="7"/>
      <c r="B250" s="17"/>
      <c r="C250" s="20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1:24" ht="12.5" x14ac:dyDescent="0.25">
      <c r="A251" s="7"/>
      <c r="B251" s="17"/>
      <c r="C251" s="20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1:24" ht="12.5" x14ac:dyDescent="0.25">
      <c r="A252" s="7"/>
      <c r="B252" s="17"/>
      <c r="C252" s="20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1:24" ht="12.5" x14ac:dyDescent="0.25">
      <c r="A253" s="7"/>
      <c r="B253" s="17"/>
      <c r="C253" s="20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1:24" ht="12.5" x14ac:dyDescent="0.25">
      <c r="A254" s="7"/>
      <c r="B254" s="17"/>
      <c r="C254" s="20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1:24" ht="12.5" x14ac:dyDescent="0.25">
      <c r="A255" s="7"/>
      <c r="B255" s="17"/>
      <c r="C255" s="20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1:24" ht="12.5" x14ac:dyDescent="0.25">
      <c r="A256" s="7"/>
      <c r="B256" s="17"/>
      <c r="C256" s="20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1:24" ht="12.5" x14ac:dyDescent="0.25">
      <c r="A257" s="7"/>
      <c r="B257" s="17"/>
      <c r="C257" s="20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1:24" ht="12.5" x14ac:dyDescent="0.25">
      <c r="A258" s="7"/>
      <c r="B258" s="17"/>
      <c r="C258" s="20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1:24" ht="12.5" x14ac:dyDescent="0.25">
      <c r="A259" s="7"/>
      <c r="B259" s="17"/>
      <c r="C259" s="20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1:24" ht="12.5" x14ac:dyDescent="0.25">
      <c r="A260" s="7"/>
      <c r="B260" s="17"/>
      <c r="C260" s="20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1:24" ht="12.5" x14ac:dyDescent="0.25">
      <c r="A261" s="7"/>
      <c r="B261" s="17"/>
      <c r="C261" s="20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1:24" ht="12.5" x14ac:dyDescent="0.25">
      <c r="A262" s="7"/>
      <c r="B262" s="17"/>
      <c r="C262" s="20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1:24" ht="12.5" x14ac:dyDescent="0.25">
      <c r="A263" s="7"/>
      <c r="B263" s="17"/>
      <c r="C263" s="20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1:24" ht="12.5" x14ac:dyDescent="0.25">
      <c r="A264" s="7"/>
      <c r="B264" s="17"/>
      <c r="C264" s="20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1:24" ht="12.5" x14ac:dyDescent="0.25">
      <c r="A265" s="7"/>
      <c r="B265" s="17"/>
      <c r="C265" s="20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1:24" ht="12.5" x14ac:dyDescent="0.25">
      <c r="A266" s="7"/>
      <c r="B266" s="17"/>
      <c r="C266" s="20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1:24" ht="12.5" x14ac:dyDescent="0.25">
      <c r="A267" s="7"/>
      <c r="B267" s="17"/>
      <c r="C267" s="20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1:24" ht="12.5" x14ac:dyDescent="0.25">
      <c r="A268" s="7"/>
      <c r="B268" s="17"/>
      <c r="C268" s="20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1:24" ht="12.5" x14ac:dyDescent="0.25">
      <c r="A269" s="7"/>
      <c r="B269" s="17"/>
      <c r="C269" s="20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1:24" ht="12.5" x14ac:dyDescent="0.25">
      <c r="A270" s="7"/>
      <c r="B270" s="17"/>
      <c r="C270" s="20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1:24" ht="12.5" x14ac:dyDescent="0.25">
      <c r="A271" s="7"/>
      <c r="B271" s="17"/>
      <c r="C271" s="20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1:24" ht="12.5" x14ac:dyDescent="0.25">
      <c r="A272" s="7"/>
      <c r="B272" s="17"/>
      <c r="C272" s="20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1:24" ht="12.5" x14ac:dyDescent="0.25">
      <c r="A273" s="7"/>
      <c r="B273" s="17"/>
      <c r="C273" s="20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1:24" ht="12.5" x14ac:dyDescent="0.25">
      <c r="A274" s="7"/>
      <c r="B274" s="17"/>
      <c r="C274" s="20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1:24" ht="12.5" x14ac:dyDescent="0.25">
      <c r="A275" s="7"/>
      <c r="B275" s="17"/>
      <c r="C275" s="20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1:24" ht="12.5" x14ac:dyDescent="0.25">
      <c r="A276" s="7"/>
      <c r="B276" s="17"/>
      <c r="C276" s="20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1:24" ht="12.5" x14ac:dyDescent="0.25">
      <c r="A277" s="7"/>
      <c r="B277" s="17"/>
      <c r="C277" s="20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1:24" ht="12.5" x14ac:dyDescent="0.25">
      <c r="A278" s="7"/>
      <c r="B278" s="17"/>
      <c r="C278" s="20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1:24" ht="12.5" x14ac:dyDescent="0.25">
      <c r="A279" s="7"/>
      <c r="B279" s="17"/>
      <c r="C279" s="20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1:24" ht="12.5" x14ac:dyDescent="0.25">
      <c r="A280" s="7"/>
      <c r="B280" s="17"/>
      <c r="C280" s="20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1:24" ht="12.5" x14ac:dyDescent="0.25">
      <c r="A281" s="7"/>
      <c r="B281" s="17"/>
      <c r="C281" s="20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1:24" ht="12.5" x14ac:dyDescent="0.25">
      <c r="A282" s="7"/>
      <c r="B282" s="17"/>
      <c r="C282" s="20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1:24" ht="12.5" x14ac:dyDescent="0.25">
      <c r="A283" s="7"/>
      <c r="B283" s="17"/>
      <c r="C283" s="20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1:24" ht="12.5" x14ac:dyDescent="0.25">
      <c r="A284" s="7"/>
      <c r="B284" s="17"/>
      <c r="C284" s="20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1:24" ht="12.5" x14ac:dyDescent="0.25">
      <c r="A285" s="7"/>
      <c r="B285" s="17"/>
      <c r="C285" s="20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1:24" ht="12.5" x14ac:dyDescent="0.25">
      <c r="A286" s="7"/>
      <c r="B286" s="17"/>
      <c r="C286" s="20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1:24" ht="12.5" x14ac:dyDescent="0.25">
      <c r="A287" s="7"/>
      <c r="B287" s="17"/>
      <c r="C287" s="20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1:24" ht="12.5" x14ac:dyDescent="0.25">
      <c r="A288" s="7"/>
      <c r="B288" s="17"/>
      <c r="C288" s="20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1:24" ht="12.5" x14ac:dyDescent="0.25">
      <c r="A289" s="7"/>
      <c r="B289" s="17"/>
      <c r="C289" s="20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1:24" ht="12.5" x14ac:dyDescent="0.25">
      <c r="A290" s="7"/>
      <c r="B290" s="17"/>
      <c r="C290" s="20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1:24" ht="12.5" x14ac:dyDescent="0.25">
      <c r="A291" s="7"/>
      <c r="B291" s="17"/>
      <c r="C291" s="20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1:24" ht="12.5" x14ac:dyDescent="0.25">
      <c r="A292" s="7"/>
      <c r="B292" s="17"/>
      <c r="C292" s="20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1:24" ht="12.5" x14ac:dyDescent="0.25">
      <c r="A293" s="7"/>
      <c r="B293" s="17"/>
      <c r="C293" s="20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1:24" ht="12.5" x14ac:dyDescent="0.25">
      <c r="A294" s="7"/>
      <c r="B294" s="17"/>
      <c r="C294" s="20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1:24" ht="12.5" x14ac:dyDescent="0.25">
      <c r="A295" s="7"/>
      <c r="B295" s="17"/>
      <c r="C295" s="20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1:24" ht="12.5" x14ac:dyDescent="0.25">
      <c r="A296" s="7"/>
      <c r="B296" s="17"/>
      <c r="C296" s="20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1:24" ht="12.5" x14ac:dyDescent="0.25">
      <c r="A297" s="7"/>
      <c r="B297" s="17"/>
      <c r="C297" s="20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1:24" ht="12.5" x14ac:dyDescent="0.25">
      <c r="A298" s="7"/>
      <c r="B298" s="17"/>
      <c r="C298" s="20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1:24" ht="12.5" x14ac:dyDescent="0.25">
      <c r="A299" s="7"/>
      <c r="B299" s="17"/>
      <c r="C299" s="20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1:24" ht="12.5" x14ac:dyDescent="0.25">
      <c r="A300" s="7"/>
      <c r="B300" s="17"/>
      <c r="C300" s="20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1:24" ht="12.5" x14ac:dyDescent="0.25">
      <c r="A301" s="7"/>
      <c r="B301" s="17"/>
      <c r="C301" s="20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1:24" ht="12.5" x14ac:dyDescent="0.25">
      <c r="A302" s="7"/>
      <c r="B302" s="17"/>
      <c r="C302" s="20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1:24" ht="12.5" x14ac:dyDescent="0.25">
      <c r="A303" s="7"/>
      <c r="B303" s="17"/>
      <c r="C303" s="20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1:24" ht="12.5" x14ac:dyDescent="0.25">
      <c r="A304" s="7"/>
      <c r="B304" s="17"/>
      <c r="C304" s="20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1:24" ht="12.5" x14ac:dyDescent="0.25">
      <c r="A305" s="7"/>
      <c r="B305" s="17"/>
      <c r="C305" s="20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1:24" ht="12.5" x14ac:dyDescent="0.25">
      <c r="A306" s="7"/>
      <c r="B306" s="17"/>
      <c r="C306" s="20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1:24" ht="12.5" x14ac:dyDescent="0.25">
      <c r="A307" s="7"/>
      <c r="B307" s="17"/>
      <c r="C307" s="20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1:24" ht="12.5" x14ac:dyDescent="0.25">
      <c r="A308" s="7"/>
      <c r="B308" s="17"/>
      <c r="C308" s="20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1:24" ht="12.5" x14ac:dyDescent="0.25">
      <c r="A309" s="7"/>
      <c r="B309" s="17"/>
      <c r="C309" s="20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1:24" ht="12.5" x14ac:dyDescent="0.25">
      <c r="A310" s="7"/>
      <c r="B310" s="17"/>
      <c r="C310" s="20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1:24" ht="12.5" x14ac:dyDescent="0.25">
      <c r="A311" s="7"/>
      <c r="B311" s="17"/>
      <c r="C311" s="20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1:24" ht="12.5" x14ac:dyDescent="0.25">
      <c r="A312" s="7"/>
      <c r="B312" s="17"/>
      <c r="C312" s="20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1:24" ht="12.5" x14ac:dyDescent="0.25">
      <c r="A313" s="7"/>
      <c r="B313" s="17"/>
      <c r="C313" s="20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1:24" ht="12.5" x14ac:dyDescent="0.25">
      <c r="A314" s="7"/>
      <c r="B314" s="17"/>
      <c r="C314" s="20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1:24" ht="12.5" x14ac:dyDescent="0.25">
      <c r="A315" s="7"/>
      <c r="B315" s="17"/>
      <c r="C315" s="20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1:24" ht="12.5" x14ac:dyDescent="0.25">
      <c r="A316" s="7"/>
      <c r="B316" s="17"/>
      <c r="C316" s="20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1:24" ht="12.5" x14ac:dyDescent="0.25">
      <c r="A317" s="7"/>
      <c r="B317" s="17"/>
      <c r="C317" s="20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1:24" ht="12.5" x14ac:dyDescent="0.25">
      <c r="A318" s="7"/>
      <c r="B318" s="17"/>
      <c r="C318" s="20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1:24" ht="12.5" x14ac:dyDescent="0.25">
      <c r="A319" s="7"/>
      <c r="B319" s="17"/>
      <c r="C319" s="20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1:24" ht="12.5" x14ac:dyDescent="0.25">
      <c r="A320" s="7"/>
      <c r="B320" s="17"/>
      <c r="C320" s="20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1:24" ht="12.5" x14ac:dyDescent="0.25">
      <c r="A321" s="7"/>
      <c r="B321" s="17"/>
      <c r="C321" s="20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1:24" ht="12.5" x14ac:dyDescent="0.25">
      <c r="A322" s="7"/>
      <c r="B322" s="17"/>
      <c r="C322" s="20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1:24" ht="12.5" x14ac:dyDescent="0.25">
      <c r="A323" s="7"/>
      <c r="B323" s="17"/>
      <c r="C323" s="20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1:24" ht="12.5" x14ac:dyDescent="0.25">
      <c r="A324" s="7"/>
      <c r="B324" s="17"/>
      <c r="C324" s="20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1:24" ht="12.5" x14ac:dyDescent="0.25">
      <c r="A325" s="7"/>
      <c r="B325" s="17"/>
      <c r="C325" s="20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1:24" ht="12.5" x14ac:dyDescent="0.25">
      <c r="A326" s="7"/>
      <c r="B326" s="17"/>
      <c r="C326" s="20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1:24" ht="12.5" x14ac:dyDescent="0.25">
      <c r="A327" s="7"/>
      <c r="B327" s="17"/>
      <c r="C327" s="20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1:24" ht="12.5" x14ac:dyDescent="0.25">
      <c r="A328" s="7"/>
      <c r="B328" s="17"/>
      <c r="C328" s="20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1:24" ht="12.5" x14ac:dyDescent="0.25">
      <c r="A329" s="7"/>
      <c r="B329" s="17"/>
      <c r="C329" s="20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1:24" ht="12.5" x14ac:dyDescent="0.25">
      <c r="A330" s="7"/>
      <c r="B330" s="17"/>
      <c r="C330" s="20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1:24" ht="12.5" x14ac:dyDescent="0.25">
      <c r="A331" s="7"/>
      <c r="B331" s="17"/>
      <c r="C331" s="20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1:24" ht="12.5" x14ac:dyDescent="0.25">
      <c r="A332" s="7"/>
      <c r="B332" s="17"/>
      <c r="C332" s="20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1:24" ht="12.5" x14ac:dyDescent="0.25">
      <c r="A333" s="7"/>
      <c r="B333" s="17"/>
      <c r="C333" s="20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1:24" ht="12.5" x14ac:dyDescent="0.25">
      <c r="A334" s="7"/>
      <c r="B334" s="17"/>
      <c r="C334" s="20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1:24" ht="12.5" x14ac:dyDescent="0.25">
      <c r="A335" s="7"/>
      <c r="B335" s="17"/>
      <c r="C335" s="20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1:24" ht="12.5" x14ac:dyDescent="0.25">
      <c r="A336" s="7"/>
      <c r="B336" s="17"/>
      <c r="C336" s="20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1:24" ht="12.5" x14ac:dyDescent="0.25">
      <c r="A337" s="7"/>
      <c r="B337" s="17"/>
      <c r="C337" s="20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1:24" ht="12.5" x14ac:dyDescent="0.25">
      <c r="A338" s="7"/>
      <c r="B338" s="17"/>
      <c r="C338" s="20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1:24" ht="12.5" x14ac:dyDescent="0.25">
      <c r="A339" s="7"/>
      <c r="B339" s="17"/>
      <c r="C339" s="20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1:24" ht="12.5" x14ac:dyDescent="0.25">
      <c r="A340" s="7"/>
      <c r="B340" s="17"/>
      <c r="C340" s="20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1:24" ht="12.5" x14ac:dyDescent="0.25">
      <c r="A341" s="7"/>
      <c r="B341" s="17"/>
      <c r="C341" s="20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1:24" ht="12.5" x14ac:dyDescent="0.25">
      <c r="A342" s="7"/>
      <c r="B342" s="17"/>
      <c r="C342" s="20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1:24" ht="12.5" x14ac:dyDescent="0.25">
      <c r="A343" s="7"/>
      <c r="B343" s="17"/>
      <c r="C343" s="20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1:24" ht="12.5" x14ac:dyDescent="0.25">
      <c r="A344" s="7"/>
      <c r="B344" s="17"/>
      <c r="C344" s="20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1:24" ht="12.5" x14ac:dyDescent="0.25">
      <c r="A345" s="7"/>
      <c r="B345" s="17"/>
      <c r="C345" s="20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1:24" ht="12.5" x14ac:dyDescent="0.25">
      <c r="A346" s="7"/>
      <c r="B346" s="17"/>
      <c r="C346" s="20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1:24" ht="12.5" x14ac:dyDescent="0.25">
      <c r="A347" s="7"/>
      <c r="B347" s="17"/>
      <c r="C347" s="20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1:24" ht="12.5" x14ac:dyDescent="0.25">
      <c r="A348" s="7"/>
      <c r="B348" s="17"/>
      <c r="C348" s="20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1:24" ht="12.5" x14ac:dyDescent="0.25">
      <c r="A349" s="7"/>
      <c r="B349" s="17"/>
      <c r="C349" s="20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1:24" ht="12.5" x14ac:dyDescent="0.25">
      <c r="A350" s="7"/>
      <c r="B350" s="17"/>
      <c r="C350" s="20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1:24" ht="12.5" x14ac:dyDescent="0.25">
      <c r="A351" s="7"/>
      <c r="B351" s="17"/>
      <c r="C351" s="20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1:24" ht="12.5" x14ac:dyDescent="0.25">
      <c r="A352" s="7"/>
      <c r="B352" s="17"/>
      <c r="C352" s="20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1:24" ht="12.5" x14ac:dyDescent="0.25">
      <c r="A353" s="7"/>
      <c r="B353" s="17"/>
      <c r="C353" s="20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1:24" ht="12.5" x14ac:dyDescent="0.25">
      <c r="A354" s="7"/>
      <c r="B354" s="17"/>
      <c r="C354" s="20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1:24" ht="12.5" x14ac:dyDescent="0.25">
      <c r="A355" s="7"/>
      <c r="B355" s="17"/>
      <c r="C355" s="20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1:24" ht="12.5" x14ac:dyDescent="0.25">
      <c r="A356" s="7"/>
      <c r="B356" s="17"/>
      <c r="C356" s="20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1:24" ht="12.5" x14ac:dyDescent="0.25">
      <c r="A357" s="7"/>
      <c r="B357" s="17"/>
      <c r="C357" s="20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1:24" ht="12.5" x14ac:dyDescent="0.25">
      <c r="A358" s="7"/>
      <c r="B358" s="17"/>
      <c r="C358" s="20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1:24" ht="12.5" x14ac:dyDescent="0.25">
      <c r="A359" s="7"/>
      <c r="B359" s="17"/>
      <c r="C359" s="20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1:24" ht="12.5" x14ac:dyDescent="0.25">
      <c r="A360" s="7"/>
      <c r="B360" s="17"/>
      <c r="C360" s="20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1:24" ht="12.5" x14ac:dyDescent="0.25">
      <c r="A361" s="7"/>
      <c r="B361" s="17"/>
      <c r="C361" s="20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1:24" ht="12.5" x14ac:dyDescent="0.25">
      <c r="A362" s="7"/>
      <c r="B362" s="17"/>
      <c r="C362" s="20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1:24" ht="12.5" x14ac:dyDescent="0.25">
      <c r="A363" s="7"/>
      <c r="B363" s="17"/>
      <c r="C363" s="2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1:24" ht="12.5" x14ac:dyDescent="0.25">
      <c r="A364" s="7"/>
      <c r="B364" s="17"/>
      <c r="C364" s="20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1:24" ht="12.5" x14ac:dyDescent="0.25">
      <c r="A365" s="7"/>
      <c r="B365" s="17"/>
      <c r="C365" s="20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1:24" ht="12.5" x14ac:dyDescent="0.25">
      <c r="A366" s="7"/>
      <c r="B366" s="17"/>
      <c r="C366" s="20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1:24" ht="12.5" x14ac:dyDescent="0.25">
      <c r="A367" s="7"/>
      <c r="B367" s="17"/>
      <c r="C367" s="20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1:24" ht="12.5" x14ac:dyDescent="0.25">
      <c r="A368" s="7"/>
      <c r="B368" s="17"/>
      <c r="C368" s="20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1:24" ht="12.5" x14ac:dyDescent="0.25">
      <c r="A369" s="7"/>
      <c r="B369" s="17"/>
      <c r="C369" s="2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1:24" ht="12.5" x14ac:dyDescent="0.25">
      <c r="A370" s="7"/>
      <c r="B370" s="17"/>
      <c r="C370" s="20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1:24" ht="12.5" x14ac:dyDescent="0.25">
      <c r="A371" s="7"/>
      <c r="B371" s="17"/>
      <c r="C371" s="2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1:24" ht="12.5" x14ac:dyDescent="0.25">
      <c r="A372" s="7"/>
      <c r="B372" s="17"/>
      <c r="C372" s="2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1:24" ht="12.5" x14ac:dyDescent="0.25">
      <c r="A373" s="7"/>
      <c r="B373" s="17"/>
      <c r="C373" s="20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1:24" ht="12.5" x14ac:dyDescent="0.25">
      <c r="A374" s="7"/>
      <c r="B374" s="17"/>
      <c r="C374" s="20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1:24" ht="12.5" x14ac:dyDescent="0.25">
      <c r="A375" s="7"/>
      <c r="B375" s="17"/>
      <c r="C375" s="20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1:24" ht="12.5" x14ac:dyDescent="0.25">
      <c r="A376" s="7"/>
      <c r="B376" s="17"/>
      <c r="C376" s="20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1:24" ht="12.5" x14ac:dyDescent="0.25">
      <c r="A377" s="7"/>
      <c r="B377" s="17"/>
      <c r="C377" s="20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1:24" ht="12.5" x14ac:dyDescent="0.25">
      <c r="A378" s="7"/>
      <c r="B378" s="17"/>
      <c r="C378" s="20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1:24" ht="12.5" x14ac:dyDescent="0.25">
      <c r="A379" s="7"/>
      <c r="B379" s="17"/>
      <c r="C379" s="20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1:24" ht="12.5" x14ac:dyDescent="0.25">
      <c r="A380" s="7"/>
      <c r="B380" s="17"/>
      <c r="C380" s="20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1:24" ht="12.5" x14ac:dyDescent="0.25">
      <c r="A381" s="7"/>
      <c r="B381" s="17"/>
      <c r="C381" s="20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1:24" ht="12.5" x14ac:dyDescent="0.25">
      <c r="A382" s="7"/>
      <c r="B382" s="17"/>
      <c r="C382" s="20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1:24" ht="12.5" x14ac:dyDescent="0.25">
      <c r="A383" s="7"/>
      <c r="B383" s="17"/>
      <c r="C383" s="20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1:24" ht="12.5" x14ac:dyDescent="0.25">
      <c r="A384" s="7"/>
      <c r="B384" s="17"/>
      <c r="C384" s="20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1:24" ht="12.5" x14ac:dyDescent="0.25">
      <c r="A385" s="7"/>
      <c r="B385" s="17"/>
      <c r="C385" s="20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1:24" ht="12.5" x14ac:dyDescent="0.25">
      <c r="A386" s="7"/>
      <c r="B386" s="17"/>
      <c r="C386" s="20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1:24" ht="12.5" x14ac:dyDescent="0.25">
      <c r="A387" s="7"/>
      <c r="B387" s="17"/>
      <c r="C387" s="20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1:24" ht="12.5" x14ac:dyDescent="0.25">
      <c r="A388" s="7"/>
      <c r="B388" s="17"/>
      <c r="C388" s="20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1:24" ht="12.5" x14ac:dyDescent="0.25">
      <c r="A389" s="7"/>
      <c r="B389" s="17"/>
      <c r="C389" s="20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1:24" ht="12.5" x14ac:dyDescent="0.25">
      <c r="A390" s="7"/>
      <c r="B390" s="17"/>
      <c r="C390" s="20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1:24" ht="12.5" x14ac:dyDescent="0.25">
      <c r="A391" s="7"/>
      <c r="B391" s="17"/>
      <c r="C391" s="20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1:24" ht="12.5" x14ac:dyDescent="0.25">
      <c r="A392" s="7"/>
      <c r="B392" s="17"/>
      <c r="C392" s="20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1:24" ht="12.5" x14ac:dyDescent="0.25">
      <c r="A393" s="7"/>
      <c r="B393" s="17"/>
      <c r="C393" s="20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1:24" ht="12.5" x14ac:dyDescent="0.25">
      <c r="A394" s="7"/>
      <c r="B394" s="17"/>
      <c r="C394" s="20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1:24" ht="12.5" x14ac:dyDescent="0.25">
      <c r="A395" s="7"/>
      <c r="B395" s="17"/>
      <c r="C395" s="20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1:24" ht="12.5" x14ac:dyDescent="0.25">
      <c r="A396" s="7"/>
      <c r="B396" s="17"/>
      <c r="C396" s="20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1:24" ht="12.5" x14ac:dyDescent="0.25">
      <c r="A397" s="7"/>
      <c r="B397" s="17"/>
      <c r="C397" s="20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1:24" ht="12.5" x14ac:dyDescent="0.25">
      <c r="A398" s="7"/>
      <c r="B398" s="17"/>
      <c r="C398" s="20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1:24" ht="12.5" x14ac:dyDescent="0.25">
      <c r="A399" s="7"/>
      <c r="B399" s="17"/>
      <c r="C399" s="20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1:24" ht="12.5" x14ac:dyDescent="0.25">
      <c r="A400" s="7"/>
      <c r="B400" s="17"/>
      <c r="C400" s="20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1:24" ht="12.5" x14ac:dyDescent="0.25">
      <c r="A401" s="7"/>
      <c r="B401" s="17"/>
      <c r="C401" s="20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1:24" ht="12.5" x14ac:dyDescent="0.25">
      <c r="A402" s="7"/>
      <c r="B402" s="17"/>
      <c r="C402" s="20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1:24" ht="12.5" x14ac:dyDescent="0.25">
      <c r="A403" s="7"/>
      <c r="B403" s="17"/>
      <c r="C403" s="20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1:24" ht="12.5" x14ac:dyDescent="0.25">
      <c r="A404" s="7"/>
      <c r="B404" s="17"/>
      <c r="C404" s="20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1:24" ht="12.5" x14ac:dyDescent="0.25">
      <c r="A405" s="7"/>
      <c r="B405" s="17"/>
      <c r="C405" s="20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1:24" ht="12.5" x14ac:dyDescent="0.25">
      <c r="A406" s="7"/>
      <c r="B406" s="17"/>
      <c r="C406" s="20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1:24" ht="12.5" x14ac:dyDescent="0.25">
      <c r="A407" s="7"/>
      <c r="B407" s="17"/>
      <c r="C407" s="20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1:24" ht="12.5" x14ac:dyDescent="0.25">
      <c r="A408" s="7"/>
      <c r="B408" s="17"/>
      <c r="C408" s="20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1:24" ht="12.5" x14ac:dyDescent="0.25">
      <c r="A409" s="7"/>
      <c r="B409" s="17"/>
      <c r="C409" s="20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1:24" ht="12.5" x14ac:dyDescent="0.25">
      <c r="A410" s="7"/>
      <c r="B410" s="17"/>
      <c r="C410" s="20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1:24" ht="12.5" x14ac:dyDescent="0.25">
      <c r="A411" s="7"/>
      <c r="B411" s="17"/>
      <c r="C411" s="20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1:24" ht="12.5" x14ac:dyDescent="0.25">
      <c r="A412" s="7"/>
      <c r="B412" s="17"/>
      <c r="C412" s="20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1:24" ht="12.5" x14ac:dyDescent="0.25">
      <c r="A413" s="7"/>
      <c r="B413" s="17"/>
      <c r="C413" s="20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1:24" ht="12.5" x14ac:dyDescent="0.25">
      <c r="A414" s="7"/>
      <c r="B414" s="17"/>
      <c r="C414" s="20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1:24" ht="12.5" x14ac:dyDescent="0.25">
      <c r="A415" s="7"/>
      <c r="B415" s="17"/>
      <c r="C415" s="20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1:24" ht="12.5" x14ac:dyDescent="0.25">
      <c r="A416" s="7"/>
      <c r="B416" s="17"/>
      <c r="C416" s="20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1:24" ht="12.5" x14ac:dyDescent="0.25">
      <c r="A417" s="7"/>
      <c r="B417" s="17"/>
      <c r="C417" s="20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1:24" ht="12.5" x14ac:dyDescent="0.25">
      <c r="A418" s="7"/>
      <c r="B418" s="17"/>
      <c r="C418" s="20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1:24" ht="12.5" x14ac:dyDescent="0.25">
      <c r="A419" s="7"/>
      <c r="B419" s="17"/>
      <c r="C419" s="20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1:24" ht="12.5" x14ac:dyDescent="0.25">
      <c r="A420" s="7"/>
      <c r="B420" s="17"/>
      <c r="C420" s="20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1:24" ht="12.5" x14ac:dyDescent="0.25">
      <c r="A421" s="7"/>
      <c r="B421" s="17"/>
      <c r="C421" s="20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1:24" ht="12.5" x14ac:dyDescent="0.25">
      <c r="A422" s="7"/>
      <c r="B422" s="17"/>
      <c r="C422" s="20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1:24" ht="12.5" x14ac:dyDescent="0.25">
      <c r="A423" s="7"/>
      <c r="B423" s="17"/>
      <c r="C423" s="20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1:24" ht="12.5" x14ac:dyDescent="0.25">
      <c r="A424" s="7"/>
      <c r="B424" s="17"/>
      <c r="C424" s="20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1:24" ht="12.5" x14ac:dyDescent="0.25">
      <c r="A425" s="7"/>
      <c r="B425" s="17"/>
      <c r="C425" s="20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1:24" ht="12.5" x14ac:dyDescent="0.25">
      <c r="A426" s="7"/>
      <c r="B426" s="17"/>
      <c r="C426" s="20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1:24" ht="12.5" x14ac:dyDescent="0.25">
      <c r="A427" s="7"/>
      <c r="B427" s="17"/>
      <c r="C427" s="20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1:24" ht="12.5" x14ac:dyDescent="0.25">
      <c r="A428" s="7"/>
      <c r="B428" s="17"/>
      <c r="C428" s="20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1:24" ht="12.5" x14ac:dyDescent="0.25">
      <c r="A429" s="7"/>
      <c r="B429" s="17"/>
      <c r="C429" s="20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1:24" ht="12.5" x14ac:dyDescent="0.25">
      <c r="A430" s="7"/>
      <c r="B430" s="17"/>
      <c r="C430" s="20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1:24" ht="12.5" x14ac:dyDescent="0.25">
      <c r="A431" s="7"/>
      <c r="B431" s="17"/>
      <c r="C431" s="20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1:24" ht="12.5" x14ac:dyDescent="0.25">
      <c r="A432" s="7"/>
      <c r="B432" s="17"/>
      <c r="C432" s="20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1:24" ht="12.5" x14ac:dyDescent="0.25">
      <c r="A433" s="7"/>
      <c r="B433" s="17"/>
      <c r="C433" s="20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1:24" ht="12.5" x14ac:dyDescent="0.25">
      <c r="A434" s="7"/>
      <c r="B434" s="17"/>
      <c r="C434" s="20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1:24" ht="12.5" x14ac:dyDescent="0.25">
      <c r="A435" s="7"/>
      <c r="B435" s="17"/>
      <c r="C435" s="20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1:24" ht="12.5" x14ac:dyDescent="0.25">
      <c r="A436" s="7"/>
      <c r="B436" s="17"/>
      <c r="C436" s="20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1:24" ht="12.5" x14ac:dyDescent="0.25">
      <c r="A437" s="7"/>
      <c r="B437" s="17"/>
      <c r="C437" s="20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1:24" ht="12.5" x14ac:dyDescent="0.25">
      <c r="A438" s="7"/>
      <c r="B438" s="17"/>
      <c r="C438" s="20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1:24" ht="12.5" x14ac:dyDescent="0.25">
      <c r="A439" s="7"/>
      <c r="B439" s="17"/>
      <c r="C439" s="20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1:24" ht="12.5" x14ac:dyDescent="0.25">
      <c r="A440" s="7"/>
      <c r="B440" s="17"/>
      <c r="C440" s="20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1:24" ht="12.5" x14ac:dyDescent="0.25">
      <c r="A441" s="7"/>
      <c r="B441" s="17"/>
      <c r="C441" s="20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1:24" ht="12.5" x14ac:dyDescent="0.25">
      <c r="A442" s="7"/>
      <c r="B442" s="17"/>
      <c r="C442" s="20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1:24" ht="12.5" x14ac:dyDescent="0.25">
      <c r="A443" s="7"/>
      <c r="B443" s="17"/>
      <c r="C443" s="20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1:24" ht="12.5" x14ac:dyDescent="0.25">
      <c r="A444" s="7"/>
      <c r="B444" s="17"/>
      <c r="C444" s="20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1:24" ht="12.5" x14ac:dyDescent="0.25">
      <c r="A445" s="7"/>
      <c r="B445" s="17"/>
      <c r="C445" s="20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1:24" ht="12.5" x14ac:dyDescent="0.25">
      <c r="A446" s="7"/>
      <c r="B446" s="17"/>
      <c r="C446" s="20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1:24" ht="12.5" x14ac:dyDescent="0.25">
      <c r="A447" s="7"/>
      <c r="B447" s="17"/>
      <c r="C447" s="20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1:24" ht="12.5" x14ac:dyDescent="0.25">
      <c r="A448" s="7"/>
      <c r="B448" s="17"/>
      <c r="C448" s="20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1:24" ht="12.5" x14ac:dyDescent="0.25">
      <c r="A449" s="7"/>
      <c r="B449" s="17"/>
      <c r="C449" s="20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1:24" ht="12.5" x14ac:dyDescent="0.25">
      <c r="A450" s="7"/>
      <c r="B450" s="17"/>
      <c r="C450" s="20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1:24" ht="12.5" x14ac:dyDescent="0.25">
      <c r="A451" s="7"/>
      <c r="B451" s="17"/>
      <c r="C451" s="20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1:24" ht="12.5" x14ac:dyDescent="0.25">
      <c r="A452" s="7"/>
      <c r="B452" s="17"/>
      <c r="C452" s="20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1:24" ht="12.5" x14ac:dyDescent="0.25">
      <c r="A453" s="7"/>
      <c r="B453" s="17"/>
      <c r="C453" s="20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1:24" ht="12.5" x14ac:dyDescent="0.25">
      <c r="A454" s="7"/>
      <c r="B454" s="17"/>
      <c r="C454" s="20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1:24" ht="12.5" x14ac:dyDescent="0.25">
      <c r="A455" s="7"/>
      <c r="B455" s="17"/>
      <c r="C455" s="20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1:24" ht="12.5" x14ac:dyDescent="0.25">
      <c r="A456" s="7"/>
      <c r="B456" s="17"/>
      <c r="C456" s="20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1:24" ht="12.5" x14ac:dyDescent="0.25">
      <c r="A457" s="7"/>
      <c r="B457" s="17"/>
      <c r="C457" s="20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1:24" ht="12.5" x14ac:dyDescent="0.25">
      <c r="A458" s="7"/>
      <c r="B458" s="17"/>
      <c r="C458" s="20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1:24" ht="12.5" x14ac:dyDescent="0.25">
      <c r="A459" s="7"/>
      <c r="B459" s="17"/>
      <c r="C459" s="20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1:24" ht="12.5" x14ac:dyDescent="0.25">
      <c r="A460" s="7"/>
      <c r="B460" s="17"/>
      <c r="C460" s="20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1:24" ht="12.5" x14ac:dyDescent="0.25">
      <c r="A461" s="7"/>
      <c r="B461" s="17"/>
      <c r="C461" s="20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1:24" ht="12.5" x14ac:dyDescent="0.25">
      <c r="A462" s="7"/>
      <c r="B462" s="17"/>
      <c r="C462" s="20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1:24" ht="12.5" x14ac:dyDescent="0.25">
      <c r="A463" s="7"/>
      <c r="B463" s="17"/>
      <c r="C463" s="20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1:24" ht="12.5" x14ac:dyDescent="0.25">
      <c r="A464" s="7"/>
      <c r="B464" s="17"/>
      <c r="C464" s="20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1:24" ht="12.5" x14ac:dyDescent="0.25">
      <c r="A465" s="7"/>
      <c r="B465" s="17"/>
      <c r="C465" s="20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1:24" ht="12.5" x14ac:dyDescent="0.25">
      <c r="A466" s="7"/>
      <c r="B466" s="17"/>
      <c r="C466" s="20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1:24" ht="12.5" x14ac:dyDescent="0.25">
      <c r="A467" s="7"/>
      <c r="B467" s="17"/>
      <c r="C467" s="20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1:24" ht="12.5" x14ac:dyDescent="0.25">
      <c r="A468" s="7"/>
      <c r="B468" s="17"/>
      <c r="C468" s="20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1:24" ht="12.5" x14ac:dyDescent="0.25">
      <c r="A469" s="7"/>
      <c r="B469" s="17"/>
      <c r="C469" s="20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1:24" ht="12.5" x14ac:dyDescent="0.25">
      <c r="A470" s="7"/>
      <c r="B470" s="17"/>
      <c r="C470" s="20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1:24" ht="12.5" x14ac:dyDescent="0.25">
      <c r="A471" s="7"/>
      <c r="B471" s="17"/>
      <c r="C471" s="20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1:24" ht="12.5" x14ac:dyDescent="0.25">
      <c r="A472" s="7"/>
      <c r="B472" s="17"/>
      <c r="C472" s="20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1:24" ht="12.5" x14ac:dyDescent="0.25">
      <c r="A473" s="7"/>
      <c r="B473" s="17"/>
      <c r="C473" s="20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1:24" ht="12.5" x14ac:dyDescent="0.25">
      <c r="A474" s="7"/>
      <c r="B474" s="17"/>
      <c r="C474" s="20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1:24" ht="12.5" x14ac:dyDescent="0.25">
      <c r="A475" s="7"/>
      <c r="B475" s="17"/>
      <c r="C475" s="20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1:24" ht="12.5" x14ac:dyDescent="0.25">
      <c r="A476" s="7"/>
      <c r="B476" s="17"/>
      <c r="C476" s="20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1:24" ht="12.5" x14ac:dyDescent="0.25">
      <c r="A477" s="7"/>
      <c r="B477" s="17"/>
      <c r="C477" s="20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1:24" ht="12.5" x14ac:dyDescent="0.25">
      <c r="A478" s="7"/>
      <c r="B478" s="17"/>
      <c r="C478" s="20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1:24" ht="12.5" x14ac:dyDescent="0.25">
      <c r="A479" s="7"/>
      <c r="B479" s="17"/>
      <c r="C479" s="20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1:24" ht="12.5" x14ac:dyDescent="0.25">
      <c r="A480" s="7"/>
      <c r="B480" s="17"/>
      <c r="C480" s="20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1:24" ht="12.5" x14ac:dyDescent="0.25">
      <c r="A481" s="7"/>
      <c r="B481" s="17"/>
      <c r="C481" s="20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1:24" ht="12.5" x14ac:dyDescent="0.25">
      <c r="A482" s="7"/>
      <c r="B482" s="17"/>
      <c r="C482" s="20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1:24" ht="12.5" x14ac:dyDescent="0.25">
      <c r="A483" s="7"/>
      <c r="B483" s="17"/>
      <c r="C483" s="20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1:24" ht="12.5" x14ac:dyDescent="0.25">
      <c r="A484" s="7"/>
      <c r="B484" s="17"/>
      <c r="C484" s="20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1:24" ht="12.5" x14ac:dyDescent="0.25">
      <c r="A485" s="7"/>
      <c r="B485" s="17"/>
      <c r="C485" s="20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1:24" ht="12.5" x14ac:dyDescent="0.25">
      <c r="A486" s="7"/>
      <c r="B486" s="17"/>
      <c r="C486" s="20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1:24" ht="12.5" x14ac:dyDescent="0.25">
      <c r="A487" s="7"/>
      <c r="B487" s="17"/>
      <c r="C487" s="20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1:24" ht="12.5" x14ac:dyDescent="0.25">
      <c r="A488" s="7"/>
      <c r="B488" s="17"/>
      <c r="C488" s="20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1:24" ht="12.5" x14ac:dyDescent="0.25">
      <c r="A489" s="7"/>
      <c r="B489" s="17"/>
      <c r="C489" s="20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1:24" ht="12.5" x14ac:dyDescent="0.25">
      <c r="A490" s="7"/>
      <c r="B490" s="17"/>
      <c r="C490" s="20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1:24" ht="12.5" x14ac:dyDescent="0.25">
      <c r="A491" s="7"/>
      <c r="B491" s="17"/>
      <c r="C491" s="20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1:24" ht="12.5" x14ac:dyDescent="0.25">
      <c r="A492" s="7"/>
      <c r="B492" s="17"/>
      <c r="C492" s="20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1:24" ht="12.5" x14ac:dyDescent="0.25">
      <c r="A493" s="7"/>
      <c r="B493" s="17"/>
      <c r="C493" s="20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1:24" ht="12.5" x14ac:dyDescent="0.25">
      <c r="A494" s="7"/>
      <c r="B494" s="17"/>
      <c r="C494" s="20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1:24" ht="12.5" x14ac:dyDescent="0.25">
      <c r="A495" s="7"/>
      <c r="B495" s="17"/>
      <c r="C495" s="20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1:24" ht="12.5" x14ac:dyDescent="0.25">
      <c r="A496" s="7"/>
      <c r="B496" s="17"/>
      <c r="C496" s="20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1:24" ht="12.5" x14ac:dyDescent="0.25">
      <c r="A497" s="7"/>
      <c r="B497" s="17"/>
      <c r="C497" s="20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1:24" ht="12.5" x14ac:dyDescent="0.25">
      <c r="A498" s="7"/>
      <c r="B498" s="17"/>
      <c r="C498" s="20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1:24" ht="12.5" x14ac:dyDescent="0.25">
      <c r="A499" s="7"/>
      <c r="B499" s="17"/>
      <c r="C499" s="20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1:24" ht="12.5" x14ac:dyDescent="0.25">
      <c r="A500" s="7"/>
      <c r="B500" s="17"/>
      <c r="C500" s="20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1:24" ht="12.5" x14ac:dyDescent="0.25">
      <c r="A501" s="7"/>
      <c r="B501" s="17"/>
      <c r="C501" s="20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1:24" ht="12.5" x14ac:dyDescent="0.25">
      <c r="A502" s="7"/>
      <c r="B502" s="17"/>
      <c r="C502" s="20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1:24" ht="12.5" x14ac:dyDescent="0.25">
      <c r="A503" s="7"/>
      <c r="B503" s="17"/>
      <c r="C503" s="20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1:24" ht="12.5" x14ac:dyDescent="0.25">
      <c r="A504" s="7"/>
      <c r="B504" s="17"/>
      <c r="C504" s="20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1:24" ht="12.5" x14ac:dyDescent="0.25">
      <c r="A505" s="7"/>
      <c r="B505" s="17"/>
      <c r="C505" s="20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1:24" ht="12.5" x14ac:dyDescent="0.25">
      <c r="A506" s="7"/>
      <c r="B506" s="17"/>
      <c r="C506" s="20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1:24" ht="12.5" x14ac:dyDescent="0.25">
      <c r="A507" s="7"/>
      <c r="B507" s="17"/>
      <c r="C507" s="20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1:24" ht="12.5" x14ac:dyDescent="0.25">
      <c r="A508" s="7"/>
      <c r="B508" s="17"/>
      <c r="C508" s="20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1:24" ht="12.5" x14ac:dyDescent="0.25">
      <c r="A509" s="7"/>
      <c r="B509" s="17"/>
      <c r="C509" s="20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1:24" ht="12.5" x14ac:dyDescent="0.25">
      <c r="A510" s="7"/>
      <c r="B510" s="17"/>
      <c r="C510" s="20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1:24" ht="12.5" x14ac:dyDescent="0.25">
      <c r="A511" s="7"/>
      <c r="B511" s="17"/>
      <c r="C511" s="20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1:24" ht="12.5" x14ac:dyDescent="0.25">
      <c r="A512" s="7"/>
      <c r="B512" s="17"/>
      <c r="C512" s="20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1:24" ht="12.5" x14ac:dyDescent="0.25">
      <c r="A513" s="7"/>
      <c r="B513" s="17"/>
      <c r="C513" s="20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1:24" ht="12.5" x14ac:dyDescent="0.25">
      <c r="A514" s="7"/>
      <c r="B514" s="17"/>
      <c r="C514" s="20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1:24" ht="12.5" x14ac:dyDescent="0.25">
      <c r="A515" s="7"/>
      <c r="B515" s="17"/>
      <c r="C515" s="20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1:24" ht="12.5" x14ac:dyDescent="0.25">
      <c r="A516" s="7"/>
      <c r="B516" s="17"/>
      <c r="C516" s="20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1:24" ht="12.5" x14ac:dyDescent="0.25">
      <c r="A517" s="7"/>
      <c r="B517" s="17"/>
      <c r="C517" s="20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1:24" ht="12.5" x14ac:dyDescent="0.25">
      <c r="A518" s="7"/>
      <c r="B518" s="17"/>
      <c r="C518" s="20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1:24" ht="12.5" x14ac:dyDescent="0.25">
      <c r="A519" s="7"/>
      <c r="B519" s="17"/>
      <c r="C519" s="20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1:24" ht="12.5" x14ac:dyDescent="0.25">
      <c r="A520" s="7"/>
      <c r="B520" s="17"/>
      <c r="C520" s="20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1:24" ht="12.5" x14ac:dyDescent="0.25">
      <c r="A521" s="7"/>
      <c r="B521" s="17"/>
      <c r="C521" s="20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1:24" ht="12.5" x14ac:dyDescent="0.25">
      <c r="A522" s="7"/>
      <c r="B522" s="17"/>
      <c r="C522" s="20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1:24" ht="12.5" x14ac:dyDescent="0.25">
      <c r="A523" s="7"/>
      <c r="B523" s="17"/>
      <c r="C523" s="20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1:24" ht="12.5" x14ac:dyDescent="0.25">
      <c r="A524" s="7"/>
      <c r="B524" s="17"/>
      <c r="C524" s="20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1:24" ht="12.5" x14ac:dyDescent="0.25">
      <c r="A525" s="7"/>
      <c r="B525" s="17"/>
      <c r="C525" s="20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1:24" ht="12.5" x14ac:dyDescent="0.25">
      <c r="A526" s="7"/>
      <c r="B526" s="17"/>
      <c r="C526" s="20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1:24" ht="12.5" x14ac:dyDescent="0.25">
      <c r="A527" s="7"/>
      <c r="B527" s="17"/>
      <c r="C527" s="20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1:24" ht="12.5" x14ac:dyDescent="0.25">
      <c r="A528" s="7"/>
      <c r="B528" s="17"/>
      <c r="C528" s="20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1:24" ht="12.5" x14ac:dyDescent="0.25">
      <c r="A529" s="7"/>
      <c r="B529" s="17"/>
      <c r="C529" s="20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1:24" ht="12.5" x14ac:dyDescent="0.25">
      <c r="A530" s="7"/>
      <c r="B530" s="17"/>
      <c r="C530" s="20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1:24" ht="12.5" x14ac:dyDescent="0.25">
      <c r="A531" s="7"/>
      <c r="B531" s="17"/>
      <c r="C531" s="20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1:24" ht="12.5" x14ac:dyDescent="0.25">
      <c r="A532" s="7"/>
      <c r="B532" s="17"/>
      <c r="C532" s="20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1:24" ht="12.5" x14ac:dyDescent="0.25">
      <c r="A533" s="7"/>
      <c r="B533" s="17"/>
      <c r="C533" s="20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1:24" ht="12.5" x14ac:dyDescent="0.25">
      <c r="A534" s="7"/>
      <c r="B534" s="17"/>
      <c r="C534" s="20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1:24" ht="12.5" x14ac:dyDescent="0.25">
      <c r="A535" s="7"/>
      <c r="B535" s="17"/>
      <c r="C535" s="20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1:24" ht="12.5" x14ac:dyDescent="0.25">
      <c r="A536" s="7"/>
      <c r="B536" s="17"/>
      <c r="C536" s="20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1:24" ht="12.5" x14ac:dyDescent="0.25">
      <c r="A537" s="7"/>
      <c r="B537" s="17"/>
      <c r="C537" s="20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1:24" ht="12.5" x14ac:dyDescent="0.25">
      <c r="A538" s="7"/>
      <c r="B538" s="17"/>
      <c r="C538" s="20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1:24" ht="12.5" x14ac:dyDescent="0.25">
      <c r="A539" s="7"/>
      <c r="B539" s="17"/>
      <c r="C539" s="20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1:24" ht="12.5" x14ac:dyDescent="0.25">
      <c r="A540" s="7"/>
      <c r="B540" s="17"/>
      <c r="C540" s="20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1:24" ht="12.5" x14ac:dyDescent="0.25">
      <c r="A541" s="7"/>
      <c r="B541" s="17"/>
      <c r="C541" s="20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1:24" ht="12.5" x14ac:dyDescent="0.25">
      <c r="A542" s="7"/>
      <c r="B542" s="17"/>
      <c r="C542" s="20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1:24" ht="12.5" x14ac:dyDescent="0.25">
      <c r="A543" s="7"/>
      <c r="B543" s="17"/>
      <c r="C543" s="20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1:24" ht="12.5" x14ac:dyDescent="0.25">
      <c r="A544" s="7"/>
      <c r="B544" s="17"/>
      <c r="C544" s="20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1:24" ht="12.5" x14ac:dyDescent="0.25">
      <c r="A545" s="7"/>
      <c r="B545" s="17"/>
      <c r="C545" s="20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1:24" ht="12.5" x14ac:dyDescent="0.25">
      <c r="A546" s="7"/>
      <c r="B546" s="17"/>
      <c r="C546" s="20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1:24" ht="12.5" x14ac:dyDescent="0.25">
      <c r="A547" s="7"/>
      <c r="B547" s="17"/>
      <c r="C547" s="20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1:24" ht="12.5" x14ac:dyDescent="0.25">
      <c r="A548" s="7"/>
      <c r="B548" s="17"/>
      <c r="C548" s="20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1:24" ht="12.5" x14ac:dyDescent="0.25">
      <c r="A549" s="7"/>
      <c r="B549" s="17"/>
      <c r="C549" s="20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1:24" ht="12.5" x14ac:dyDescent="0.25">
      <c r="A550" s="7"/>
      <c r="B550" s="17"/>
      <c r="C550" s="20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1:24" ht="12.5" x14ac:dyDescent="0.25">
      <c r="A551" s="7"/>
      <c r="B551" s="17"/>
      <c r="C551" s="20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1:24" ht="12.5" x14ac:dyDescent="0.25">
      <c r="A552" s="7"/>
      <c r="B552" s="17"/>
      <c r="C552" s="20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1:24" ht="12.5" x14ac:dyDescent="0.25">
      <c r="A553" s="7"/>
      <c r="B553" s="17"/>
      <c r="C553" s="20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1:24" ht="12.5" x14ac:dyDescent="0.25">
      <c r="A554" s="7"/>
      <c r="B554" s="17"/>
      <c r="C554" s="20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1:24" ht="12.5" x14ac:dyDescent="0.25">
      <c r="A555" s="7"/>
      <c r="B555" s="17"/>
      <c r="C555" s="20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1:24" ht="12.5" x14ac:dyDescent="0.25">
      <c r="A556" s="7"/>
      <c r="B556" s="17"/>
      <c r="C556" s="20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1:24" ht="12.5" x14ac:dyDescent="0.25">
      <c r="A557" s="7"/>
      <c r="B557" s="17"/>
      <c r="C557" s="20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1:24" ht="12.5" x14ac:dyDescent="0.25">
      <c r="A558" s="7"/>
      <c r="B558" s="17"/>
      <c r="C558" s="20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1:24" ht="12.5" x14ac:dyDescent="0.25">
      <c r="A559" s="7"/>
      <c r="B559" s="17"/>
      <c r="C559" s="20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1:24" ht="12.5" x14ac:dyDescent="0.25">
      <c r="A560" s="7"/>
      <c r="B560" s="17"/>
      <c r="C560" s="20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1:24" ht="12.5" x14ac:dyDescent="0.25">
      <c r="A561" s="7"/>
      <c r="B561" s="17"/>
      <c r="C561" s="20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1:24" ht="12.5" x14ac:dyDescent="0.25">
      <c r="A562" s="7"/>
      <c r="B562" s="17"/>
      <c r="C562" s="20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1:24" ht="12.5" x14ac:dyDescent="0.25">
      <c r="A563" s="7"/>
      <c r="B563" s="17"/>
      <c r="C563" s="20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1:24" ht="12.5" x14ac:dyDescent="0.25">
      <c r="A564" s="7"/>
      <c r="B564" s="17"/>
      <c r="C564" s="20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1:24" ht="12.5" x14ac:dyDescent="0.25">
      <c r="A565" s="7"/>
      <c r="B565" s="17"/>
      <c r="C565" s="20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1:24" ht="12.5" x14ac:dyDescent="0.25">
      <c r="A566" s="7"/>
      <c r="B566" s="17"/>
      <c r="C566" s="20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1:24" ht="12.5" x14ac:dyDescent="0.25">
      <c r="A567" s="7"/>
      <c r="B567" s="17"/>
      <c r="C567" s="20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1:24" ht="12.5" x14ac:dyDescent="0.25">
      <c r="A568" s="7"/>
      <c r="B568" s="17"/>
      <c r="C568" s="20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1:24" ht="12.5" x14ac:dyDescent="0.25">
      <c r="A569" s="7"/>
      <c r="B569" s="17"/>
      <c r="C569" s="20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1:24" ht="12.5" x14ac:dyDescent="0.25">
      <c r="A570" s="7"/>
      <c r="B570" s="17"/>
      <c r="C570" s="20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1:24" ht="12.5" x14ac:dyDescent="0.25">
      <c r="A571" s="7"/>
      <c r="B571" s="17"/>
      <c r="C571" s="20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1:24" ht="12.5" x14ac:dyDescent="0.25">
      <c r="A572" s="7"/>
      <c r="B572" s="17"/>
      <c r="C572" s="20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1:24" ht="12.5" x14ac:dyDescent="0.25">
      <c r="A573" s="7"/>
      <c r="B573" s="17"/>
      <c r="C573" s="20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1:24" ht="12.5" x14ac:dyDescent="0.25">
      <c r="A574" s="7"/>
      <c r="B574" s="17"/>
      <c r="C574" s="20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1:24" ht="12.5" x14ac:dyDescent="0.25">
      <c r="A575" s="7"/>
      <c r="B575" s="17"/>
      <c r="C575" s="20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1:24" ht="12.5" x14ac:dyDescent="0.25">
      <c r="A576" s="7"/>
      <c r="B576" s="17"/>
      <c r="C576" s="20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1:24" ht="12.5" x14ac:dyDescent="0.25">
      <c r="A577" s="7"/>
      <c r="B577" s="17"/>
      <c r="C577" s="20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1:24" ht="12.5" x14ac:dyDescent="0.25">
      <c r="A578" s="7"/>
      <c r="B578" s="17"/>
      <c r="C578" s="20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1:24" ht="12.5" x14ac:dyDescent="0.25">
      <c r="A579" s="7"/>
      <c r="B579" s="17"/>
      <c r="C579" s="20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1:24" ht="12.5" x14ac:dyDescent="0.25">
      <c r="A580" s="7"/>
      <c r="B580" s="17"/>
      <c r="C580" s="20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1:24" ht="12.5" x14ac:dyDescent="0.25">
      <c r="A581" s="7"/>
      <c r="B581" s="17"/>
      <c r="C581" s="20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1:24" ht="12.5" x14ac:dyDescent="0.25">
      <c r="A582" s="7"/>
      <c r="B582" s="17"/>
      <c r="C582" s="20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1:24" ht="12.5" x14ac:dyDescent="0.25">
      <c r="A583" s="7"/>
      <c r="B583" s="17"/>
      <c r="C583" s="20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1:24" ht="12.5" x14ac:dyDescent="0.25">
      <c r="A584" s="7"/>
      <c r="B584" s="17"/>
      <c r="C584" s="20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1:24" ht="12.5" x14ac:dyDescent="0.25">
      <c r="A585" s="7"/>
      <c r="B585" s="17"/>
      <c r="C585" s="20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1:24" ht="12.5" x14ac:dyDescent="0.25">
      <c r="A586" s="7"/>
      <c r="B586" s="17"/>
      <c r="C586" s="20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1:24" ht="12.5" x14ac:dyDescent="0.25">
      <c r="A587" s="7"/>
      <c r="B587" s="17"/>
      <c r="C587" s="20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1:24" ht="12.5" x14ac:dyDescent="0.25">
      <c r="A588" s="7"/>
      <c r="B588" s="17"/>
      <c r="C588" s="20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1:24" ht="12.5" x14ac:dyDescent="0.25">
      <c r="A589" s="7"/>
      <c r="B589" s="17"/>
      <c r="C589" s="20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 spans="1:24" ht="12.5" x14ac:dyDescent="0.25">
      <c r="A590" s="7"/>
      <c r="B590" s="17"/>
      <c r="C590" s="20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 spans="1:24" ht="12.5" x14ac:dyDescent="0.25">
      <c r="A591" s="7"/>
      <c r="B591" s="17"/>
      <c r="C591" s="20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 spans="1:24" ht="12.5" x14ac:dyDescent="0.25">
      <c r="A592" s="7"/>
      <c r="B592" s="17"/>
      <c r="C592" s="20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 spans="1:24" ht="12.5" x14ac:dyDescent="0.25">
      <c r="A593" s="7"/>
      <c r="B593" s="17"/>
      <c r="C593" s="20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 spans="1:24" ht="12.5" x14ac:dyDescent="0.25">
      <c r="A594" s="7"/>
      <c r="B594" s="17"/>
      <c r="C594" s="20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 spans="1:24" ht="12.5" x14ac:dyDescent="0.25">
      <c r="A595" s="7"/>
      <c r="B595" s="17"/>
      <c r="C595" s="20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 spans="1:24" ht="12.5" x14ac:dyDescent="0.25">
      <c r="A596" s="7"/>
      <c r="B596" s="17"/>
      <c r="C596" s="20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 spans="1:24" ht="12.5" x14ac:dyDescent="0.25">
      <c r="A597" s="7"/>
      <c r="B597" s="17"/>
      <c r="C597" s="20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 spans="1:24" ht="12.5" x14ac:dyDescent="0.25">
      <c r="A598" s="7"/>
      <c r="B598" s="17"/>
      <c r="C598" s="20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 spans="1:24" ht="12.5" x14ac:dyDescent="0.25">
      <c r="A599" s="7"/>
      <c r="B599" s="17"/>
      <c r="C599" s="20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 spans="1:24" ht="12.5" x14ac:dyDescent="0.25">
      <c r="A600" s="7"/>
      <c r="B600" s="17"/>
      <c r="C600" s="20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 spans="1:24" ht="12.5" x14ac:dyDescent="0.25">
      <c r="A601" s="7"/>
      <c r="B601" s="17"/>
      <c r="C601" s="20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 spans="1:24" ht="12.5" x14ac:dyDescent="0.25">
      <c r="A602" s="7"/>
      <c r="B602" s="17"/>
      <c r="C602" s="20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 spans="1:24" ht="12.5" x14ac:dyDescent="0.25">
      <c r="A603" s="7"/>
      <c r="B603" s="17"/>
      <c r="C603" s="20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 spans="1:24" ht="12.5" x14ac:dyDescent="0.25">
      <c r="A604" s="7"/>
      <c r="B604" s="17"/>
      <c r="C604" s="20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 spans="1:24" ht="12.5" x14ac:dyDescent="0.25">
      <c r="A605" s="7"/>
      <c r="B605" s="17"/>
      <c r="C605" s="20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 spans="1:24" ht="12.5" x14ac:dyDescent="0.25">
      <c r="A606" s="7"/>
      <c r="B606" s="17"/>
      <c r="C606" s="20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 spans="1:24" ht="12.5" x14ac:dyDescent="0.25">
      <c r="A607" s="7"/>
      <c r="B607" s="17"/>
      <c r="C607" s="20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 spans="1:24" ht="12.5" x14ac:dyDescent="0.25">
      <c r="A608" s="7"/>
      <c r="B608" s="17"/>
      <c r="C608" s="20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 spans="1:24" ht="12.5" x14ac:dyDescent="0.25">
      <c r="A609" s="7"/>
      <c r="B609" s="17"/>
      <c r="C609" s="20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 spans="1:24" ht="12.5" x14ac:dyDescent="0.25">
      <c r="A610" s="7"/>
      <c r="B610" s="17"/>
      <c r="C610" s="20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 spans="1:24" ht="12.5" x14ac:dyDescent="0.25">
      <c r="A611" s="7"/>
      <c r="B611" s="17"/>
      <c r="C611" s="20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 spans="1:24" ht="12.5" x14ac:dyDescent="0.25">
      <c r="A612" s="7"/>
      <c r="B612" s="17"/>
      <c r="C612" s="20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 spans="1:24" ht="12.5" x14ac:dyDescent="0.25">
      <c r="A613" s="7"/>
      <c r="B613" s="17"/>
      <c r="C613" s="20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 spans="1:24" ht="12.5" x14ac:dyDescent="0.25">
      <c r="A614" s="7"/>
      <c r="B614" s="17"/>
      <c r="C614" s="20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 spans="1:24" ht="12.5" x14ac:dyDescent="0.25">
      <c r="A615" s="7"/>
      <c r="B615" s="17"/>
      <c r="C615" s="20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 spans="1:24" ht="12.5" x14ac:dyDescent="0.25">
      <c r="A616" s="7"/>
      <c r="B616" s="17"/>
      <c r="C616" s="20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 spans="1:24" ht="12.5" x14ac:dyDescent="0.25">
      <c r="A617" s="7"/>
      <c r="B617" s="17"/>
      <c r="C617" s="20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 spans="1:24" ht="12.5" x14ac:dyDescent="0.25">
      <c r="A618" s="7"/>
      <c r="B618" s="17"/>
      <c r="C618" s="20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 spans="1:24" ht="12.5" x14ac:dyDescent="0.25">
      <c r="A619" s="7"/>
      <c r="B619" s="17"/>
      <c r="C619" s="20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 spans="1:24" ht="12.5" x14ac:dyDescent="0.25">
      <c r="A620" s="7"/>
      <c r="B620" s="17"/>
      <c r="C620" s="20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 spans="1:24" ht="12.5" x14ac:dyDescent="0.25">
      <c r="A621" s="7"/>
      <c r="B621" s="17"/>
      <c r="C621" s="20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 spans="1:24" ht="12.5" x14ac:dyDescent="0.25">
      <c r="A622" s="7"/>
      <c r="B622" s="17"/>
      <c r="C622" s="20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 spans="1:24" ht="12.5" x14ac:dyDescent="0.25">
      <c r="A623" s="7"/>
      <c r="B623" s="17"/>
      <c r="C623" s="20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 spans="1:24" ht="12.5" x14ac:dyDescent="0.25">
      <c r="A624" s="7"/>
      <c r="B624" s="17"/>
      <c r="C624" s="20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 spans="1:24" ht="12.5" x14ac:dyDescent="0.25">
      <c r="A625" s="7"/>
      <c r="B625" s="17"/>
      <c r="C625" s="20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 spans="1:24" ht="12.5" x14ac:dyDescent="0.25">
      <c r="A626" s="7"/>
      <c r="B626" s="17"/>
      <c r="C626" s="20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 spans="1:24" ht="12.5" x14ac:dyDescent="0.25">
      <c r="A627" s="7"/>
      <c r="B627" s="17"/>
      <c r="C627" s="20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 spans="1:24" ht="12.5" x14ac:dyDescent="0.25">
      <c r="A628" s="7"/>
      <c r="B628" s="17"/>
      <c r="C628" s="20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 spans="1:24" ht="12.5" x14ac:dyDescent="0.25">
      <c r="A629" s="7"/>
      <c r="B629" s="17"/>
      <c r="C629" s="20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 spans="1:24" ht="12.5" x14ac:dyDescent="0.25">
      <c r="A630" s="7"/>
      <c r="B630" s="17"/>
      <c r="C630" s="20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 spans="1:24" ht="12.5" x14ac:dyDescent="0.25">
      <c r="A631" s="7"/>
      <c r="B631" s="17"/>
      <c r="C631" s="20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 spans="1:24" ht="12.5" x14ac:dyDescent="0.25">
      <c r="A632" s="7"/>
      <c r="B632" s="17"/>
      <c r="C632" s="20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 spans="1:24" ht="12.5" x14ac:dyDescent="0.25">
      <c r="A633" s="7"/>
      <c r="B633" s="17"/>
      <c r="C633" s="20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 spans="1:24" ht="12.5" x14ac:dyDescent="0.25">
      <c r="A634" s="7"/>
      <c r="B634" s="17"/>
      <c r="C634" s="20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 spans="1:24" ht="12.5" x14ac:dyDescent="0.25">
      <c r="A635" s="7"/>
      <c r="B635" s="17"/>
      <c r="C635" s="20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 spans="1:24" ht="12.5" x14ac:dyDescent="0.25">
      <c r="A636" s="7"/>
      <c r="B636" s="17"/>
      <c r="C636" s="20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 spans="1:24" ht="12.5" x14ac:dyDescent="0.25">
      <c r="A637" s="7"/>
      <c r="B637" s="17"/>
      <c r="C637" s="20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 spans="1:24" ht="12.5" x14ac:dyDescent="0.25">
      <c r="A638" s="7"/>
      <c r="B638" s="17"/>
      <c r="C638" s="20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 spans="1:24" ht="12.5" x14ac:dyDescent="0.25">
      <c r="A639" s="7"/>
      <c r="B639" s="17"/>
      <c r="C639" s="20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 spans="1:24" ht="12.5" x14ac:dyDescent="0.25">
      <c r="A640" s="7"/>
      <c r="B640" s="17"/>
      <c r="C640" s="20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 spans="1:24" ht="12.5" x14ac:dyDescent="0.25">
      <c r="A641" s="7"/>
      <c r="B641" s="17"/>
      <c r="C641" s="20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 spans="1:24" ht="12.5" x14ac:dyDescent="0.25">
      <c r="A642" s="7"/>
      <c r="B642" s="17"/>
      <c r="C642" s="20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 spans="1:24" ht="12.5" x14ac:dyDescent="0.25">
      <c r="A643" s="7"/>
      <c r="B643" s="17"/>
      <c r="C643" s="20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 spans="1:24" ht="12.5" x14ac:dyDescent="0.25">
      <c r="A644" s="7"/>
      <c r="B644" s="17"/>
      <c r="C644" s="20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 spans="1:24" ht="12.5" x14ac:dyDescent="0.25">
      <c r="A645" s="7"/>
      <c r="B645" s="17"/>
      <c r="C645" s="20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 spans="1:24" ht="12.5" x14ac:dyDescent="0.25">
      <c r="A646" s="7"/>
      <c r="B646" s="17"/>
      <c r="C646" s="20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 spans="1:24" ht="12.5" x14ac:dyDescent="0.25">
      <c r="A647" s="7"/>
      <c r="B647" s="17"/>
      <c r="C647" s="20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 spans="1:24" ht="12.5" x14ac:dyDescent="0.25">
      <c r="A648" s="7"/>
      <c r="B648" s="17"/>
      <c r="C648" s="20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 spans="1:24" ht="12.5" x14ac:dyDescent="0.25">
      <c r="A649" s="7"/>
      <c r="B649" s="17"/>
      <c r="C649" s="20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 spans="1:24" ht="12.5" x14ac:dyDescent="0.25">
      <c r="A650" s="7"/>
      <c r="B650" s="17"/>
      <c r="C650" s="20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 spans="1:24" ht="12.5" x14ac:dyDescent="0.25">
      <c r="A651" s="7"/>
      <c r="B651" s="17"/>
      <c r="C651" s="20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 spans="1:24" ht="12.5" x14ac:dyDescent="0.25">
      <c r="A652" s="7"/>
      <c r="B652" s="17"/>
      <c r="C652" s="20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 spans="1:24" ht="12.5" x14ac:dyDescent="0.25">
      <c r="A653" s="7"/>
      <c r="B653" s="17"/>
      <c r="C653" s="20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 spans="1:24" ht="12.5" x14ac:dyDescent="0.25">
      <c r="A654" s="7"/>
      <c r="B654" s="17"/>
      <c r="C654" s="20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 spans="1:24" ht="12.5" x14ac:dyDescent="0.25">
      <c r="A655" s="7"/>
      <c r="B655" s="17"/>
      <c r="C655" s="20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 spans="1:24" ht="12.5" x14ac:dyDescent="0.25">
      <c r="A656" s="7"/>
      <c r="B656" s="17"/>
      <c r="C656" s="20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 spans="1:24" ht="12.5" x14ac:dyDescent="0.25">
      <c r="A657" s="7"/>
      <c r="B657" s="17"/>
      <c r="C657" s="20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 spans="1:24" ht="12.5" x14ac:dyDescent="0.25">
      <c r="A658" s="7"/>
      <c r="B658" s="17"/>
      <c r="C658" s="20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 spans="1:24" ht="12.5" x14ac:dyDescent="0.25">
      <c r="A659" s="7"/>
      <c r="B659" s="17"/>
      <c r="C659" s="20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 spans="1:24" ht="12.5" x14ac:dyDescent="0.25">
      <c r="A660" s="7"/>
      <c r="B660" s="17"/>
      <c r="C660" s="20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 spans="1:24" ht="12.5" x14ac:dyDescent="0.25">
      <c r="A661" s="7"/>
      <c r="B661" s="17"/>
      <c r="C661" s="20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 spans="1:24" ht="12.5" x14ac:dyDescent="0.25">
      <c r="A662" s="7"/>
      <c r="B662" s="17"/>
      <c r="C662" s="20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 spans="1:24" ht="12.5" x14ac:dyDescent="0.25">
      <c r="A663" s="7"/>
      <c r="B663" s="17"/>
      <c r="C663" s="20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 spans="1:24" ht="12.5" x14ac:dyDescent="0.25">
      <c r="A664" s="7"/>
      <c r="B664" s="17"/>
      <c r="C664" s="20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 spans="1:24" ht="12.5" x14ac:dyDescent="0.25">
      <c r="A665" s="7"/>
      <c r="B665" s="17"/>
      <c r="C665" s="20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 spans="1:24" ht="12.5" x14ac:dyDescent="0.25">
      <c r="A666" s="7"/>
      <c r="B666" s="17"/>
      <c r="C666" s="20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 spans="1:24" ht="12.5" x14ac:dyDescent="0.25">
      <c r="A667" s="7"/>
      <c r="B667" s="17"/>
      <c r="C667" s="20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 spans="1:24" ht="12.5" x14ac:dyDescent="0.25">
      <c r="A668" s="7"/>
      <c r="B668" s="17"/>
      <c r="C668" s="20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 spans="1:24" ht="12.5" x14ac:dyDescent="0.25">
      <c r="A669" s="7"/>
      <c r="B669" s="17"/>
      <c r="C669" s="20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 spans="1:24" ht="12.5" x14ac:dyDescent="0.25">
      <c r="A670" s="7"/>
      <c r="B670" s="17"/>
      <c r="C670" s="20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 spans="1:24" ht="12.5" x14ac:dyDescent="0.25">
      <c r="A671" s="7"/>
      <c r="B671" s="17"/>
      <c r="C671" s="20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 spans="1:24" ht="12.5" x14ac:dyDescent="0.25">
      <c r="A672" s="7"/>
      <c r="B672" s="17"/>
      <c r="C672" s="20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 spans="1:24" ht="12.5" x14ac:dyDescent="0.25">
      <c r="A673" s="7"/>
      <c r="B673" s="17"/>
      <c r="C673" s="20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 spans="1:24" ht="12.5" x14ac:dyDescent="0.25">
      <c r="A674" s="7"/>
      <c r="B674" s="17"/>
      <c r="C674" s="20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 spans="1:24" ht="12.5" x14ac:dyDescent="0.25">
      <c r="A675" s="7"/>
      <c r="B675" s="17"/>
      <c r="C675" s="20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 spans="1:24" ht="12.5" x14ac:dyDescent="0.25">
      <c r="A676" s="7"/>
      <c r="B676" s="17"/>
      <c r="C676" s="20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 spans="1:24" ht="12.5" x14ac:dyDescent="0.25">
      <c r="A677" s="7"/>
      <c r="B677" s="17"/>
      <c r="C677" s="20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 spans="1:24" ht="12.5" x14ac:dyDescent="0.25">
      <c r="A678" s="7"/>
      <c r="B678" s="17"/>
      <c r="C678" s="20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 spans="1:24" ht="12.5" x14ac:dyDescent="0.25">
      <c r="A679" s="7"/>
      <c r="B679" s="17"/>
      <c r="C679" s="20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 spans="1:24" ht="12.5" x14ac:dyDescent="0.25">
      <c r="A680" s="7"/>
      <c r="B680" s="17"/>
      <c r="C680" s="20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 spans="1:24" ht="12.5" x14ac:dyDescent="0.25">
      <c r="A681" s="7"/>
      <c r="B681" s="17"/>
      <c r="C681" s="20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 spans="1:24" ht="12.5" x14ac:dyDescent="0.25">
      <c r="A682" s="7"/>
      <c r="B682" s="17"/>
      <c r="C682" s="20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 spans="1:24" ht="12.5" x14ac:dyDescent="0.25">
      <c r="A683" s="7"/>
      <c r="B683" s="17"/>
      <c r="C683" s="20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 spans="1:24" ht="12.5" x14ac:dyDescent="0.25">
      <c r="A684" s="7"/>
      <c r="B684" s="17"/>
      <c r="C684" s="20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 spans="1:24" ht="12.5" x14ac:dyDescent="0.25">
      <c r="A685" s="7"/>
      <c r="B685" s="17"/>
      <c r="C685" s="20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 spans="1:24" ht="12.5" x14ac:dyDescent="0.25">
      <c r="A686" s="7"/>
      <c r="B686" s="17"/>
      <c r="C686" s="20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 spans="1:24" ht="12.5" x14ac:dyDescent="0.25">
      <c r="A687" s="7"/>
      <c r="B687" s="17"/>
      <c r="C687" s="20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 spans="1:24" ht="12.5" x14ac:dyDescent="0.25">
      <c r="A688" s="7"/>
      <c r="B688" s="17"/>
      <c r="C688" s="20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 spans="1:24" ht="12.5" x14ac:dyDescent="0.25">
      <c r="A689" s="7"/>
      <c r="B689" s="17"/>
      <c r="C689" s="20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 spans="1:24" ht="12.5" x14ac:dyDescent="0.25">
      <c r="A690" s="7"/>
      <c r="B690" s="17"/>
      <c r="C690" s="20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 spans="1:24" ht="12.5" x14ac:dyDescent="0.25">
      <c r="A691" s="7"/>
      <c r="B691" s="17"/>
      <c r="C691" s="20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 spans="1:24" ht="12.5" x14ac:dyDescent="0.25">
      <c r="A692" s="7"/>
      <c r="B692" s="17"/>
      <c r="C692" s="20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 spans="1:24" ht="12.5" x14ac:dyDescent="0.25">
      <c r="A693" s="7"/>
      <c r="B693" s="17"/>
      <c r="C693" s="20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 spans="1:24" ht="12.5" x14ac:dyDescent="0.25">
      <c r="A694" s="7"/>
      <c r="B694" s="17"/>
      <c r="C694" s="20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 spans="1:24" ht="12.5" x14ac:dyDescent="0.25">
      <c r="A695" s="7"/>
      <c r="B695" s="17"/>
      <c r="C695" s="20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 spans="1:24" ht="12.5" x14ac:dyDescent="0.25">
      <c r="A696" s="7"/>
      <c r="B696" s="17"/>
      <c r="C696" s="20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 spans="1:24" ht="12.5" x14ac:dyDescent="0.25">
      <c r="A697" s="7"/>
      <c r="B697" s="17"/>
      <c r="C697" s="20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 spans="1:24" ht="12.5" x14ac:dyDescent="0.25">
      <c r="A698" s="7"/>
      <c r="B698" s="17"/>
      <c r="C698" s="20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 spans="1:24" ht="12.5" x14ac:dyDescent="0.25">
      <c r="A699" s="7"/>
      <c r="B699" s="17"/>
      <c r="C699" s="20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 spans="1:24" ht="12.5" x14ac:dyDescent="0.25">
      <c r="A700" s="7"/>
      <c r="B700" s="17"/>
      <c r="C700" s="20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 spans="1:24" ht="12.5" x14ac:dyDescent="0.25">
      <c r="A701" s="7"/>
      <c r="B701" s="17"/>
      <c r="C701" s="20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 spans="1:24" ht="12.5" x14ac:dyDescent="0.25">
      <c r="A702" s="7"/>
      <c r="B702" s="17"/>
      <c r="C702" s="20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 spans="1:24" ht="12.5" x14ac:dyDescent="0.25">
      <c r="A703" s="7"/>
      <c r="B703" s="17"/>
      <c r="C703" s="20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 spans="1:24" ht="12.5" x14ac:dyDescent="0.25">
      <c r="A704" s="7"/>
      <c r="B704" s="17"/>
      <c r="C704" s="20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 spans="1:24" ht="12.5" x14ac:dyDescent="0.25">
      <c r="A705" s="7"/>
      <c r="B705" s="17"/>
      <c r="C705" s="20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 spans="1:24" ht="12.5" x14ac:dyDescent="0.25">
      <c r="A706" s="7"/>
      <c r="B706" s="17"/>
      <c r="C706" s="20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 spans="1:24" ht="12.5" x14ac:dyDescent="0.25">
      <c r="A707" s="7"/>
      <c r="B707" s="17"/>
      <c r="C707" s="20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 spans="1:24" ht="12.5" x14ac:dyDescent="0.25">
      <c r="A708" s="7"/>
      <c r="B708" s="17"/>
      <c r="C708" s="20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 spans="1:24" ht="12.5" x14ac:dyDescent="0.25">
      <c r="A709" s="7"/>
      <c r="B709" s="17"/>
      <c r="C709" s="20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 spans="1:24" ht="12.5" x14ac:dyDescent="0.25">
      <c r="A710" s="7"/>
      <c r="B710" s="17"/>
      <c r="C710" s="20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 spans="1:24" ht="12.5" x14ac:dyDescent="0.25">
      <c r="A711" s="7"/>
      <c r="B711" s="17"/>
      <c r="C711" s="20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 spans="1:24" ht="12.5" x14ac:dyDescent="0.25">
      <c r="A712" s="7"/>
      <c r="B712" s="17"/>
      <c r="C712" s="20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 spans="1:24" ht="12.5" x14ac:dyDescent="0.25">
      <c r="A713" s="7"/>
      <c r="B713" s="17"/>
      <c r="C713" s="20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 spans="1:24" ht="12.5" x14ac:dyDescent="0.25">
      <c r="A714" s="7"/>
      <c r="B714" s="17"/>
      <c r="C714" s="20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 spans="1:24" ht="12.5" x14ac:dyDescent="0.25">
      <c r="A715" s="7"/>
      <c r="B715" s="17"/>
      <c r="C715" s="20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 spans="1:24" ht="12.5" x14ac:dyDescent="0.25">
      <c r="A716" s="7"/>
      <c r="B716" s="17"/>
      <c r="C716" s="20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 spans="1:24" ht="12.5" x14ac:dyDescent="0.25">
      <c r="A717" s="7"/>
      <c r="B717" s="17"/>
      <c r="C717" s="20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 spans="1:24" ht="12.5" x14ac:dyDescent="0.25">
      <c r="A718" s="7"/>
      <c r="B718" s="17"/>
      <c r="C718" s="20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 spans="1:24" ht="12.5" x14ac:dyDescent="0.25">
      <c r="A719" s="7"/>
      <c r="B719" s="17"/>
      <c r="C719" s="20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 spans="1:24" ht="12.5" x14ac:dyDescent="0.25">
      <c r="A720" s="7"/>
      <c r="B720" s="17"/>
      <c r="C720" s="20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 spans="1:24" ht="12.5" x14ac:dyDescent="0.25">
      <c r="A721" s="7"/>
      <c r="B721" s="17"/>
      <c r="C721" s="20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 spans="1:24" ht="12.5" x14ac:dyDescent="0.25">
      <c r="A722" s="7"/>
      <c r="B722" s="17"/>
      <c r="C722" s="20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 spans="1:24" ht="12.5" x14ac:dyDescent="0.25">
      <c r="A723" s="7"/>
      <c r="B723" s="17"/>
      <c r="C723" s="20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 spans="1:24" ht="12.5" x14ac:dyDescent="0.25">
      <c r="A724" s="7"/>
      <c r="B724" s="17"/>
      <c r="C724" s="20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 spans="1:24" ht="12.5" x14ac:dyDescent="0.25">
      <c r="A725" s="7"/>
      <c r="B725" s="17"/>
      <c r="C725" s="20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 spans="1:24" ht="12.5" x14ac:dyDescent="0.25">
      <c r="A726" s="7"/>
      <c r="B726" s="17"/>
      <c r="C726" s="20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 spans="1:24" ht="12.5" x14ac:dyDescent="0.25">
      <c r="A727" s="7"/>
      <c r="B727" s="17"/>
      <c r="C727" s="20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 spans="1:24" ht="12.5" x14ac:dyDescent="0.25">
      <c r="A728" s="7"/>
      <c r="B728" s="17"/>
      <c r="C728" s="20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 spans="1:24" ht="12.5" x14ac:dyDescent="0.25">
      <c r="A729" s="7"/>
      <c r="B729" s="17"/>
      <c r="C729" s="20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 spans="1:24" ht="12.5" x14ac:dyDescent="0.25">
      <c r="A730" s="7"/>
      <c r="B730" s="17"/>
      <c r="C730" s="20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 spans="1:24" ht="12.5" x14ac:dyDescent="0.25">
      <c r="A731" s="7"/>
      <c r="B731" s="17"/>
      <c r="C731" s="20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 spans="1:24" ht="12.5" x14ac:dyDescent="0.25">
      <c r="A732" s="7"/>
      <c r="B732" s="17"/>
      <c r="C732" s="20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 spans="1:24" ht="12.5" x14ac:dyDescent="0.25">
      <c r="A733" s="7"/>
      <c r="B733" s="17"/>
      <c r="C733" s="20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 spans="1:24" ht="12.5" x14ac:dyDescent="0.25">
      <c r="A734" s="7"/>
      <c r="B734" s="17"/>
      <c r="C734" s="20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 spans="1:24" ht="12.5" x14ac:dyDescent="0.25">
      <c r="A735" s="7"/>
      <c r="B735" s="17"/>
      <c r="C735" s="20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 spans="1:24" ht="12.5" x14ac:dyDescent="0.25">
      <c r="A736" s="7"/>
      <c r="B736" s="17"/>
      <c r="C736" s="20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 spans="1:24" ht="12.5" x14ac:dyDescent="0.25">
      <c r="A737" s="7"/>
      <c r="B737" s="17"/>
      <c r="C737" s="20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 spans="1:24" ht="12.5" x14ac:dyDescent="0.25">
      <c r="A738" s="7"/>
      <c r="B738" s="17"/>
      <c r="C738" s="20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 spans="1:24" ht="12.5" x14ac:dyDescent="0.25">
      <c r="A739" s="7"/>
      <c r="B739" s="17"/>
      <c r="C739" s="20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 spans="1:24" ht="12.5" x14ac:dyDescent="0.25">
      <c r="A740" s="7"/>
      <c r="B740" s="17"/>
      <c r="C740" s="20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 spans="1:24" ht="12.5" x14ac:dyDescent="0.25">
      <c r="A741" s="7"/>
      <c r="B741" s="17"/>
      <c r="C741" s="20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 spans="1:24" ht="12.5" x14ac:dyDescent="0.25">
      <c r="A742" s="7"/>
      <c r="B742" s="17"/>
      <c r="C742" s="20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 spans="1:24" ht="12.5" x14ac:dyDescent="0.25">
      <c r="A743" s="7"/>
      <c r="B743" s="17"/>
      <c r="C743" s="20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 spans="1:24" ht="12.5" x14ac:dyDescent="0.25">
      <c r="A744" s="7"/>
      <c r="B744" s="17"/>
      <c r="C744" s="20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 spans="1:24" ht="12.5" x14ac:dyDescent="0.25">
      <c r="A745" s="7"/>
      <c r="B745" s="17"/>
      <c r="C745" s="20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 spans="1:24" ht="12.5" x14ac:dyDescent="0.25">
      <c r="A746" s="7"/>
      <c r="B746" s="17"/>
      <c r="C746" s="20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 spans="1:24" ht="12.5" x14ac:dyDescent="0.25">
      <c r="A747" s="7"/>
      <c r="B747" s="17"/>
      <c r="C747" s="20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 spans="1:24" ht="12.5" x14ac:dyDescent="0.25">
      <c r="A748" s="7"/>
      <c r="B748" s="17"/>
      <c r="C748" s="20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 spans="1:24" ht="12.5" x14ac:dyDescent="0.25">
      <c r="A749" s="7"/>
      <c r="B749" s="17"/>
      <c r="C749" s="20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 spans="1:24" ht="12.5" x14ac:dyDescent="0.25">
      <c r="A750" s="7"/>
      <c r="B750" s="17"/>
      <c r="C750" s="20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 spans="1:24" ht="12.5" x14ac:dyDescent="0.25">
      <c r="A751" s="7"/>
      <c r="B751" s="17"/>
      <c r="C751" s="20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 spans="1:24" ht="12.5" x14ac:dyDescent="0.25">
      <c r="A752" s="7"/>
      <c r="B752" s="17"/>
      <c r="C752" s="20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 spans="1:24" ht="12.5" x14ac:dyDescent="0.25">
      <c r="A753" s="7"/>
      <c r="B753" s="17"/>
      <c r="C753" s="20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 spans="1:24" ht="12.5" x14ac:dyDescent="0.25">
      <c r="A754" s="7"/>
      <c r="B754" s="17"/>
      <c r="C754" s="20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 spans="1:24" ht="12.5" x14ac:dyDescent="0.25">
      <c r="A755" s="7"/>
      <c r="B755" s="17"/>
      <c r="C755" s="20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 spans="1:24" ht="12.5" x14ac:dyDescent="0.25">
      <c r="A756" s="7"/>
      <c r="B756" s="17"/>
      <c r="C756" s="20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 spans="1:24" ht="12.5" x14ac:dyDescent="0.25">
      <c r="A757" s="7"/>
      <c r="B757" s="17"/>
      <c r="C757" s="20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 spans="1:24" ht="12.5" x14ac:dyDescent="0.25">
      <c r="A758" s="7"/>
      <c r="B758" s="17"/>
      <c r="C758" s="20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 spans="1:24" ht="12.5" x14ac:dyDescent="0.25">
      <c r="A759" s="7"/>
      <c r="B759" s="17"/>
      <c r="C759" s="20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 spans="1:24" ht="12.5" x14ac:dyDescent="0.25">
      <c r="A760" s="7"/>
      <c r="B760" s="17"/>
      <c r="C760" s="20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 spans="1:24" ht="12.5" x14ac:dyDescent="0.25">
      <c r="A761" s="7"/>
      <c r="B761" s="17"/>
      <c r="C761" s="20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 spans="1:24" ht="12.5" x14ac:dyDescent="0.25">
      <c r="A762" s="7"/>
      <c r="B762" s="17"/>
      <c r="C762" s="20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 spans="1:24" ht="12.5" x14ac:dyDescent="0.25">
      <c r="A763" s="7"/>
      <c r="B763" s="17"/>
      <c r="C763" s="20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 spans="1:24" ht="12.5" x14ac:dyDescent="0.25">
      <c r="A764" s="7"/>
      <c r="B764" s="17"/>
      <c r="C764" s="20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 spans="1:24" ht="12.5" x14ac:dyDescent="0.25">
      <c r="A765" s="7"/>
      <c r="B765" s="17"/>
      <c r="C765" s="20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 spans="1:24" ht="12.5" x14ac:dyDescent="0.25">
      <c r="A766" s="7"/>
      <c r="B766" s="17"/>
      <c r="C766" s="20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 spans="1:24" ht="12.5" x14ac:dyDescent="0.25">
      <c r="A767" s="7"/>
      <c r="B767" s="17"/>
      <c r="C767" s="20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 spans="1:24" ht="12.5" x14ac:dyDescent="0.25">
      <c r="A768" s="7"/>
      <c r="B768" s="17"/>
      <c r="C768" s="20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 spans="1:24" ht="12.5" x14ac:dyDescent="0.25">
      <c r="A769" s="7"/>
      <c r="B769" s="17"/>
      <c r="C769" s="20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 spans="1:24" ht="12.5" x14ac:dyDescent="0.25">
      <c r="A770" s="7"/>
      <c r="B770" s="17"/>
      <c r="C770" s="20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 spans="1:24" ht="12.5" x14ac:dyDescent="0.25">
      <c r="A771" s="7"/>
      <c r="B771" s="17"/>
      <c r="C771" s="20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 spans="1:24" ht="12.5" x14ac:dyDescent="0.25">
      <c r="A772" s="7"/>
      <c r="B772" s="17"/>
      <c r="C772" s="20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 spans="1:24" ht="12.5" x14ac:dyDescent="0.25">
      <c r="A773" s="7"/>
      <c r="B773" s="17"/>
      <c r="C773" s="20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 spans="1:24" ht="12.5" x14ac:dyDescent="0.25">
      <c r="A774" s="7"/>
      <c r="B774" s="17"/>
      <c r="C774" s="20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 spans="1:24" ht="12.5" x14ac:dyDescent="0.25">
      <c r="A775" s="7"/>
      <c r="B775" s="17"/>
      <c r="C775" s="20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 spans="1:24" ht="12.5" x14ac:dyDescent="0.25">
      <c r="A776" s="7"/>
      <c r="B776" s="17"/>
      <c r="C776" s="20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 spans="1:24" ht="12.5" x14ac:dyDescent="0.25">
      <c r="A777" s="7"/>
      <c r="B777" s="17"/>
      <c r="C777" s="20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 spans="1:24" ht="12.5" x14ac:dyDescent="0.25">
      <c r="A778" s="7"/>
      <c r="B778" s="17"/>
      <c r="C778" s="20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 spans="1:24" ht="12.5" x14ac:dyDescent="0.25">
      <c r="A779" s="7"/>
      <c r="B779" s="17"/>
      <c r="C779" s="20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 spans="1:24" ht="12.5" x14ac:dyDescent="0.25">
      <c r="A780" s="7"/>
      <c r="B780" s="17"/>
      <c r="C780" s="20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 spans="1:24" ht="12.5" x14ac:dyDescent="0.25">
      <c r="A781" s="7"/>
      <c r="B781" s="17"/>
      <c r="C781" s="20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 spans="1:24" ht="12.5" x14ac:dyDescent="0.25">
      <c r="A782" s="7"/>
      <c r="B782" s="17"/>
      <c r="C782" s="20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 spans="1:24" ht="12.5" x14ac:dyDescent="0.25">
      <c r="A783" s="7"/>
      <c r="B783" s="17"/>
      <c r="C783" s="20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 spans="1:24" ht="12.5" x14ac:dyDescent="0.25">
      <c r="A784" s="7"/>
      <c r="B784" s="17"/>
      <c r="C784" s="20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 spans="1:24" ht="12.5" x14ac:dyDescent="0.25">
      <c r="A785" s="7"/>
      <c r="B785" s="17"/>
      <c r="C785" s="20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 spans="1:24" ht="12.5" x14ac:dyDescent="0.25">
      <c r="A786" s="7"/>
      <c r="B786" s="17"/>
      <c r="C786" s="20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 spans="1:24" ht="12.5" x14ac:dyDescent="0.25">
      <c r="A787" s="7"/>
      <c r="B787" s="17"/>
      <c r="C787" s="20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 spans="1:24" ht="12.5" x14ac:dyDescent="0.25">
      <c r="A788" s="7"/>
      <c r="B788" s="17"/>
      <c r="C788" s="20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 spans="1:24" ht="12.5" x14ac:dyDescent="0.25">
      <c r="A789" s="7"/>
      <c r="B789" s="17"/>
      <c r="C789" s="20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 spans="1:24" ht="12.5" x14ac:dyDescent="0.25">
      <c r="A790" s="7"/>
      <c r="B790" s="17"/>
      <c r="C790" s="20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 spans="1:24" ht="12.5" x14ac:dyDescent="0.25">
      <c r="A791" s="7"/>
      <c r="B791" s="17"/>
      <c r="C791" s="20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 spans="1:24" ht="12.5" x14ac:dyDescent="0.25">
      <c r="A792" s="7"/>
      <c r="B792" s="17"/>
      <c r="C792" s="20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 spans="1:24" ht="12.5" x14ac:dyDescent="0.25">
      <c r="A793" s="7"/>
      <c r="B793" s="17"/>
      <c r="C793" s="20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 spans="1:24" ht="12.5" x14ac:dyDescent="0.25">
      <c r="A794" s="7"/>
      <c r="B794" s="17"/>
      <c r="C794" s="20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 spans="1:24" ht="12.5" x14ac:dyDescent="0.25">
      <c r="A795" s="7"/>
      <c r="B795" s="17"/>
      <c r="C795" s="20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 spans="1:24" ht="12.5" x14ac:dyDescent="0.25">
      <c r="A796" s="7"/>
      <c r="B796" s="17"/>
      <c r="C796" s="20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 spans="1:24" ht="12.5" x14ac:dyDescent="0.25">
      <c r="A797" s="7"/>
      <c r="B797" s="17"/>
      <c r="C797" s="20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 spans="1:24" ht="12.5" x14ac:dyDescent="0.25">
      <c r="A798" s="7"/>
      <c r="B798" s="17"/>
      <c r="C798" s="20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 spans="1:24" ht="12.5" x14ac:dyDescent="0.25">
      <c r="A799" s="7"/>
      <c r="B799" s="17"/>
      <c r="C799" s="20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 spans="1:24" ht="12.5" x14ac:dyDescent="0.25">
      <c r="A800" s="7"/>
      <c r="B800" s="17"/>
      <c r="C800" s="20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 spans="1:24" ht="12.5" x14ac:dyDescent="0.25">
      <c r="A801" s="7"/>
      <c r="B801" s="17"/>
      <c r="C801" s="20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 spans="1:24" ht="12.5" x14ac:dyDescent="0.25">
      <c r="A802" s="7"/>
      <c r="B802" s="17"/>
      <c r="C802" s="20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 spans="1:24" ht="12.5" x14ac:dyDescent="0.25">
      <c r="A803" s="7"/>
      <c r="B803" s="17"/>
      <c r="C803" s="20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 spans="1:24" ht="12.5" x14ac:dyDescent="0.25">
      <c r="A804" s="7"/>
      <c r="B804" s="17"/>
      <c r="C804" s="20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 spans="1:24" ht="12.5" x14ac:dyDescent="0.25">
      <c r="A805" s="7"/>
      <c r="B805" s="17"/>
      <c r="C805" s="20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 spans="1:24" ht="12.5" x14ac:dyDescent="0.25">
      <c r="A806" s="7"/>
      <c r="B806" s="17"/>
      <c r="C806" s="20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 spans="1:24" ht="12.5" x14ac:dyDescent="0.25">
      <c r="A807" s="7"/>
      <c r="B807" s="17"/>
      <c r="C807" s="20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 spans="1:24" ht="12.5" x14ac:dyDescent="0.25">
      <c r="A808" s="7"/>
      <c r="B808" s="17"/>
      <c r="C808" s="20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 spans="1:24" ht="12.5" x14ac:dyDescent="0.25">
      <c r="A809" s="7"/>
      <c r="B809" s="17"/>
      <c r="C809" s="20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 spans="1:24" ht="12.5" x14ac:dyDescent="0.25">
      <c r="A810" s="7"/>
      <c r="B810" s="17"/>
      <c r="C810" s="20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 spans="1:24" ht="12.5" x14ac:dyDescent="0.25">
      <c r="A811" s="7"/>
      <c r="B811" s="17"/>
      <c r="C811" s="20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 spans="1:24" ht="12.5" x14ac:dyDescent="0.25">
      <c r="A812" s="7"/>
      <c r="B812" s="17"/>
      <c r="C812" s="20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 spans="1:24" ht="12.5" x14ac:dyDescent="0.25">
      <c r="A813" s="7"/>
      <c r="B813" s="17"/>
      <c r="C813" s="20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 spans="1:24" ht="12.5" x14ac:dyDescent="0.25">
      <c r="A814" s="7"/>
      <c r="B814" s="17"/>
      <c r="C814" s="20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 spans="1:24" ht="12.5" x14ac:dyDescent="0.25">
      <c r="A815" s="7"/>
      <c r="B815" s="17"/>
      <c r="C815" s="20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 spans="1:24" ht="12.5" x14ac:dyDescent="0.25">
      <c r="A816" s="7"/>
      <c r="B816" s="17"/>
      <c r="C816" s="20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 spans="1:24" ht="12.5" x14ac:dyDescent="0.25">
      <c r="A817" s="7"/>
      <c r="B817" s="17"/>
      <c r="C817" s="20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 spans="1:24" ht="12.5" x14ac:dyDescent="0.25">
      <c r="A818" s="7"/>
      <c r="B818" s="17"/>
      <c r="C818" s="20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 spans="1:24" ht="12.5" x14ac:dyDescent="0.25">
      <c r="A819" s="7"/>
      <c r="B819" s="17"/>
      <c r="C819" s="20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 spans="1:24" ht="12.5" x14ac:dyDescent="0.25">
      <c r="A820" s="7"/>
      <c r="B820" s="17"/>
      <c r="C820" s="20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 spans="1:24" ht="12.5" x14ac:dyDescent="0.25">
      <c r="A821" s="7"/>
      <c r="B821" s="17"/>
      <c r="C821" s="20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 spans="1:24" ht="12.5" x14ac:dyDescent="0.25">
      <c r="A822" s="7"/>
      <c r="B822" s="17"/>
      <c r="C822" s="20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 spans="1:24" ht="12.5" x14ac:dyDescent="0.25">
      <c r="A823" s="7"/>
      <c r="B823" s="17"/>
      <c r="C823" s="20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 spans="1:24" ht="12.5" x14ac:dyDescent="0.25">
      <c r="A824" s="7"/>
      <c r="B824" s="17"/>
      <c r="C824" s="20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 spans="1:24" ht="12.5" x14ac:dyDescent="0.25">
      <c r="A825" s="7"/>
      <c r="B825" s="17"/>
      <c r="C825" s="20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 spans="1:24" ht="12.5" x14ac:dyDescent="0.25">
      <c r="A826" s="7"/>
      <c r="B826" s="17"/>
      <c r="C826" s="20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 spans="1:24" ht="12.5" x14ac:dyDescent="0.25">
      <c r="A827" s="7"/>
      <c r="B827" s="17"/>
      <c r="C827" s="20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 spans="1:24" ht="12.5" x14ac:dyDescent="0.25">
      <c r="A828" s="7"/>
      <c r="B828" s="17"/>
      <c r="C828" s="20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 spans="1:24" ht="12.5" x14ac:dyDescent="0.25">
      <c r="A829" s="7"/>
      <c r="B829" s="17"/>
      <c r="C829" s="20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 spans="1:24" ht="12.5" x14ac:dyDescent="0.25">
      <c r="A830" s="7"/>
      <c r="B830" s="17"/>
      <c r="C830" s="20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 spans="1:24" ht="12.5" x14ac:dyDescent="0.25">
      <c r="A831" s="7"/>
      <c r="B831" s="17"/>
      <c r="C831" s="20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 spans="1:24" ht="12.5" x14ac:dyDescent="0.25">
      <c r="A832" s="7"/>
      <c r="B832" s="17"/>
      <c r="C832" s="20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 spans="1:24" ht="12.5" x14ac:dyDescent="0.25">
      <c r="A833" s="7"/>
      <c r="B833" s="17"/>
      <c r="C833" s="20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 spans="1:24" ht="12.5" x14ac:dyDescent="0.25">
      <c r="A834" s="7"/>
      <c r="B834" s="17"/>
      <c r="C834" s="20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 spans="1:24" ht="12.5" x14ac:dyDescent="0.25">
      <c r="A835" s="7"/>
      <c r="B835" s="17"/>
      <c r="C835" s="20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 spans="1:24" ht="12.5" x14ac:dyDescent="0.25">
      <c r="A836" s="7"/>
      <c r="B836" s="17"/>
      <c r="C836" s="20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 spans="1:24" ht="12.5" x14ac:dyDescent="0.25">
      <c r="A837" s="7"/>
      <c r="B837" s="17"/>
      <c r="C837" s="20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 spans="1:24" ht="12.5" x14ac:dyDescent="0.25">
      <c r="A838" s="7"/>
      <c r="B838" s="17"/>
      <c r="C838" s="20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 spans="1:24" ht="12.5" x14ac:dyDescent="0.25">
      <c r="A839" s="7"/>
      <c r="B839" s="17"/>
      <c r="C839" s="20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 spans="1:24" ht="12.5" x14ac:dyDescent="0.25">
      <c r="A840" s="7"/>
      <c r="B840" s="17"/>
      <c r="C840" s="20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 spans="1:24" ht="12.5" x14ac:dyDescent="0.25">
      <c r="A841" s="7"/>
      <c r="B841" s="17"/>
      <c r="C841" s="20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 spans="1:24" ht="12.5" x14ac:dyDescent="0.25">
      <c r="A842" s="7"/>
      <c r="B842" s="17"/>
      <c r="C842" s="20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 spans="1:24" ht="12.5" x14ac:dyDescent="0.25">
      <c r="A843" s="7"/>
      <c r="B843" s="17"/>
      <c r="C843" s="20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 spans="1:24" ht="12.5" x14ac:dyDescent="0.25">
      <c r="A844" s="7"/>
      <c r="B844" s="17"/>
      <c r="C844" s="20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 spans="1:24" ht="12.5" x14ac:dyDescent="0.25">
      <c r="A845" s="7"/>
      <c r="B845" s="17"/>
      <c r="C845" s="20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 spans="1:24" ht="12.5" x14ac:dyDescent="0.25">
      <c r="A846" s="7"/>
      <c r="B846" s="17"/>
      <c r="C846" s="20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 spans="1:24" ht="12.5" x14ac:dyDescent="0.25">
      <c r="A847" s="7"/>
      <c r="B847" s="17"/>
      <c r="C847" s="20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 spans="1:24" ht="12.5" x14ac:dyDescent="0.25">
      <c r="A848" s="7"/>
      <c r="B848" s="17"/>
      <c r="C848" s="20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 spans="1:24" ht="12.5" x14ac:dyDescent="0.25">
      <c r="A849" s="7"/>
      <c r="B849" s="17"/>
      <c r="C849" s="20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 spans="1:24" ht="12.5" x14ac:dyDescent="0.25">
      <c r="A850" s="7"/>
      <c r="B850" s="17"/>
      <c r="C850" s="20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 spans="1:24" ht="12.5" x14ac:dyDescent="0.25">
      <c r="A851" s="7"/>
      <c r="B851" s="17"/>
      <c r="C851" s="20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 spans="1:24" ht="12.5" x14ac:dyDescent="0.25">
      <c r="A852" s="7"/>
      <c r="B852" s="17"/>
      <c r="C852" s="20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 spans="1:24" ht="12.5" x14ac:dyDescent="0.25">
      <c r="A853" s="7"/>
      <c r="B853" s="17"/>
      <c r="C853" s="20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 spans="1:24" ht="12.5" x14ac:dyDescent="0.25">
      <c r="A854" s="7"/>
      <c r="B854" s="17"/>
      <c r="C854" s="20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 spans="1:24" ht="12.5" x14ac:dyDescent="0.25">
      <c r="A855" s="7"/>
      <c r="B855" s="17"/>
      <c r="C855" s="20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 spans="1:24" ht="12.5" x14ac:dyDescent="0.25">
      <c r="A856" s="7"/>
      <c r="B856" s="17"/>
      <c r="C856" s="20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 spans="1:24" ht="12.5" x14ac:dyDescent="0.25">
      <c r="A857" s="7"/>
      <c r="B857" s="17"/>
      <c r="C857" s="20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 spans="1:24" ht="12.5" x14ac:dyDescent="0.25">
      <c r="A858" s="7"/>
      <c r="B858" s="17"/>
      <c r="C858" s="20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 spans="1:24" ht="12.5" x14ac:dyDescent="0.25">
      <c r="A859" s="7"/>
      <c r="B859" s="17"/>
      <c r="C859" s="20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 spans="1:24" ht="12.5" x14ac:dyDescent="0.25">
      <c r="A860" s="7"/>
      <c r="B860" s="17"/>
      <c r="C860" s="20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 spans="1:24" ht="12.5" x14ac:dyDescent="0.25">
      <c r="A861" s="7"/>
      <c r="B861" s="17"/>
      <c r="C861" s="20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 spans="1:24" ht="12.5" x14ac:dyDescent="0.25">
      <c r="A862" s="7"/>
      <c r="B862" s="17"/>
      <c r="C862" s="20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 spans="1:24" ht="12.5" x14ac:dyDescent="0.25">
      <c r="A863" s="7"/>
      <c r="B863" s="17"/>
      <c r="C863" s="20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 spans="1:24" ht="12.5" x14ac:dyDescent="0.25">
      <c r="A864" s="7"/>
      <c r="B864" s="17"/>
      <c r="C864" s="20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 spans="1:24" ht="12.5" x14ac:dyDescent="0.25">
      <c r="A865" s="7"/>
      <c r="B865" s="17"/>
      <c r="C865" s="20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 spans="1:24" ht="12.5" x14ac:dyDescent="0.25">
      <c r="A866" s="7"/>
      <c r="B866" s="17"/>
      <c r="C866" s="20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 spans="1:24" ht="12.5" x14ac:dyDescent="0.25">
      <c r="A867" s="7"/>
      <c r="B867" s="17"/>
      <c r="C867" s="20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 spans="1:24" ht="12.5" x14ac:dyDescent="0.25">
      <c r="A868" s="7"/>
      <c r="B868" s="17"/>
      <c r="C868" s="20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 spans="1:24" ht="12.5" x14ac:dyDescent="0.25">
      <c r="A869" s="7"/>
      <c r="B869" s="17"/>
      <c r="C869" s="20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 spans="1:24" ht="12.5" x14ac:dyDescent="0.25">
      <c r="A870" s="7"/>
      <c r="B870" s="17"/>
      <c r="C870" s="20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 spans="1:24" ht="12.5" x14ac:dyDescent="0.25">
      <c r="A871" s="7"/>
      <c r="B871" s="17"/>
      <c r="C871" s="20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 spans="1:24" ht="12.5" x14ac:dyDescent="0.25">
      <c r="A872" s="7"/>
      <c r="B872" s="17"/>
      <c r="C872" s="20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 spans="1:24" ht="12.5" x14ac:dyDescent="0.25">
      <c r="A873" s="7"/>
      <c r="B873" s="17"/>
      <c r="C873" s="20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 spans="1:24" ht="12.5" x14ac:dyDescent="0.25">
      <c r="A874" s="7"/>
      <c r="B874" s="17"/>
      <c r="C874" s="20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 spans="1:24" ht="12.5" x14ac:dyDescent="0.25">
      <c r="A875" s="7"/>
      <c r="B875" s="17"/>
      <c r="C875" s="20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 spans="1:24" ht="12.5" x14ac:dyDescent="0.25">
      <c r="A876" s="7"/>
      <c r="B876" s="17"/>
      <c r="C876" s="20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 spans="1:24" ht="12.5" x14ac:dyDescent="0.25">
      <c r="A877" s="7"/>
      <c r="B877" s="17"/>
      <c r="C877" s="20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 spans="1:24" ht="12.5" x14ac:dyDescent="0.25">
      <c r="A878" s="7"/>
      <c r="B878" s="17"/>
      <c r="C878" s="20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 spans="1:24" ht="12.5" x14ac:dyDescent="0.25">
      <c r="A879" s="7"/>
      <c r="B879" s="17"/>
      <c r="C879" s="20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 spans="1:24" ht="12.5" x14ac:dyDescent="0.25">
      <c r="A880" s="7"/>
      <c r="B880" s="17"/>
      <c r="C880" s="20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 spans="1:24" ht="12.5" x14ac:dyDescent="0.25">
      <c r="A881" s="7"/>
      <c r="B881" s="17"/>
      <c r="C881" s="20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 spans="1:24" ht="12.5" x14ac:dyDescent="0.25">
      <c r="A882" s="7"/>
      <c r="B882" s="17"/>
      <c r="C882" s="20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 spans="1:24" ht="12.5" x14ac:dyDescent="0.25">
      <c r="A883" s="7"/>
      <c r="B883" s="17"/>
      <c r="C883" s="20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 spans="1:24" ht="12.5" x14ac:dyDescent="0.25">
      <c r="A884" s="7"/>
      <c r="B884" s="17"/>
      <c r="C884" s="20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 spans="1:24" ht="12.5" x14ac:dyDescent="0.25">
      <c r="A885" s="7"/>
      <c r="B885" s="17"/>
      <c r="C885" s="20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 spans="1:24" ht="12.5" x14ac:dyDescent="0.25">
      <c r="A886" s="7"/>
      <c r="B886" s="17"/>
      <c r="C886" s="20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 spans="1:24" ht="12.5" x14ac:dyDescent="0.25">
      <c r="A887" s="7"/>
      <c r="B887" s="17"/>
      <c r="C887" s="20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 spans="1:24" ht="12.5" x14ac:dyDescent="0.25">
      <c r="A888" s="7"/>
      <c r="B888" s="17"/>
      <c r="C888" s="20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 spans="1:24" ht="12.5" x14ac:dyDescent="0.25">
      <c r="A889" s="7"/>
      <c r="B889" s="17"/>
      <c r="C889" s="20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 spans="1:24" ht="12.5" x14ac:dyDescent="0.25">
      <c r="A890" s="7"/>
      <c r="B890" s="17"/>
      <c r="C890" s="20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 spans="1:24" ht="12.5" x14ac:dyDescent="0.25">
      <c r="A891" s="7"/>
      <c r="B891" s="17"/>
      <c r="C891" s="20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 spans="1:24" ht="12.5" x14ac:dyDescent="0.25">
      <c r="A892" s="7"/>
      <c r="B892" s="17"/>
      <c r="C892" s="20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 spans="1:24" ht="12.5" x14ac:dyDescent="0.25">
      <c r="A893" s="7"/>
      <c r="B893" s="17"/>
      <c r="C893" s="20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 spans="1:24" ht="12.5" x14ac:dyDescent="0.25">
      <c r="A894" s="7"/>
      <c r="B894" s="17"/>
      <c r="C894" s="20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 spans="1:24" ht="12.5" x14ac:dyDescent="0.25">
      <c r="A895" s="7"/>
      <c r="B895" s="17"/>
      <c r="C895" s="20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 spans="1:24" ht="12.5" x14ac:dyDescent="0.25">
      <c r="A896" s="7"/>
      <c r="B896" s="17"/>
      <c r="C896" s="20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 spans="1:24" ht="12.5" x14ac:dyDescent="0.25">
      <c r="A897" s="7"/>
      <c r="B897" s="17"/>
      <c r="C897" s="20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 spans="1:24" ht="12.5" x14ac:dyDescent="0.25">
      <c r="A898" s="7"/>
      <c r="B898" s="17"/>
      <c r="C898" s="20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 spans="1:24" ht="12.5" x14ac:dyDescent="0.25">
      <c r="A899" s="7"/>
      <c r="B899" s="17"/>
      <c r="C899" s="20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 spans="1:24" ht="12.5" x14ac:dyDescent="0.25">
      <c r="A900" s="7"/>
      <c r="B900" s="17"/>
      <c r="C900" s="20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 spans="1:24" ht="12.5" x14ac:dyDescent="0.25">
      <c r="A901" s="7"/>
      <c r="B901" s="17"/>
      <c r="C901" s="20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 spans="1:24" ht="12.5" x14ac:dyDescent="0.25">
      <c r="A902" s="7"/>
      <c r="B902" s="17"/>
      <c r="C902" s="20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 spans="1:24" ht="12.5" x14ac:dyDescent="0.25">
      <c r="A903" s="7"/>
      <c r="B903" s="17"/>
      <c r="C903" s="20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 spans="1:24" ht="12.5" x14ac:dyDescent="0.25">
      <c r="A904" s="7"/>
      <c r="B904" s="17"/>
      <c r="C904" s="20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 spans="1:24" ht="12.5" x14ac:dyDescent="0.25">
      <c r="A905" s="7"/>
      <c r="B905" s="17"/>
      <c r="C905" s="20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 spans="1:24" ht="12.5" x14ac:dyDescent="0.25">
      <c r="A906" s="7"/>
      <c r="B906" s="17"/>
      <c r="C906" s="20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 spans="1:24" ht="12.5" x14ac:dyDescent="0.25">
      <c r="A907" s="7"/>
      <c r="B907" s="17"/>
      <c r="C907" s="20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 spans="1:24" ht="12.5" x14ac:dyDescent="0.25">
      <c r="A908" s="7"/>
      <c r="B908" s="17"/>
      <c r="C908" s="20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 spans="1:24" ht="12.5" x14ac:dyDescent="0.25">
      <c r="A909" s="7"/>
      <c r="B909" s="17"/>
      <c r="C909" s="20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 spans="1:24" ht="12.5" x14ac:dyDescent="0.25">
      <c r="A910" s="7"/>
      <c r="B910" s="17"/>
      <c r="C910" s="20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 spans="1:24" ht="12.5" x14ac:dyDescent="0.25">
      <c r="A911" s="7"/>
      <c r="B911" s="17"/>
      <c r="C911" s="20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 spans="1:24" ht="12.5" x14ac:dyDescent="0.25">
      <c r="A912" s="7"/>
      <c r="B912" s="17"/>
      <c r="C912" s="20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 spans="1:24" ht="12.5" x14ac:dyDescent="0.25">
      <c r="A913" s="7"/>
      <c r="B913" s="17"/>
      <c r="C913" s="20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 spans="1:24" ht="12.5" x14ac:dyDescent="0.25">
      <c r="A914" s="7"/>
      <c r="B914" s="17"/>
      <c r="C914" s="20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 spans="1:24" ht="12.5" x14ac:dyDescent="0.25">
      <c r="A915" s="7"/>
      <c r="B915" s="17"/>
      <c r="C915" s="20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 spans="1:24" ht="12.5" x14ac:dyDescent="0.25">
      <c r="A916" s="7"/>
      <c r="B916" s="17"/>
      <c r="C916" s="20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 spans="1:24" ht="12.5" x14ac:dyDescent="0.25">
      <c r="A917" s="7"/>
      <c r="B917" s="17"/>
      <c r="C917" s="20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 spans="1:24" ht="12.5" x14ac:dyDescent="0.25">
      <c r="A918" s="7"/>
      <c r="B918" s="17"/>
      <c r="C918" s="20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 spans="1:24" ht="12.5" x14ac:dyDescent="0.25">
      <c r="A919" s="7"/>
      <c r="B919" s="17"/>
      <c r="C919" s="20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 spans="1:24" ht="12.5" x14ac:dyDescent="0.25">
      <c r="A920" s="7"/>
      <c r="B920" s="17"/>
      <c r="C920" s="20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 spans="1:24" ht="12.5" x14ac:dyDescent="0.25">
      <c r="A921" s="7"/>
      <c r="B921" s="17"/>
      <c r="C921" s="20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 spans="1:24" ht="12.5" x14ac:dyDescent="0.25">
      <c r="A922" s="7"/>
      <c r="B922" s="17"/>
      <c r="C922" s="20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 spans="1:24" ht="12.5" x14ac:dyDescent="0.25">
      <c r="A923" s="7"/>
      <c r="B923" s="17"/>
      <c r="C923" s="20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 spans="1:24" ht="12.5" x14ac:dyDescent="0.25">
      <c r="A924" s="7"/>
      <c r="B924" s="17"/>
      <c r="C924" s="20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 spans="1:24" ht="12.5" x14ac:dyDescent="0.25">
      <c r="A925" s="7"/>
      <c r="B925" s="17"/>
      <c r="C925" s="20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 spans="1:24" ht="12.5" x14ac:dyDescent="0.25">
      <c r="A926" s="7"/>
      <c r="B926" s="17"/>
      <c r="C926" s="20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 spans="1:24" ht="12.5" x14ac:dyDescent="0.25">
      <c r="A927" s="7"/>
      <c r="B927" s="17"/>
      <c r="C927" s="20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 spans="1:24" ht="12.5" x14ac:dyDescent="0.25">
      <c r="A928" s="7"/>
      <c r="B928" s="17"/>
      <c r="C928" s="20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 spans="1:24" ht="12.5" x14ac:dyDescent="0.25">
      <c r="A929" s="7"/>
      <c r="B929" s="17"/>
      <c r="C929" s="20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 spans="1:24" ht="12.5" x14ac:dyDescent="0.25">
      <c r="A930" s="7"/>
      <c r="B930" s="17"/>
      <c r="C930" s="20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 spans="1:24" ht="12.5" x14ac:dyDescent="0.25">
      <c r="A931" s="7"/>
      <c r="B931" s="17"/>
      <c r="C931" s="20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 spans="1:24" ht="12.5" x14ac:dyDescent="0.25">
      <c r="A932" s="7"/>
      <c r="B932" s="17"/>
      <c r="C932" s="20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 spans="1:24" ht="12.5" x14ac:dyDescent="0.25">
      <c r="A933" s="7"/>
      <c r="B933" s="17"/>
      <c r="C933" s="20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 spans="1:24" ht="12.5" x14ac:dyDescent="0.25">
      <c r="A934" s="7"/>
      <c r="B934" s="17"/>
      <c r="C934" s="20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 spans="1:24" ht="12.5" x14ac:dyDescent="0.25">
      <c r="A935" s="7"/>
      <c r="B935" s="17"/>
      <c r="C935" s="20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 spans="1:24" ht="12.5" x14ac:dyDescent="0.25">
      <c r="A936" s="7"/>
      <c r="B936" s="17"/>
      <c r="C936" s="20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 spans="1:24" ht="12.5" x14ac:dyDescent="0.25">
      <c r="A937" s="7"/>
      <c r="B937" s="17"/>
      <c r="C937" s="20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 spans="1:24" ht="12.5" x14ac:dyDescent="0.25">
      <c r="A938" s="7"/>
      <c r="B938" s="17"/>
      <c r="C938" s="20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 spans="1:24" ht="12.5" x14ac:dyDescent="0.25">
      <c r="A939" s="7"/>
      <c r="B939" s="17"/>
      <c r="C939" s="20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 spans="1:24" ht="12.5" x14ac:dyDescent="0.25">
      <c r="A940" s="7"/>
      <c r="B940" s="17"/>
      <c r="C940" s="20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 spans="1:24" ht="12.5" x14ac:dyDescent="0.25">
      <c r="A941" s="7"/>
      <c r="B941" s="17"/>
      <c r="C941" s="20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 spans="1:24" ht="12.5" x14ac:dyDescent="0.25">
      <c r="A942" s="7"/>
      <c r="B942" s="17"/>
      <c r="C942" s="20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 spans="1:24" ht="12.5" x14ac:dyDescent="0.25">
      <c r="A943" s="7"/>
      <c r="B943" s="17"/>
      <c r="C943" s="20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 spans="1:24" ht="12.5" x14ac:dyDescent="0.25">
      <c r="A944" s="7"/>
      <c r="B944" s="17"/>
      <c r="C944" s="20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 spans="1:24" ht="12.5" x14ac:dyDescent="0.25">
      <c r="A945" s="7"/>
      <c r="B945" s="17"/>
      <c r="C945" s="20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 spans="1:24" ht="12.5" x14ac:dyDescent="0.25">
      <c r="A946" s="7"/>
      <c r="B946" s="17"/>
      <c r="C946" s="20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 spans="1:24" ht="12.5" x14ac:dyDescent="0.25">
      <c r="A947" s="7"/>
      <c r="B947" s="17"/>
      <c r="C947" s="20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 spans="1:24" ht="12.5" x14ac:dyDescent="0.25">
      <c r="A948" s="7"/>
      <c r="B948" s="17"/>
      <c r="C948" s="20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 spans="1:24" ht="12.5" x14ac:dyDescent="0.25">
      <c r="A949" s="7"/>
      <c r="B949" s="17"/>
      <c r="C949" s="20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 spans="1:24" ht="12.5" x14ac:dyDescent="0.25">
      <c r="A950" s="7"/>
      <c r="B950" s="17"/>
      <c r="C950" s="20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 spans="1:24" ht="12.5" x14ac:dyDescent="0.25">
      <c r="A951" s="7"/>
      <c r="B951" s="17"/>
      <c r="C951" s="20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 spans="1:24" ht="12.5" x14ac:dyDescent="0.25">
      <c r="A952" s="7"/>
      <c r="B952" s="17"/>
      <c r="C952" s="20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 spans="1:24" ht="12.5" x14ac:dyDescent="0.25">
      <c r="A953" s="7"/>
      <c r="B953" s="17"/>
      <c r="C953" s="20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 spans="1:24" ht="12.5" x14ac:dyDescent="0.25">
      <c r="A954" s="7"/>
      <c r="B954" s="17"/>
      <c r="C954" s="20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 spans="1:24" ht="12.5" x14ac:dyDescent="0.25">
      <c r="A955" s="7"/>
      <c r="B955" s="17"/>
      <c r="C955" s="20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 spans="1:24" ht="12.5" x14ac:dyDescent="0.25">
      <c r="A956" s="7"/>
      <c r="B956" s="17"/>
      <c r="C956" s="20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 spans="1:24" ht="12.5" x14ac:dyDescent="0.25">
      <c r="A957" s="7"/>
      <c r="B957" s="17"/>
      <c r="C957" s="20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 spans="1:24" ht="12.5" x14ac:dyDescent="0.25">
      <c r="A958" s="7"/>
      <c r="B958" s="17"/>
      <c r="C958" s="20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 spans="1:24" ht="12.5" x14ac:dyDescent="0.25">
      <c r="A959" s="7"/>
      <c r="B959" s="17"/>
      <c r="C959" s="20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 spans="1:24" ht="12.5" x14ac:dyDescent="0.25">
      <c r="A960" s="7"/>
      <c r="B960" s="17"/>
      <c r="C960" s="20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 spans="1:24" ht="12.5" x14ac:dyDescent="0.25">
      <c r="A961" s="7"/>
      <c r="B961" s="17"/>
      <c r="C961" s="20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 spans="1:24" ht="12.5" x14ac:dyDescent="0.25">
      <c r="A962" s="7"/>
      <c r="B962" s="17"/>
      <c r="C962" s="20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 spans="1:24" ht="12.5" x14ac:dyDescent="0.25">
      <c r="A963" s="7"/>
      <c r="B963" s="17"/>
      <c r="C963" s="20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 spans="1:24" ht="12.5" x14ac:dyDescent="0.25">
      <c r="A964" s="7"/>
      <c r="B964" s="17"/>
      <c r="C964" s="20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 spans="1:24" ht="12.5" x14ac:dyDescent="0.25">
      <c r="A965" s="7"/>
      <c r="B965" s="17"/>
      <c r="C965" s="20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 spans="1:24" ht="12.5" x14ac:dyDescent="0.25">
      <c r="A966" s="7"/>
      <c r="B966" s="17"/>
      <c r="C966" s="20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 spans="1:24" ht="12.5" x14ac:dyDescent="0.25">
      <c r="A967" s="7"/>
      <c r="B967" s="17"/>
      <c r="C967" s="20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 spans="1:24" ht="12.5" x14ac:dyDescent="0.25">
      <c r="A968" s="7"/>
      <c r="B968" s="17"/>
      <c r="C968" s="20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 spans="1:24" ht="12.5" x14ac:dyDescent="0.25">
      <c r="A969" s="7"/>
      <c r="B969" s="17"/>
      <c r="C969" s="20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 spans="1:24" ht="12.5" x14ac:dyDescent="0.25">
      <c r="A970" s="7"/>
      <c r="B970" s="17"/>
      <c r="C970" s="20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 spans="1:24" ht="12.5" x14ac:dyDescent="0.25">
      <c r="A971" s="7"/>
      <c r="B971" s="17"/>
      <c r="C971" s="20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 spans="1:24" ht="12.5" x14ac:dyDescent="0.25">
      <c r="A972" s="7"/>
      <c r="B972" s="17"/>
      <c r="C972" s="20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 spans="1:24" ht="12.5" x14ac:dyDescent="0.25">
      <c r="A973" s="7"/>
      <c r="B973" s="17"/>
      <c r="C973" s="20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 spans="1:24" ht="12.5" x14ac:dyDescent="0.25">
      <c r="A974" s="7"/>
      <c r="B974" s="17"/>
      <c r="C974" s="20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 spans="1:24" ht="12.5" x14ac:dyDescent="0.25">
      <c r="A975" s="7"/>
      <c r="B975" s="17"/>
      <c r="C975" s="20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 spans="1:24" ht="12.5" x14ac:dyDescent="0.25">
      <c r="A976" s="7"/>
      <c r="B976" s="17"/>
      <c r="C976" s="20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 spans="1:24" ht="12.5" x14ac:dyDescent="0.25">
      <c r="A977" s="7"/>
      <c r="B977" s="17"/>
      <c r="C977" s="20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 spans="1:24" ht="12.5" x14ac:dyDescent="0.25">
      <c r="A978" s="7"/>
      <c r="B978" s="17"/>
      <c r="C978" s="20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 spans="1:24" ht="12.5" x14ac:dyDescent="0.25">
      <c r="A979" s="7"/>
      <c r="B979" s="17"/>
      <c r="C979" s="20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 spans="1:24" ht="12.5" x14ac:dyDescent="0.25">
      <c r="A980" s="7"/>
      <c r="B980" s="17"/>
      <c r="C980" s="20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 spans="1:24" ht="12.5" x14ac:dyDescent="0.25">
      <c r="A981" s="7"/>
      <c r="B981" s="17"/>
      <c r="C981" s="20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 spans="1:24" ht="12.5" x14ac:dyDescent="0.25">
      <c r="A982" s="7"/>
      <c r="B982" s="17"/>
      <c r="C982" s="20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 spans="1:24" ht="12.5" x14ac:dyDescent="0.25">
      <c r="A983" s="7"/>
      <c r="B983" s="17"/>
      <c r="C983" s="20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 spans="1:24" ht="12.5" x14ac:dyDescent="0.25">
      <c r="A984" s="7"/>
      <c r="B984" s="17"/>
      <c r="C984" s="20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 spans="1:24" ht="12.5" x14ac:dyDescent="0.25">
      <c r="A985" s="7"/>
      <c r="B985" s="17"/>
      <c r="C985" s="20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 spans="1:24" ht="12.5" x14ac:dyDescent="0.25">
      <c r="A986" s="7"/>
      <c r="B986" s="17"/>
      <c r="C986" s="20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 spans="1:24" ht="12.5" x14ac:dyDescent="0.25">
      <c r="A987" s="7"/>
      <c r="B987" s="17"/>
      <c r="C987" s="20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 spans="1:24" ht="12.5" x14ac:dyDescent="0.25">
      <c r="A988" s="7"/>
      <c r="B988" s="17"/>
      <c r="C988" s="20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 spans="1:24" ht="12.5" x14ac:dyDescent="0.25">
      <c r="A989" s="7"/>
      <c r="B989" s="17"/>
      <c r="C989" s="20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 spans="1:24" ht="12.5" x14ac:dyDescent="0.25">
      <c r="A990" s="7"/>
      <c r="B990" s="17"/>
      <c r="C990" s="20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 spans="1:24" ht="12.5" x14ac:dyDescent="0.25">
      <c r="A991" s="7"/>
      <c r="B991" s="17"/>
      <c r="C991" s="20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 spans="1:24" ht="12.5" x14ac:dyDescent="0.25">
      <c r="A992" s="7"/>
      <c r="B992" s="17"/>
      <c r="C992" s="20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 spans="1:24" ht="12.5" x14ac:dyDescent="0.25">
      <c r="A993" s="7"/>
      <c r="B993" s="17"/>
      <c r="C993" s="20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 spans="1:24" ht="12.5" x14ac:dyDescent="0.25">
      <c r="A994" s="7"/>
      <c r="B994" s="17"/>
      <c r="C994" s="20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 spans="1:24" ht="12.5" x14ac:dyDescent="0.25">
      <c r="A995" s="7"/>
      <c r="B995" s="17"/>
      <c r="C995" s="20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 spans="1:24" ht="12.5" x14ac:dyDescent="0.25">
      <c r="A996" s="7"/>
      <c r="B996" s="17"/>
      <c r="C996" s="20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 spans="1:24" ht="12.5" x14ac:dyDescent="0.25">
      <c r="A997" s="7"/>
      <c r="B997" s="17"/>
      <c r="C997" s="20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 spans="1:24" ht="12.5" x14ac:dyDescent="0.25">
      <c r="A998" s="7"/>
      <c r="B998" s="17"/>
      <c r="C998" s="20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 spans="1:24" ht="12.5" x14ac:dyDescent="0.25">
      <c r="A999" s="7"/>
      <c r="B999" s="17"/>
      <c r="C999" s="20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  <row r="1000" spans="1:24" ht="12.5" x14ac:dyDescent="0.25">
      <c r="A1000" s="7"/>
      <c r="B1000" s="17"/>
      <c r="C1000" s="20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</row>
    <row r="1001" spans="1:24" ht="12.5" x14ac:dyDescent="0.25">
      <c r="A1001" s="7"/>
      <c r="B1001" s="17"/>
      <c r="C1001" s="20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</row>
    <row r="1002" spans="1:24" ht="12.5" x14ac:dyDescent="0.25">
      <c r="A1002" s="7"/>
      <c r="B1002" s="17"/>
      <c r="C1002" s="20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</row>
    <row r="1003" spans="1:24" ht="12.5" x14ac:dyDescent="0.25">
      <c r="A1003" s="7"/>
      <c r="B1003" s="17"/>
      <c r="C1003" s="20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G1003"/>
  <sheetViews>
    <sheetView workbookViewId="0"/>
  </sheetViews>
  <sheetFormatPr defaultColWidth="12.6328125" defaultRowHeight="15.75" customHeight="1" x14ac:dyDescent="0.25"/>
  <cols>
    <col min="1" max="1" width="40.26953125" customWidth="1"/>
    <col min="3" max="3" width="23.7265625" customWidth="1"/>
  </cols>
  <sheetData>
    <row r="1" spans="1:33" ht="15.75" customHeight="1" x14ac:dyDescent="0.35">
      <c r="A1" s="1" t="s">
        <v>121</v>
      </c>
      <c r="B1" s="2" t="s">
        <v>0</v>
      </c>
      <c r="C1" s="3" t="e">
        <f t="array" aca="1" ref="C1" ca="1">INDEX(D1:Q1, MATCH(1, D16:Q16, 0))</f>
        <v>#N/A</v>
      </c>
      <c r="D1" s="4" t="s">
        <v>122</v>
      </c>
      <c r="E1" s="4" t="s">
        <v>123</v>
      </c>
      <c r="F1" s="4" t="s">
        <v>124</v>
      </c>
      <c r="G1" s="25" t="s">
        <v>125</v>
      </c>
      <c r="H1" s="4" t="s">
        <v>126</v>
      </c>
      <c r="I1" s="4" t="s">
        <v>127</v>
      </c>
      <c r="J1" s="4" t="s">
        <v>128</v>
      </c>
      <c r="K1" s="4" t="s">
        <v>129</v>
      </c>
      <c r="L1" s="4" t="s">
        <v>130</v>
      </c>
      <c r="M1" s="4" t="s">
        <v>131</v>
      </c>
      <c r="N1" s="4" t="s">
        <v>132</v>
      </c>
      <c r="O1" s="4" t="s">
        <v>133</v>
      </c>
      <c r="P1" s="4" t="s">
        <v>134</v>
      </c>
      <c r="Q1" s="6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spans="1:33" ht="15.75" customHeight="1" x14ac:dyDescent="0.25">
      <c r="A2" s="8" t="str">
        <f>Specs!C2</f>
        <v>Switching Bandwidth - Full Duplex (Gbps)</v>
      </c>
      <c r="B2" s="9" t="str">
        <f ca="1">IFERROR(__xludf.DUMMYFUNCTION("IMPORTRANGE(""https://docs.google.com/spreadsheets/d/18TjePryHG687L54fIGU6Od12DGyT3mPoblPemZTZRY4"",""SwitchCampus!B3:B10"")"),"")</f>
        <v/>
      </c>
      <c r="C2" s="15" t="e">
        <f ca="1">HLOOKUP($C$1,$D$1:$Q$10,2,0)</f>
        <v>#N/A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 spans="1:33" ht="15.75" customHeight="1" x14ac:dyDescent="0.25">
      <c r="A3" s="8" t="str">
        <f>Specs!C3</f>
        <v>Forwarding Capacity (Mpps)</v>
      </c>
      <c r="B3" s="9"/>
      <c r="C3" s="15" t="e">
        <f ca="1">HLOOKUP($C$1,$D$1:$Q$10,3,0)</f>
        <v>#N/A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 spans="1:33" ht="15.75" customHeight="1" x14ac:dyDescent="0.35">
      <c r="A4" s="8" t="str">
        <f>Specs!C4</f>
        <v>Số lượng cổng 1GE đồng</v>
      </c>
      <c r="B4" s="9"/>
      <c r="C4" s="10" t="e">
        <f ca="1">HLOOKUP($C$1,$D$1:$Q$10,4,0)</f>
        <v>#N/A</v>
      </c>
      <c r="D4" s="8"/>
      <c r="E4" s="8"/>
      <c r="F4" s="8"/>
      <c r="G4" s="26">
        <v>48</v>
      </c>
      <c r="H4" s="28">
        <v>48</v>
      </c>
      <c r="I4" s="28">
        <v>96</v>
      </c>
      <c r="J4" s="8"/>
      <c r="K4" s="8"/>
      <c r="L4" s="8"/>
      <c r="M4" s="8"/>
      <c r="N4" s="8"/>
      <c r="O4" s="8"/>
      <c r="P4" s="8"/>
      <c r="Q4" s="8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 spans="1:33" ht="15.75" customHeight="1" x14ac:dyDescent="0.25">
      <c r="A5" s="8" t="str">
        <f>Specs!C5</f>
        <v>Số lượng cổng 1GE SFP</v>
      </c>
      <c r="B5" s="9"/>
      <c r="C5" s="15" t="e">
        <f ca="1">HLOOKUP($C$1,$D$1:$Q$10,5,0)</f>
        <v>#N/A</v>
      </c>
      <c r="D5" s="8"/>
      <c r="E5" s="8"/>
      <c r="F5" s="8"/>
      <c r="G5" s="8"/>
      <c r="H5" s="8"/>
      <c r="I5" s="8"/>
      <c r="J5" s="28">
        <v>96</v>
      </c>
      <c r="K5" s="28">
        <v>48</v>
      </c>
      <c r="L5" s="28">
        <v>48</v>
      </c>
      <c r="M5" s="8"/>
      <c r="N5" s="8"/>
      <c r="O5" s="8"/>
      <c r="P5" s="8"/>
      <c r="Q5" s="8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</row>
    <row r="6" spans="1:33" ht="15.75" customHeight="1" x14ac:dyDescent="0.25">
      <c r="A6" s="8" t="str">
        <f>Specs!C6</f>
        <v>Số lượng cổng 10GE đồng</v>
      </c>
      <c r="B6" s="9"/>
      <c r="C6" s="10" t="e">
        <f ca="1">HLOOKUP($C$1,$D$1:$Q$10,6,0)</f>
        <v>#N/A</v>
      </c>
      <c r="D6" s="8"/>
      <c r="E6" s="8"/>
      <c r="F6" s="8"/>
      <c r="G6" s="8"/>
      <c r="H6" s="28">
        <v>48</v>
      </c>
      <c r="I6" s="28">
        <v>96</v>
      </c>
      <c r="J6" s="8"/>
      <c r="K6" s="8"/>
      <c r="L6" s="8"/>
      <c r="M6" s="8"/>
      <c r="N6" s="8"/>
      <c r="O6" s="8"/>
      <c r="P6" s="8"/>
      <c r="Q6" s="8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 spans="1:33" ht="15.75" customHeight="1" x14ac:dyDescent="0.35">
      <c r="A7" s="8" t="str">
        <f>Specs!C7</f>
        <v>Số lượng cổng 10GE quang</v>
      </c>
      <c r="B7" s="13">
        <f ca="1">IFERROR(__xludf.DUMMYFUNCTION("""COMPUTED_VALUE"""),8)</f>
        <v>8</v>
      </c>
      <c r="C7" s="15" t="e">
        <f ca="1">HLOOKUP($C$1,$D$1:$Q$10,7,0)</f>
        <v>#N/A</v>
      </c>
      <c r="D7" s="8"/>
      <c r="E7" s="8"/>
      <c r="F7" s="8"/>
      <c r="G7" s="26">
        <v>4</v>
      </c>
      <c r="H7" s="8"/>
      <c r="I7" s="8"/>
      <c r="J7" s="28">
        <v>96</v>
      </c>
      <c r="K7" s="28">
        <v>48</v>
      </c>
      <c r="L7" s="28">
        <v>48</v>
      </c>
      <c r="M7" s="8"/>
      <c r="N7" s="8"/>
      <c r="O7" s="8"/>
      <c r="P7" s="8"/>
      <c r="Q7" s="8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 spans="1:33" ht="15.75" customHeight="1" x14ac:dyDescent="0.35">
      <c r="A8" s="8" t="str">
        <f>Specs!C8</f>
        <v>Số lượng cổng 100GE</v>
      </c>
      <c r="B8" s="13"/>
      <c r="C8" s="10" t="e">
        <f ca="1">HLOOKUP($C$1,$D$1:$Q$10,8,0)</f>
        <v>#N/A</v>
      </c>
      <c r="D8" s="28">
        <v>144</v>
      </c>
      <c r="E8" s="28">
        <v>288</v>
      </c>
      <c r="F8" s="28">
        <v>576</v>
      </c>
      <c r="G8" s="26">
        <v>2</v>
      </c>
      <c r="H8" s="28">
        <v>6</v>
      </c>
      <c r="I8" s="28">
        <v>12</v>
      </c>
      <c r="J8" s="28">
        <v>12</v>
      </c>
      <c r="K8" s="28">
        <v>12</v>
      </c>
      <c r="L8" s="28">
        <v>6</v>
      </c>
      <c r="M8" s="28">
        <v>36</v>
      </c>
      <c r="N8" s="28">
        <v>16</v>
      </c>
      <c r="O8" s="28">
        <v>64</v>
      </c>
      <c r="P8" s="28">
        <v>36</v>
      </c>
      <c r="Q8" s="8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 spans="1:33" ht="15.75" customHeight="1" x14ac:dyDescent="0.25">
      <c r="A9" s="8" t="str">
        <f>Specs!C9</f>
        <v>Stacking (Y/N)</v>
      </c>
      <c r="B9" s="9"/>
      <c r="C9" s="15" t="e">
        <f ca="1">HLOOKUP($C$1,$D$1:$Q$10,9,0)</f>
        <v>#N/A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 spans="1:33" ht="15.75" customHeight="1" x14ac:dyDescent="0.25">
      <c r="A10" s="8" t="str">
        <f>Specs!C10</f>
        <v>PoE (Y/N)</v>
      </c>
      <c r="B10" s="13"/>
      <c r="C10" s="15" t="e">
        <f ca="1">HLOOKUP($C$1,$D$1:$Q$10,10,0)</f>
        <v>#N/A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 spans="1:33" x14ac:dyDescent="0.3">
      <c r="A11" s="16" t="s">
        <v>106</v>
      </c>
      <c r="B11" s="17"/>
      <c r="C11" s="18" t="e">
        <f ca="1">HLOOKUP($C$1,$D$1:$Q$11,11,0)</f>
        <v>#N/A</v>
      </c>
      <c r="D11" s="19" t="s">
        <v>25</v>
      </c>
      <c r="E11" s="19" t="s">
        <v>25</v>
      </c>
      <c r="F11" s="19" t="s">
        <v>25</v>
      </c>
      <c r="G11" s="19" t="s">
        <v>25</v>
      </c>
      <c r="H11" s="19" t="s">
        <v>25</v>
      </c>
      <c r="I11" s="19" t="s">
        <v>25</v>
      </c>
      <c r="J11" s="19" t="s">
        <v>25</v>
      </c>
      <c r="K11" s="19" t="s">
        <v>25</v>
      </c>
      <c r="L11" s="19" t="s">
        <v>25</v>
      </c>
      <c r="M11" s="19" t="s">
        <v>25</v>
      </c>
      <c r="N11" s="19" t="s">
        <v>25</v>
      </c>
      <c r="O11" s="19" t="s">
        <v>25</v>
      </c>
      <c r="P11" s="19" t="s">
        <v>25</v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 spans="1:33" ht="15.75" customHeight="1" x14ac:dyDescent="0.25">
      <c r="A12" s="7"/>
      <c r="B12" s="17"/>
      <c r="C12" s="20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 spans="1:33" ht="15.75" customHeight="1" x14ac:dyDescent="0.25">
      <c r="A13" s="7" t="s">
        <v>26</v>
      </c>
      <c r="B13" s="17"/>
      <c r="C13" s="18" t="e">
        <f t="shared" ref="C13:Q13" ca="1" si="0">SUM(1*(C2&gt;=$B$2)+1*(C3&gt;=$B$3)+1*(C4&gt;=$B$4)+1*(C5&gt;=$B$5)+1*(C6&gt;=$B$6)+1*(C7&gt;=$B$7)+1*(C8&gt;=$B$8)+1*OR(C9="Y",$B$9="N",$B$9="")+1*OR(C10="Y",$B$10="N",$B$10=""))</f>
        <v>#N/A</v>
      </c>
      <c r="D13" s="19">
        <f t="shared" ca="1" si="0"/>
        <v>8</v>
      </c>
      <c r="E13" s="19">
        <f t="shared" ca="1" si="0"/>
        <v>8</v>
      </c>
      <c r="F13" s="19">
        <f t="shared" ca="1" si="0"/>
        <v>8</v>
      </c>
      <c r="G13" s="19">
        <f t="shared" ca="1" si="0"/>
        <v>8</v>
      </c>
      <c r="H13" s="19">
        <f t="shared" ca="1" si="0"/>
        <v>8</v>
      </c>
      <c r="I13" s="19">
        <f t="shared" ca="1" si="0"/>
        <v>8</v>
      </c>
      <c r="J13" s="19">
        <f t="shared" ca="1" si="0"/>
        <v>9</v>
      </c>
      <c r="K13" s="19">
        <f t="shared" ca="1" si="0"/>
        <v>9</v>
      </c>
      <c r="L13" s="19">
        <f t="shared" ca="1" si="0"/>
        <v>9</v>
      </c>
      <c r="M13" s="19">
        <f t="shared" ca="1" si="0"/>
        <v>8</v>
      </c>
      <c r="N13" s="19">
        <f t="shared" ca="1" si="0"/>
        <v>8</v>
      </c>
      <c r="O13" s="19">
        <f t="shared" ca="1" si="0"/>
        <v>8</v>
      </c>
      <c r="P13" s="19">
        <f t="shared" ca="1" si="0"/>
        <v>8</v>
      </c>
      <c r="Q13" s="19">
        <f t="shared" ca="1" si="0"/>
        <v>8</v>
      </c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 spans="1:33" ht="15.75" customHeight="1" x14ac:dyDescent="0.25">
      <c r="A14" s="7" t="s">
        <v>27</v>
      </c>
      <c r="B14" s="17"/>
      <c r="C14" s="21">
        <f ca="1">IFERROR(VLOOKUP(C1,AllListPrice!$A$2:$D$1000,4,0),0)</f>
        <v>0</v>
      </c>
      <c r="D14" s="22">
        <f ca="1">IFERROR(VLOOKUP(D1,AllListPrice!$A$2:$D$1000,4,0),0)</f>
        <v>383674.39</v>
      </c>
      <c r="E14" s="22">
        <f ca="1">IFERROR(VLOOKUP(E1,AllListPrice!$A$2:$D$1000,4,0),0)</f>
        <v>645324.61</v>
      </c>
      <c r="F14" s="22">
        <f ca="1">IFERROR(VLOOKUP(F1,AllListPrice!$A$2:$D$1000,4,0),0)</f>
        <v>761874.61</v>
      </c>
      <c r="G14" s="22">
        <f ca="1">IFERROR(VLOOKUP(G1,AllListPrice!$A$2:$D$1000,4,0),0)</f>
        <v>32577.06</v>
      </c>
      <c r="H14" s="22">
        <f ca="1">IFERROR(VLOOKUP(H1,AllListPrice!$A$2:$D$1000,4,0),0)</f>
        <v>78416.27</v>
      </c>
      <c r="I14" s="22">
        <f ca="1">IFERROR(VLOOKUP(I1,AllListPrice!$A$2:$D$1000,4,0),0)</f>
        <v>95212.19</v>
      </c>
      <c r="J14" s="22">
        <f ca="1">IFERROR(VLOOKUP(J1,AllListPrice!$A$2:$D$1000,4,0),0)</f>
        <v>95456.27</v>
      </c>
      <c r="K14" s="22">
        <f ca="1">IFERROR(VLOOKUP(K1,AllListPrice!$A$2:$D$1000,4,0),0)</f>
        <v>81871.350000000006</v>
      </c>
      <c r="L14" s="22">
        <f ca="1">IFERROR(VLOOKUP(L1,AllListPrice!$A$2:$D$1000,4,0),0)</f>
        <v>192000</v>
      </c>
      <c r="M14" s="22">
        <f ca="1">IFERROR(VLOOKUP(M1,AllListPrice!$A$2:$D$1000,4,0),0)</f>
        <v>32500</v>
      </c>
      <c r="N14" s="22">
        <f ca="1">IFERROR(VLOOKUP(N1,AllListPrice!$A$2:$D$1000,4,0),0)</f>
        <v>26500</v>
      </c>
      <c r="O14" s="22">
        <f ca="1">IFERROR(VLOOKUP(O1,AllListPrice!$A$2:$D$1000,4,0),0)</f>
        <v>150153.17000000001</v>
      </c>
      <c r="P14" s="22">
        <f ca="1">IFERROR(VLOOKUP(P1,AllListPrice!$A$2:$D$1000,4,0),0)</f>
        <v>59012.02</v>
      </c>
      <c r="Q14" s="22">
        <f ca="1">IFERROR(VLOOKUP(Q1,Cisco!$A$2:$D$1000,4,0),0)</f>
        <v>0</v>
      </c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 spans="1:33" ht="15.75" customHeight="1" x14ac:dyDescent="0.25">
      <c r="A15" s="7" t="s">
        <v>28</v>
      </c>
      <c r="B15" s="17"/>
      <c r="C15" s="18" t="e">
        <f t="shared" ref="C15:Q15" ca="1" si="1">1*(C13=MAX($D$13:$Q$13))</f>
        <v>#N/A</v>
      </c>
      <c r="D15" s="19">
        <f t="shared" ca="1" si="1"/>
        <v>0</v>
      </c>
      <c r="E15" s="19">
        <f t="shared" ca="1" si="1"/>
        <v>0</v>
      </c>
      <c r="F15" s="19">
        <f t="shared" ca="1" si="1"/>
        <v>0</v>
      </c>
      <c r="G15" s="19">
        <f t="shared" ca="1" si="1"/>
        <v>0</v>
      </c>
      <c r="H15" s="19">
        <f t="shared" ca="1" si="1"/>
        <v>0</v>
      </c>
      <c r="I15" s="19">
        <f t="shared" ca="1" si="1"/>
        <v>0</v>
      </c>
      <c r="J15" s="19">
        <f t="shared" ca="1" si="1"/>
        <v>1</v>
      </c>
      <c r="K15" s="19">
        <f t="shared" ca="1" si="1"/>
        <v>1</v>
      </c>
      <c r="L15" s="19">
        <f t="shared" ca="1" si="1"/>
        <v>1</v>
      </c>
      <c r="M15" s="19">
        <f t="shared" ca="1" si="1"/>
        <v>0</v>
      </c>
      <c r="N15" s="19">
        <f t="shared" ca="1" si="1"/>
        <v>0</v>
      </c>
      <c r="O15" s="19">
        <f t="shared" ca="1" si="1"/>
        <v>0</v>
      </c>
      <c r="P15" s="19">
        <f t="shared" ca="1" si="1"/>
        <v>0</v>
      </c>
      <c r="Q15" s="19">
        <f t="shared" ca="1" si="1"/>
        <v>0</v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 spans="1:33" ht="15.75" customHeight="1" x14ac:dyDescent="0.25">
      <c r="A16" s="7" t="s">
        <v>29</v>
      </c>
      <c r="B16" s="17"/>
      <c r="C16" s="18" t="e">
        <f t="shared" ref="C16:Q16" ca="1" si="2">C15*(C14=_xludf.minifs($D$14:$Q$14,$D$15:$Q$15,1))</f>
        <v>#N/A</v>
      </c>
      <c r="D16" s="19" t="e">
        <f t="shared" ca="1" si="2"/>
        <v>#NAME?</v>
      </c>
      <c r="E16" s="19" t="e">
        <f t="shared" ca="1" si="2"/>
        <v>#NAME?</v>
      </c>
      <c r="F16" s="19" t="e">
        <f t="shared" ca="1" si="2"/>
        <v>#NAME?</v>
      </c>
      <c r="G16" s="19" t="e">
        <f t="shared" ca="1" si="2"/>
        <v>#NAME?</v>
      </c>
      <c r="H16" s="19" t="e">
        <f t="shared" ca="1" si="2"/>
        <v>#NAME?</v>
      </c>
      <c r="I16" s="19" t="e">
        <f t="shared" ca="1" si="2"/>
        <v>#NAME?</v>
      </c>
      <c r="J16" s="19" t="e">
        <f t="shared" ca="1" si="2"/>
        <v>#NAME?</v>
      </c>
      <c r="K16" s="19" t="e">
        <f t="shared" ca="1" si="2"/>
        <v>#NAME?</v>
      </c>
      <c r="L16" s="19" t="e">
        <f t="shared" ca="1" si="2"/>
        <v>#NAME?</v>
      </c>
      <c r="M16" s="19" t="e">
        <f t="shared" ca="1" si="2"/>
        <v>#NAME?</v>
      </c>
      <c r="N16" s="19" t="e">
        <f t="shared" ca="1" si="2"/>
        <v>#NAME?</v>
      </c>
      <c r="O16" s="19" t="e">
        <f t="shared" ca="1" si="2"/>
        <v>#NAME?</v>
      </c>
      <c r="P16" s="19" t="e">
        <f t="shared" ca="1" si="2"/>
        <v>#NAME?</v>
      </c>
      <c r="Q16" s="19" t="e">
        <f t="shared" ca="1" si="2"/>
        <v>#NAME?</v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 spans="1:33" ht="15.75" customHeight="1" x14ac:dyDescent="0.25">
      <c r="A17" s="7" t="s">
        <v>30</v>
      </c>
      <c r="B17" s="17"/>
      <c r="C17" s="18" t="e">
        <f t="shared" ref="C17:Q17" ca="1" si="3">(1-($C$1=C1))*(C15=1)</f>
        <v>#N/A</v>
      </c>
      <c r="D17" s="19" t="e">
        <f t="shared" ca="1" si="3"/>
        <v>#N/A</v>
      </c>
      <c r="E17" s="19" t="e">
        <f t="shared" ca="1" si="3"/>
        <v>#N/A</v>
      </c>
      <c r="F17" s="19" t="e">
        <f t="shared" ca="1" si="3"/>
        <v>#N/A</v>
      </c>
      <c r="G17" s="19" t="e">
        <f t="shared" ca="1" si="3"/>
        <v>#N/A</v>
      </c>
      <c r="H17" s="19" t="e">
        <f t="shared" ca="1" si="3"/>
        <v>#N/A</v>
      </c>
      <c r="I17" s="19" t="e">
        <f t="shared" ca="1" si="3"/>
        <v>#N/A</v>
      </c>
      <c r="J17" s="19" t="e">
        <f t="shared" ca="1" si="3"/>
        <v>#N/A</v>
      </c>
      <c r="K17" s="19" t="e">
        <f t="shared" ca="1" si="3"/>
        <v>#N/A</v>
      </c>
      <c r="L17" s="19" t="e">
        <f t="shared" ca="1" si="3"/>
        <v>#N/A</v>
      </c>
      <c r="M17" s="19" t="e">
        <f t="shared" ca="1" si="3"/>
        <v>#N/A</v>
      </c>
      <c r="N17" s="19" t="e">
        <f t="shared" ca="1" si="3"/>
        <v>#N/A</v>
      </c>
      <c r="O17" s="19" t="e">
        <f t="shared" ca="1" si="3"/>
        <v>#N/A</v>
      </c>
      <c r="P17" s="19" t="e">
        <f t="shared" ca="1" si="3"/>
        <v>#N/A</v>
      </c>
      <c r="Q17" s="19" t="e">
        <f t="shared" ca="1" si="3"/>
        <v>#N/A</v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 spans="1:33" ht="15.75" customHeight="1" x14ac:dyDescent="0.25">
      <c r="A18" s="7"/>
      <c r="B18" s="17"/>
      <c r="C18" s="20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1:33" x14ac:dyDescent="0.3">
      <c r="A19" s="16" t="s">
        <v>31</v>
      </c>
      <c r="B19" s="17"/>
      <c r="C19" s="23" t="str">
        <f ca="1">IFERROR(__xludf.DUMMYFUNCTION("iferror(filter(D1:Q1,$D$17:$Q$17=1),"""")"),"N9K-C93360YC-FX2")</f>
        <v>N9K-C93360YC-FX2</v>
      </c>
      <c r="D19" s="7" t="str">
        <f ca="1">IFERROR(__xludf.DUMMYFUNCTION("""COMPUTED_VALUE"""),"N9K-C93180YC-FX3")</f>
        <v>N9K-C93180YC-FX3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1:33" ht="12.5" x14ac:dyDescent="0.25">
      <c r="A20" s="7" t="str">
        <f t="shared" ref="A20:B20" si="4">A2</f>
        <v>Switching Bandwidth - Full Duplex (Gbps)</v>
      </c>
      <c r="B20" s="27" t="str">
        <f t="shared" ca="1" si="4"/>
        <v/>
      </c>
      <c r="C20" s="20" t="str">
        <f ca="1">IFERROR(__xludf.DUMMYFUNCTION("iferror(filter(D2:Q2,$D$17:$Q$17=1),"""")"),"")</f>
        <v/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 spans="1:33" ht="12.5" x14ac:dyDescent="0.25">
      <c r="A21" s="7" t="str">
        <f t="shared" ref="A21:B21" si="5">A3</f>
        <v>Forwarding Capacity (Mpps)</v>
      </c>
      <c r="B21" s="27">
        <f t="shared" si="5"/>
        <v>0</v>
      </c>
      <c r="C21" s="20" t="str">
        <f ca="1">IFERROR(__xludf.DUMMYFUNCTION("iferror(filter(D3:Q3,$D$17:$Q$17=1),"""")"),"")</f>
        <v/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 spans="1:33" ht="12.5" x14ac:dyDescent="0.25">
      <c r="A22" s="7" t="str">
        <f t="shared" ref="A22:B22" si="6">A4</f>
        <v>Số lượng cổng 1GE đồng</v>
      </c>
      <c r="B22" s="27">
        <f t="shared" si="6"/>
        <v>0</v>
      </c>
      <c r="C22" s="18" t="str">
        <f ca="1">IFERROR(__xludf.DUMMYFUNCTION("iferror(filter(D4:Q4,$D$17:$Q$17=1),"""")"),"")</f>
        <v/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 spans="1:33" ht="12.5" x14ac:dyDescent="0.25">
      <c r="A23" s="7" t="str">
        <f t="shared" ref="A23:B23" si="7">A5</f>
        <v>Số lượng cổng 1GE SFP</v>
      </c>
      <c r="B23" s="27">
        <f t="shared" si="7"/>
        <v>0</v>
      </c>
      <c r="C23" s="20">
        <f ca="1">IFERROR(__xludf.DUMMYFUNCTION("iferror(filter(D5:Q5,$D$17:$Q$17=1),"""")"),96)</f>
        <v>96</v>
      </c>
      <c r="D23" s="7">
        <f ca="1">IFERROR(__xludf.DUMMYFUNCTION("""COMPUTED_VALUE"""),48)</f>
        <v>48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 spans="1:33" ht="12.5" x14ac:dyDescent="0.25">
      <c r="A24" s="7" t="str">
        <f t="shared" ref="A24:B24" si="8">A6</f>
        <v>Số lượng cổng 10GE đồng</v>
      </c>
      <c r="B24" s="27">
        <f t="shared" si="8"/>
        <v>0</v>
      </c>
      <c r="C24" s="18" t="str">
        <f ca="1">IFERROR(__xludf.DUMMYFUNCTION("iferror(filter(D6:Q6,$D$17:$Q$17=1),"""")"),"")</f>
        <v/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 spans="1:33" ht="12.5" x14ac:dyDescent="0.25">
      <c r="A25" s="7" t="str">
        <f t="shared" ref="A25:B25" si="9">A7</f>
        <v>Số lượng cổng 10GE quang</v>
      </c>
      <c r="B25" s="17">
        <f t="shared" ca="1" si="9"/>
        <v>8</v>
      </c>
      <c r="C25" s="20">
        <f ca="1">IFERROR(__xludf.DUMMYFUNCTION("iferror(filter(D7:Q7,$D$17:$Q$17=1),"""")"),96)</f>
        <v>96</v>
      </c>
      <c r="D25" s="7">
        <f ca="1">IFERROR(__xludf.DUMMYFUNCTION("""COMPUTED_VALUE"""),48)</f>
        <v>48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 spans="1:33" ht="12.5" x14ac:dyDescent="0.25">
      <c r="A26" s="7" t="str">
        <f t="shared" ref="A26:B26" si="10">A8</f>
        <v>Số lượng cổng 100GE</v>
      </c>
      <c r="B26" s="17">
        <f t="shared" si="10"/>
        <v>0</v>
      </c>
      <c r="C26" s="18">
        <f ca="1">IFERROR(__xludf.DUMMYFUNCTION("iferror(filter(D8:Q8,$D$17:$Q$17=1),"""")"),12)</f>
        <v>12</v>
      </c>
      <c r="D26" s="7">
        <f ca="1">IFERROR(__xludf.DUMMYFUNCTION("""COMPUTED_VALUE"""),6)</f>
        <v>6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 spans="1:33" ht="12.5" x14ac:dyDescent="0.25">
      <c r="A27" s="7" t="str">
        <f t="shared" ref="A27:B27" si="11">A9</f>
        <v>Stacking (Y/N)</v>
      </c>
      <c r="B27" s="27">
        <f t="shared" si="11"/>
        <v>0</v>
      </c>
      <c r="C27" s="20" t="str">
        <f ca="1">IFERROR(__xludf.DUMMYFUNCTION("iferror(filter(D9:Q9,$D$17:$Q$17=1),"""")"),"")</f>
        <v/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 spans="1:33" ht="12.5" x14ac:dyDescent="0.25">
      <c r="A28" s="7" t="str">
        <f>A10</f>
        <v>PoE (Y/N)</v>
      </c>
      <c r="B28" s="17"/>
      <c r="C28" s="20" t="str">
        <f ca="1">IFERROR(__xludf.DUMMYFUNCTION("iferror(filter(#REF!,#REF!=1),"""")"),"")</f>
        <v/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 spans="1:33" ht="12.5" x14ac:dyDescent="0.25">
      <c r="A29" s="7"/>
      <c r="B29" s="17"/>
      <c r="C29" s="2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 spans="1:33" ht="12.5" x14ac:dyDescent="0.25">
      <c r="A30" s="7"/>
      <c r="B30" s="17"/>
      <c r="C30" s="20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 spans="1:33" ht="12.5" x14ac:dyDescent="0.25">
      <c r="A31" s="7"/>
      <c r="B31" s="17"/>
      <c r="C31" s="20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 spans="1:33" ht="12.5" x14ac:dyDescent="0.25">
      <c r="A32" s="7"/>
      <c r="B32" s="17"/>
      <c r="C32" s="20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 spans="1:33" ht="12.5" x14ac:dyDescent="0.25">
      <c r="A33" s="7"/>
      <c r="B33" s="17"/>
      <c r="C33" s="20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 spans="1:33" ht="12.5" x14ac:dyDescent="0.25">
      <c r="A34" s="7"/>
      <c r="B34" s="17"/>
      <c r="C34" s="20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 spans="1:33" ht="12.5" x14ac:dyDescent="0.25">
      <c r="A35" s="7"/>
      <c r="B35" s="17"/>
      <c r="C35" s="20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 spans="1:33" ht="12.5" x14ac:dyDescent="0.25">
      <c r="A36" s="7"/>
      <c r="B36" s="17"/>
      <c r="C36" s="20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 spans="1:33" ht="12.5" x14ac:dyDescent="0.25">
      <c r="A37" s="7"/>
      <c r="B37" s="17"/>
      <c r="C37" s="20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 spans="1:33" ht="12.5" x14ac:dyDescent="0.25">
      <c r="A38" s="7"/>
      <c r="B38" s="17"/>
      <c r="C38" s="20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spans="1:33" ht="12.5" x14ac:dyDescent="0.25">
      <c r="A39" s="7"/>
      <c r="B39" s="17"/>
      <c r="C39" s="2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1:33" ht="12.5" x14ac:dyDescent="0.25">
      <c r="A40" s="7"/>
      <c r="B40" s="17"/>
      <c r="C40" s="2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spans="1:33" ht="12.5" x14ac:dyDescent="0.25">
      <c r="A41" s="7"/>
      <c r="B41" s="17"/>
      <c r="C41" s="20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spans="1:33" ht="12.5" x14ac:dyDescent="0.25">
      <c r="A42" s="7"/>
      <c r="B42" s="17"/>
      <c r="C42" s="20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spans="1:33" ht="12.5" x14ac:dyDescent="0.25">
      <c r="A43" s="7"/>
      <c r="B43" s="17"/>
      <c r="C43" s="2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spans="1:33" ht="12.5" x14ac:dyDescent="0.25">
      <c r="A44" s="7"/>
      <c r="B44" s="17"/>
      <c r="C44" s="2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spans="1:33" ht="12.5" x14ac:dyDescent="0.25">
      <c r="A45" s="7"/>
      <c r="B45" s="17"/>
      <c r="C45" s="20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spans="1:33" ht="12.5" x14ac:dyDescent="0.25">
      <c r="A46" s="7"/>
      <c r="B46" s="17"/>
      <c r="C46" s="20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1:33" ht="12.5" x14ac:dyDescent="0.25">
      <c r="A47" s="7"/>
      <c r="B47" s="17"/>
      <c r="C47" s="20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1:33" ht="12.5" x14ac:dyDescent="0.25">
      <c r="A48" s="7"/>
      <c r="B48" s="17"/>
      <c r="C48" s="20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1:33" ht="12.5" x14ac:dyDescent="0.25">
      <c r="A49" s="7"/>
      <c r="B49" s="17"/>
      <c r="C49" s="20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 spans="1:33" ht="12.5" x14ac:dyDescent="0.25">
      <c r="A50" s="7"/>
      <c r="B50" s="17"/>
      <c r="C50" s="20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 spans="1:33" ht="12.5" x14ac:dyDescent="0.25">
      <c r="A51" s="7"/>
      <c r="B51" s="17"/>
      <c r="C51" s="2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 spans="1:33" ht="12.5" x14ac:dyDescent="0.25">
      <c r="A52" s="7"/>
      <c r="B52" s="17"/>
      <c r="C52" s="2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 spans="1:33" ht="12.5" x14ac:dyDescent="0.25">
      <c r="A53" s="7"/>
      <c r="B53" s="17"/>
      <c r="C53" s="20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 spans="1:33" ht="12.5" x14ac:dyDescent="0.25">
      <c r="A54" s="7"/>
      <c r="B54" s="17"/>
      <c r="C54" s="20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 spans="1:33" ht="12.5" x14ac:dyDescent="0.25">
      <c r="A55" s="7"/>
      <c r="B55" s="17"/>
      <c r="C55" s="2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 spans="1:33" ht="12.5" x14ac:dyDescent="0.25">
      <c r="A56" s="7"/>
      <c r="B56" s="17"/>
      <c r="C56" s="20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 spans="1:33" ht="12.5" x14ac:dyDescent="0.25">
      <c r="A57" s="7"/>
      <c r="B57" s="17"/>
      <c r="C57" s="20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 spans="1:33" ht="12.5" x14ac:dyDescent="0.25">
      <c r="A58" s="7"/>
      <c r="B58" s="17"/>
      <c r="C58" s="20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 spans="1:33" ht="12.5" x14ac:dyDescent="0.25">
      <c r="A59" s="7"/>
      <c r="B59" s="17"/>
      <c r="C59" s="20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 spans="1:33" ht="12.5" x14ac:dyDescent="0.25">
      <c r="A60" s="7"/>
      <c r="B60" s="17"/>
      <c r="C60" s="20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 spans="1:33" ht="12.5" x14ac:dyDescent="0.25">
      <c r="A61" s="7"/>
      <c r="B61" s="17"/>
      <c r="C61" s="20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 spans="1:33" ht="12.5" x14ac:dyDescent="0.25">
      <c r="A62" s="7"/>
      <c r="B62" s="17"/>
      <c r="C62" s="20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 spans="1:33" ht="12.5" x14ac:dyDescent="0.25">
      <c r="A63" s="7"/>
      <c r="B63" s="17"/>
      <c r="C63" s="20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 spans="1:33" ht="12.5" x14ac:dyDescent="0.25">
      <c r="A64" s="7"/>
      <c r="B64" s="17"/>
      <c r="C64" s="20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 spans="1:33" ht="12.5" x14ac:dyDescent="0.25">
      <c r="A65" s="7"/>
      <c r="B65" s="17"/>
      <c r="C65" s="20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 spans="1:33" ht="12.5" x14ac:dyDescent="0.25">
      <c r="A66" s="7"/>
      <c r="B66" s="17"/>
      <c r="C66" s="20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 spans="1:33" ht="12.5" x14ac:dyDescent="0.25">
      <c r="A67" s="7"/>
      <c r="B67" s="17"/>
      <c r="C67" s="20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 spans="1:33" ht="12.5" x14ac:dyDescent="0.25">
      <c r="A68" s="7"/>
      <c r="B68" s="17"/>
      <c r="C68" s="20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 spans="1:33" ht="12.5" x14ac:dyDescent="0.25">
      <c r="A69" s="7"/>
      <c r="B69" s="17"/>
      <c r="C69" s="20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 spans="1:33" ht="12.5" x14ac:dyDescent="0.25">
      <c r="A70" s="7"/>
      <c r="B70" s="17"/>
      <c r="C70" s="20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 spans="1:33" ht="12.5" x14ac:dyDescent="0.25">
      <c r="A71" s="7"/>
      <c r="B71" s="17"/>
      <c r="C71" s="20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 spans="1:33" ht="12.5" x14ac:dyDescent="0.25">
      <c r="A72" s="7"/>
      <c r="B72" s="17"/>
      <c r="C72" s="20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 spans="1:33" ht="12.5" x14ac:dyDescent="0.25">
      <c r="A73" s="7"/>
      <c r="B73" s="17"/>
      <c r="C73" s="20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 spans="1:33" ht="12.5" x14ac:dyDescent="0.25">
      <c r="A74" s="7"/>
      <c r="B74" s="17"/>
      <c r="C74" s="20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 spans="1:33" ht="12.5" x14ac:dyDescent="0.25">
      <c r="A75" s="7"/>
      <c r="B75" s="17"/>
      <c r="C75" s="20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 spans="1:33" ht="12.5" x14ac:dyDescent="0.25">
      <c r="A76" s="7"/>
      <c r="B76" s="17"/>
      <c r="C76" s="20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 spans="1:33" ht="12.5" x14ac:dyDescent="0.25">
      <c r="A77" s="7"/>
      <c r="B77" s="17"/>
      <c r="C77" s="20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 spans="1:33" ht="12.5" x14ac:dyDescent="0.25">
      <c r="A78" s="7"/>
      <c r="B78" s="17"/>
      <c r="C78" s="20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 spans="1:33" ht="12.5" x14ac:dyDescent="0.25">
      <c r="A79" s="7"/>
      <c r="B79" s="17"/>
      <c r="C79" s="20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 spans="1:33" ht="12.5" x14ac:dyDescent="0.25">
      <c r="A80" s="7"/>
      <c r="B80" s="17"/>
      <c r="C80" s="20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2.5" x14ac:dyDescent="0.25">
      <c r="A81" s="7"/>
      <c r="B81" s="17"/>
      <c r="C81" s="20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2.5" x14ac:dyDescent="0.25">
      <c r="A82" s="7"/>
      <c r="B82" s="17"/>
      <c r="C82" s="20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2.5" x14ac:dyDescent="0.25">
      <c r="A83" s="7"/>
      <c r="B83" s="17"/>
      <c r="C83" s="20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 spans="1:33" ht="12.5" x14ac:dyDescent="0.25">
      <c r="A84" s="7"/>
      <c r="B84" s="17"/>
      <c r="C84" s="20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 spans="1:33" ht="12.5" x14ac:dyDescent="0.25">
      <c r="A85" s="7"/>
      <c r="B85" s="17"/>
      <c r="C85" s="20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 spans="1:33" ht="12.5" x14ac:dyDescent="0.25">
      <c r="A86" s="7"/>
      <c r="B86" s="17"/>
      <c r="C86" s="20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 spans="1:33" ht="12.5" x14ac:dyDescent="0.25">
      <c r="A87" s="7"/>
      <c r="B87" s="17"/>
      <c r="C87" s="20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 spans="1:33" ht="12.5" x14ac:dyDescent="0.25">
      <c r="A88" s="7"/>
      <c r="B88" s="17"/>
      <c r="C88" s="20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 spans="1:33" ht="12.5" x14ac:dyDescent="0.25">
      <c r="A89" s="7"/>
      <c r="B89" s="17"/>
      <c r="C89" s="20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 spans="1:33" ht="12.5" x14ac:dyDescent="0.25">
      <c r="A90" s="7"/>
      <c r="B90" s="17"/>
      <c r="C90" s="20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 spans="1:33" ht="12.5" x14ac:dyDescent="0.25">
      <c r="A91" s="7"/>
      <c r="B91" s="17"/>
      <c r="C91" s="20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 spans="1:33" ht="12.5" x14ac:dyDescent="0.25">
      <c r="A92" s="7"/>
      <c r="B92" s="17"/>
      <c r="C92" s="20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 spans="1:33" ht="12.5" x14ac:dyDescent="0.25">
      <c r="A93" s="7"/>
      <c r="B93" s="17"/>
      <c r="C93" s="20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 spans="1:33" ht="12.5" x14ac:dyDescent="0.25">
      <c r="A94" s="7"/>
      <c r="B94" s="17"/>
      <c r="C94" s="20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 spans="1:33" ht="12.5" x14ac:dyDescent="0.25">
      <c r="A95" s="7"/>
      <c r="B95" s="17"/>
      <c r="C95" s="20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 spans="1:33" ht="12.5" x14ac:dyDescent="0.25">
      <c r="A96" s="7"/>
      <c r="B96" s="17"/>
      <c r="C96" s="20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 spans="1:33" ht="12.5" x14ac:dyDescent="0.25">
      <c r="A97" s="7"/>
      <c r="B97" s="17"/>
      <c r="C97" s="20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 spans="1:33" ht="12.5" x14ac:dyDescent="0.25">
      <c r="A98" s="7"/>
      <c r="B98" s="17"/>
      <c r="C98" s="20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 spans="1:33" ht="12.5" x14ac:dyDescent="0.25">
      <c r="A99" s="7"/>
      <c r="B99" s="17"/>
      <c r="C99" s="20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 spans="1:33" ht="12.5" x14ac:dyDescent="0.25">
      <c r="A100" s="7"/>
      <c r="B100" s="17"/>
      <c r="C100" s="20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 spans="1:33" ht="12.5" x14ac:dyDescent="0.25">
      <c r="A101" s="7"/>
      <c r="B101" s="17"/>
      <c r="C101" s="20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 spans="1:33" ht="12.5" x14ac:dyDescent="0.25">
      <c r="A102" s="7"/>
      <c r="B102" s="17"/>
      <c r="C102" s="20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 spans="1:33" ht="12.5" x14ac:dyDescent="0.25">
      <c r="A103" s="7"/>
      <c r="B103" s="17"/>
      <c r="C103" s="20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 spans="1:33" ht="12.5" x14ac:dyDescent="0.25">
      <c r="A104" s="7"/>
      <c r="B104" s="17"/>
      <c r="C104" s="20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 spans="1:33" ht="12.5" x14ac:dyDescent="0.25">
      <c r="A105" s="7"/>
      <c r="B105" s="17"/>
      <c r="C105" s="20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 spans="1:33" ht="12.5" x14ac:dyDescent="0.25">
      <c r="A106" s="7"/>
      <c r="B106" s="17"/>
      <c r="C106" s="20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 spans="1:33" ht="12.5" x14ac:dyDescent="0.25">
      <c r="A107" s="7"/>
      <c r="B107" s="17"/>
      <c r="C107" s="20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 spans="1:33" ht="12.5" x14ac:dyDescent="0.25">
      <c r="A108" s="7"/>
      <c r="B108" s="17"/>
      <c r="C108" s="20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 spans="1:33" ht="12.5" x14ac:dyDescent="0.25">
      <c r="A109" s="7"/>
      <c r="B109" s="17"/>
      <c r="C109" s="20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 spans="1:33" ht="12.5" x14ac:dyDescent="0.25">
      <c r="A110" s="7"/>
      <c r="B110" s="17"/>
      <c r="C110" s="20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 spans="1:33" ht="12.5" x14ac:dyDescent="0.25">
      <c r="A111" s="7"/>
      <c r="B111" s="17"/>
      <c r="C111" s="20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 spans="1:33" ht="12.5" x14ac:dyDescent="0.25">
      <c r="A112" s="7"/>
      <c r="B112" s="17"/>
      <c r="C112" s="20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 spans="1:33" ht="12.5" x14ac:dyDescent="0.25">
      <c r="A113" s="7"/>
      <c r="B113" s="17"/>
      <c r="C113" s="20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 spans="1:33" ht="12.5" x14ac:dyDescent="0.25">
      <c r="A114" s="7"/>
      <c r="B114" s="17"/>
      <c r="C114" s="20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 spans="1:33" ht="12.5" x14ac:dyDescent="0.25">
      <c r="A115" s="7"/>
      <c r="B115" s="17"/>
      <c r="C115" s="20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 spans="1:33" ht="12.5" x14ac:dyDescent="0.25">
      <c r="A116" s="7"/>
      <c r="B116" s="17"/>
      <c r="C116" s="20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 spans="1:33" ht="12.5" x14ac:dyDescent="0.25">
      <c r="A117" s="7"/>
      <c r="B117" s="17"/>
      <c r="C117" s="20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 spans="1:33" ht="12.5" x14ac:dyDescent="0.25">
      <c r="A118" s="7"/>
      <c r="B118" s="17"/>
      <c r="C118" s="20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 spans="1:33" ht="12.5" x14ac:dyDescent="0.25">
      <c r="A119" s="7"/>
      <c r="B119" s="17"/>
      <c r="C119" s="20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 spans="1:33" ht="12.5" x14ac:dyDescent="0.25">
      <c r="A120" s="7"/>
      <c r="B120" s="17"/>
      <c r="C120" s="20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 spans="1:33" ht="12.5" x14ac:dyDescent="0.25">
      <c r="A121" s="7"/>
      <c r="B121" s="17"/>
      <c r="C121" s="20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 spans="1:33" ht="12.5" x14ac:dyDescent="0.25">
      <c r="A122" s="7"/>
      <c r="B122" s="17"/>
      <c r="C122" s="20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 spans="1:33" ht="12.5" x14ac:dyDescent="0.25">
      <c r="A123" s="7"/>
      <c r="B123" s="17"/>
      <c r="C123" s="20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 spans="1:33" ht="12.5" x14ac:dyDescent="0.25">
      <c r="A124" s="7"/>
      <c r="B124" s="17"/>
      <c r="C124" s="20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 spans="1:33" ht="12.5" x14ac:dyDescent="0.25">
      <c r="A125" s="7"/>
      <c r="B125" s="17"/>
      <c r="C125" s="20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 spans="1:33" ht="12.5" x14ac:dyDescent="0.25">
      <c r="A126" s="7"/>
      <c r="B126" s="17"/>
      <c r="C126" s="20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 spans="1:33" ht="12.5" x14ac:dyDescent="0.25">
      <c r="A127" s="7"/>
      <c r="B127" s="17"/>
      <c r="C127" s="20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 spans="1:33" ht="12.5" x14ac:dyDescent="0.25">
      <c r="A128" s="7"/>
      <c r="B128" s="17"/>
      <c r="C128" s="20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 spans="1:33" ht="12.5" x14ac:dyDescent="0.25">
      <c r="A129" s="7"/>
      <c r="B129" s="17"/>
      <c r="C129" s="20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 spans="1:33" ht="12.5" x14ac:dyDescent="0.25">
      <c r="A130" s="7"/>
      <c r="B130" s="17"/>
      <c r="C130" s="20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 spans="1:33" ht="12.5" x14ac:dyDescent="0.25">
      <c r="A131" s="7"/>
      <c r="B131" s="17"/>
      <c r="C131" s="20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 spans="1:33" ht="12.5" x14ac:dyDescent="0.25">
      <c r="A132" s="7"/>
      <c r="B132" s="17"/>
      <c r="C132" s="20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 spans="1:33" ht="12.5" x14ac:dyDescent="0.25">
      <c r="A133" s="7"/>
      <c r="B133" s="17"/>
      <c r="C133" s="20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 spans="1:33" ht="12.5" x14ac:dyDescent="0.25">
      <c r="A134" s="7"/>
      <c r="B134" s="17"/>
      <c r="C134" s="20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 spans="1:33" ht="12.5" x14ac:dyDescent="0.25">
      <c r="A135" s="7"/>
      <c r="B135" s="17"/>
      <c r="C135" s="20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 spans="1:33" ht="12.5" x14ac:dyDescent="0.25">
      <c r="A136" s="7"/>
      <c r="B136" s="17"/>
      <c r="C136" s="20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 spans="1:33" ht="12.5" x14ac:dyDescent="0.25">
      <c r="A137" s="7"/>
      <c r="B137" s="17"/>
      <c r="C137" s="20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 spans="1:33" ht="12.5" x14ac:dyDescent="0.25">
      <c r="A138" s="7"/>
      <c r="B138" s="17"/>
      <c r="C138" s="20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 spans="1:33" ht="12.5" x14ac:dyDescent="0.25">
      <c r="A139" s="7"/>
      <c r="B139" s="17"/>
      <c r="C139" s="20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 spans="1:33" ht="12.5" x14ac:dyDescent="0.25">
      <c r="A140" s="7"/>
      <c r="B140" s="17"/>
      <c r="C140" s="20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 spans="1:33" ht="12.5" x14ac:dyDescent="0.25">
      <c r="A141" s="7"/>
      <c r="B141" s="17"/>
      <c r="C141" s="20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 spans="1:33" ht="12.5" x14ac:dyDescent="0.25">
      <c r="A142" s="7"/>
      <c r="B142" s="17"/>
      <c r="C142" s="20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 spans="1:33" ht="12.5" x14ac:dyDescent="0.25">
      <c r="A143" s="7"/>
      <c r="B143" s="17"/>
      <c r="C143" s="20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 spans="1:33" ht="12.5" x14ac:dyDescent="0.25">
      <c r="A144" s="7"/>
      <c r="B144" s="17"/>
      <c r="C144" s="20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 spans="1:33" ht="12.5" x14ac:dyDescent="0.25">
      <c r="A145" s="7"/>
      <c r="B145" s="17"/>
      <c r="C145" s="20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 spans="1:33" ht="12.5" x14ac:dyDescent="0.25">
      <c r="A146" s="7"/>
      <c r="B146" s="17"/>
      <c r="C146" s="20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 spans="1:33" ht="12.5" x14ac:dyDescent="0.25">
      <c r="A147" s="7"/>
      <c r="B147" s="17"/>
      <c r="C147" s="20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 spans="1:33" ht="12.5" x14ac:dyDescent="0.25">
      <c r="A148" s="7"/>
      <c r="B148" s="17"/>
      <c r="C148" s="20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 spans="1:33" ht="12.5" x14ac:dyDescent="0.25">
      <c r="A149" s="7"/>
      <c r="B149" s="17"/>
      <c r="C149" s="20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 spans="1:33" ht="12.5" x14ac:dyDescent="0.25">
      <c r="A150" s="7"/>
      <c r="B150" s="17"/>
      <c r="C150" s="20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 spans="1:33" ht="12.5" x14ac:dyDescent="0.25">
      <c r="A151" s="7"/>
      <c r="B151" s="17"/>
      <c r="C151" s="20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 spans="1:33" ht="12.5" x14ac:dyDescent="0.25">
      <c r="A152" s="7"/>
      <c r="B152" s="17"/>
      <c r="C152" s="20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 spans="1:33" ht="12.5" x14ac:dyDescent="0.25">
      <c r="A153" s="7"/>
      <c r="B153" s="17"/>
      <c r="C153" s="20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 spans="1:33" ht="12.5" x14ac:dyDescent="0.25">
      <c r="A154" s="7"/>
      <c r="B154" s="17"/>
      <c r="C154" s="20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 spans="1:33" ht="12.5" x14ac:dyDescent="0.25">
      <c r="A155" s="7"/>
      <c r="B155" s="17"/>
      <c r="C155" s="20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 spans="1:33" ht="12.5" x14ac:dyDescent="0.25">
      <c r="A156" s="7"/>
      <c r="B156" s="17"/>
      <c r="C156" s="20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 spans="1:33" ht="12.5" x14ac:dyDescent="0.25">
      <c r="A157" s="7"/>
      <c r="B157" s="17"/>
      <c r="C157" s="20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 spans="1:33" ht="12.5" x14ac:dyDescent="0.25">
      <c r="A158" s="7"/>
      <c r="B158" s="17"/>
      <c r="C158" s="20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 spans="1:33" ht="12.5" x14ac:dyDescent="0.25">
      <c r="A159" s="7"/>
      <c r="B159" s="17"/>
      <c r="C159" s="20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 spans="1:33" ht="12.5" x14ac:dyDescent="0.25">
      <c r="A160" s="7"/>
      <c r="B160" s="17"/>
      <c r="C160" s="20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 spans="1:33" ht="12.5" x14ac:dyDescent="0.25">
      <c r="A161" s="7"/>
      <c r="B161" s="17"/>
      <c r="C161" s="20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 spans="1:33" ht="12.5" x14ac:dyDescent="0.25">
      <c r="A162" s="7"/>
      <c r="B162" s="17"/>
      <c r="C162" s="20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 spans="1:33" ht="12.5" x14ac:dyDescent="0.25">
      <c r="A163" s="7"/>
      <c r="B163" s="17"/>
      <c r="C163" s="20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 spans="1:33" ht="12.5" x14ac:dyDescent="0.25">
      <c r="A164" s="7"/>
      <c r="B164" s="17"/>
      <c r="C164" s="20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 spans="1:33" ht="12.5" x14ac:dyDescent="0.25">
      <c r="A165" s="7"/>
      <c r="B165" s="17"/>
      <c r="C165" s="20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 spans="1:33" ht="12.5" x14ac:dyDescent="0.25">
      <c r="A166" s="7"/>
      <c r="B166" s="17"/>
      <c r="C166" s="20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 spans="1:33" ht="12.5" x14ac:dyDescent="0.25">
      <c r="A167" s="7"/>
      <c r="B167" s="17"/>
      <c r="C167" s="20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 spans="1:33" ht="12.5" x14ac:dyDescent="0.25">
      <c r="A168" s="7"/>
      <c r="B168" s="17"/>
      <c r="C168" s="20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 spans="1:33" ht="12.5" x14ac:dyDescent="0.25">
      <c r="A169" s="7"/>
      <c r="B169" s="17"/>
      <c r="C169" s="20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 spans="1:33" ht="12.5" x14ac:dyDescent="0.25">
      <c r="A170" s="7"/>
      <c r="B170" s="17"/>
      <c r="C170" s="20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 spans="1:33" ht="12.5" x14ac:dyDescent="0.25">
      <c r="A171" s="7"/>
      <c r="B171" s="17"/>
      <c r="C171" s="20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 spans="1:33" ht="12.5" x14ac:dyDescent="0.25">
      <c r="A172" s="7"/>
      <c r="B172" s="17"/>
      <c r="C172" s="20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 spans="1:33" ht="12.5" x14ac:dyDescent="0.25">
      <c r="A173" s="7"/>
      <c r="B173" s="17"/>
      <c r="C173" s="20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 spans="1:33" ht="12.5" x14ac:dyDescent="0.25">
      <c r="A174" s="7"/>
      <c r="B174" s="17"/>
      <c r="C174" s="20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 spans="1:33" ht="12.5" x14ac:dyDescent="0.25">
      <c r="A175" s="7"/>
      <c r="B175" s="17"/>
      <c r="C175" s="20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 spans="1:33" ht="12.5" x14ac:dyDescent="0.25">
      <c r="A176" s="7"/>
      <c r="B176" s="17"/>
      <c r="C176" s="20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 spans="1:33" ht="12.5" x14ac:dyDescent="0.25">
      <c r="A177" s="7"/>
      <c r="B177" s="17"/>
      <c r="C177" s="20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 spans="1:33" ht="12.5" x14ac:dyDescent="0.25">
      <c r="A178" s="7"/>
      <c r="B178" s="17"/>
      <c r="C178" s="20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 spans="1:33" ht="12.5" x14ac:dyDescent="0.25">
      <c r="A179" s="7"/>
      <c r="B179" s="17"/>
      <c r="C179" s="20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 spans="1:33" ht="12.5" x14ac:dyDescent="0.25">
      <c r="A180" s="7"/>
      <c r="B180" s="17"/>
      <c r="C180" s="20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 spans="1:33" ht="12.5" x14ac:dyDescent="0.25">
      <c r="A181" s="7"/>
      <c r="B181" s="17"/>
      <c r="C181" s="20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 spans="1:33" ht="12.5" x14ac:dyDescent="0.25">
      <c r="A182" s="7"/>
      <c r="B182" s="17"/>
      <c r="C182" s="20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 spans="1:33" ht="12.5" x14ac:dyDescent="0.25">
      <c r="A183" s="7"/>
      <c r="B183" s="17"/>
      <c r="C183" s="20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 spans="1:33" ht="12.5" x14ac:dyDescent="0.25">
      <c r="A184" s="7"/>
      <c r="B184" s="17"/>
      <c r="C184" s="20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 spans="1:33" ht="12.5" x14ac:dyDescent="0.25">
      <c r="A185" s="7"/>
      <c r="B185" s="17"/>
      <c r="C185" s="20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 spans="1:33" ht="12.5" x14ac:dyDescent="0.25">
      <c r="A186" s="7"/>
      <c r="B186" s="17"/>
      <c r="C186" s="20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 spans="1:33" ht="12.5" x14ac:dyDescent="0.25">
      <c r="A187" s="7"/>
      <c r="B187" s="17"/>
      <c r="C187" s="20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 spans="1:33" ht="12.5" x14ac:dyDescent="0.25">
      <c r="A188" s="7"/>
      <c r="B188" s="17"/>
      <c r="C188" s="20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 spans="1:33" ht="12.5" x14ac:dyDescent="0.25">
      <c r="A189" s="7"/>
      <c r="B189" s="17"/>
      <c r="C189" s="20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 spans="1:33" ht="12.5" x14ac:dyDescent="0.25">
      <c r="A190" s="7"/>
      <c r="B190" s="17"/>
      <c r="C190" s="20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 spans="1:33" ht="12.5" x14ac:dyDescent="0.25">
      <c r="A191" s="7"/>
      <c r="B191" s="17"/>
      <c r="C191" s="20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 spans="1:33" ht="12.5" x14ac:dyDescent="0.25">
      <c r="A192" s="7"/>
      <c r="B192" s="17"/>
      <c r="C192" s="20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 spans="1:33" ht="12.5" x14ac:dyDescent="0.25">
      <c r="A193" s="7"/>
      <c r="B193" s="17"/>
      <c r="C193" s="20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 spans="1:33" ht="12.5" x14ac:dyDescent="0.25">
      <c r="A194" s="7"/>
      <c r="B194" s="17"/>
      <c r="C194" s="20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 spans="1:33" ht="12.5" x14ac:dyDescent="0.25">
      <c r="A195" s="7"/>
      <c r="B195" s="17"/>
      <c r="C195" s="20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 spans="1:33" ht="12.5" x14ac:dyDescent="0.25">
      <c r="A196" s="7"/>
      <c r="B196" s="17"/>
      <c r="C196" s="20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 spans="1:33" ht="12.5" x14ac:dyDescent="0.25">
      <c r="A197" s="7"/>
      <c r="B197" s="17"/>
      <c r="C197" s="20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 spans="1:33" ht="12.5" x14ac:dyDescent="0.25">
      <c r="A198" s="7"/>
      <c r="B198" s="17"/>
      <c r="C198" s="20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 spans="1:33" ht="12.5" x14ac:dyDescent="0.25">
      <c r="A199" s="7"/>
      <c r="B199" s="17"/>
      <c r="C199" s="20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 spans="1:33" ht="12.5" x14ac:dyDescent="0.25">
      <c r="A200" s="7"/>
      <c r="B200" s="17"/>
      <c r="C200" s="20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 spans="1:33" ht="12.5" x14ac:dyDescent="0.25">
      <c r="A201" s="7"/>
      <c r="B201" s="17"/>
      <c r="C201" s="20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 spans="1:33" ht="12.5" x14ac:dyDescent="0.25">
      <c r="A202" s="7"/>
      <c r="B202" s="17"/>
      <c r="C202" s="20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 spans="1:33" ht="12.5" x14ac:dyDescent="0.25">
      <c r="A203" s="7"/>
      <c r="B203" s="17"/>
      <c r="C203" s="20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 spans="1:33" ht="12.5" x14ac:dyDescent="0.25">
      <c r="A204" s="7"/>
      <c r="B204" s="17"/>
      <c r="C204" s="20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 spans="1:33" ht="12.5" x14ac:dyDescent="0.25">
      <c r="A205" s="7"/>
      <c r="B205" s="17"/>
      <c r="C205" s="20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 spans="1:33" ht="12.5" x14ac:dyDescent="0.25">
      <c r="A206" s="7"/>
      <c r="B206" s="17"/>
      <c r="C206" s="20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 spans="1:33" ht="12.5" x14ac:dyDescent="0.25">
      <c r="A207" s="7"/>
      <c r="B207" s="17"/>
      <c r="C207" s="20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 spans="1:33" ht="12.5" x14ac:dyDescent="0.25">
      <c r="A208" s="7"/>
      <c r="B208" s="17"/>
      <c r="C208" s="20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 spans="1:33" ht="12.5" x14ac:dyDescent="0.25">
      <c r="A209" s="7"/>
      <c r="B209" s="17"/>
      <c r="C209" s="20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 spans="1:33" ht="12.5" x14ac:dyDescent="0.25">
      <c r="A210" s="7"/>
      <c r="B210" s="17"/>
      <c r="C210" s="20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 spans="1:33" ht="12.5" x14ac:dyDescent="0.25">
      <c r="A211" s="7"/>
      <c r="B211" s="17"/>
      <c r="C211" s="20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 spans="1:33" ht="12.5" x14ac:dyDescent="0.25">
      <c r="A212" s="7"/>
      <c r="B212" s="17"/>
      <c r="C212" s="20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 spans="1:33" ht="12.5" x14ac:dyDescent="0.25">
      <c r="A213" s="7"/>
      <c r="B213" s="17"/>
      <c r="C213" s="20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 spans="1:33" ht="12.5" x14ac:dyDescent="0.25">
      <c r="A214" s="7"/>
      <c r="B214" s="17"/>
      <c r="C214" s="20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 spans="1:33" ht="12.5" x14ac:dyDescent="0.25">
      <c r="A215" s="7"/>
      <c r="B215" s="17"/>
      <c r="C215" s="20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 spans="1:33" ht="12.5" x14ac:dyDescent="0.25">
      <c r="A216" s="7"/>
      <c r="B216" s="17"/>
      <c r="C216" s="20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 spans="1:33" ht="12.5" x14ac:dyDescent="0.25">
      <c r="A217" s="7"/>
      <c r="B217" s="17"/>
      <c r="C217" s="20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 spans="1:33" ht="12.5" x14ac:dyDescent="0.25">
      <c r="A218" s="7"/>
      <c r="B218" s="17"/>
      <c r="C218" s="20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 spans="1:33" ht="12.5" x14ac:dyDescent="0.25">
      <c r="A219" s="7"/>
      <c r="B219" s="17"/>
      <c r="C219" s="20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 spans="1:33" ht="12.5" x14ac:dyDescent="0.25">
      <c r="A220" s="7"/>
      <c r="B220" s="17"/>
      <c r="C220" s="20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 spans="1:33" ht="12.5" x14ac:dyDescent="0.25">
      <c r="A221" s="7"/>
      <c r="B221" s="17"/>
      <c r="C221" s="20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 spans="1:33" ht="12.5" x14ac:dyDescent="0.25">
      <c r="A222" s="7"/>
      <c r="B222" s="17"/>
      <c r="C222" s="20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 spans="1:33" ht="12.5" x14ac:dyDescent="0.25">
      <c r="A223" s="7"/>
      <c r="B223" s="17"/>
      <c r="C223" s="20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 spans="1:33" ht="12.5" x14ac:dyDescent="0.25">
      <c r="A224" s="7"/>
      <c r="B224" s="17"/>
      <c r="C224" s="20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 spans="1:33" ht="12.5" x14ac:dyDescent="0.25">
      <c r="A225" s="7"/>
      <c r="B225" s="17"/>
      <c r="C225" s="20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 spans="1:33" ht="12.5" x14ac:dyDescent="0.25">
      <c r="A226" s="7"/>
      <c r="B226" s="17"/>
      <c r="C226" s="20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 spans="1:33" ht="12.5" x14ac:dyDescent="0.25">
      <c r="A227" s="7"/>
      <c r="B227" s="17"/>
      <c r="C227" s="20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 spans="1:33" ht="12.5" x14ac:dyDescent="0.25">
      <c r="A228" s="7"/>
      <c r="B228" s="17"/>
      <c r="C228" s="20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 spans="1:33" ht="12.5" x14ac:dyDescent="0.25">
      <c r="A229" s="7"/>
      <c r="B229" s="17"/>
      <c r="C229" s="20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 spans="1:33" ht="12.5" x14ac:dyDescent="0.25">
      <c r="A230" s="7"/>
      <c r="B230" s="17"/>
      <c r="C230" s="20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 spans="1:33" ht="12.5" x14ac:dyDescent="0.25">
      <c r="A231" s="7"/>
      <c r="B231" s="17"/>
      <c r="C231" s="20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 spans="1:33" ht="12.5" x14ac:dyDescent="0.25">
      <c r="A232" s="7"/>
      <c r="B232" s="17"/>
      <c r="C232" s="20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 spans="1:33" ht="12.5" x14ac:dyDescent="0.25">
      <c r="A233" s="7"/>
      <c r="B233" s="17"/>
      <c r="C233" s="20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 spans="1:33" ht="12.5" x14ac:dyDescent="0.25">
      <c r="A234" s="7"/>
      <c r="B234" s="17"/>
      <c r="C234" s="20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 spans="1:33" ht="12.5" x14ac:dyDescent="0.25">
      <c r="A235" s="7"/>
      <c r="B235" s="17"/>
      <c r="C235" s="20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 spans="1:33" ht="12.5" x14ac:dyDescent="0.25">
      <c r="A236" s="7"/>
      <c r="B236" s="17"/>
      <c r="C236" s="20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 spans="1:33" ht="12.5" x14ac:dyDescent="0.25">
      <c r="A237" s="7"/>
      <c r="B237" s="17"/>
      <c r="C237" s="2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 spans="1:33" ht="12.5" x14ac:dyDescent="0.25">
      <c r="A238" s="7"/>
      <c r="B238" s="17"/>
      <c r="C238" s="20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 spans="1:33" ht="12.5" x14ac:dyDescent="0.25">
      <c r="A239" s="7"/>
      <c r="B239" s="17"/>
      <c r="C239" s="20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 spans="1:33" ht="12.5" x14ac:dyDescent="0.25">
      <c r="A240" s="7"/>
      <c r="B240" s="17"/>
      <c r="C240" s="20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 spans="1:33" ht="12.5" x14ac:dyDescent="0.25">
      <c r="A241" s="7"/>
      <c r="B241" s="17"/>
      <c r="C241" s="20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 spans="1:33" ht="12.5" x14ac:dyDescent="0.25">
      <c r="A242" s="7"/>
      <c r="B242" s="17"/>
      <c r="C242" s="20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 spans="1:33" ht="12.5" x14ac:dyDescent="0.25">
      <c r="A243" s="7"/>
      <c r="B243" s="17"/>
      <c r="C243" s="20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 spans="1:33" ht="12.5" x14ac:dyDescent="0.25">
      <c r="A244" s="7"/>
      <c r="B244" s="17"/>
      <c r="C244" s="20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 spans="1:33" ht="12.5" x14ac:dyDescent="0.25">
      <c r="A245" s="7"/>
      <c r="B245" s="17"/>
      <c r="C245" s="20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 spans="1:33" ht="12.5" x14ac:dyDescent="0.25">
      <c r="A246" s="7"/>
      <c r="B246" s="17"/>
      <c r="C246" s="20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 spans="1:33" ht="12.5" x14ac:dyDescent="0.25">
      <c r="A247" s="7"/>
      <c r="B247" s="17"/>
      <c r="C247" s="20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 spans="1:33" ht="12.5" x14ac:dyDescent="0.25">
      <c r="A248" s="7"/>
      <c r="B248" s="17"/>
      <c r="C248" s="20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 spans="1:33" ht="12.5" x14ac:dyDescent="0.25">
      <c r="A249" s="7"/>
      <c r="B249" s="17"/>
      <c r="C249" s="20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 spans="1:33" ht="12.5" x14ac:dyDescent="0.25">
      <c r="A250" s="7"/>
      <c r="B250" s="17"/>
      <c r="C250" s="20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 spans="1:33" ht="12.5" x14ac:dyDescent="0.25">
      <c r="A251" s="7"/>
      <c r="B251" s="17"/>
      <c r="C251" s="20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 spans="1:33" ht="12.5" x14ac:dyDescent="0.25">
      <c r="A252" s="7"/>
      <c r="B252" s="17"/>
      <c r="C252" s="20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 spans="1:33" ht="12.5" x14ac:dyDescent="0.25">
      <c r="A253" s="7"/>
      <c r="B253" s="17"/>
      <c r="C253" s="20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 spans="1:33" ht="12.5" x14ac:dyDescent="0.25">
      <c r="A254" s="7"/>
      <c r="B254" s="17"/>
      <c r="C254" s="20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 spans="1:33" ht="12.5" x14ac:dyDescent="0.25">
      <c r="A255" s="7"/>
      <c r="B255" s="17"/>
      <c r="C255" s="20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 spans="1:33" ht="12.5" x14ac:dyDescent="0.25">
      <c r="A256" s="7"/>
      <c r="B256" s="17"/>
      <c r="C256" s="20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 spans="1:33" ht="12.5" x14ac:dyDescent="0.25">
      <c r="A257" s="7"/>
      <c r="B257" s="17"/>
      <c r="C257" s="20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 spans="1:33" ht="12.5" x14ac:dyDescent="0.25">
      <c r="A258" s="7"/>
      <c r="B258" s="17"/>
      <c r="C258" s="20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 spans="1:33" ht="12.5" x14ac:dyDescent="0.25">
      <c r="A259" s="7"/>
      <c r="B259" s="17"/>
      <c r="C259" s="20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 spans="1:33" ht="12.5" x14ac:dyDescent="0.25">
      <c r="A260" s="7"/>
      <c r="B260" s="17"/>
      <c r="C260" s="20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 spans="1:33" ht="12.5" x14ac:dyDescent="0.25">
      <c r="A261" s="7"/>
      <c r="B261" s="17"/>
      <c r="C261" s="20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 spans="1:33" ht="12.5" x14ac:dyDescent="0.25">
      <c r="A262" s="7"/>
      <c r="B262" s="17"/>
      <c r="C262" s="20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 spans="1:33" ht="12.5" x14ac:dyDescent="0.25">
      <c r="A263" s="7"/>
      <c r="B263" s="17"/>
      <c r="C263" s="20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 spans="1:33" ht="12.5" x14ac:dyDescent="0.25">
      <c r="A264" s="7"/>
      <c r="B264" s="17"/>
      <c r="C264" s="20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 spans="1:33" ht="12.5" x14ac:dyDescent="0.25">
      <c r="A265" s="7"/>
      <c r="B265" s="17"/>
      <c r="C265" s="20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 spans="1:33" ht="12.5" x14ac:dyDescent="0.25">
      <c r="A266" s="7"/>
      <c r="B266" s="17"/>
      <c r="C266" s="20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 spans="1:33" ht="12.5" x14ac:dyDescent="0.25">
      <c r="A267" s="7"/>
      <c r="B267" s="17"/>
      <c r="C267" s="20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 spans="1:33" ht="12.5" x14ac:dyDescent="0.25">
      <c r="A268" s="7"/>
      <c r="B268" s="17"/>
      <c r="C268" s="20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 spans="1:33" ht="12.5" x14ac:dyDescent="0.25">
      <c r="A269" s="7"/>
      <c r="B269" s="17"/>
      <c r="C269" s="20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 spans="1:33" ht="12.5" x14ac:dyDescent="0.25">
      <c r="A270" s="7"/>
      <c r="B270" s="17"/>
      <c r="C270" s="20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 spans="1:33" ht="12.5" x14ac:dyDescent="0.25">
      <c r="A271" s="7"/>
      <c r="B271" s="17"/>
      <c r="C271" s="20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 spans="1:33" ht="12.5" x14ac:dyDescent="0.25">
      <c r="A272" s="7"/>
      <c r="B272" s="17"/>
      <c r="C272" s="20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 spans="1:33" ht="12.5" x14ac:dyDescent="0.25">
      <c r="A273" s="7"/>
      <c r="B273" s="17"/>
      <c r="C273" s="20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 spans="1:33" ht="12.5" x14ac:dyDescent="0.25">
      <c r="A274" s="7"/>
      <c r="B274" s="17"/>
      <c r="C274" s="20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 spans="1:33" ht="12.5" x14ac:dyDescent="0.25">
      <c r="A275" s="7"/>
      <c r="B275" s="17"/>
      <c r="C275" s="20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 spans="1:33" ht="12.5" x14ac:dyDescent="0.25">
      <c r="A276" s="7"/>
      <c r="B276" s="17"/>
      <c r="C276" s="20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 spans="1:33" ht="12.5" x14ac:dyDescent="0.25">
      <c r="A277" s="7"/>
      <c r="B277" s="17"/>
      <c r="C277" s="20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 spans="1:33" ht="12.5" x14ac:dyDescent="0.25">
      <c r="A278" s="7"/>
      <c r="B278" s="17"/>
      <c r="C278" s="20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 spans="1:33" ht="12.5" x14ac:dyDescent="0.25">
      <c r="A279" s="7"/>
      <c r="B279" s="17"/>
      <c r="C279" s="20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 spans="1:33" ht="12.5" x14ac:dyDescent="0.25">
      <c r="A280" s="7"/>
      <c r="B280" s="17"/>
      <c r="C280" s="20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 spans="1:33" ht="12.5" x14ac:dyDescent="0.25">
      <c r="A281" s="7"/>
      <c r="B281" s="17"/>
      <c r="C281" s="20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 spans="1:33" ht="12.5" x14ac:dyDescent="0.25">
      <c r="A282" s="7"/>
      <c r="B282" s="17"/>
      <c r="C282" s="20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 spans="1:33" ht="12.5" x14ac:dyDescent="0.25">
      <c r="A283" s="7"/>
      <c r="B283" s="17"/>
      <c r="C283" s="20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 spans="1:33" ht="12.5" x14ac:dyDescent="0.25">
      <c r="A284" s="7"/>
      <c r="B284" s="17"/>
      <c r="C284" s="20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 spans="1:33" ht="12.5" x14ac:dyDescent="0.25">
      <c r="A285" s="7"/>
      <c r="B285" s="17"/>
      <c r="C285" s="20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 spans="1:33" ht="12.5" x14ac:dyDescent="0.25">
      <c r="A286" s="7"/>
      <c r="B286" s="17"/>
      <c r="C286" s="20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 spans="1:33" ht="12.5" x14ac:dyDescent="0.25">
      <c r="A287" s="7"/>
      <c r="B287" s="17"/>
      <c r="C287" s="20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 spans="1:33" ht="12.5" x14ac:dyDescent="0.25">
      <c r="A288" s="7"/>
      <c r="B288" s="17"/>
      <c r="C288" s="20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 spans="1:33" ht="12.5" x14ac:dyDescent="0.25">
      <c r="A289" s="7"/>
      <c r="B289" s="17"/>
      <c r="C289" s="20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 spans="1:33" ht="12.5" x14ac:dyDescent="0.25">
      <c r="A290" s="7"/>
      <c r="B290" s="17"/>
      <c r="C290" s="20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 spans="1:33" ht="12.5" x14ac:dyDescent="0.25">
      <c r="A291" s="7"/>
      <c r="B291" s="17"/>
      <c r="C291" s="20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 spans="1:33" ht="12.5" x14ac:dyDescent="0.25">
      <c r="A292" s="7"/>
      <c r="B292" s="17"/>
      <c r="C292" s="20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 spans="1:33" ht="12.5" x14ac:dyDescent="0.25">
      <c r="A293" s="7"/>
      <c r="B293" s="17"/>
      <c r="C293" s="20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 spans="1:33" ht="12.5" x14ac:dyDescent="0.25">
      <c r="A294" s="7"/>
      <c r="B294" s="17"/>
      <c r="C294" s="20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 spans="1:33" ht="12.5" x14ac:dyDescent="0.25">
      <c r="A295" s="7"/>
      <c r="B295" s="17"/>
      <c r="C295" s="20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 spans="1:33" ht="12.5" x14ac:dyDescent="0.25">
      <c r="A296" s="7"/>
      <c r="B296" s="17"/>
      <c r="C296" s="20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 spans="1:33" ht="12.5" x14ac:dyDescent="0.25">
      <c r="A297" s="7"/>
      <c r="B297" s="17"/>
      <c r="C297" s="20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 spans="1:33" ht="12.5" x14ac:dyDescent="0.25">
      <c r="A298" s="7"/>
      <c r="B298" s="17"/>
      <c r="C298" s="20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 spans="1:33" ht="12.5" x14ac:dyDescent="0.25">
      <c r="A299" s="7"/>
      <c r="B299" s="17"/>
      <c r="C299" s="20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 spans="1:33" ht="12.5" x14ac:dyDescent="0.25">
      <c r="A300" s="7"/>
      <c r="B300" s="17"/>
      <c r="C300" s="20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 spans="1:33" ht="12.5" x14ac:dyDescent="0.25">
      <c r="A301" s="7"/>
      <c r="B301" s="17"/>
      <c r="C301" s="20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 spans="1:33" ht="12.5" x14ac:dyDescent="0.25">
      <c r="A302" s="7"/>
      <c r="B302" s="17"/>
      <c r="C302" s="20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 spans="1:33" ht="12.5" x14ac:dyDescent="0.25">
      <c r="A303" s="7"/>
      <c r="B303" s="17"/>
      <c r="C303" s="20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 spans="1:33" ht="12.5" x14ac:dyDescent="0.25">
      <c r="A304" s="7"/>
      <c r="B304" s="17"/>
      <c r="C304" s="20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 spans="1:33" ht="12.5" x14ac:dyDescent="0.25">
      <c r="A305" s="7"/>
      <c r="B305" s="17"/>
      <c r="C305" s="20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 spans="1:33" ht="12.5" x14ac:dyDescent="0.25">
      <c r="A306" s="7"/>
      <c r="B306" s="17"/>
      <c r="C306" s="20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 spans="1:33" ht="12.5" x14ac:dyDescent="0.25">
      <c r="A307" s="7"/>
      <c r="B307" s="17"/>
      <c r="C307" s="20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 spans="1:33" ht="12.5" x14ac:dyDescent="0.25">
      <c r="A308" s="7"/>
      <c r="B308" s="17"/>
      <c r="C308" s="20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 spans="1:33" ht="12.5" x14ac:dyDescent="0.25">
      <c r="A309" s="7"/>
      <c r="B309" s="17"/>
      <c r="C309" s="20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 spans="1:33" ht="12.5" x14ac:dyDescent="0.25">
      <c r="A310" s="7"/>
      <c r="B310" s="17"/>
      <c r="C310" s="20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 spans="1:33" ht="12.5" x14ac:dyDescent="0.25">
      <c r="A311" s="7"/>
      <c r="B311" s="17"/>
      <c r="C311" s="20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 spans="1:33" ht="12.5" x14ac:dyDescent="0.25">
      <c r="A312" s="7"/>
      <c r="B312" s="17"/>
      <c r="C312" s="20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 spans="1:33" ht="12.5" x14ac:dyDescent="0.25">
      <c r="A313" s="7"/>
      <c r="B313" s="17"/>
      <c r="C313" s="20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 spans="1:33" ht="12.5" x14ac:dyDescent="0.25">
      <c r="A314" s="7"/>
      <c r="B314" s="17"/>
      <c r="C314" s="20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 spans="1:33" ht="12.5" x14ac:dyDescent="0.25">
      <c r="A315" s="7"/>
      <c r="B315" s="17"/>
      <c r="C315" s="20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 spans="1:33" ht="12.5" x14ac:dyDescent="0.25">
      <c r="A316" s="7"/>
      <c r="B316" s="17"/>
      <c r="C316" s="20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 spans="1:33" ht="12.5" x14ac:dyDescent="0.25">
      <c r="A317" s="7"/>
      <c r="B317" s="17"/>
      <c r="C317" s="20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 spans="1:33" ht="12.5" x14ac:dyDescent="0.25">
      <c r="A318" s="7"/>
      <c r="B318" s="17"/>
      <c r="C318" s="20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 spans="1:33" ht="12.5" x14ac:dyDescent="0.25">
      <c r="A319" s="7"/>
      <c r="B319" s="17"/>
      <c r="C319" s="20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 spans="1:33" ht="12.5" x14ac:dyDescent="0.25">
      <c r="A320" s="7"/>
      <c r="B320" s="17"/>
      <c r="C320" s="20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 spans="1:33" ht="12.5" x14ac:dyDescent="0.25">
      <c r="A321" s="7"/>
      <c r="B321" s="17"/>
      <c r="C321" s="20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 spans="1:33" ht="12.5" x14ac:dyDescent="0.25">
      <c r="A322" s="7"/>
      <c r="B322" s="17"/>
      <c r="C322" s="20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 spans="1:33" ht="12.5" x14ac:dyDescent="0.25">
      <c r="A323" s="7"/>
      <c r="B323" s="17"/>
      <c r="C323" s="20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 spans="1:33" ht="12.5" x14ac:dyDescent="0.25">
      <c r="A324" s="7"/>
      <c r="B324" s="17"/>
      <c r="C324" s="20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 spans="1:33" ht="12.5" x14ac:dyDescent="0.25">
      <c r="A325" s="7"/>
      <c r="B325" s="17"/>
      <c r="C325" s="20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 spans="1:33" ht="12.5" x14ac:dyDescent="0.25">
      <c r="A326" s="7"/>
      <c r="B326" s="17"/>
      <c r="C326" s="20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 spans="1:33" ht="12.5" x14ac:dyDescent="0.25">
      <c r="A327" s="7"/>
      <c r="B327" s="17"/>
      <c r="C327" s="20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 spans="1:33" ht="12.5" x14ac:dyDescent="0.25">
      <c r="A328" s="7"/>
      <c r="B328" s="17"/>
      <c r="C328" s="20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 spans="1:33" ht="12.5" x14ac:dyDescent="0.25">
      <c r="A329" s="7"/>
      <c r="B329" s="17"/>
      <c r="C329" s="20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 spans="1:33" ht="12.5" x14ac:dyDescent="0.25">
      <c r="A330" s="7"/>
      <c r="B330" s="17"/>
      <c r="C330" s="20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 spans="1:33" ht="12.5" x14ac:dyDescent="0.25">
      <c r="A331" s="7"/>
      <c r="B331" s="17"/>
      <c r="C331" s="20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 spans="1:33" ht="12.5" x14ac:dyDescent="0.25">
      <c r="A332" s="7"/>
      <c r="B332" s="17"/>
      <c r="C332" s="20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 spans="1:33" ht="12.5" x14ac:dyDescent="0.25">
      <c r="A333" s="7"/>
      <c r="B333" s="17"/>
      <c r="C333" s="20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 spans="1:33" ht="12.5" x14ac:dyDescent="0.25">
      <c r="A334" s="7"/>
      <c r="B334" s="17"/>
      <c r="C334" s="20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 spans="1:33" ht="12.5" x14ac:dyDescent="0.25">
      <c r="A335" s="7"/>
      <c r="B335" s="17"/>
      <c r="C335" s="20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 spans="1:33" ht="12.5" x14ac:dyDescent="0.25">
      <c r="A336" s="7"/>
      <c r="B336" s="17"/>
      <c r="C336" s="20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 spans="1:33" ht="12.5" x14ac:dyDescent="0.25">
      <c r="A337" s="7"/>
      <c r="B337" s="17"/>
      <c r="C337" s="20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 spans="1:33" ht="12.5" x14ac:dyDescent="0.25">
      <c r="A338" s="7"/>
      <c r="B338" s="17"/>
      <c r="C338" s="20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 spans="1:33" ht="12.5" x14ac:dyDescent="0.25">
      <c r="A339" s="7"/>
      <c r="B339" s="17"/>
      <c r="C339" s="20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 spans="1:33" ht="12.5" x14ac:dyDescent="0.25">
      <c r="A340" s="7"/>
      <c r="B340" s="17"/>
      <c r="C340" s="20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 spans="1:33" ht="12.5" x14ac:dyDescent="0.25">
      <c r="A341" s="7"/>
      <c r="B341" s="17"/>
      <c r="C341" s="20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 spans="1:33" ht="12.5" x14ac:dyDescent="0.25">
      <c r="A342" s="7"/>
      <c r="B342" s="17"/>
      <c r="C342" s="20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 spans="1:33" ht="12.5" x14ac:dyDescent="0.25">
      <c r="A343" s="7"/>
      <c r="B343" s="17"/>
      <c r="C343" s="20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 spans="1:33" ht="12.5" x14ac:dyDescent="0.25">
      <c r="A344" s="7"/>
      <c r="B344" s="17"/>
      <c r="C344" s="20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 spans="1:33" ht="12.5" x14ac:dyDescent="0.25">
      <c r="A345" s="7"/>
      <c r="B345" s="17"/>
      <c r="C345" s="20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 spans="1:33" ht="12.5" x14ac:dyDescent="0.25">
      <c r="A346" s="7"/>
      <c r="B346" s="17"/>
      <c r="C346" s="20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 spans="1:33" ht="12.5" x14ac:dyDescent="0.25">
      <c r="A347" s="7"/>
      <c r="B347" s="17"/>
      <c r="C347" s="20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 spans="1:33" ht="12.5" x14ac:dyDescent="0.25">
      <c r="A348" s="7"/>
      <c r="B348" s="17"/>
      <c r="C348" s="20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 spans="1:33" ht="12.5" x14ac:dyDescent="0.25">
      <c r="A349" s="7"/>
      <c r="B349" s="17"/>
      <c r="C349" s="20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 spans="1:33" ht="12.5" x14ac:dyDescent="0.25">
      <c r="A350" s="7"/>
      <c r="B350" s="17"/>
      <c r="C350" s="20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 spans="1:33" ht="12.5" x14ac:dyDescent="0.25">
      <c r="A351" s="7"/>
      <c r="B351" s="17"/>
      <c r="C351" s="20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 spans="1:33" ht="12.5" x14ac:dyDescent="0.25">
      <c r="A352" s="7"/>
      <c r="B352" s="17"/>
      <c r="C352" s="20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 spans="1:33" ht="12.5" x14ac:dyDescent="0.25">
      <c r="A353" s="7"/>
      <c r="B353" s="17"/>
      <c r="C353" s="20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 spans="1:33" ht="12.5" x14ac:dyDescent="0.25">
      <c r="A354" s="7"/>
      <c r="B354" s="17"/>
      <c r="C354" s="20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 spans="1:33" ht="12.5" x14ac:dyDescent="0.25">
      <c r="A355" s="7"/>
      <c r="B355" s="17"/>
      <c r="C355" s="20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 spans="1:33" ht="12.5" x14ac:dyDescent="0.25">
      <c r="A356" s="7"/>
      <c r="B356" s="17"/>
      <c r="C356" s="20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 spans="1:33" ht="12.5" x14ac:dyDescent="0.25">
      <c r="A357" s="7"/>
      <c r="B357" s="17"/>
      <c r="C357" s="20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 spans="1:33" ht="12.5" x14ac:dyDescent="0.25">
      <c r="A358" s="7"/>
      <c r="B358" s="17"/>
      <c r="C358" s="20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 spans="1:33" ht="12.5" x14ac:dyDescent="0.25">
      <c r="A359" s="7"/>
      <c r="B359" s="17"/>
      <c r="C359" s="20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 spans="1:33" ht="12.5" x14ac:dyDescent="0.25">
      <c r="A360" s="7"/>
      <c r="B360" s="17"/>
      <c r="C360" s="20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 spans="1:33" ht="12.5" x14ac:dyDescent="0.25">
      <c r="A361" s="7"/>
      <c r="B361" s="17"/>
      <c r="C361" s="20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 spans="1:33" ht="12.5" x14ac:dyDescent="0.25">
      <c r="A362" s="7"/>
      <c r="B362" s="17"/>
      <c r="C362" s="20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 spans="1:33" ht="12.5" x14ac:dyDescent="0.25">
      <c r="A363" s="7"/>
      <c r="B363" s="17"/>
      <c r="C363" s="2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 spans="1:33" ht="12.5" x14ac:dyDescent="0.25">
      <c r="A364" s="7"/>
      <c r="B364" s="17"/>
      <c r="C364" s="20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 spans="1:33" ht="12.5" x14ac:dyDescent="0.25">
      <c r="A365" s="7"/>
      <c r="B365" s="17"/>
      <c r="C365" s="20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 spans="1:33" ht="12.5" x14ac:dyDescent="0.25">
      <c r="A366" s="7"/>
      <c r="B366" s="17"/>
      <c r="C366" s="20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 spans="1:33" ht="12.5" x14ac:dyDescent="0.25">
      <c r="A367" s="7"/>
      <c r="B367" s="17"/>
      <c r="C367" s="20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 spans="1:33" ht="12.5" x14ac:dyDescent="0.25">
      <c r="A368" s="7"/>
      <c r="B368" s="17"/>
      <c r="C368" s="20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 spans="1:33" ht="12.5" x14ac:dyDescent="0.25">
      <c r="A369" s="7"/>
      <c r="B369" s="17"/>
      <c r="C369" s="2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 spans="1:33" ht="12.5" x14ac:dyDescent="0.25">
      <c r="A370" s="7"/>
      <c r="B370" s="17"/>
      <c r="C370" s="20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 spans="1:33" ht="12.5" x14ac:dyDescent="0.25">
      <c r="A371" s="7"/>
      <c r="B371" s="17"/>
      <c r="C371" s="2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 spans="1:33" ht="12.5" x14ac:dyDescent="0.25">
      <c r="A372" s="7"/>
      <c r="B372" s="17"/>
      <c r="C372" s="2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 spans="1:33" ht="12.5" x14ac:dyDescent="0.25">
      <c r="A373" s="7"/>
      <c r="B373" s="17"/>
      <c r="C373" s="20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 spans="1:33" ht="12.5" x14ac:dyDescent="0.25">
      <c r="A374" s="7"/>
      <c r="B374" s="17"/>
      <c r="C374" s="20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 spans="1:33" ht="12.5" x14ac:dyDescent="0.25">
      <c r="A375" s="7"/>
      <c r="B375" s="17"/>
      <c r="C375" s="20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 spans="1:33" ht="12.5" x14ac:dyDescent="0.25">
      <c r="A376" s="7"/>
      <c r="B376" s="17"/>
      <c r="C376" s="20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 spans="1:33" ht="12.5" x14ac:dyDescent="0.25">
      <c r="A377" s="7"/>
      <c r="B377" s="17"/>
      <c r="C377" s="20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 spans="1:33" ht="12.5" x14ac:dyDescent="0.25">
      <c r="A378" s="7"/>
      <c r="B378" s="17"/>
      <c r="C378" s="20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 spans="1:33" ht="12.5" x14ac:dyDescent="0.25">
      <c r="A379" s="7"/>
      <c r="B379" s="17"/>
      <c r="C379" s="20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 spans="1:33" ht="12.5" x14ac:dyDescent="0.25">
      <c r="A380" s="7"/>
      <c r="B380" s="17"/>
      <c r="C380" s="20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 spans="1:33" ht="12.5" x14ac:dyDescent="0.25">
      <c r="A381" s="7"/>
      <c r="B381" s="17"/>
      <c r="C381" s="20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 spans="1:33" ht="12.5" x14ac:dyDescent="0.25">
      <c r="A382" s="7"/>
      <c r="B382" s="17"/>
      <c r="C382" s="20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 spans="1:33" ht="12.5" x14ac:dyDescent="0.25">
      <c r="A383" s="7"/>
      <c r="B383" s="17"/>
      <c r="C383" s="20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 spans="1:33" ht="12.5" x14ac:dyDescent="0.25">
      <c r="A384" s="7"/>
      <c r="B384" s="17"/>
      <c r="C384" s="20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 spans="1:33" ht="12.5" x14ac:dyDescent="0.25">
      <c r="A385" s="7"/>
      <c r="B385" s="17"/>
      <c r="C385" s="20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 spans="1:33" ht="12.5" x14ac:dyDescent="0.25">
      <c r="A386" s="7"/>
      <c r="B386" s="17"/>
      <c r="C386" s="20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 spans="1:33" ht="12.5" x14ac:dyDescent="0.25">
      <c r="A387" s="7"/>
      <c r="B387" s="17"/>
      <c r="C387" s="20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 spans="1:33" ht="12.5" x14ac:dyDescent="0.25">
      <c r="A388" s="7"/>
      <c r="B388" s="17"/>
      <c r="C388" s="20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 spans="1:33" ht="12.5" x14ac:dyDescent="0.25">
      <c r="A389" s="7"/>
      <c r="B389" s="17"/>
      <c r="C389" s="20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 spans="1:33" ht="12.5" x14ac:dyDescent="0.25">
      <c r="A390" s="7"/>
      <c r="B390" s="17"/>
      <c r="C390" s="20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 spans="1:33" ht="12.5" x14ac:dyDescent="0.25">
      <c r="A391" s="7"/>
      <c r="B391" s="17"/>
      <c r="C391" s="20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 spans="1:33" ht="12.5" x14ac:dyDescent="0.25">
      <c r="A392" s="7"/>
      <c r="B392" s="17"/>
      <c r="C392" s="20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 spans="1:33" ht="12.5" x14ac:dyDescent="0.25">
      <c r="A393" s="7"/>
      <c r="B393" s="17"/>
      <c r="C393" s="20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 spans="1:33" ht="12.5" x14ac:dyDescent="0.25">
      <c r="A394" s="7"/>
      <c r="B394" s="17"/>
      <c r="C394" s="20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 spans="1:33" ht="12.5" x14ac:dyDescent="0.25">
      <c r="A395" s="7"/>
      <c r="B395" s="17"/>
      <c r="C395" s="20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 spans="1:33" ht="12.5" x14ac:dyDescent="0.25">
      <c r="A396" s="7"/>
      <c r="B396" s="17"/>
      <c r="C396" s="20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 spans="1:33" ht="12.5" x14ac:dyDescent="0.25">
      <c r="A397" s="7"/>
      <c r="B397" s="17"/>
      <c r="C397" s="20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 spans="1:33" ht="12.5" x14ac:dyDescent="0.25">
      <c r="A398" s="7"/>
      <c r="B398" s="17"/>
      <c r="C398" s="20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 spans="1:33" ht="12.5" x14ac:dyDescent="0.25">
      <c r="A399" s="7"/>
      <c r="B399" s="17"/>
      <c r="C399" s="20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 spans="1:33" ht="12.5" x14ac:dyDescent="0.25">
      <c r="A400" s="7"/>
      <c r="B400" s="17"/>
      <c r="C400" s="20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 spans="1:33" ht="12.5" x14ac:dyDescent="0.25">
      <c r="A401" s="7"/>
      <c r="B401" s="17"/>
      <c r="C401" s="20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 spans="1:33" ht="12.5" x14ac:dyDescent="0.25">
      <c r="A402" s="7"/>
      <c r="B402" s="17"/>
      <c r="C402" s="20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 spans="1:33" ht="12.5" x14ac:dyDescent="0.25">
      <c r="A403" s="7"/>
      <c r="B403" s="17"/>
      <c r="C403" s="20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 spans="1:33" ht="12.5" x14ac:dyDescent="0.25">
      <c r="A404" s="7"/>
      <c r="B404" s="17"/>
      <c r="C404" s="20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 spans="1:33" ht="12.5" x14ac:dyDescent="0.25">
      <c r="A405" s="7"/>
      <c r="B405" s="17"/>
      <c r="C405" s="20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 spans="1:33" ht="12.5" x14ac:dyDescent="0.25">
      <c r="A406" s="7"/>
      <c r="B406" s="17"/>
      <c r="C406" s="20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 spans="1:33" ht="12.5" x14ac:dyDescent="0.25">
      <c r="A407" s="7"/>
      <c r="B407" s="17"/>
      <c r="C407" s="20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 spans="1:33" ht="12.5" x14ac:dyDescent="0.25">
      <c r="A408" s="7"/>
      <c r="B408" s="17"/>
      <c r="C408" s="20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 spans="1:33" ht="12.5" x14ac:dyDescent="0.25">
      <c r="A409" s="7"/>
      <c r="B409" s="17"/>
      <c r="C409" s="20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 spans="1:33" ht="12.5" x14ac:dyDescent="0.25">
      <c r="A410" s="7"/>
      <c r="B410" s="17"/>
      <c r="C410" s="20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 spans="1:33" ht="12.5" x14ac:dyDescent="0.25">
      <c r="A411" s="7"/>
      <c r="B411" s="17"/>
      <c r="C411" s="20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 spans="1:33" ht="12.5" x14ac:dyDescent="0.25">
      <c r="A412" s="7"/>
      <c r="B412" s="17"/>
      <c r="C412" s="20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 spans="1:33" ht="12.5" x14ac:dyDescent="0.25">
      <c r="A413" s="7"/>
      <c r="B413" s="17"/>
      <c r="C413" s="20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 spans="1:33" ht="12.5" x14ac:dyDescent="0.25">
      <c r="A414" s="7"/>
      <c r="B414" s="17"/>
      <c r="C414" s="20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 spans="1:33" ht="12.5" x14ac:dyDescent="0.25">
      <c r="A415" s="7"/>
      <c r="B415" s="17"/>
      <c r="C415" s="20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 spans="1:33" ht="12.5" x14ac:dyDescent="0.25">
      <c r="A416" s="7"/>
      <c r="B416" s="17"/>
      <c r="C416" s="20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 spans="1:33" ht="12.5" x14ac:dyDescent="0.25">
      <c r="A417" s="7"/>
      <c r="B417" s="17"/>
      <c r="C417" s="20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 spans="1:33" ht="12.5" x14ac:dyDescent="0.25">
      <c r="A418" s="7"/>
      <c r="B418" s="17"/>
      <c r="C418" s="20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 spans="1:33" ht="12.5" x14ac:dyDescent="0.25">
      <c r="A419" s="7"/>
      <c r="B419" s="17"/>
      <c r="C419" s="20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 spans="1:33" ht="12.5" x14ac:dyDescent="0.25">
      <c r="A420" s="7"/>
      <c r="B420" s="17"/>
      <c r="C420" s="20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 spans="1:33" ht="12.5" x14ac:dyDescent="0.25">
      <c r="A421" s="7"/>
      <c r="B421" s="17"/>
      <c r="C421" s="20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 spans="1:33" ht="12.5" x14ac:dyDescent="0.25">
      <c r="A422" s="7"/>
      <c r="B422" s="17"/>
      <c r="C422" s="20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 spans="1:33" ht="12.5" x14ac:dyDescent="0.25">
      <c r="A423" s="7"/>
      <c r="B423" s="17"/>
      <c r="C423" s="20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 spans="1:33" ht="12.5" x14ac:dyDescent="0.25">
      <c r="A424" s="7"/>
      <c r="B424" s="17"/>
      <c r="C424" s="20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 spans="1:33" ht="12.5" x14ac:dyDescent="0.25">
      <c r="A425" s="7"/>
      <c r="B425" s="17"/>
      <c r="C425" s="20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 spans="1:33" ht="12.5" x14ac:dyDescent="0.25">
      <c r="A426" s="7"/>
      <c r="B426" s="17"/>
      <c r="C426" s="20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 spans="1:33" ht="12.5" x14ac:dyDescent="0.25">
      <c r="A427" s="7"/>
      <c r="B427" s="17"/>
      <c r="C427" s="20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 spans="1:33" ht="12.5" x14ac:dyDescent="0.25">
      <c r="A428" s="7"/>
      <c r="B428" s="17"/>
      <c r="C428" s="20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 spans="1:33" ht="12.5" x14ac:dyDescent="0.25">
      <c r="A429" s="7"/>
      <c r="B429" s="17"/>
      <c r="C429" s="20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 spans="1:33" ht="12.5" x14ac:dyDescent="0.25">
      <c r="A430" s="7"/>
      <c r="B430" s="17"/>
      <c r="C430" s="20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 spans="1:33" ht="12.5" x14ac:dyDescent="0.25">
      <c r="A431" s="7"/>
      <c r="B431" s="17"/>
      <c r="C431" s="20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 spans="1:33" ht="12.5" x14ac:dyDescent="0.25">
      <c r="A432" s="7"/>
      <c r="B432" s="17"/>
      <c r="C432" s="20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 spans="1:33" ht="12.5" x14ac:dyDescent="0.25">
      <c r="A433" s="7"/>
      <c r="B433" s="17"/>
      <c r="C433" s="20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 spans="1:33" ht="12.5" x14ac:dyDescent="0.25">
      <c r="A434" s="7"/>
      <c r="B434" s="17"/>
      <c r="C434" s="20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 spans="1:33" ht="12.5" x14ac:dyDescent="0.25">
      <c r="A435" s="7"/>
      <c r="B435" s="17"/>
      <c r="C435" s="20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 spans="1:33" ht="12.5" x14ac:dyDescent="0.25">
      <c r="A436" s="7"/>
      <c r="B436" s="17"/>
      <c r="C436" s="20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 spans="1:33" ht="12.5" x14ac:dyDescent="0.25">
      <c r="A437" s="7"/>
      <c r="B437" s="17"/>
      <c r="C437" s="20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 spans="1:33" ht="12.5" x14ac:dyDescent="0.25">
      <c r="A438" s="7"/>
      <c r="B438" s="17"/>
      <c r="C438" s="20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 spans="1:33" ht="12.5" x14ac:dyDescent="0.25">
      <c r="A439" s="7"/>
      <c r="B439" s="17"/>
      <c r="C439" s="20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 spans="1:33" ht="12.5" x14ac:dyDescent="0.25">
      <c r="A440" s="7"/>
      <c r="B440" s="17"/>
      <c r="C440" s="20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 spans="1:33" ht="12.5" x14ac:dyDescent="0.25">
      <c r="A441" s="7"/>
      <c r="B441" s="17"/>
      <c r="C441" s="20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 spans="1:33" ht="12.5" x14ac:dyDescent="0.25">
      <c r="A442" s="7"/>
      <c r="B442" s="17"/>
      <c r="C442" s="20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 spans="1:33" ht="12.5" x14ac:dyDescent="0.25">
      <c r="A443" s="7"/>
      <c r="B443" s="17"/>
      <c r="C443" s="20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 spans="1:33" ht="12.5" x14ac:dyDescent="0.25">
      <c r="A444" s="7"/>
      <c r="B444" s="17"/>
      <c r="C444" s="20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 spans="1:33" ht="12.5" x14ac:dyDescent="0.25">
      <c r="A445" s="7"/>
      <c r="B445" s="17"/>
      <c r="C445" s="20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 spans="1:33" ht="12.5" x14ac:dyDescent="0.25">
      <c r="A446" s="7"/>
      <c r="B446" s="17"/>
      <c r="C446" s="20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 spans="1:33" ht="12.5" x14ac:dyDescent="0.25">
      <c r="A447" s="7"/>
      <c r="B447" s="17"/>
      <c r="C447" s="20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 spans="1:33" ht="12.5" x14ac:dyDescent="0.25">
      <c r="A448" s="7"/>
      <c r="B448" s="17"/>
      <c r="C448" s="20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 spans="1:33" ht="12.5" x14ac:dyDescent="0.25">
      <c r="A449" s="7"/>
      <c r="B449" s="17"/>
      <c r="C449" s="20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 spans="1:33" ht="12.5" x14ac:dyDescent="0.25">
      <c r="A450" s="7"/>
      <c r="B450" s="17"/>
      <c r="C450" s="20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 spans="1:33" ht="12.5" x14ac:dyDescent="0.25">
      <c r="A451" s="7"/>
      <c r="B451" s="17"/>
      <c r="C451" s="20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 spans="1:33" ht="12.5" x14ac:dyDescent="0.25">
      <c r="A452" s="7"/>
      <c r="B452" s="17"/>
      <c r="C452" s="20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 spans="1:33" ht="12.5" x14ac:dyDescent="0.25">
      <c r="A453" s="7"/>
      <c r="B453" s="17"/>
      <c r="C453" s="20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 spans="1:33" ht="12.5" x14ac:dyDescent="0.25">
      <c r="A454" s="7"/>
      <c r="B454" s="17"/>
      <c r="C454" s="20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 spans="1:33" ht="12.5" x14ac:dyDescent="0.25">
      <c r="A455" s="7"/>
      <c r="B455" s="17"/>
      <c r="C455" s="20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 spans="1:33" ht="12.5" x14ac:dyDescent="0.25">
      <c r="A456" s="7"/>
      <c r="B456" s="17"/>
      <c r="C456" s="20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 spans="1:33" ht="12.5" x14ac:dyDescent="0.25">
      <c r="A457" s="7"/>
      <c r="B457" s="17"/>
      <c r="C457" s="20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 spans="1:33" ht="12.5" x14ac:dyDescent="0.25">
      <c r="A458" s="7"/>
      <c r="B458" s="17"/>
      <c r="C458" s="20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 spans="1:33" ht="12.5" x14ac:dyDescent="0.25">
      <c r="A459" s="7"/>
      <c r="B459" s="17"/>
      <c r="C459" s="20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 spans="1:33" ht="12.5" x14ac:dyDescent="0.25">
      <c r="A460" s="7"/>
      <c r="B460" s="17"/>
      <c r="C460" s="20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 spans="1:33" ht="12.5" x14ac:dyDescent="0.25">
      <c r="A461" s="7"/>
      <c r="B461" s="17"/>
      <c r="C461" s="20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 spans="1:33" ht="12.5" x14ac:dyDescent="0.25">
      <c r="A462" s="7"/>
      <c r="B462" s="17"/>
      <c r="C462" s="20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 spans="1:33" ht="12.5" x14ac:dyDescent="0.25">
      <c r="A463" s="7"/>
      <c r="B463" s="17"/>
      <c r="C463" s="20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 spans="1:33" ht="12.5" x14ac:dyDescent="0.25">
      <c r="A464" s="7"/>
      <c r="B464" s="17"/>
      <c r="C464" s="20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 spans="1:33" ht="12.5" x14ac:dyDescent="0.25">
      <c r="A465" s="7"/>
      <c r="B465" s="17"/>
      <c r="C465" s="20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 spans="1:33" ht="12.5" x14ac:dyDescent="0.25">
      <c r="A466" s="7"/>
      <c r="B466" s="17"/>
      <c r="C466" s="20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 spans="1:33" ht="12.5" x14ac:dyDescent="0.25">
      <c r="A467" s="7"/>
      <c r="B467" s="17"/>
      <c r="C467" s="20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 spans="1:33" ht="12.5" x14ac:dyDescent="0.25">
      <c r="A468" s="7"/>
      <c r="B468" s="17"/>
      <c r="C468" s="20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 spans="1:33" ht="12.5" x14ac:dyDescent="0.25">
      <c r="A469" s="7"/>
      <c r="B469" s="17"/>
      <c r="C469" s="20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 spans="1:33" ht="12.5" x14ac:dyDescent="0.25">
      <c r="A470" s="7"/>
      <c r="B470" s="17"/>
      <c r="C470" s="20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 spans="1:33" ht="12.5" x14ac:dyDescent="0.25">
      <c r="A471" s="7"/>
      <c r="B471" s="17"/>
      <c r="C471" s="20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 spans="1:33" ht="12.5" x14ac:dyDescent="0.25">
      <c r="A472" s="7"/>
      <c r="B472" s="17"/>
      <c r="C472" s="20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 spans="1:33" ht="12.5" x14ac:dyDescent="0.25">
      <c r="A473" s="7"/>
      <c r="B473" s="17"/>
      <c r="C473" s="20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 spans="1:33" ht="12.5" x14ac:dyDescent="0.25">
      <c r="A474" s="7"/>
      <c r="B474" s="17"/>
      <c r="C474" s="20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 spans="1:33" ht="12.5" x14ac:dyDescent="0.25">
      <c r="A475" s="7"/>
      <c r="B475" s="17"/>
      <c r="C475" s="20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 spans="1:33" ht="12.5" x14ac:dyDescent="0.25">
      <c r="A476" s="7"/>
      <c r="B476" s="17"/>
      <c r="C476" s="20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 spans="1:33" ht="12.5" x14ac:dyDescent="0.25">
      <c r="A477" s="7"/>
      <c r="B477" s="17"/>
      <c r="C477" s="20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 spans="1:33" ht="12.5" x14ac:dyDescent="0.25">
      <c r="A478" s="7"/>
      <c r="B478" s="17"/>
      <c r="C478" s="20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 spans="1:33" ht="12.5" x14ac:dyDescent="0.25">
      <c r="A479" s="7"/>
      <c r="B479" s="17"/>
      <c r="C479" s="20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 spans="1:33" ht="12.5" x14ac:dyDescent="0.25">
      <c r="A480" s="7"/>
      <c r="B480" s="17"/>
      <c r="C480" s="20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 spans="1:33" ht="12.5" x14ac:dyDescent="0.25">
      <c r="A481" s="7"/>
      <c r="B481" s="17"/>
      <c r="C481" s="20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 spans="1:33" ht="12.5" x14ac:dyDescent="0.25">
      <c r="A482" s="7"/>
      <c r="B482" s="17"/>
      <c r="C482" s="20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 spans="1:33" ht="12.5" x14ac:dyDescent="0.25">
      <c r="A483" s="7"/>
      <c r="B483" s="17"/>
      <c r="C483" s="20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 spans="1:33" ht="12.5" x14ac:dyDescent="0.25">
      <c r="A484" s="7"/>
      <c r="B484" s="17"/>
      <c r="C484" s="20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 spans="1:33" ht="12.5" x14ac:dyDescent="0.25">
      <c r="A485" s="7"/>
      <c r="B485" s="17"/>
      <c r="C485" s="20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 spans="1:33" ht="12.5" x14ac:dyDescent="0.25">
      <c r="A486" s="7"/>
      <c r="B486" s="17"/>
      <c r="C486" s="20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 spans="1:33" ht="12.5" x14ac:dyDescent="0.25">
      <c r="A487" s="7"/>
      <c r="B487" s="17"/>
      <c r="C487" s="20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 spans="1:33" ht="12.5" x14ac:dyDescent="0.25">
      <c r="A488" s="7"/>
      <c r="B488" s="17"/>
      <c r="C488" s="20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 spans="1:33" ht="12.5" x14ac:dyDescent="0.25">
      <c r="A489" s="7"/>
      <c r="B489" s="17"/>
      <c r="C489" s="20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 spans="1:33" ht="12.5" x14ac:dyDescent="0.25">
      <c r="A490" s="7"/>
      <c r="B490" s="17"/>
      <c r="C490" s="20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 spans="1:33" ht="12.5" x14ac:dyDescent="0.25">
      <c r="A491" s="7"/>
      <c r="B491" s="17"/>
      <c r="C491" s="20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 spans="1:33" ht="12.5" x14ac:dyDescent="0.25">
      <c r="A492" s="7"/>
      <c r="B492" s="17"/>
      <c r="C492" s="20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 spans="1:33" ht="12.5" x14ac:dyDescent="0.25">
      <c r="A493" s="7"/>
      <c r="B493" s="17"/>
      <c r="C493" s="20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 spans="1:33" ht="12.5" x14ac:dyDescent="0.25">
      <c r="A494" s="7"/>
      <c r="B494" s="17"/>
      <c r="C494" s="20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 spans="1:33" ht="12.5" x14ac:dyDescent="0.25">
      <c r="A495" s="7"/>
      <c r="B495" s="17"/>
      <c r="C495" s="20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 spans="1:33" ht="12.5" x14ac:dyDescent="0.25">
      <c r="A496" s="7"/>
      <c r="B496" s="17"/>
      <c r="C496" s="20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 spans="1:33" ht="12.5" x14ac:dyDescent="0.25">
      <c r="A497" s="7"/>
      <c r="B497" s="17"/>
      <c r="C497" s="20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 spans="1:33" ht="12.5" x14ac:dyDescent="0.25">
      <c r="A498" s="7"/>
      <c r="B498" s="17"/>
      <c r="C498" s="20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 spans="1:33" ht="12.5" x14ac:dyDescent="0.25">
      <c r="A499" s="7"/>
      <c r="B499" s="17"/>
      <c r="C499" s="20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 spans="1:33" ht="12.5" x14ac:dyDescent="0.25">
      <c r="A500" s="7"/>
      <c r="B500" s="17"/>
      <c r="C500" s="20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 spans="1:33" ht="12.5" x14ac:dyDescent="0.25">
      <c r="A501" s="7"/>
      <c r="B501" s="17"/>
      <c r="C501" s="20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 spans="1:33" ht="12.5" x14ac:dyDescent="0.25">
      <c r="A502" s="7"/>
      <c r="B502" s="17"/>
      <c r="C502" s="20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 spans="1:33" ht="12.5" x14ac:dyDescent="0.25">
      <c r="A503" s="7"/>
      <c r="B503" s="17"/>
      <c r="C503" s="20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 spans="1:33" ht="12.5" x14ac:dyDescent="0.25">
      <c r="A504" s="7"/>
      <c r="B504" s="17"/>
      <c r="C504" s="20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 spans="1:33" ht="12.5" x14ac:dyDescent="0.25">
      <c r="A505" s="7"/>
      <c r="B505" s="17"/>
      <c r="C505" s="20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 spans="1:33" ht="12.5" x14ac:dyDescent="0.25">
      <c r="A506" s="7"/>
      <c r="B506" s="17"/>
      <c r="C506" s="20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 spans="1:33" ht="12.5" x14ac:dyDescent="0.25">
      <c r="A507" s="7"/>
      <c r="B507" s="17"/>
      <c r="C507" s="20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 spans="1:33" ht="12.5" x14ac:dyDescent="0.25">
      <c r="A508" s="7"/>
      <c r="B508" s="17"/>
      <c r="C508" s="20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 spans="1:33" ht="12.5" x14ac:dyDescent="0.25">
      <c r="A509" s="7"/>
      <c r="B509" s="17"/>
      <c r="C509" s="20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 spans="1:33" ht="12.5" x14ac:dyDescent="0.25">
      <c r="A510" s="7"/>
      <c r="B510" s="17"/>
      <c r="C510" s="20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 spans="1:33" ht="12.5" x14ac:dyDescent="0.25">
      <c r="A511" s="7"/>
      <c r="B511" s="17"/>
      <c r="C511" s="20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 spans="1:33" ht="12.5" x14ac:dyDescent="0.25">
      <c r="A512" s="7"/>
      <c r="B512" s="17"/>
      <c r="C512" s="20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 spans="1:33" ht="12.5" x14ac:dyDescent="0.25">
      <c r="A513" s="7"/>
      <c r="B513" s="17"/>
      <c r="C513" s="20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 spans="1:33" ht="12.5" x14ac:dyDescent="0.25">
      <c r="A514" s="7"/>
      <c r="B514" s="17"/>
      <c r="C514" s="20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 spans="1:33" ht="12.5" x14ac:dyDescent="0.25">
      <c r="A515" s="7"/>
      <c r="B515" s="17"/>
      <c r="C515" s="20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 spans="1:33" ht="12.5" x14ac:dyDescent="0.25">
      <c r="A516" s="7"/>
      <c r="B516" s="17"/>
      <c r="C516" s="20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 spans="1:33" ht="12.5" x14ac:dyDescent="0.25">
      <c r="A517" s="7"/>
      <c r="B517" s="17"/>
      <c r="C517" s="20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 spans="1:33" ht="12.5" x14ac:dyDescent="0.25">
      <c r="A518" s="7"/>
      <c r="B518" s="17"/>
      <c r="C518" s="20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 spans="1:33" ht="12.5" x14ac:dyDescent="0.25">
      <c r="A519" s="7"/>
      <c r="B519" s="17"/>
      <c r="C519" s="20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 spans="1:33" ht="12.5" x14ac:dyDescent="0.25">
      <c r="A520" s="7"/>
      <c r="B520" s="17"/>
      <c r="C520" s="20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 spans="1:33" ht="12.5" x14ac:dyDescent="0.25">
      <c r="A521" s="7"/>
      <c r="B521" s="17"/>
      <c r="C521" s="20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 spans="1:33" ht="12.5" x14ac:dyDescent="0.25">
      <c r="A522" s="7"/>
      <c r="B522" s="17"/>
      <c r="C522" s="20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 spans="1:33" ht="12.5" x14ac:dyDescent="0.25">
      <c r="A523" s="7"/>
      <c r="B523" s="17"/>
      <c r="C523" s="20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 spans="1:33" ht="12.5" x14ac:dyDescent="0.25">
      <c r="A524" s="7"/>
      <c r="B524" s="17"/>
      <c r="C524" s="20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 spans="1:33" ht="12.5" x14ac:dyDescent="0.25">
      <c r="A525" s="7"/>
      <c r="B525" s="17"/>
      <c r="C525" s="20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 spans="1:33" ht="12.5" x14ac:dyDescent="0.25">
      <c r="A526" s="7"/>
      <c r="B526" s="17"/>
      <c r="C526" s="20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 spans="1:33" ht="12.5" x14ac:dyDescent="0.25">
      <c r="A527" s="7"/>
      <c r="B527" s="17"/>
      <c r="C527" s="20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 spans="1:33" ht="12.5" x14ac:dyDescent="0.25">
      <c r="A528" s="7"/>
      <c r="B528" s="17"/>
      <c r="C528" s="20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 spans="1:33" ht="12.5" x14ac:dyDescent="0.25">
      <c r="A529" s="7"/>
      <c r="B529" s="17"/>
      <c r="C529" s="20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 spans="1:33" ht="12.5" x14ac:dyDescent="0.25">
      <c r="A530" s="7"/>
      <c r="B530" s="17"/>
      <c r="C530" s="20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 spans="1:33" ht="12.5" x14ac:dyDescent="0.25">
      <c r="A531" s="7"/>
      <c r="B531" s="17"/>
      <c r="C531" s="20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 spans="1:33" ht="12.5" x14ac:dyDescent="0.25">
      <c r="A532" s="7"/>
      <c r="B532" s="17"/>
      <c r="C532" s="20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 spans="1:33" ht="12.5" x14ac:dyDescent="0.25">
      <c r="A533" s="7"/>
      <c r="B533" s="17"/>
      <c r="C533" s="20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 spans="1:33" ht="12.5" x14ac:dyDescent="0.25">
      <c r="A534" s="7"/>
      <c r="B534" s="17"/>
      <c r="C534" s="20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 spans="1:33" ht="12.5" x14ac:dyDescent="0.25">
      <c r="A535" s="7"/>
      <c r="B535" s="17"/>
      <c r="C535" s="20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 spans="1:33" ht="12.5" x14ac:dyDescent="0.25">
      <c r="A536" s="7"/>
      <c r="B536" s="17"/>
      <c r="C536" s="20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 spans="1:33" ht="12.5" x14ac:dyDescent="0.25">
      <c r="A537" s="7"/>
      <c r="B537" s="17"/>
      <c r="C537" s="20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 spans="1:33" ht="12.5" x14ac:dyDescent="0.25">
      <c r="A538" s="7"/>
      <c r="B538" s="17"/>
      <c r="C538" s="20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 spans="1:33" ht="12.5" x14ac:dyDescent="0.25">
      <c r="A539" s="7"/>
      <c r="B539" s="17"/>
      <c r="C539" s="20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 spans="1:33" ht="12.5" x14ac:dyDescent="0.25">
      <c r="A540" s="7"/>
      <c r="B540" s="17"/>
      <c r="C540" s="20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 spans="1:33" ht="12.5" x14ac:dyDescent="0.25">
      <c r="A541" s="7"/>
      <c r="B541" s="17"/>
      <c r="C541" s="20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 spans="1:33" ht="12.5" x14ac:dyDescent="0.25">
      <c r="A542" s="7"/>
      <c r="B542" s="17"/>
      <c r="C542" s="20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 spans="1:33" ht="12.5" x14ac:dyDescent="0.25">
      <c r="A543" s="7"/>
      <c r="B543" s="17"/>
      <c r="C543" s="20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 spans="1:33" ht="12.5" x14ac:dyDescent="0.25">
      <c r="A544" s="7"/>
      <c r="B544" s="17"/>
      <c r="C544" s="20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 spans="1:33" ht="12.5" x14ac:dyDescent="0.25">
      <c r="A545" s="7"/>
      <c r="B545" s="17"/>
      <c r="C545" s="20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 spans="1:33" ht="12.5" x14ac:dyDescent="0.25">
      <c r="A546" s="7"/>
      <c r="B546" s="17"/>
      <c r="C546" s="20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 spans="1:33" ht="12.5" x14ac:dyDescent="0.25">
      <c r="A547" s="7"/>
      <c r="B547" s="17"/>
      <c r="C547" s="20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 spans="1:33" ht="12.5" x14ac:dyDescent="0.25">
      <c r="A548" s="7"/>
      <c r="B548" s="17"/>
      <c r="C548" s="20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 spans="1:33" ht="12.5" x14ac:dyDescent="0.25">
      <c r="A549" s="7"/>
      <c r="B549" s="17"/>
      <c r="C549" s="20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 spans="1:33" ht="12.5" x14ac:dyDescent="0.25">
      <c r="A550" s="7"/>
      <c r="B550" s="17"/>
      <c r="C550" s="20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 spans="1:33" ht="12.5" x14ac:dyDescent="0.25">
      <c r="A551" s="7"/>
      <c r="B551" s="17"/>
      <c r="C551" s="20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 spans="1:33" ht="12.5" x14ac:dyDescent="0.25">
      <c r="A552" s="7"/>
      <c r="B552" s="17"/>
      <c r="C552" s="20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 spans="1:33" ht="12.5" x14ac:dyDescent="0.25">
      <c r="A553" s="7"/>
      <c r="B553" s="17"/>
      <c r="C553" s="20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 spans="1:33" ht="12.5" x14ac:dyDescent="0.25">
      <c r="A554" s="7"/>
      <c r="B554" s="17"/>
      <c r="C554" s="20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 spans="1:33" ht="12.5" x14ac:dyDescent="0.25">
      <c r="A555" s="7"/>
      <c r="B555" s="17"/>
      <c r="C555" s="20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 spans="1:33" ht="12.5" x14ac:dyDescent="0.25">
      <c r="A556" s="7"/>
      <c r="B556" s="17"/>
      <c r="C556" s="20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 spans="1:33" ht="12.5" x14ac:dyDescent="0.25">
      <c r="A557" s="7"/>
      <c r="B557" s="17"/>
      <c r="C557" s="20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 spans="1:33" ht="12.5" x14ac:dyDescent="0.25">
      <c r="A558" s="7"/>
      <c r="B558" s="17"/>
      <c r="C558" s="20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 spans="1:33" ht="12.5" x14ac:dyDescent="0.25">
      <c r="A559" s="7"/>
      <c r="B559" s="17"/>
      <c r="C559" s="20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 spans="1:33" ht="12.5" x14ac:dyDescent="0.25">
      <c r="A560" s="7"/>
      <c r="B560" s="17"/>
      <c r="C560" s="20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 spans="1:33" ht="12.5" x14ac:dyDescent="0.25">
      <c r="A561" s="7"/>
      <c r="B561" s="17"/>
      <c r="C561" s="20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 spans="1:33" ht="12.5" x14ac:dyDescent="0.25">
      <c r="A562" s="7"/>
      <c r="B562" s="17"/>
      <c r="C562" s="20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 spans="1:33" ht="12.5" x14ac:dyDescent="0.25">
      <c r="A563" s="7"/>
      <c r="B563" s="17"/>
      <c r="C563" s="20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 spans="1:33" ht="12.5" x14ac:dyDescent="0.25">
      <c r="A564" s="7"/>
      <c r="B564" s="17"/>
      <c r="C564" s="20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 spans="1:33" ht="12.5" x14ac:dyDescent="0.25">
      <c r="A565" s="7"/>
      <c r="B565" s="17"/>
      <c r="C565" s="20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 spans="1:33" ht="12.5" x14ac:dyDescent="0.25">
      <c r="A566" s="7"/>
      <c r="B566" s="17"/>
      <c r="C566" s="20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 spans="1:33" ht="12.5" x14ac:dyDescent="0.25">
      <c r="A567" s="7"/>
      <c r="B567" s="17"/>
      <c r="C567" s="20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 spans="1:33" ht="12.5" x14ac:dyDescent="0.25">
      <c r="A568" s="7"/>
      <c r="B568" s="17"/>
      <c r="C568" s="20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 spans="1:33" ht="12.5" x14ac:dyDescent="0.25">
      <c r="A569" s="7"/>
      <c r="B569" s="17"/>
      <c r="C569" s="20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 spans="1:33" ht="12.5" x14ac:dyDescent="0.25">
      <c r="A570" s="7"/>
      <c r="B570" s="17"/>
      <c r="C570" s="20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 spans="1:33" ht="12.5" x14ac:dyDescent="0.25">
      <c r="A571" s="7"/>
      <c r="B571" s="17"/>
      <c r="C571" s="20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 spans="1:33" ht="12.5" x14ac:dyDescent="0.25">
      <c r="A572" s="7"/>
      <c r="B572" s="17"/>
      <c r="C572" s="20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 spans="1:33" ht="12.5" x14ac:dyDescent="0.25">
      <c r="A573" s="7"/>
      <c r="B573" s="17"/>
      <c r="C573" s="20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 spans="1:33" ht="12.5" x14ac:dyDescent="0.25">
      <c r="A574" s="7"/>
      <c r="B574" s="17"/>
      <c r="C574" s="20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 spans="1:33" ht="12.5" x14ac:dyDescent="0.25">
      <c r="A575" s="7"/>
      <c r="B575" s="17"/>
      <c r="C575" s="20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 spans="1:33" ht="12.5" x14ac:dyDescent="0.25">
      <c r="A576" s="7"/>
      <c r="B576" s="17"/>
      <c r="C576" s="20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 spans="1:33" ht="12.5" x14ac:dyDescent="0.25">
      <c r="A577" s="7"/>
      <c r="B577" s="17"/>
      <c r="C577" s="20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 spans="1:33" ht="12.5" x14ac:dyDescent="0.25">
      <c r="A578" s="7"/>
      <c r="B578" s="17"/>
      <c r="C578" s="20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 spans="1:33" ht="12.5" x14ac:dyDescent="0.25">
      <c r="A579" s="7"/>
      <c r="B579" s="17"/>
      <c r="C579" s="20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 spans="1:33" ht="12.5" x14ac:dyDescent="0.25">
      <c r="A580" s="7"/>
      <c r="B580" s="17"/>
      <c r="C580" s="20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 spans="1:33" ht="12.5" x14ac:dyDescent="0.25">
      <c r="A581" s="7"/>
      <c r="B581" s="17"/>
      <c r="C581" s="20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 spans="1:33" ht="12.5" x14ac:dyDescent="0.25">
      <c r="A582" s="7"/>
      <c r="B582" s="17"/>
      <c r="C582" s="20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 spans="1:33" ht="12.5" x14ac:dyDescent="0.25">
      <c r="A583" s="7"/>
      <c r="B583" s="17"/>
      <c r="C583" s="20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 spans="1:33" ht="12.5" x14ac:dyDescent="0.25">
      <c r="A584" s="7"/>
      <c r="B584" s="17"/>
      <c r="C584" s="20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 spans="1:33" ht="12.5" x14ac:dyDescent="0.25">
      <c r="A585" s="7"/>
      <c r="B585" s="17"/>
      <c r="C585" s="20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 spans="1:33" ht="12.5" x14ac:dyDescent="0.25">
      <c r="A586" s="7"/>
      <c r="B586" s="17"/>
      <c r="C586" s="20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 spans="1:33" ht="12.5" x14ac:dyDescent="0.25">
      <c r="A587" s="7"/>
      <c r="B587" s="17"/>
      <c r="C587" s="20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 spans="1:33" ht="12.5" x14ac:dyDescent="0.25">
      <c r="A588" s="7"/>
      <c r="B588" s="17"/>
      <c r="C588" s="20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 spans="1:33" ht="12.5" x14ac:dyDescent="0.25">
      <c r="A589" s="7"/>
      <c r="B589" s="17"/>
      <c r="C589" s="20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 spans="1:33" ht="12.5" x14ac:dyDescent="0.25">
      <c r="A590" s="7"/>
      <c r="B590" s="17"/>
      <c r="C590" s="20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 spans="1:33" ht="12.5" x14ac:dyDescent="0.25">
      <c r="A591" s="7"/>
      <c r="B591" s="17"/>
      <c r="C591" s="20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 spans="1:33" ht="12.5" x14ac:dyDescent="0.25">
      <c r="A592" s="7"/>
      <c r="B592" s="17"/>
      <c r="C592" s="20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 spans="1:33" ht="12.5" x14ac:dyDescent="0.25">
      <c r="A593" s="7"/>
      <c r="B593" s="17"/>
      <c r="C593" s="20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 spans="1:33" ht="12.5" x14ac:dyDescent="0.25">
      <c r="A594" s="7"/>
      <c r="B594" s="17"/>
      <c r="C594" s="20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 spans="1:33" ht="12.5" x14ac:dyDescent="0.25">
      <c r="A595" s="7"/>
      <c r="B595" s="17"/>
      <c r="C595" s="20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 spans="1:33" ht="12.5" x14ac:dyDescent="0.25">
      <c r="A596" s="7"/>
      <c r="B596" s="17"/>
      <c r="C596" s="20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 spans="1:33" ht="12.5" x14ac:dyDescent="0.25">
      <c r="A597" s="7"/>
      <c r="B597" s="17"/>
      <c r="C597" s="20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 spans="1:33" ht="12.5" x14ac:dyDescent="0.25">
      <c r="A598" s="7"/>
      <c r="B598" s="17"/>
      <c r="C598" s="20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 spans="1:33" ht="12.5" x14ac:dyDescent="0.25">
      <c r="A599" s="7"/>
      <c r="B599" s="17"/>
      <c r="C599" s="20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 spans="1:33" ht="12.5" x14ac:dyDescent="0.25">
      <c r="A600" s="7"/>
      <c r="B600" s="17"/>
      <c r="C600" s="20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 spans="1:33" ht="12.5" x14ac:dyDescent="0.25">
      <c r="A601" s="7"/>
      <c r="B601" s="17"/>
      <c r="C601" s="20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 spans="1:33" ht="12.5" x14ac:dyDescent="0.25">
      <c r="A602" s="7"/>
      <c r="B602" s="17"/>
      <c r="C602" s="20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 spans="1:33" ht="12.5" x14ac:dyDescent="0.25">
      <c r="A603" s="7"/>
      <c r="B603" s="17"/>
      <c r="C603" s="20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 spans="1:33" ht="12.5" x14ac:dyDescent="0.25">
      <c r="A604" s="7"/>
      <c r="B604" s="17"/>
      <c r="C604" s="20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 spans="1:33" ht="12.5" x14ac:dyDescent="0.25">
      <c r="A605" s="7"/>
      <c r="B605" s="17"/>
      <c r="C605" s="20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 spans="1:33" ht="12.5" x14ac:dyDescent="0.25">
      <c r="A606" s="7"/>
      <c r="B606" s="17"/>
      <c r="C606" s="20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 spans="1:33" ht="12.5" x14ac:dyDescent="0.25">
      <c r="A607" s="7"/>
      <c r="B607" s="17"/>
      <c r="C607" s="20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 spans="1:33" ht="12.5" x14ac:dyDescent="0.25">
      <c r="A608" s="7"/>
      <c r="B608" s="17"/>
      <c r="C608" s="20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 spans="1:33" ht="12.5" x14ac:dyDescent="0.25">
      <c r="A609" s="7"/>
      <c r="B609" s="17"/>
      <c r="C609" s="20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 spans="1:33" ht="12.5" x14ac:dyDescent="0.25">
      <c r="A610" s="7"/>
      <c r="B610" s="17"/>
      <c r="C610" s="20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 spans="1:33" ht="12.5" x14ac:dyDescent="0.25">
      <c r="A611" s="7"/>
      <c r="B611" s="17"/>
      <c r="C611" s="20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 spans="1:33" ht="12.5" x14ac:dyDescent="0.25">
      <c r="A612" s="7"/>
      <c r="B612" s="17"/>
      <c r="C612" s="20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 spans="1:33" ht="12.5" x14ac:dyDescent="0.25">
      <c r="A613" s="7"/>
      <c r="B613" s="17"/>
      <c r="C613" s="20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 spans="1:33" ht="12.5" x14ac:dyDescent="0.25">
      <c r="A614" s="7"/>
      <c r="B614" s="17"/>
      <c r="C614" s="20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 spans="1:33" ht="12.5" x14ac:dyDescent="0.25">
      <c r="A615" s="7"/>
      <c r="B615" s="17"/>
      <c r="C615" s="20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 spans="1:33" ht="12.5" x14ac:dyDescent="0.25">
      <c r="A616" s="7"/>
      <c r="B616" s="17"/>
      <c r="C616" s="20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 spans="1:33" ht="12.5" x14ac:dyDescent="0.25">
      <c r="A617" s="7"/>
      <c r="B617" s="17"/>
      <c r="C617" s="20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 spans="1:33" ht="12.5" x14ac:dyDescent="0.25">
      <c r="A618" s="7"/>
      <c r="B618" s="17"/>
      <c r="C618" s="20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 spans="1:33" ht="12.5" x14ac:dyDescent="0.25">
      <c r="A619" s="7"/>
      <c r="B619" s="17"/>
      <c r="C619" s="20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 spans="1:33" ht="12.5" x14ac:dyDescent="0.25">
      <c r="A620" s="7"/>
      <c r="B620" s="17"/>
      <c r="C620" s="20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 spans="1:33" ht="12.5" x14ac:dyDescent="0.25">
      <c r="A621" s="7"/>
      <c r="B621" s="17"/>
      <c r="C621" s="20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 spans="1:33" ht="12.5" x14ac:dyDescent="0.25">
      <c r="A622" s="7"/>
      <c r="B622" s="17"/>
      <c r="C622" s="20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 spans="1:33" ht="12.5" x14ac:dyDescent="0.25">
      <c r="A623" s="7"/>
      <c r="B623" s="17"/>
      <c r="C623" s="20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 spans="1:33" ht="12.5" x14ac:dyDescent="0.25">
      <c r="A624" s="7"/>
      <c r="B624" s="17"/>
      <c r="C624" s="20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 spans="1:33" ht="12.5" x14ac:dyDescent="0.25">
      <c r="A625" s="7"/>
      <c r="B625" s="17"/>
      <c r="C625" s="20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 spans="1:33" ht="12.5" x14ac:dyDescent="0.25">
      <c r="A626" s="7"/>
      <c r="B626" s="17"/>
      <c r="C626" s="20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 spans="1:33" ht="12.5" x14ac:dyDescent="0.25">
      <c r="A627" s="7"/>
      <c r="B627" s="17"/>
      <c r="C627" s="20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 spans="1:33" ht="12.5" x14ac:dyDescent="0.25">
      <c r="A628" s="7"/>
      <c r="B628" s="17"/>
      <c r="C628" s="20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 spans="1:33" ht="12.5" x14ac:dyDescent="0.25">
      <c r="A629" s="7"/>
      <c r="B629" s="17"/>
      <c r="C629" s="20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 spans="1:33" ht="12.5" x14ac:dyDescent="0.25">
      <c r="A630" s="7"/>
      <c r="B630" s="17"/>
      <c r="C630" s="20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 spans="1:33" ht="12.5" x14ac:dyDescent="0.25">
      <c r="A631" s="7"/>
      <c r="B631" s="17"/>
      <c r="C631" s="20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 spans="1:33" ht="12.5" x14ac:dyDescent="0.25">
      <c r="A632" s="7"/>
      <c r="B632" s="17"/>
      <c r="C632" s="20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 spans="1:33" ht="12.5" x14ac:dyDescent="0.25">
      <c r="A633" s="7"/>
      <c r="B633" s="17"/>
      <c r="C633" s="20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 spans="1:33" ht="12.5" x14ac:dyDescent="0.25">
      <c r="A634" s="7"/>
      <c r="B634" s="17"/>
      <c r="C634" s="20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 spans="1:33" ht="12.5" x14ac:dyDescent="0.25">
      <c r="A635" s="7"/>
      <c r="B635" s="17"/>
      <c r="C635" s="20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 spans="1:33" ht="12.5" x14ac:dyDescent="0.25">
      <c r="A636" s="7"/>
      <c r="B636" s="17"/>
      <c r="C636" s="20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 spans="1:33" ht="12.5" x14ac:dyDescent="0.25">
      <c r="A637" s="7"/>
      <c r="B637" s="17"/>
      <c r="C637" s="20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 spans="1:33" ht="12.5" x14ac:dyDescent="0.25">
      <c r="A638" s="7"/>
      <c r="B638" s="17"/>
      <c r="C638" s="20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 spans="1:33" ht="12.5" x14ac:dyDescent="0.25">
      <c r="A639" s="7"/>
      <c r="B639" s="17"/>
      <c r="C639" s="20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 spans="1:33" ht="12.5" x14ac:dyDescent="0.25">
      <c r="A640" s="7"/>
      <c r="B640" s="17"/>
      <c r="C640" s="20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 spans="1:33" ht="12.5" x14ac:dyDescent="0.25">
      <c r="A641" s="7"/>
      <c r="B641" s="17"/>
      <c r="C641" s="20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 spans="1:33" ht="12.5" x14ac:dyDescent="0.25">
      <c r="A642" s="7"/>
      <c r="B642" s="17"/>
      <c r="C642" s="20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 spans="1:33" ht="12.5" x14ac:dyDescent="0.25">
      <c r="A643" s="7"/>
      <c r="B643" s="17"/>
      <c r="C643" s="20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 spans="1:33" ht="12.5" x14ac:dyDescent="0.25">
      <c r="A644" s="7"/>
      <c r="B644" s="17"/>
      <c r="C644" s="20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 spans="1:33" ht="12.5" x14ac:dyDescent="0.25">
      <c r="A645" s="7"/>
      <c r="B645" s="17"/>
      <c r="C645" s="20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 spans="1:33" ht="12.5" x14ac:dyDescent="0.25">
      <c r="A646" s="7"/>
      <c r="B646" s="17"/>
      <c r="C646" s="20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 spans="1:33" ht="12.5" x14ac:dyDescent="0.25">
      <c r="A647" s="7"/>
      <c r="B647" s="17"/>
      <c r="C647" s="20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 spans="1:33" ht="12.5" x14ac:dyDescent="0.25">
      <c r="A648" s="7"/>
      <c r="B648" s="17"/>
      <c r="C648" s="20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 spans="1:33" ht="12.5" x14ac:dyDescent="0.25">
      <c r="A649" s="7"/>
      <c r="B649" s="17"/>
      <c r="C649" s="20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 spans="1:33" ht="12.5" x14ac:dyDescent="0.25">
      <c r="A650" s="7"/>
      <c r="B650" s="17"/>
      <c r="C650" s="20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 spans="1:33" ht="12.5" x14ac:dyDescent="0.25">
      <c r="A651" s="7"/>
      <c r="B651" s="17"/>
      <c r="C651" s="20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 spans="1:33" ht="12.5" x14ac:dyDescent="0.25">
      <c r="A652" s="7"/>
      <c r="B652" s="17"/>
      <c r="C652" s="20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 spans="1:33" ht="12.5" x14ac:dyDescent="0.25">
      <c r="A653" s="7"/>
      <c r="B653" s="17"/>
      <c r="C653" s="20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 spans="1:33" ht="12.5" x14ac:dyDescent="0.25">
      <c r="A654" s="7"/>
      <c r="B654" s="17"/>
      <c r="C654" s="20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 spans="1:33" ht="12.5" x14ac:dyDescent="0.25">
      <c r="A655" s="7"/>
      <c r="B655" s="17"/>
      <c r="C655" s="20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 spans="1:33" ht="12.5" x14ac:dyDescent="0.25">
      <c r="A656" s="7"/>
      <c r="B656" s="17"/>
      <c r="C656" s="20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 spans="1:33" ht="12.5" x14ac:dyDescent="0.25">
      <c r="A657" s="7"/>
      <c r="B657" s="17"/>
      <c r="C657" s="20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 spans="1:33" ht="12.5" x14ac:dyDescent="0.25">
      <c r="A658" s="7"/>
      <c r="B658" s="17"/>
      <c r="C658" s="20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 spans="1:33" ht="12.5" x14ac:dyDescent="0.25">
      <c r="A659" s="7"/>
      <c r="B659" s="17"/>
      <c r="C659" s="20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 spans="1:33" ht="12.5" x14ac:dyDescent="0.25">
      <c r="A660" s="7"/>
      <c r="B660" s="17"/>
      <c r="C660" s="20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 spans="1:33" ht="12.5" x14ac:dyDescent="0.25">
      <c r="A661" s="7"/>
      <c r="B661" s="17"/>
      <c r="C661" s="20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 spans="1:33" ht="12.5" x14ac:dyDescent="0.25">
      <c r="A662" s="7"/>
      <c r="B662" s="17"/>
      <c r="C662" s="20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 spans="1:33" ht="12.5" x14ac:dyDescent="0.25">
      <c r="A663" s="7"/>
      <c r="B663" s="17"/>
      <c r="C663" s="20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 spans="1:33" ht="12.5" x14ac:dyDescent="0.25">
      <c r="A664" s="7"/>
      <c r="B664" s="17"/>
      <c r="C664" s="20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 spans="1:33" ht="12.5" x14ac:dyDescent="0.25">
      <c r="A665" s="7"/>
      <c r="B665" s="17"/>
      <c r="C665" s="20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 spans="1:33" ht="12.5" x14ac:dyDescent="0.25">
      <c r="A666" s="7"/>
      <c r="B666" s="17"/>
      <c r="C666" s="20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 spans="1:33" ht="12.5" x14ac:dyDescent="0.25">
      <c r="A667" s="7"/>
      <c r="B667" s="17"/>
      <c r="C667" s="20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 spans="1:33" ht="12.5" x14ac:dyDescent="0.25">
      <c r="A668" s="7"/>
      <c r="B668" s="17"/>
      <c r="C668" s="20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 spans="1:33" ht="12.5" x14ac:dyDescent="0.25">
      <c r="A669" s="7"/>
      <c r="B669" s="17"/>
      <c r="C669" s="20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 spans="1:33" ht="12.5" x14ac:dyDescent="0.25">
      <c r="A670" s="7"/>
      <c r="B670" s="17"/>
      <c r="C670" s="20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 spans="1:33" ht="12.5" x14ac:dyDescent="0.25">
      <c r="A671" s="7"/>
      <c r="B671" s="17"/>
      <c r="C671" s="20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 spans="1:33" ht="12.5" x14ac:dyDescent="0.25">
      <c r="A672" s="7"/>
      <c r="B672" s="17"/>
      <c r="C672" s="20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 spans="1:33" ht="12.5" x14ac:dyDescent="0.25">
      <c r="A673" s="7"/>
      <c r="B673" s="17"/>
      <c r="C673" s="20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 spans="1:33" ht="12.5" x14ac:dyDescent="0.25">
      <c r="A674" s="7"/>
      <c r="B674" s="17"/>
      <c r="C674" s="20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 spans="1:33" ht="12.5" x14ac:dyDescent="0.25">
      <c r="A675" s="7"/>
      <c r="B675" s="17"/>
      <c r="C675" s="20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 spans="1:33" ht="12.5" x14ac:dyDescent="0.25">
      <c r="A676" s="7"/>
      <c r="B676" s="17"/>
      <c r="C676" s="20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 spans="1:33" ht="12.5" x14ac:dyDescent="0.25">
      <c r="A677" s="7"/>
      <c r="B677" s="17"/>
      <c r="C677" s="20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 spans="1:33" ht="12.5" x14ac:dyDescent="0.25">
      <c r="A678" s="7"/>
      <c r="B678" s="17"/>
      <c r="C678" s="20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 spans="1:33" ht="12.5" x14ac:dyDescent="0.25">
      <c r="A679" s="7"/>
      <c r="B679" s="17"/>
      <c r="C679" s="20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 spans="1:33" ht="12.5" x14ac:dyDescent="0.25">
      <c r="A680" s="7"/>
      <c r="B680" s="17"/>
      <c r="C680" s="20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 spans="1:33" ht="12.5" x14ac:dyDescent="0.25">
      <c r="A681" s="7"/>
      <c r="B681" s="17"/>
      <c r="C681" s="20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 spans="1:33" ht="12.5" x14ac:dyDescent="0.25">
      <c r="A682" s="7"/>
      <c r="B682" s="17"/>
      <c r="C682" s="20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 spans="1:33" ht="12.5" x14ac:dyDescent="0.25">
      <c r="A683" s="7"/>
      <c r="B683" s="17"/>
      <c r="C683" s="20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 spans="1:33" ht="12.5" x14ac:dyDescent="0.25">
      <c r="A684" s="7"/>
      <c r="B684" s="17"/>
      <c r="C684" s="20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 spans="1:33" ht="12.5" x14ac:dyDescent="0.25">
      <c r="A685" s="7"/>
      <c r="B685" s="17"/>
      <c r="C685" s="20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 spans="1:33" ht="12.5" x14ac:dyDescent="0.25">
      <c r="A686" s="7"/>
      <c r="B686" s="17"/>
      <c r="C686" s="20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 spans="1:33" ht="12.5" x14ac:dyDescent="0.25">
      <c r="A687" s="7"/>
      <c r="B687" s="17"/>
      <c r="C687" s="20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 spans="1:33" ht="12.5" x14ac:dyDescent="0.25">
      <c r="A688" s="7"/>
      <c r="B688" s="17"/>
      <c r="C688" s="20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 spans="1:33" ht="12.5" x14ac:dyDescent="0.25">
      <c r="A689" s="7"/>
      <c r="B689" s="17"/>
      <c r="C689" s="20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 spans="1:33" ht="12.5" x14ac:dyDescent="0.25">
      <c r="A690" s="7"/>
      <c r="B690" s="17"/>
      <c r="C690" s="20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 spans="1:33" ht="12.5" x14ac:dyDescent="0.25">
      <c r="A691" s="7"/>
      <c r="B691" s="17"/>
      <c r="C691" s="20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 spans="1:33" ht="12.5" x14ac:dyDescent="0.25">
      <c r="A692" s="7"/>
      <c r="B692" s="17"/>
      <c r="C692" s="20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 spans="1:33" ht="12.5" x14ac:dyDescent="0.25">
      <c r="A693" s="7"/>
      <c r="B693" s="17"/>
      <c r="C693" s="20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 spans="1:33" ht="12.5" x14ac:dyDescent="0.25">
      <c r="A694" s="7"/>
      <c r="B694" s="17"/>
      <c r="C694" s="20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 spans="1:33" ht="12.5" x14ac:dyDescent="0.25">
      <c r="A695" s="7"/>
      <c r="B695" s="17"/>
      <c r="C695" s="20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 spans="1:33" ht="12.5" x14ac:dyDescent="0.25">
      <c r="A696" s="7"/>
      <c r="B696" s="17"/>
      <c r="C696" s="20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 spans="1:33" ht="12.5" x14ac:dyDescent="0.25">
      <c r="A697" s="7"/>
      <c r="B697" s="17"/>
      <c r="C697" s="20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 spans="1:33" ht="12.5" x14ac:dyDescent="0.25">
      <c r="A698" s="7"/>
      <c r="B698" s="17"/>
      <c r="C698" s="20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 spans="1:33" ht="12.5" x14ac:dyDescent="0.25">
      <c r="A699" s="7"/>
      <c r="B699" s="17"/>
      <c r="C699" s="20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 spans="1:33" ht="12.5" x14ac:dyDescent="0.25">
      <c r="A700" s="7"/>
      <c r="B700" s="17"/>
      <c r="C700" s="20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 spans="1:33" ht="12.5" x14ac:dyDescent="0.25">
      <c r="A701" s="7"/>
      <c r="B701" s="17"/>
      <c r="C701" s="20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 spans="1:33" ht="12.5" x14ac:dyDescent="0.25">
      <c r="A702" s="7"/>
      <c r="B702" s="17"/>
      <c r="C702" s="20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 spans="1:33" ht="12.5" x14ac:dyDescent="0.25">
      <c r="A703" s="7"/>
      <c r="B703" s="17"/>
      <c r="C703" s="20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 spans="1:33" ht="12.5" x14ac:dyDescent="0.25">
      <c r="A704" s="7"/>
      <c r="B704" s="17"/>
      <c r="C704" s="20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 spans="1:33" ht="12.5" x14ac:dyDescent="0.25">
      <c r="A705" s="7"/>
      <c r="B705" s="17"/>
      <c r="C705" s="20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 spans="1:33" ht="12.5" x14ac:dyDescent="0.25">
      <c r="A706" s="7"/>
      <c r="B706" s="17"/>
      <c r="C706" s="20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 spans="1:33" ht="12.5" x14ac:dyDescent="0.25">
      <c r="A707" s="7"/>
      <c r="B707" s="17"/>
      <c r="C707" s="20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 spans="1:33" ht="12.5" x14ac:dyDescent="0.25">
      <c r="A708" s="7"/>
      <c r="B708" s="17"/>
      <c r="C708" s="20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 spans="1:33" ht="12.5" x14ac:dyDescent="0.25">
      <c r="A709" s="7"/>
      <c r="B709" s="17"/>
      <c r="C709" s="20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 spans="1:33" ht="12.5" x14ac:dyDescent="0.25">
      <c r="A710" s="7"/>
      <c r="B710" s="17"/>
      <c r="C710" s="20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 spans="1:33" ht="12.5" x14ac:dyDescent="0.25">
      <c r="A711" s="7"/>
      <c r="B711" s="17"/>
      <c r="C711" s="20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 spans="1:33" ht="12.5" x14ac:dyDescent="0.25">
      <c r="A712" s="7"/>
      <c r="B712" s="17"/>
      <c r="C712" s="20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 spans="1:33" ht="12.5" x14ac:dyDescent="0.25">
      <c r="A713" s="7"/>
      <c r="B713" s="17"/>
      <c r="C713" s="20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 spans="1:33" ht="12.5" x14ac:dyDescent="0.25">
      <c r="A714" s="7"/>
      <c r="B714" s="17"/>
      <c r="C714" s="20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 spans="1:33" ht="12.5" x14ac:dyDescent="0.25">
      <c r="A715" s="7"/>
      <c r="B715" s="17"/>
      <c r="C715" s="20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 spans="1:33" ht="12.5" x14ac:dyDescent="0.25">
      <c r="A716" s="7"/>
      <c r="B716" s="17"/>
      <c r="C716" s="20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 spans="1:33" ht="12.5" x14ac:dyDescent="0.25">
      <c r="A717" s="7"/>
      <c r="B717" s="17"/>
      <c r="C717" s="20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 spans="1:33" ht="12.5" x14ac:dyDescent="0.25">
      <c r="A718" s="7"/>
      <c r="B718" s="17"/>
      <c r="C718" s="20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 spans="1:33" ht="12.5" x14ac:dyDescent="0.25">
      <c r="A719" s="7"/>
      <c r="B719" s="17"/>
      <c r="C719" s="20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 spans="1:33" ht="12.5" x14ac:dyDescent="0.25">
      <c r="A720" s="7"/>
      <c r="B720" s="17"/>
      <c r="C720" s="20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 spans="1:33" ht="12.5" x14ac:dyDescent="0.25">
      <c r="A721" s="7"/>
      <c r="B721" s="17"/>
      <c r="C721" s="20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 spans="1:33" ht="12.5" x14ac:dyDescent="0.25">
      <c r="A722" s="7"/>
      <c r="B722" s="17"/>
      <c r="C722" s="20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 spans="1:33" ht="12.5" x14ac:dyDescent="0.25">
      <c r="A723" s="7"/>
      <c r="B723" s="17"/>
      <c r="C723" s="20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 spans="1:33" ht="12.5" x14ac:dyDescent="0.25">
      <c r="A724" s="7"/>
      <c r="B724" s="17"/>
      <c r="C724" s="20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 spans="1:33" ht="12.5" x14ac:dyDescent="0.25">
      <c r="A725" s="7"/>
      <c r="B725" s="17"/>
      <c r="C725" s="20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 spans="1:33" ht="12.5" x14ac:dyDescent="0.25">
      <c r="A726" s="7"/>
      <c r="B726" s="17"/>
      <c r="C726" s="20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 spans="1:33" ht="12.5" x14ac:dyDescent="0.25">
      <c r="A727" s="7"/>
      <c r="B727" s="17"/>
      <c r="C727" s="20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 spans="1:33" ht="12.5" x14ac:dyDescent="0.25">
      <c r="A728" s="7"/>
      <c r="B728" s="17"/>
      <c r="C728" s="20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 spans="1:33" ht="12.5" x14ac:dyDescent="0.25">
      <c r="A729" s="7"/>
      <c r="B729" s="17"/>
      <c r="C729" s="20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 spans="1:33" ht="12.5" x14ac:dyDescent="0.25">
      <c r="A730" s="7"/>
      <c r="B730" s="17"/>
      <c r="C730" s="20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 spans="1:33" ht="12.5" x14ac:dyDescent="0.25">
      <c r="A731" s="7"/>
      <c r="B731" s="17"/>
      <c r="C731" s="20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 spans="1:33" ht="12.5" x14ac:dyDescent="0.25">
      <c r="A732" s="7"/>
      <c r="B732" s="17"/>
      <c r="C732" s="20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 spans="1:33" ht="12.5" x14ac:dyDescent="0.25">
      <c r="A733" s="7"/>
      <c r="B733" s="17"/>
      <c r="C733" s="20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 spans="1:33" ht="12.5" x14ac:dyDescent="0.25">
      <c r="A734" s="7"/>
      <c r="B734" s="17"/>
      <c r="C734" s="20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 spans="1:33" ht="12.5" x14ac:dyDescent="0.25">
      <c r="A735" s="7"/>
      <c r="B735" s="17"/>
      <c r="C735" s="20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 spans="1:33" ht="12.5" x14ac:dyDescent="0.25">
      <c r="A736" s="7"/>
      <c r="B736" s="17"/>
      <c r="C736" s="20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 spans="1:33" ht="12.5" x14ac:dyDescent="0.25">
      <c r="A737" s="7"/>
      <c r="B737" s="17"/>
      <c r="C737" s="20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 spans="1:33" ht="12.5" x14ac:dyDescent="0.25">
      <c r="A738" s="7"/>
      <c r="B738" s="17"/>
      <c r="C738" s="20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 spans="1:33" ht="12.5" x14ac:dyDescent="0.25">
      <c r="A739" s="7"/>
      <c r="B739" s="17"/>
      <c r="C739" s="20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 spans="1:33" ht="12.5" x14ac:dyDescent="0.25">
      <c r="A740" s="7"/>
      <c r="B740" s="17"/>
      <c r="C740" s="20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 spans="1:33" ht="12.5" x14ac:dyDescent="0.25">
      <c r="A741" s="7"/>
      <c r="B741" s="17"/>
      <c r="C741" s="20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 spans="1:33" ht="12.5" x14ac:dyDescent="0.25">
      <c r="A742" s="7"/>
      <c r="B742" s="17"/>
      <c r="C742" s="20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 spans="1:33" ht="12.5" x14ac:dyDescent="0.25">
      <c r="A743" s="7"/>
      <c r="B743" s="17"/>
      <c r="C743" s="20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 spans="1:33" ht="12.5" x14ac:dyDescent="0.25">
      <c r="A744" s="7"/>
      <c r="B744" s="17"/>
      <c r="C744" s="20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 spans="1:33" ht="12.5" x14ac:dyDescent="0.25">
      <c r="A745" s="7"/>
      <c r="B745" s="17"/>
      <c r="C745" s="20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 spans="1:33" ht="12.5" x14ac:dyDescent="0.25">
      <c r="A746" s="7"/>
      <c r="B746" s="17"/>
      <c r="C746" s="20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 spans="1:33" ht="12.5" x14ac:dyDescent="0.25">
      <c r="A747" s="7"/>
      <c r="B747" s="17"/>
      <c r="C747" s="20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 spans="1:33" ht="12.5" x14ac:dyDescent="0.25">
      <c r="A748" s="7"/>
      <c r="B748" s="17"/>
      <c r="C748" s="20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 spans="1:33" ht="12.5" x14ac:dyDescent="0.25">
      <c r="A749" s="7"/>
      <c r="B749" s="17"/>
      <c r="C749" s="20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 spans="1:33" ht="12.5" x14ac:dyDescent="0.25">
      <c r="A750" s="7"/>
      <c r="B750" s="17"/>
      <c r="C750" s="20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 spans="1:33" ht="12.5" x14ac:dyDescent="0.25">
      <c r="A751" s="7"/>
      <c r="B751" s="17"/>
      <c r="C751" s="20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 spans="1:33" ht="12.5" x14ac:dyDescent="0.25">
      <c r="A752" s="7"/>
      <c r="B752" s="17"/>
      <c r="C752" s="20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 spans="1:33" ht="12.5" x14ac:dyDescent="0.25">
      <c r="A753" s="7"/>
      <c r="B753" s="17"/>
      <c r="C753" s="20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 spans="1:33" ht="12.5" x14ac:dyDescent="0.25">
      <c r="A754" s="7"/>
      <c r="B754" s="17"/>
      <c r="C754" s="20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 spans="1:33" ht="12.5" x14ac:dyDescent="0.25">
      <c r="A755" s="7"/>
      <c r="B755" s="17"/>
      <c r="C755" s="20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 spans="1:33" ht="12.5" x14ac:dyDescent="0.25">
      <c r="A756" s="7"/>
      <c r="B756" s="17"/>
      <c r="C756" s="20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 spans="1:33" ht="12.5" x14ac:dyDescent="0.25">
      <c r="A757" s="7"/>
      <c r="B757" s="17"/>
      <c r="C757" s="20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 spans="1:33" ht="12.5" x14ac:dyDescent="0.25">
      <c r="A758" s="7"/>
      <c r="B758" s="17"/>
      <c r="C758" s="20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 spans="1:33" ht="12.5" x14ac:dyDescent="0.25">
      <c r="A759" s="7"/>
      <c r="B759" s="17"/>
      <c r="C759" s="20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 spans="1:33" ht="12.5" x14ac:dyDescent="0.25">
      <c r="A760" s="7"/>
      <c r="B760" s="17"/>
      <c r="C760" s="20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 spans="1:33" ht="12.5" x14ac:dyDescent="0.25">
      <c r="A761" s="7"/>
      <c r="B761" s="17"/>
      <c r="C761" s="20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 spans="1:33" ht="12.5" x14ac:dyDescent="0.25">
      <c r="A762" s="7"/>
      <c r="B762" s="17"/>
      <c r="C762" s="20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 spans="1:33" ht="12.5" x14ac:dyDescent="0.25">
      <c r="A763" s="7"/>
      <c r="B763" s="17"/>
      <c r="C763" s="20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 spans="1:33" ht="12.5" x14ac:dyDescent="0.25">
      <c r="A764" s="7"/>
      <c r="B764" s="17"/>
      <c r="C764" s="20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 spans="1:33" ht="12.5" x14ac:dyDescent="0.25">
      <c r="A765" s="7"/>
      <c r="B765" s="17"/>
      <c r="C765" s="20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 spans="1:33" ht="12.5" x14ac:dyDescent="0.25">
      <c r="A766" s="7"/>
      <c r="B766" s="17"/>
      <c r="C766" s="20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 spans="1:33" ht="12.5" x14ac:dyDescent="0.25">
      <c r="A767" s="7"/>
      <c r="B767" s="17"/>
      <c r="C767" s="20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 spans="1:33" ht="12.5" x14ac:dyDescent="0.25">
      <c r="A768" s="7"/>
      <c r="B768" s="17"/>
      <c r="C768" s="20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 spans="1:33" ht="12.5" x14ac:dyDescent="0.25">
      <c r="A769" s="7"/>
      <c r="B769" s="17"/>
      <c r="C769" s="20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 spans="1:33" ht="12.5" x14ac:dyDescent="0.25">
      <c r="A770" s="7"/>
      <c r="B770" s="17"/>
      <c r="C770" s="20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 spans="1:33" ht="12.5" x14ac:dyDescent="0.25">
      <c r="A771" s="7"/>
      <c r="B771" s="17"/>
      <c r="C771" s="20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 spans="1:33" ht="12.5" x14ac:dyDescent="0.25">
      <c r="A772" s="7"/>
      <c r="B772" s="17"/>
      <c r="C772" s="20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 spans="1:33" ht="12.5" x14ac:dyDescent="0.25">
      <c r="A773" s="7"/>
      <c r="B773" s="17"/>
      <c r="C773" s="20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 spans="1:33" ht="12.5" x14ac:dyDescent="0.25">
      <c r="A774" s="7"/>
      <c r="B774" s="17"/>
      <c r="C774" s="20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 spans="1:33" ht="12.5" x14ac:dyDescent="0.25">
      <c r="A775" s="7"/>
      <c r="B775" s="17"/>
      <c r="C775" s="20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 spans="1:33" ht="12.5" x14ac:dyDescent="0.25">
      <c r="A776" s="7"/>
      <c r="B776" s="17"/>
      <c r="C776" s="20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 spans="1:33" ht="12.5" x14ac:dyDescent="0.25">
      <c r="A777" s="7"/>
      <c r="B777" s="17"/>
      <c r="C777" s="20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 spans="1:33" ht="12.5" x14ac:dyDescent="0.25">
      <c r="A778" s="7"/>
      <c r="B778" s="17"/>
      <c r="C778" s="20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 spans="1:33" ht="12.5" x14ac:dyDescent="0.25">
      <c r="A779" s="7"/>
      <c r="B779" s="17"/>
      <c r="C779" s="20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 spans="1:33" ht="12.5" x14ac:dyDescent="0.25">
      <c r="A780" s="7"/>
      <c r="B780" s="17"/>
      <c r="C780" s="20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 spans="1:33" ht="12.5" x14ac:dyDescent="0.25">
      <c r="A781" s="7"/>
      <c r="B781" s="17"/>
      <c r="C781" s="20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 spans="1:33" ht="12.5" x14ac:dyDescent="0.25">
      <c r="A782" s="7"/>
      <c r="B782" s="17"/>
      <c r="C782" s="20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 spans="1:33" ht="12.5" x14ac:dyDescent="0.25">
      <c r="A783" s="7"/>
      <c r="B783" s="17"/>
      <c r="C783" s="20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 spans="1:33" ht="12.5" x14ac:dyDescent="0.25">
      <c r="A784" s="7"/>
      <c r="B784" s="17"/>
      <c r="C784" s="20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 spans="1:33" ht="12.5" x14ac:dyDescent="0.25">
      <c r="A785" s="7"/>
      <c r="B785" s="17"/>
      <c r="C785" s="20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 spans="1:33" ht="12.5" x14ac:dyDescent="0.25">
      <c r="A786" s="7"/>
      <c r="B786" s="17"/>
      <c r="C786" s="20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 spans="1:33" ht="12.5" x14ac:dyDescent="0.25">
      <c r="A787" s="7"/>
      <c r="B787" s="17"/>
      <c r="C787" s="20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 spans="1:33" ht="12.5" x14ac:dyDescent="0.25">
      <c r="A788" s="7"/>
      <c r="B788" s="17"/>
      <c r="C788" s="20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 spans="1:33" ht="12.5" x14ac:dyDescent="0.25">
      <c r="A789" s="7"/>
      <c r="B789" s="17"/>
      <c r="C789" s="20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 spans="1:33" ht="12.5" x14ac:dyDescent="0.25">
      <c r="A790" s="7"/>
      <c r="B790" s="17"/>
      <c r="C790" s="20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 spans="1:33" ht="12.5" x14ac:dyDescent="0.25">
      <c r="A791" s="7"/>
      <c r="B791" s="17"/>
      <c r="C791" s="20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 spans="1:33" ht="12.5" x14ac:dyDescent="0.25">
      <c r="A792" s="7"/>
      <c r="B792" s="17"/>
      <c r="C792" s="20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 spans="1:33" ht="12.5" x14ac:dyDescent="0.25">
      <c r="A793" s="7"/>
      <c r="B793" s="17"/>
      <c r="C793" s="20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 spans="1:33" ht="12.5" x14ac:dyDescent="0.25">
      <c r="A794" s="7"/>
      <c r="B794" s="17"/>
      <c r="C794" s="20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 spans="1:33" ht="12.5" x14ac:dyDescent="0.25">
      <c r="A795" s="7"/>
      <c r="B795" s="17"/>
      <c r="C795" s="20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 spans="1:33" ht="12.5" x14ac:dyDescent="0.25">
      <c r="A796" s="7"/>
      <c r="B796" s="17"/>
      <c r="C796" s="20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 spans="1:33" ht="12.5" x14ac:dyDescent="0.25">
      <c r="A797" s="7"/>
      <c r="B797" s="17"/>
      <c r="C797" s="20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 spans="1:33" ht="12.5" x14ac:dyDescent="0.25">
      <c r="A798" s="7"/>
      <c r="B798" s="17"/>
      <c r="C798" s="20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 spans="1:33" ht="12.5" x14ac:dyDescent="0.25">
      <c r="A799" s="7"/>
      <c r="B799" s="17"/>
      <c r="C799" s="20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 spans="1:33" ht="12.5" x14ac:dyDescent="0.25">
      <c r="A800" s="7"/>
      <c r="B800" s="17"/>
      <c r="C800" s="20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 spans="1:33" ht="12.5" x14ac:dyDescent="0.25">
      <c r="A801" s="7"/>
      <c r="B801" s="17"/>
      <c r="C801" s="20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 spans="1:33" ht="12.5" x14ac:dyDescent="0.25">
      <c r="A802" s="7"/>
      <c r="B802" s="17"/>
      <c r="C802" s="20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 spans="1:33" ht="12.5" x14ac:dyDescent="0.25">
      <c r="A803" s="7"/>
      <c r="B803" s="17"/>
      <c r="C803" s="20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 spans="1:33" ht="12.5" x14ac:dyDescent="0.25">
      <c r="A804" s="7"/>
      <c r="B804" s="17"/>
      <c r="C804" s="20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 spans="1:33" ht="12.5" x14ac:dyDescent="0.25">
      <c r="A805" s="7"/>
      <c r="B805" s="17"/>
      <c r="C805" s="20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 spans="1:33" ht="12.5" x14ac:dyDescent="0.25">
      <c r="A806" s="7"/>
      <c r="B806" s="17"/>
      <c r="C806" s="20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 spans="1:33" ht="12.5" x14ac:dyDescent="0.25">
      <c r="A807" s="7"/>
      <c r="B807" s="17"/>
      <c r="C807" s="20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 spans="1:33" ht="12.5" x14ac:dyDescent="0.25">
      <c r="A808" s="7"/>
      <c r="B808" s="17"/>
      <c r="C808" s="20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 spans="1:33" ht="12.5" x14ac:dyDescent="0.25">
      <c r="A809" s="7"/>
      <c r="B809" s="17"/>
      <c r="C809" s="20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 spans="1:33" ht="12.5" x14ac:dyDescent="0.25">
      <c r="A810" s="7"/>
      <c r="B810" s="17"/>
      <c r="C810" s="20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 spans="1:33" ht="12.5" x14ac:dyDescent="0.25">
      <c r="A811" s="7"/>
      <c r="B811" s="17"/>
      <c r="C811" s="20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 spans="1:33" ht="12.5" x14ac:dyDescent="0.25">
      <c r="A812" s="7"/>
      <c r="B812" s="17"/>
      <c r="C812" s="20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 spans="1:33" ht="12.5" x14ac:dyDescent="0.25">
      <c r="A813" s="7"/>
      <c r="B813" s="17"/>
      <c r="C813" s="20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 spans="1:33" ht="12.5" x14ac:dyDescent="0.25">
      <c r="A814" s="7"/>
      <c r="B814" s="17"/>
      <c r="C814" s="20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 spans="1:33" ht="12.5" x14ac:dyDescent="0.25">
      <c r="A815" s="7"/>
      <c r="B815" s="17"/>
      <c r="C815" s="20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 spans="1:33" ht="12.5" x14ac:dyDescent="0.25">
      <c r="A816" s="7"/>
      <c r="B816" s="17"/>
      <c r="C816" s="20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 spans="1:33" ht="12.5" x14ac:dyDescent="0.25">
      <c r="A817" s="7"/>
      <c r="B817" s="17"/>
      <c r="C817" s="20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 spans="1:33" ht="12.5" x14ac:dyDescent="0.25">
      <c r="A818" s="7"/>
      <c r="B818" s="17"/>
      <c r="C818" s="20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 spans="1:33" ht="12.5" x14ac:dyDescent="0.25">
      <c r="A819" s="7"/>
      <c r="B819" s="17"/>
      <c r="C819" s="20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 spans="1:33" ht="12.5" x14ac:dyDescent="0.25">
      <c r="A820" s="7"/>
      <c r="B820" s="17"/>
      <c r="C820" s="20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 spans="1:33" ht="12.5" x14ac:dyDescent="0.25">
      <c r="A821" s="7"/>
      <c r="B821" s="17"/>
      <c r="C821" s="20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 spans="1:33" ht="12.5" x14ac:dyDescent="0.25">
      <c r="A822" s="7"/>
      <c r="B822" s="17"/>
      <c r="C822" s="20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 spans="1:33" ht="12.5" x14ac:dyDescent="0.25">
      <c r="A823" s="7"/>
      <c r="B823" s="17"/>
      <c r="C823" s="20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 spans="1:33" ht="12.5" x14ac:dyDescent="0.25">
      <c r="A824" s="7"/>
      <c r="B824" s="17"/>
      <c r="C824" s="20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 spans="1:33" ht="12.5" x14ac:dyDescent="0.25">
      <c r="A825" s="7"/>
      <c r="B825" s="17"/>
      <c r="C825" s="20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 spans="1:33" ht="12.5" x14ac:dyDescent="0.25">
      <c r="A826" s="7"/>
      <c r="B826" s="17"/>
      <c r="C826" s="20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 spans="1:33" ht="12.5" x14ac:dyDescent="0.25">
      <c r="A827" s="7"/>
      <c r="B827" s="17"/>
      <c r="C827" s="20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 spans="1:33" ht="12.5" x14ac:dyDescent="0.25">
      <c r="A828" s="7"/>
      <c r="B828" s="17"/>
      <c r="C828" s="20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 spans="1:33" ht="12.5" x14ac:dyDescent="0.25">
      <c r="A829" s="7"/>
      <c r="B829" s="17"/>
      <c r="C829" s="20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 spans="1:33" ht="12.5" x14ac:dyDescent="0.25">
      <c r="A830" s="7"/>
      <c r="B830" s="17"/>
      <c r="C830" s="20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 spans="1:33" ht="12.5" x14ac:dyDescent="0.25">
      <c r="A831" s="7"/>
      <c r="B831" s="17"/>
      <c r="C831" s="20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 spans="1:33" ht="12.5" x14ac:dyDescent="0.25">
      <c r="A832" s="7"/>
      <c r="B832" s="17"/>
      <c r="C832" s="20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 spans="1:33" ht="12.5" x14ac:dyDescent="0.25">
      <c r="A833" s="7"/>
      <c r="B833" s="17"/>
      <c r="C833" s="20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 spans="1:33" ht="12.5" x14ac:dyDescent="0.25">
      <c r="A834" s="7"/>
      <c r="B834" s="17"/>
      <c r="C834" s="20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 spans="1:33" ht="12.5" x14ac:dyDescent="0.25">
      <c r="A835" s="7"/>
      <c r="B835" s="17"/>
      <c r="C835" s="20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 spans="1:33" ht="12.5" x14ac:dyDescent="0.25">
      <c r="A836" s="7"/>
      <c r="B836" s="17"/>
      <c r="C836" s="20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 spans="1:33" ht="12.5" x14ac:dyDescent="0.25">
      <c r="A837" s="7"/>
      <c r="B837" s="17"/>
      <c r="C837" s="20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 spans="1:33" ht="12.5" x14ac:dyDescent="0.25">
      <c r="A838" s="7"/>
      <c r="B838" s="17"/>
      <c r="C838" s="20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 spans="1:33" ht="12.5" x14ac:dyDescent="0.25">
      <c r="A839" s="7"/>
      <c r="B839" s="17"/>
      <c r="C839" s="20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 spans="1:33" ht="12.5" x14ac:dyDescent="0.25">
      <c r="A840" s="7"/>
      <c r="B840" s="17"/>
      <c r="C840" s="20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 spans="1:33" ht="12.5" x14ac:dyDescent="0.25">
      <c r="A841" s="7"/>
      <c r="B841" s="17"/>
      <c r="C841" s="20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 spans="1:33" ht="12.5" x14ac:dyDescent="0.25">
      <c r="A842" s="7"/>
      <c r="B842" s="17"/>
      <c r="C842" s="20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 spans="1:33" ht="12.5" x14ac:dyDescent="0.25">
      <c r="A843" s="7"/>
      <c r="B843" s="17"/>
      <c r="C843" s="20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 spans="1:33" ht="12.5" x14ac:dyDescent="0.25">
      <c r="A844" s="7"/>
      <c r="B844" s="17"/>
      <c r="C844" s="20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 spans="1:33" ht="12.5" x14ac:dyDescent="0.25">
      <c r="A845" s="7"/>
      <c r="B845" s="17"/>
      <c r="C845" s="20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 spans="1:33" ht="12.5" x14ac:dyDescent="0.25">
      <c r="A846" s="7"/>
      <c r="B846" s="17"/>
      <c r="C846" s="20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 spans="1:33" ht="12.5" x14ac:dyDescent="0.25">
      <c r="A847" s="7"/>
      <c r="B847" s="17"/>
      <c r="C847" s="20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 spans="1:33" ht="12.5" x14ac:dyDescent="0.25">
      <c r="A848" s="7"/>
      <c r="B848" s="17"/>
      <c r="C848" s="20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 spans="1:33" ht="12.5" x14ac:dyDescent="0.25">
      <c r="A849" s="7"/>
      <c r="B849" s="17"/>
      <c r="C849" s="20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 spans="1:33" ht="12.5" x14ac:dyDescent="0.25">
      <c r="A850" s="7"/>
      <c r="B850" s="17"/>
      <c r="C850" s="20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 spans="1:33" ht="12.5" x14ac:dyDescent="0.25">
      <c r="A851" s="7"/>
      <c r="B851" s="17"/>
      <c r="C851" s="20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 spans="1:33" ht="12.5" x14ac:dyDescent="0.25">
      <c r="A852" s="7"/>
      <c r="B852" s="17"/>
      <c r="C852" s="20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 spans="1:33" ht="12.5" x14ac:dyDescent="0.25">
      <c r="A853" s="7"/>
      <c r="B853" s="17"/>
      <c r="C853" s="20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 spans="1:33" ht="12.5" x14ac:dyDescent="0.25">
      <c r="A854" s="7"/>
      <c r="B854" s="17"/>
      <c r="C854" s="20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 spans="1:33" ht="12.5" x14ac:dyDescent="0.25">
      <c r="A855" s="7"/>
      <c r="B855" s="17"/>
      <c r="C855" s="20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 spans="1:33" ht="12.5" x14ac:dyDescent="0.25">
      <c r="A856" s="7"/>
      <c r="B856" s="17"/>
      <c r="C856" s="20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 spans="1:33" ht="12.5" x14ac:dyDescent="0.25">
      <c r="A857" s="7"/>
      <c r="B857" s="17"/>
      <c r="C857" s="20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 spans="1:33" ht="12.5" x14ac:dyDescent="0.25">
      <c r="A858" s="7"/>
      <c r="B858" s="17"/>
      <c r="C858" s="20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 spans="1:33" ht="12.5" x14ac:dyDescent="0.25">
      <c r="A859" s="7"/>
      <c r="B859" s="17"/>
      <c r="C859" s="20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 spans="1:33" ht="12.5" x14ac:dyDescent="0.25">
      <c r="A860" s="7"/>
      <c r="B860" s="17"/>
      <c r="C860" s="20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 spans="1:33" ht="12.5" x14ac:dyDescent="0.25">
      <c r="A861" s="7"/>
      <c r="B861" s="17"/>
      <c r="C861" s="20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 spans="1:33" ht="12.5" x14ac:dyDescent="0.25">
      <c r="A862" s="7"/>
      <c r="B862" s="17"/>
      <c r="C862" s="20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 spans="1:33" ht="12.5" x14ac:dyDescent="0.25">
      <c r="A863" s="7"/>
      <c r="B863" s="17"/>
      <c r="C863" s="20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 spans="1:33" ht="12.5" x14ac:dyDescent="0.25">
      <c r="A864" s="7"/>
      <c r="B864" s="17"/>
      <c r="C864" s="20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 spans="1:33" ht="12.5" x14ac:dyDescent="0.25">
      <c r="A865" s="7"/>
      <c r="B865" s="17"/>
      <c r="C865" s="20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 spans="1:33" ht="12.5" x14ac:dyDescent="0.25">
      <c r="A866" s="7"/>
      <c r="B866" s="17"/>
      <c r="C866" s="20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 spans="1:33" ht="12.5" x14ac:dyDescent="0.25">
      <c r="A867" s="7"/>
      <c r="B867" s="17"/>
      <c r="C867" s="20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 spans="1:33" ht="12.5" x14ac:dyDescent="0.25">
      <c r="A868" s="7"/>
      <c r="B868" s="17"/>
      <c r="C868" s="20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 spans="1:33" ht="12.5" x14ac:dyDescent="0.25">
      <c r="A869" s="7"/>
      <c r="B869" s="17"/>
      <c r="C869" s="20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 spans="1:33" ht="12.5" x14ac:dyDescent="0.25">
      <c r="A870" s="7"/>
      <c r="B870" s="17"/>
      <c r="C870" s="20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 spans="1:33" ht="12.5" x14ac:dyDescent="0.25">
      <c r="A871" s="7"/>
      <c r="B871" s="17"/>
      <c r="C871" s="20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 spans="1:33" ht="12.5" x14ac:dyDescent="0.25">
      <c r="A872" s="7"/>
      <c r="B872" s="17"/>
      <c r="C872" s="20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 spans="1:33" ht="12.5" x14ac:dyDescent="0.25">
      <c r="A873" s="7"/>
      <c r="B873" s="17"/>
      <c r="C873" s="20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 spans="1:33" ht="12.5" x14ac:dyDescent="0.25">
      <c r="A874" s="7"/>
      <c r="B874" s="17"/>
      <c r="C874" s="20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 spans="1:33" ht="12.5" x14ac:dyDescent="0.25">
      <c r="A875" s="7"/>
      <c r="B875" s="17"/>
      <c r="C875" s="20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 spans="1:33" ht="12.5" x14ac:dyDescent="0.25">
      <c r="A876" s="7"/>
      <c r="B876" s="17"/>
      <c r="C876" s="20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 spans="1:33" ht="12.5" x14ac:dyDescent="0.25">
      <c r="A877" s="7"/>
      <c r="B877" s="17"/>
      <c r="C877" s="20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 spans="1:33" ht="12.5" x14ac:dyDescent="0.25">
      <c r="A878" s="7"/>
      <c r="B878" s="17"/>
      <c r="C878" s="20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 spans="1:33" ht="12.5" x14ac:dyDescent="0.25">
      <c r="A879" s="7"/>
      <c r="B879" s="17"/>
      <c r="C879" s="20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 spans="1:33" ht="12.5" x14ac:dyDescent="0.25">
      <c r="A880" s="7"/>
      <c r="B880" s="17"/>
      <c r="C880" s="20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 spans="1:33" ht="12.5" x14ac:dyDescent="0.25">
      <c r="A881" s="7"/>
      <c r="B881" s="17"/>
      <c r="C881" s="20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 spans="1:33" ht="12.5" x14ac:dyDescent="0.25">
      <c r="A882" s="7"/>
      <c r="B882" s="17"/>
      <c r="C882" s="20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 spans="1:33" ht="12.5" x14ac:dyDescent="0.25">
      <c r="A883" s="7"/>
      <c r="B883" s="17"/>
      <c r="C883" s="20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 spans="1:33" ht="12.5" x14ac:dyDescent="0.25">
      <c r="A884" s="7"/>
      <c r="B884" s="17"/>
      <c r="C884" s="20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 spans="1:33" ht="12.5" x14ac:dyDescent="0.25">
      <c r="A885" s="7"/>
      <c r="B885" s="17"/>
      <c r="C885" s="20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 spans="1:33" ht="12.5" x14ac:dyDescent="0.25">
      <c r="A886" s="7"/>
      <c r="B886" s="17"/>
      <c r="C886" s="20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 spans="1:33" ht="12.5" x14ac:dyDescent="0.25">
      <c r="A887" s="7"/>
      <c r="B887" s="17"/>
      <c r="C887" s="20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 spans="1:33" ht="12.5" x14ac:dyDescent="0.25">
      <c r="A888" s="7"/>
      <c r="B888" s="17"/>
      <c r="C888" s="20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 spans="1:33" ht="12.5" x14ac:dyDescent="0.25">
      <c r="A889" s="7"/>
      <c r="B889" s="17"/>
      <c r="C889" s="20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 spans="1:33" ht="12.5" x14ac:dyDescent="0.25">
      <c r="A890" s="7"/>
      <c r="B890" s="17"/>
      <c r="C890" s="20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 spans="1:33" ht="12.5" x14ac:dyDescent="0.25">
      <c r="A891" s="7"/>
      <c r="B891" s="17"/>
      <c r="C891" s="20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 spans="1:33" ht="12.5" x14ac:dyDescent="0.25">
      <c r="A892" s="7"/>
      <c r="B892" s="17"/>
      <c r="C892" s="20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 spans="1:33" ht="12.5" x14ac:dyDescent="0.25">
      <c r="A893" s="7"/>
      <c r="B893" s="17"/>
      <c r="C893" s="20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 spans="1:33" ht="12.5" x14ac:dyDescent="0.25">
      <c r="A894" s="7"/>
      <c r="B894" s="17"/>
      <c r="C894" s="20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 spans="1:33" ht="12.5" x14ac:dyDescent="0.25">
      <c r="A895" s="7"/>
      <c r="B895" s="17"/>
      <c r="C895" s="20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 spans="1:33" ht="12.5" x14ac:dyDescent="0.25">
      <c r="A896" s="7"/>
      <c r="B896" s="17"/>
      <c r="C896" s="20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 spans="1:33" ht="12.5" x14ac:dyDescent="0.25">
      <c r="A897" s="7"/>
      <c r="B897" s="17"/>
      <c r="C897" s="20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 spans="1:33" ht="12.5" x14ac:dyDescent="0.25">
      <c r="A898" s="7"/>
      <c r="B898" s="17"/>
      <c r="C898" s="20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 spans="1:33" ht="12.5" x14ac:dyDescent="0.25">
      <c r="A899" s="7"/>
      <c r="B899" s="17"/>
      <c r="C899" s="20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 spans="1:33" ht="12.5" x14ac:dyDescent="0.25">
      <c r="A900" s="7"/>
      <c r="B900" s="17"/>
      <c r="C900" s="20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 spans="1:33" ht="12.5" x14ac:dyDescent="0.25">
      <c r="A901" s="7"/>
      <c r="B901" s="17"/>
      <c r="C901" s="20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 spans="1:33" ht="12.5" x14ac:dyDescent="0.25">
      <c r="A902" s="7"/>
      <c r="B902" s="17"/>
      <c r="C902" s="20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 spans="1:33" ht="12.5" x14ac:dyDescent="0.25">
      <c r="A903" s="7"/>
      <c r="B903" s="17"/>
      <c r="C903" s="20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 spans="1:33" ht="12.5" x14ac:dyDescent="0.25">
      <c r="A904" s="7"/>
      <c r="B904" s="17"/>
      <c r="C904" s="20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 spans="1:33" ht="12.5" x14ac:dyDescent="0.25">
      <c r="A905" s="7"/>
      <c r="B905" s="17"/>
      <c r="C905" s="20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 spans="1:33" ht="12.5" x14ac:dyDescent="0.25">
      <c r="A906" s="7"/>
      <c r="B906" s="17"/>
      <c r="C906" s="20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 spans="1:33" ht="12.5" x14ac:dyDescent="0.25">
      <c r="A907" s="7"/>
      <c r="B907" s="17"/>
      <c r="C907" s="20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 spans="1:33" ht="12.5" x14ac:dyDescent="0.25">
      <c r="A908" s="7"/>
      <c r="B908" s="17"/>
      <c r="C908" s="20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 spans="1:33" ht="12.5" x14ac:dyDescent="0.25">
      <c r="A909" s="7"/>
      <c r="B909" s="17"/>
      <c r="C909" s="20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 spans="1:33" ht="12.5" x14ac:dyDescent="0.25">
      <c r="A910" s="7"/>
      <c r="B910" s="17"/>
      <c r="C910" s="20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 spans="1:33" ht="12.5" x14ac:dyDescent="0.25">
      <c r="A911" s="7"/>
      <c r="B911" s="17"/>
      <c r="C911" s="20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 spans="1:33" ht="12.5" x14ac:dyDescent="0.25">
      <c r="A912" s="7"/>
      <c r="B912" s="17"/>
      <c r="C912" s="20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 spans="1:33" ht="12.5" x14ac:dyDescent="0.25">
      <c r="A913" s="7"/>
      <c r="B913" s="17"/>
      <c r="C913" s="20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 spans="1:33" ht="12.5" x14ac:dyDescent="0.25">
      <c r="A914" s="7"/>
      <c r="B914" s="17"/>
      <c r="C914" s="20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 spans="1:33" ht="12.5" x14ac:dyDescent="0.25">
      <c r="A915" s="7"/>
      <c r="B915" s="17"/>
      <c r="C915" s="20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 spans="1:33" ht="12.5" x14ac:dyDescent="0.25">
      <c r="A916" s="7"/>
      <c r="B916" s="17"/>
      <c r="C916" s="20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 spans="1:33" ht="12.5" x14ac:dyDescent="0.25">
      <c r="A917" s="7"/>
      <c r="B917" s="17"/>
      <c r="C917" s="20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 spans="1:33" ht="12.5" x14ac:dyDescent="0.25">
      <c r="A918" s="7"/>
      <c r="B918" s="17"/>
      <c r="C918" s="20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 spans="1:33" ht="12.5" x14ac:dyDescent="0.25">
      <c r="A919" s="7"/>
      <c r="B919" s="17"/>
      <c r="C919" s="20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 spans="1:33" ht="12.5" x14ac:dyDescent="0.25">
      <c r="A920" s="7"/>
      <c r="B920" s="17"/>
      <c r="C920" s="20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 spans="1:33" ht="12.5" x14ac:dyDescent="0.25">
      <c r="A921" s="7"/>
      <c r="B921" s="17"/>
      <c r="C921" s="20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 spans="1:33" ht="12.5" x14ac:dyDescent="0.25">
      <c r="A922" s="7"/>
      <c r="B922" s="17"/>
      <c r="C922" s="20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 spans="1:33" ht="12.5" x14ac:dyDescent="0.25">
      <c r="A923" s="7"/>
      <c r="B923" s="17"/>
      <c r="C923" s="20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 spans="1:33" ht="12.5" x14ac:dyDescent="0.25">
      <c r="A924" s="7"/>
      <c r="B924" s="17"/>
      <c r="C924" s="20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 spans="1:33" ht="12.5" x14ac:dyDescent="0.25">
      <c r="A925" s="7"/>
      <c r="B925" s="17"/>
      <c r="C925" s="20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 spans="1:33" ht="12.5" x14ac:dyDescent="0.25">
      <c r="A926" s="7"/>
      <c r="B926" s="17"/>
      <c r="C926" s="20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 spans="1:33" ht="12.5" x14ac:dyDescent="0.25">
      <c r="A927" s="7"/>
      <c r="B927" s="17"/>
      <c r="C927" s="20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 spans="1:33" ht="12.5" x14ac:dyDescent="0.25">
      <c r="A928" s="7"/>
      <c r="B928" s="17"/>
      <c r="C928" s="20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 spans="1:33" ht="12.5" x14ac:dyDescent="0.25">
      <c r="A929" s="7"/>
      <c r="B929" s="17"/>
      <c r="C929" s="20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 spans="1:33" ht="12.5" x14ac:dyDescent="0.25">
      <c r="A930" s="7"/>
      <c r="B930" s="17"/>
      <c r="C930" s="20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 spans="1:33" ht="12.5" x14ac:dyDescent="0.25">
      <c r="A931" s="7"/>
      <c r="B931" s="17"/>
      <c r="C931" s="20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 spans="1:33" ht="12.5" x14ac:dyDescent="0.25">
      <c r="A932" s="7"/>
      <c r="B932" s="17"/>
      <c r="C932" s="20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 spans="1:33" ht="12.5" x14ac:dyDescent="0.25">
      <c r="A933" s="7"/>
      <c r="B933" s="17"/>
      <c r="C933" s="20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 spans="1:33" ht="12.5" x14ac:dyDescent="0.25">
      <c r="A934" s="7"/>
      <c r="B934" s="17"/>
      <c r="C934" s="20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 spans="1:33" ht="12.5" x14ac:dyDescent="0.25">
      <c r="A935" s="7"/>
      <c r="B935" s="17"/>
      <c r="C935" s="20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 spans="1:33" ht="12.5" x14ac:dyDescent="0.25">
      <c r="A936" s="7"/>
      <c r="B936" s="17"/>
      <c r="C936" s="20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 spans="1:33" ht="12.5" x14ac:dyDescent="0.25">
      <c r="A937" s="7"/>
      <c r="B937" s="17"/>
      <c r="C937" s="20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 spans="1:33" ht="12.5" x14ac:dyDescent="0.25">
      <c r="A938" s="7"/>
      <c r="B938" s="17"/>
      <c r="C938" s="20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 spans="1:33" ht="12.5" x14ac:dyDescent="0.25">
      <c r="A939" s="7"/>
      <c r="B939" s="17"/>
      <c r="C939" s="20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 spans="1:33" ht="12.5" x14ac:dyDescent="0.25">
      <c r="A940" s="7"/>
      <c r="B940" s="17"/>
      <c r="C940" s="20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 spans="1:33" ht="12.5" x14ac:dyDescent="0.25">
      <c r="A941" s="7"/>
      <c r="B941" s="17"/>
      <c r="C941" s="20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 spans="1:33" ht="12.5" x14ac:dyDescent="0.25">
      <c r="A942" s="7"/>
      <c r="B942" s="17"/>
      <c r="C942" s="20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 spans="1:33" ht="12.5" x14ac:dyDescent="0.25">
      <c r="A943" s="7"/>
      <c r="B943" s="17"/>
      <c r="C943" s="20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 spans="1:33" ht="12.5" x14ac:dyDescent="0.25">
      <c r="A944" s="7"/>
      <c r="B944" s="17"/>
      <c r="C944" s="20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 spans="1:33" ht="12.5" x14ac:dyDescent="0.25">
      <c r="A945" s="7"/>
      <c r="B945" s="17"/>
      <c r="C945" s="20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 spans="1:33" ht="12.5" x14ac:dyDescent="0.25">
      <c r="A946" s="7"/>
      <c r="B946" s="17"/>
      <c r="C946" s="20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 spans="1:33" ht="12.5" x14ac:dyDescent="0.25">
      <c r="A947" s="7"/>
      <c r="B947" s="17"/>
      <c r="C947" s="20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 spans="1:33" ht="12.5" x14ac:dyDescent="0.25">
      <c r="A948" s="7"/>
      <c r="B948" s="17"/>
      <c r="C948" s="20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 spans="1:33" ht="12.5" x14ac:dyDescent="0.25">
      <c r="A949" s="7"/>
      <c r="B949" s="17"/>
      <c r="C949" s="20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 spans="1:33" ht="12.5" x14ac:dyDescent="0.25">
      <c r="A950" s="7"/>
      <c r="B950" s="17"/>
      <c r="C950" s="20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 spans="1:33" ht="12.5" x14ac:dyDescent="0.25">
      <c r="A951" s="7"/>
      <c r="B951" s="17"/>
      <c r="C951" s="20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 spans="1:33" ht="12.5" x14ac:dyDescent="0.25">
      <c r="A952" s="7"/>
      <c r="B952" s="17"/>
      <c r="C952" s="20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 spans="1:33" ht="12.5" x14ac:dyDescent="0.25">
      <c r="A953" s="7"/>
      <c r="B953" s="17"/>
      <c r="C953" s="20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 spans="1:33" ht="12.5" x14ac:dyDescent="0.25">
      <c r="A954" s="7"/>
      <c r="B954" s="17"/>
      <c r="C954" s="20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 spans="1:33" ht="12.5" x14ac:dyDescent="0.25">
      <c r="A955" s="7"/>
      <c r="B955" s="17"/>
      <c r="C955" s="20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 spans="1:33" ht="12.5" x14ac:dyDescent="0.25">
      <c r="A956" s="7"/>
      <c r="B956" s="17"/>
      <c r="C956" s="20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 spans="1:33" ht="12.5" x14ac:dyDescent="0.25">
      <c r="A957" s="7"/>
      <c r="B957" s="17"/>
      <c r="C957" s="20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 spans="1:33" ht="12.5" x14ac:dyDescent="0.25">
      <c r="A958" s="7"/>
      <c r="B958" s="17"/>
      <c r="C958" s="20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 spans="1:33" ht="12.5" x14ac:dyDescent="0.25">
      <c r="A959" s="7"/>
      <c r="B959" s="17"/>
      <c r="C959" s="20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 spans="1:33" ht="12.5" x14ac:dyDescent="0.25">
      <c r="A960" s="7"/>
      <c r="B960" s="17"/>
      <c r="C960" s="20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 spans="1:33" ht="12.5" x14ac:dyDescent="0.25">
      <c r="A961" s="7"/>
      <c r="B961" s="17"/>
      <c r="C961" s="20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 spans="1:33" ht="12.5" x14ac:dyDescent="0.25">
      <c r="A962" s="7"/>
      <c r="B962" s="17"/>
      <c r="C962" s="20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 spans="1:33" ht="12.5" x14ac:dyDescent="0.25">
      <c r="A963" s="7"/>
      <c r="B963" s="17"/>
      <c r="C963" s="20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 spans="1:33" ht="12.5" x14ac:dyDescent="0.25">
      <c r="A964" s="7"/>
      <c r="B964" s="17"/>
      <c r="C964" s="20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 spans="1:33" ht="12.5" x14ac:dyDescent="0.25">
      <c r="A965" s="7"/>
      <c r="B965" s="17"/>
      <c r="C965" s="20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 spans="1:33" ht="12.5" x14ac:dyDescent="0.25">
      <c r="A966" s="7"/>
      <c r="B966" s="17"/>
      <c r="C966" s="20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 spans="1:33" ht="12.5" x14ac:dyDescent="0.25">
      <c r="A967" s="7"/>
      <c r="B967" s="17"/>
      <c r="C967" s="20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 spans="1:33" ht="12.5" x14ac:dyDescent="0.25">
      <c r="A968" s="7"/>
      <c r="B968" s="17"/>
      <c r="C968" s="20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 spans="1:33" ht="12.5" x14ac:dyDescent="0.25">
      <c r="A969" s="7"/>
      <c r="B969" s="17"/>
      <c r="C969" s="20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 spans="1:33" ht="12.5" x14ac:dyDescent="0.25">
      <c r="A970" s="7"/>
      <c r="B970" s="17"/>
      <c r="C970" s="20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 spans="1:33" ht="12.5" x14ac:dyDescent="0.25">
      <c r="A971" s="7"/>
      <c r="B971" s="17"/>
      <c r="C971" s="20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 spans="1:33" ht="12.5" x14ac:dyDescent="0.25">
      <c r="A972" s="7"/>
      <c r="B972" s="17"/>
      <c r="C972" s="20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 spans="1:33" ht="12.5" x14ac:dyDescent="0.25">
      <c r="A973" s="7"/>
      <c r="B973" s="17"/>
      <c r="C973" s="20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 spans="1:33" ht="12.5" x14ac:dyDescent="0.25">
      <c r="A974" s="7"/>
      <c r="B974" s="17"/>
      <c r="C974" s="20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 spans="1:33" ht="12.5" x14ac:dyDescent="0.25">
      <c r="A975" s="7"/>
      <c r="B975" s="17"/>
      <c r="C975" s="20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 spans="1:33" ht="12.5" x14ac:dyDescent="0.25">
      <c r="A976" s="7"/>
      <c r="B976" s="17"/>
      <c r="C976" s="20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 spans="1:33" ht="12.5" x14ac:dyDescent="0.25">
      <c r="A977" s="7"/>
      <c r="B977" s="17"/>
      <c r="C977" s="20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 spans="1:33" ht="12.5" x14ac:dyDescent="0.25">
      <c r="A978" s="7"/>
      <c r="B978" s="17"/>
      <c r="C978" s="20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 spans="1:33" ht="12.5" x14ac:dyDescent="0.25">
      <c r="A979" s="7"/>
      <c r="B979" s="17"/>
      <c r="C979" s="20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 spans="1:33" ht="12.5" x14ac:dyDescent="0.25">
      <c r="A980" s="7"/>
      <c r="B980" s="17"/>
      <c r="C980" s="20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 spans="1:33" ht="12.5" x14ac:dyDescent="0.25">
      <c r="A981" s="7"/>
      <c r="B981" s="17"/>
      <c r="C981" s="20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 spans="1:33" ht="12.5" x14ac:dyDescent="0.25">
      <c r="A982" s="7"/>
      <c r="B982" s="17"/>
      <c r="C982" s="20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 spans="1:33" ht="12.5" x14ac:dyDescent="0.25">
      <c r="A983" s="7"/>
      <c r="B983" s="17"/>
      <c r="C983" s="20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 spans="1:33" ht="12.5" x14ac:dyDescent="0.25">
      <c r="A984" s="7"/>
      <c r="B984" s="17"/>
      <c r="C984" s="20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 spans="1:33" ht="12.5" x14ac:dyDescent="0.25">
      <c r="A985" s="7"/>
      <c r="B985" s="17"/>
      <c r="C985" s="20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 spans="1:33" ht="12.5" x14ac:dyDescent="0.25">
      <c r="A986" s="7"/>
      <c r="B986" s="17"/>
      <c r="C986" s="20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 spans="1:33" ht="12.5" x14ac:dyDescent="0.25">
      <c r="A987" s="7"/>
      <c r="B987" s="17"/>
      <c r="C987" s="20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 spans="1:33" ht="12.5" x14ac:dyDescent="0.25">
      <c r="A988" s="7"/>
      <c r="B988" s="17"/>
      <c r="C988" s="20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 spans="1:33" ht="12.5" x14ac:dyDescent="0.25">
      <c r="A989" s="7"/>
      <c r="B989" s="17"/>
      <c r="C989" s="20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 spans="1:33" ht="12.5" x14ac:dyDescent="0.25">
      <c r="A990" s="7"/>
      <c r="B990" s="17"/>
      <c r="C990" s="20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 spans="1:33" ht="12.5" x14ac:dyDescent="0.25">
      <c r="A991" s="7"/>
      <c r="B991" s="17"/>
      <c r="C991" s="20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 spans="1:33" ht="12.5" x14ac:dyDescent="0.25">
      <c r="A992" s="7"/>
      <c r="B992" s="17"/>
      <c r="C992" s="20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 spans="1:33" ht="12.5" x14ac:dyDescent="0.25">
      <c r="A993" s="7"/>
      <c r="B993" s="17"/>
      <c r="C993" s="20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 spans="1:33" ht="12.5" x14ac:dyDescent="0.25">
      <c r="A994" s="7"/>
      <c r="B994" s="17"/>
      <c r="C994" s="20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 spans="1:33" ht="12.5" x14ac:dyDescent="0.25">
      <c r="A995" s="7"/>
      <c r="B995" s="17"/>
      <c r="C995" s="20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 spans="1:33" ht="12.5" x14ac:dyDescent="0.25">
      <c r="A996" s="7"/>
      <c r="B996" s="17"/>
      <c r="C996" s="20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 spans="1:33" ht="12.5" x14ac:dyDescent="0.25">
      <c r="A997" s="7"/>
      <c r="B997" s="17"/>
      <c r="C997" s="20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 spans="1:33" ht="12.5" x14ac:dyDescent="0.25">
      <c r="A998" s="7"/>
      <c r="B998" s="17"/>
      <c r="C998" s="20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 spans="1:33" ht="12.5" x14ac:dyDescent="0.25">
      <c r="A999" s="7"/>
      <c r="B999" s="17"/>
      <c r="C999" s="20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 spans="1:33" ht="12.5" x14ac:dyDescent="0.25">
      <c r="A1000" s="7"/>
      <c r="B1000" s="17"/>
      <c r="C1000" s="20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 spans="1:33" ht="12.5" x14ac:dyDescent="0.25">
      <c r="A1001" s="7"/>
      <c r="B1001" s="17"/>
      <c r="C1001" s="20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  <row r="1002" spans="1:33" ht="12.5" x14ac:dyDescent="0.25">
      <c r="A1002" s="7"/>
      <c r="B1002" s="17"/>
      <c r="C1002" s="20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</row>
    <row r="1003" spans="1:33" ht="12.5" x14ac:dyDescent="0.25">
      <c r="A1003" s="7"/>
      <c r="B1003" s="17"/>
      <c r="C1003" s="20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J992"/>
  <sheetViews>
    <sheetView workbookViewId="0"/>
  </sheetViews>
  <sheetFormatPr defaultColWidth="12.6328125" defaultRowHeight="15.75" customHeight="1" x14ac:dyDescent="0.25"/>
  <cols>
    <col min="1" max="1" width="41.36328125" customWidth="1"/>
  </cols>
  <sheetData>
    <row r="1" spans="1:62" ht="15.75" customHeight="1" x14ac:dyDescent="0.35">
      <c r="A1" s="1" t="str">
        <f>Specs!E1</f>
        <v>Wireless</v>
      </c>
      <c r="B1" s="25" t="s">
        <v>135</v>
      </c>
      <c r="C1" s="25" t="s">
        <v>136</v>
      </c>
      <c r="D1" s="25" t="s">
        <v>137</v>
      </c>
      <c r="E1" s="25" t="s">
        <v>138</v>
      </c>
      <c r="F1" s="25" t="s">
        <v>139</v>
      </c>
      <c r="G1" s="25" t="s">
        <v>140</v>
      </c>
      <c r="H1" s="25" t="s">
        <v>141</v>
      </c>
      <c r="I1" s="25" t="s">
        <v>142</v>
      </c>
      <c r="J1" s="25" t="s">
        <v>143</v>
      </c>
      <c r="K1" s="25" t="s">
        <v>144</v>
      </c>
      <c r="L1" s="25" t="s">
        <v>145</v>
      </c>
      <c r="M1" s="25" t="s">
        <v>146</v>
      </c>
      <c r="N1" s="25" t="s">
        <v>147</v>
      </c>
      <c r="O1" s="25" t="s">
        <v>148</v>
      </c>
      <c r="P1" s="6"/>
      <c r="Q1" s="25" t="s">
        <v>149</v>
      </c>
      <c r="R1" s="25" t="s">
        <v>150</v>
      </c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</row>
    <row r="2" spans="1:62" ht="15.75" customHeight="1" x14ac:dyDescent="0.35">
      <c r="A2" s="8" t="str">
        <f>Specs!E2</f>
        <v>Loại Access Point (indoor/outdoor)</v>
      </c>
      <c r="B2" s="26" t="s">
        <v>151</v>
      </c>
      <c r="C2" s="26" t="s">
        <v>151</v>
      </c>
      <c r="D2" s="26" t="s">
        <v>151</v>
      </c>
      <c r="E2" s="26" t="s">
        <v>151</v>
      </c>
      <c r="F2" s="26" t="s">
        <v>151</v>
      </c>
      <c r="G2" s="26" t="s">
        <v>151</v>
      </c>
      <c r="H2" s="26" t="s">
        <v>151</v>
      </c>
      <c r="I2" s="26" t="s">
        <v>151</v>
      </c>
      <c r="J2" s="26" t="s">
        <v>151</v>
      </c>
      <c r="K2" s="26" t="s">
        <v>151</v>
      </c>
      <c r="L2" s="26" t="s">
        <v>152</v>
      </c>
      <c r="M2" s="26" t="s">
        <v>152</v>
      </c>
      <c r="N2" s="26" t="s">
        <v>152</v>
      </c>
      <c r="O2" s="26" t="s">
        <v>152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</row>
    <row r="3" spans="1:62" ht="15.75" customHeight="1" x14ac:dyDescent="0.35">
      <c r="A3" s="8" t="str">
        <f>Specs!E3</f>
        <v>Công nghệ WiFi (WiFi6/WiFi7)</v>
      </c>
      <c r="B3" s="26" t="s">
        <v>153</v>
      </c>
      <c r="C3" s="26" t="s">
        <v>153</v>
      </c>
      <c r="D3" s="26" t="s">
        <v>153</v>
      </c>
      <c r="E3" s="26" t="s">
        <v>153</v>
      </c>
      <c r="F3" s="26" t="s">
        <v>153</v>
      </c>
      <c r="G3" s="26" t="s">
        <v>154</v>
      </c>
      <c r="H3" s="26" t="s">
        <v>154</v>
      </c>
      <c r="I3" s="26" t="s">
        <v>154</v>
      </c>
      <c r="J3" s="26" t="s">
        <v>154</v>
      </c>
      <c r="K3" s="26" t="s">
        <v>154</v>
      </c>
      <c r="L3" s="26" t="s">
        <v>155</v>
      </c>
      <c r="M3" s="26" t="s">
        <v>155</v>
      </c>
      <c r="N3" s="26" t="s">
        <v>155</v>
      </c>
      <c r="O3" s="26" t="s">
        <v>153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</row>
    <row r="4" spans="1:62" ht="15.75" customHeight="1" x14ac:dyDescent="0.35">
      <c r="A4" s="8" t="str">
        <f>Specs!E4</f>
        <v>Số lượng người dùng trong phạm vi phủ sóng 1 AP</v>
      </c>
      <c r="B4" s="26">
        <v>400</v>
      </c>
      <c r="C4" s="26">
        <v>400</v>
      </c>
      <c r="D4" s="26">
        <v>400</v>
      </c>
      <c r="E4" s="26">
        <v>400</v>
      </c>
      <c r="F4" s="26">
        <v>400</v>
      </c>
      <c r="G4" s="26">
        <v>256</v>
      </c>
      <c r="H4" s="26">
        <v>256</v>
      </c>
      <c r="I4" s="26">
        <v>400</v>
      </c>
      <c r="J4" s="26">
        <v>400</v>
      </c>
      <c r="K4" s="26">
        <v>400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</row>
    <row r="5" spans="1:62" ht="15.75" customHeight="1" x14ac:dyDescent="0.35">
      <c r="A5" s="8" t="str">
        <f>Specs!E5</f>
        <v>Bán kính phủ sóng (m)</v>
      </c>
      <c r="B5" s="29">
        <f t="shared" ref="B5:O5" si="0">ROUNDUP(1000*POWER(10,(((B18+B19-0-(-75)-30)-32.44-20*LOG10(6000))/20)),0)</f>
        <v>20</v>
      </c>
      <c r="C5" s="29">
        <f t="shared" si="0"/>
        <v>13</v>
      </c>
      <c r="D5" s="29">
        <f t="shared" si="0"/>
        <v>16</v>
      </c>
      <c r="E5" s="29">
        <f t="shared" si="0"/>
        <v>16</v>
      </c>
      <c r="F5" s="29">
        <f t="shared" si="0"/>
        <v>26</v>
      </c>
      <c r="G5" s="29">
        <f t="shared" si="0"/>
        <v>20</v>
      </c>
      <c r="H5" s="29">
        <f t="shared" si="0"/>
        <v>20</v>
      </c>
      <c r="I5" s="29">
        <f t="shared" si="0"/>
        <v>20</v>
      </c>
      <c r="J5" s="29">
        <f t="shared" si="0"/>
        <v>26</v>
      </c>
      <c r="K5" s="29">
        <f t="shared" si="0"/>
        <v>20</v>
      </c>
      <c r="L5" s="29">
        <f t="shared" si="0"/>
        <v>51</v>
      </c>
      <c r="M5" s="29">
        <f t="shared" si="0"/>
        <v>64</v>
      </c>
      <c r="N5" s="29">
        <f t="shared" si="0"/>
        <v>100</v>
      </c>
      <c r="O5" s="29">
        <f t="shared" si="0"/>
        <v>26</v>
      </c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.75" customHeight="1" x14ac:dyDescent="0.25">
      <c r="A6" s="8" t="s">
        <v>156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</row>
    <row r="7" spans="1:62" ht="15.75" customHeight="1" x14ac:dyDescent="0.35">
      <c r="A7" s="8" t="s">
        <v>157</v>
      </c>
      <c r="B7" s="26">
        <v>2</v>
      </c>
      <c r="C7" s="26"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2</v>
      </c>
      <c r="L7" s="26">
        <v>1</v>
      </c>
      <c r="M7" s="26">
        <v>1</v>
      </c>
      <c r="N7" s="26">
        <v>1</v>
      </c>
      <c r="O7" s="26">
        <v>1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</row>
    <row r="8" spans="1:62" ht="15.75" customHeight="1" x14ac:dyDescent="0.35">
      <c r="A8" s="8" t="s">
        <v>158</v>
      </c>
      <c r="B8" s="8"/>
      <c r="C8" s="8"/>
      <c r="D8" s="8"/>
      <c r="E8" s="8"/>
      <c r="F8" s="8"/>
      <c r="G8" s="8"/>
      <c r="H8" s="8"/>
      <c r="I8" s="26">
        <v>1</v>
      </c>
      <c r="J8" s="26">
        <v>1</v>
      </c>
      <c r="K8" s="26">
        <v>2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</row>
    <row r="9" spans="1:62" ht="15.75" customHeight="1" x14ac:dyDescent="0.35">
      <c r="A9" s="8" t="s">
        <v>159</v>
      </c>
      <c r="B9" s="8"/>
      <c r="C9" s="8"/>
      <c r="D9" s="8"/>
      <c r="E9" s="8"/>
      <c r="F9" s="8"/>
      <c r="G9" s="8"/>
      <c r="H9" s="8"/>
      <c r="I9" s="8"/>
      <c r="J9" s="8"/>
      <c r="K9" s="8"/>
      <c r="L9" s="26">
        <v>1</v>
      </c>
      <c r="M9" s="26">
        <v>1</v>
      </c>
      <c r="N9" s="26">
        <v>1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</row>
    <row r="10" spans="1:62" ht="15.75" customHeight="1" x14ac:dyDescent="0.35">
      <c r="A10" s="8" t="s">
        <v>160</v>
      </c>
      <c r="B10" s="26" t="s">
        <v>161</v>
      </c>
      <c r="C10" s="26" t="s">
        <v>161</v>
      </c>
      <c r="D10" s="26" t="s">
        <v>161</v>
      </c>
      <c r="E10" s="26" t="s">
        <v>161</v>
      </c>
      <c r="F10" s="26" t="s">
        <v>162</v>
      </c>
      <c r="G10" s="26" t="s">
        <v>161</v>
      </c>
      <c r="H10" s="26" t="s">
        <v>161</v>
      </c>
      <c r="I10" s="26" t="s">
        <v>161</v>
      </c>
      <c r="J10" s="26" t="s">
        <v>162</v>
      </c>
      <c r="K10" s="26" t="s">
        <v>161</v>
      </c>
      <c r="L10" s="26" t="s">
        <v>161</v>
      </c>
      <c r="M10" s="26" t="s">
        <v>162</v>
      </c>
      <c r="N10" s="26" t="s">
        <v>163</v>
      </c>
      <c r="O10" s="26" t="s">
        <v>163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</row>
    <row r="11" spans="1:62" ht="15.75" customHeight="1" x14ac:dyDescent="0.25">
      <c r="A11" s="7" t="s">
        <v>164</v>
      </c>
      <c r="B11" s="19" t="str">
        <f t="shared" ref="B11:P11" si="1">IF(ISNUMBER(FIND("WiFi6",B3)),"Mid Range",IF(ISNUMBER(FIND("WiFi7",B3)),"High End",""))</f>
        <v>Mid Range</v>
      </c>
      <c r="C11" s="19" t="str">
        <f t="shared" si="1"/>
        <v>Mid Range</v>
      </c>
      <c r="D11" s="19" t="str">
        <f t="shared" si="1"/>
        <v>Mid Range</v>
      </c>
      <c r="E11" s="19" t="str">
        <f t="shared" si="1"/>
        <v>Mid Range</v>
      </c>
      <c r="F11" s="19" t="str">
        <f t="shared" si="1"/>
        <v>Mid Range</v>
      </c>
      <c r="G11" s="19" t="str">
        <f t="shared" si="1"/>
        <v>High End</v>
      </c>
      <c r="H11" s="19" t="str">
        <f t="shared" si="1"/>
        <v>High End</v>
      </c>
      <c r="I11" s="19" t="str">
        <f t="shared" si="1"/>
        <v>High End</v>
      </c>
      <c r="J11" s="19" t="str">
        <f t="shared" si="1"/>
        <v>High End</v>
      </c>
      <c r="K11" s="19" t="str">
        <f t="shared" si="1"/>
        <v>High End</v>
      </c>
      <c r="L11" s="19" t="str">
        <f t="shared" si="1"/>
        <v>Mid Range</v>
      </c>
      <c r="M11" s="19" t="str">
        <f t="shared" si="1"/>
        <v>Mid Range</v>
      </c>
      <c r="N11" s="19" t="str">
        <f t="shared" si="1"/>
        <v>Mid Range</v>
      </c>
      <c r="O11" s="19" t="str">
        <f t="shared" si="1"/>
        <v>Mid Range</v>
      </c>
      <c r="P11" s="7" t="str">
        <f t="shared" si="1"/>
        <v/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19" t="s">
        <v>25</v>
      </c>
      <c r="AR11" s="19" t="s">
        <v>25</v>
      </c>
      <c r="AS11" s="19" t="s">
        <v>25</v>
      </c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</row>
    <row r="12" spans="1:62" ht="15.75" customHeight="1" x14ac:dyDescent="0.25">
      <c r="A12" s="7" t="s">
        <v>27</v>
      </c>
      <c r="B12" s="22">
        <f ca="1">IFERROR(VLOOKUP(B1,AllListPrice!$A$2:$D$1000,4,0),0)</f>
        <v>4892.0200000000004</v>
      </c>
      <c r="C12" s="22">
        <f ca="1">IFERROR(VLOOKUP(C1,AllListPrice!$A$2:$D$1000,4,0),0)</f>
        <v>2476.36</v>
      </c>
      <c r="D12" s="22">
        <f ca="1">IFERROR(VLOOKUP(D1,AllListPrice!$A$2:$D$1000,4,0),0)</f>
        <v>3786.46</v>
      </c>
      <c r="E12" s="22">
        <f ca="1">IFERROR(VLOOKUP(E1,AllListPrice!$A$2:$D$1000,4,0),0)</f>
        <v>4201.05</v>
      </c>
      <c r="F12" s="22">
        <f ca="1">IFERROR(VLOOKUP(F1,AllListPrice!$A$2:$D$1000,4,0),0)</f>
        <v>4615.63</v>
      </c>
      <c r="G12" s="22">
        <f ca="1">IFERROR(VLOOKUP(G1,AllListPrice!$A$2:$D$1000,4,0),0)</f>
        <v>2643.68</v>
      </c>
      <c r="H12" s="22">
        <f ca="1">IFERROR(VLOOKUP(H1,AllListPrice!$A$2:$D$1000,4,0),0)</f>
        <v>2350.2800000000002</v>
      </c>
      <c r="I12" s="22">
        <f ca="1">IFERROR(VLOOKUP(I1,AllListPrice!$A$2:$D$1000,4,0),0)</f>
        <v>4414.0599999999904</v>
      </c>
      <c r="J12" s="22">
        <f ca="1">IFERROR(VLOOKUP(J1,AllListPrice!$A$2:$D$1000,4,0),0)</f>
        <v>4854.66</v>
      </c>
      <c r="K12" s="22">
        <f ca="1">IFERROR(VLOOKUP(K1,AllListPrice!$A$2:$D$1000,4,0),0)</f>
        <v>5149.29</v>
      </c>
      <c r="L12" s="22">
        <f ca="1">IFERROR(VLOOKUP(L1,AllListPrice!$A$2:$D$1000,4,0),0)</f>
        <v>4605.4799999999996</v>
      </c>
      <c r="M12" s="22">
        <f ca="1">IFERROR(VLOOKUP(M1,AllListPrice!$A$2:$D$1000,4,0),0)</f>
        <v>4933.2</v>
      </c>
      <c r="N12" s="22">
        <f ca="1">IFERROR(VLOOKUP(N1,AllListPrice!$A$2:$D$1000,4,0),0)</f>
        <v>4933.2</v>
      </c>
      <c r="O12" s="22">
        <f ca="1">IFERROR(VLOOKUP(O1,AllListPrice!$A$2:$D$1000,4,0),0)</f>
        <v>4041.49</v>
      </c>
      <c r="P12" s="22">
        <f ca="1">IFERROR(VLOOKUP(P1,AllListPrice!$A$2:$D$1000,4,0),0)</f>
        <v>0</v>
      </c>
      <c r="Q12" s="22">
        <f ca="1">IFERROR(VLOOKUP(Q1,AllListPrice!$A$2:$D$1000,4,0),0)</f>
        <v>483.4</v>
      </c>
      <c r="R12" s="22">
        <f ca="1">IFERROR(VLOOKUP(R1,AllListPrice!$A$2:$D$1000,4,0),0)</f>
        <v>1292.5</v>
      </c>
      <c r="S12" s="22">
        <f ca="1">IFERROR(VLOOKUP(S1,AllListPrice!$A$2:$D$1000,4,0),0)</f>
        <v>0</v>
      </c>
      <c r="T12" s="22">
        <f ca="1">IFERROR(VLOOKUP(T1,AllListPrice!$A$2:$D$1000,4,0),0)</f>
        <v>0</v>
      </c>
      <c r="U12" s="22">
        <f ca="1">IFERROR(VLOOKUP(U1,AllListPrice!$A$2:$D$1000,4,0),0)</f>
        <v>0</v>
      </c>
      <c r="V12" s="22">
        <f ca="1">IFERROR(VLOOKUP(V1,AllListPrice!$A$2:$D$1000,4,0),0)</f>
        <v>0</v>
      </c>
      <c r="W12" s="22">
        <f ca="1">IFERROR(VLOOKUP(W1,AllListPrice!$A$2:$D$1000,4,0),0)</f>
        <v>0</v>
      </c>
      <c r="X12" s="22">
        <f ca="1">IFERROR(VLOOKUP(X1,AllListPrice!$A$2:$D$1000,4,0),0)</f>
        <v>0</v>
      </c>
      <c r="Y12" s="22">
        <f ca="1">IFERROR(VLOOKUP(Y1,AllListPrice!$A$2:$D$1000,4,0),0)</f>
        <v>0</v>
      </c>
      <c r="Z12" s="22">
        <f ca="1">IFERROR(VLOOKUP(Z1,AllListPrice!$A$2:$D$1000,4,0),0)</f>
        <v>0</v>
      </c>
      <c r="AA12" s="22">
        <f ca="1">IFERROR(VLOOKUP(AA1,AllListPrice!$A$2:$D$1000,4,0),0)</f>
        <v>0</v>
      </c>
      <c r="AB12" s="22">
        <f ca="1">IFERROR(VLOOKUP(AB1,AllListPrice!$A$2:$D$1000,4,0),0)</f>
        <v>0</v>
      </c>
      <c r="AC12" s="22">
        <f ca="1">IFERROR(VLOOKUP(AC1,AllListPrice!$A$2:$D$1000,4,0),0)</f>
        <v>0</v>
      </c>
      <c r="AD12" s="22">
        <f ca="1">IFERROR(VLOOKUP(AD1,AllListPrice!$A$2:$D$1000,4,0),0)</f>
        <v>0</v>
      </c>
      <c r="AE12" s="22">
        <f ca="1">IFERROR(VLOOKUP(AE1,AllListPrice!$A$2:$D$1000,4,0),0)</f>
        <v>0</v>
      </c>
      <c r="AF12" s="22">
        <f ca="1">IFERROR(VLOOKUP(AF1,AllListPrice!$A$2:$D$1000,4,0),0)</f>
        <v>0</v>
      </c>
      <c r="AG12" s="22">
        <f ca="1">IFERROR(VLOOKUP(AG1,AllListPrice!$A$2:$D$1000,4,0),0)</f>
        <v>0</v>
      </c>
      <c r="AH12" s="22">
        <f ca="1">IFERROR(VLOOKUP(AH1,AllListPrice!$A$2:$D$1000,4,0),0)</f>
        <v>0</v>
      </c>
      <c r="AI12" s="22">
        <f ca="1">IFERROR(VLOOKUP(AI1,AllListPrice!$A$2:$D$1000,4,0),0)</f>
        <v>0</v>
      </c>
      <c r="AJ12" s="22">
        <f ca="1">IFERROR(VLOOKUP(AJ1,AllListPrice!$A$2:$D$1000,4,0),0)</f>
        <v>0</v>
      </c>
      <c r="AK12" s="22">
        <f ca="1">IFERROR(VLOOKUP(AK1,AllListPrice!$A$2:$D$1000,4,0),0)</f>
        <v>0</v>
      </c>
      <c r="AL12" s="22">
        <f ca="1">IFERROR(VLOOKUP(AL1,AllListPrice!$A$2:$D$1000,4,0),0)</f>
        <v>0</v>
      </c>
      <c r="AM12" s="22">
        <f ca="1">IFERROR(VLOOKUP(AM1,AllListPrice!$A$2:$D$1000,4,0),0)</f>
        <v>0</v>
      </c>
      <c r="AN12" s="22">
        <f ca="1">IFERROR(VLOOKUP(AN1,AllListPrice!$A$2:$D$1000,4,0),0)</f>
        <v>0</v>
      </c>
      <c r="AO12" s="22">
        <f ca="1">IFERROR(VLOOKUP(AO1,AllListPrice!$A$2:$D$1000,4,0),0)</f>
        <v>0</v>
      </c>
      <c r="AP12" s="22">
        <f ca="1">IFERROR(VLOOKUP(AP1,AllListPrice!$A$2:$D$1000,4,0),0)</f>
        <v>0</v>
      </c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</row>
    <row r="13" spans="1:62" ht="15.75" customHeight="1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</row>
    <row r="14" spans="1:62" ht="15.75" customHeight="1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</row>
    <row r="15" spans="1:62" ht="15.75" customHeight="1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</row>
    <row r="16" spans="1:62" ht="15.75" customHeight="1" x14ac:dyDescent="0.25">
      <c r="A16" s="7" t="str">
        <f t="shared" ref="A16:A17" si="2">A9</f>
        <v>Số lượng cổng Uplink 1GE SFP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</row>
    <row r="17" spans="1:62" ht="15.75" customHeight="1" x14ac:dyDescent="0.25">
      <c r="A17" s="7" t="str">
        <f t="shared" si="2"/>
        <v>Antenna Type (Omni or Directional)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</row>
    <row r="18" spans="1:62" ht="15.75" customHeight="1" x14ac:dyDescent="0.25">
      <c r="A18" s="7" t="s">
        <v>165</v>
      </c>
      <c r="B18" s="19">
        <v>23</v>
      </c>
      <c r="C18" s="19">
        <v>20</v>
      </c>
      <c r="D18" s="19">
        <v>23</v>
      </c>
      <c r="E18" s="19">
        <v>23</v>
      </c>
      <c r="F18" s="19">
        <v>23</v>
      </c>
      <c r="G18" s="19">
        <v>23</v>
      </c>
      <c r="H18" s="19">
        <v>23</v>
      </c>
      <c r="I18" s="19">
        <v>23</v>
      </c>
      <c r="J18" s="19">
        <v>23</v>
      </c>
      <c r="K18" s="19">
        <v>23</v>
      </c>
      <c r="L18" s="19">
        <v>30</v>
      </c>
      <c r="M18" s="19">
        <v>30</v>
      </c>
      <c r="N18" s="19">
        <v>30</v>
      </c>
      <c r="O18" s="19">
        <v>23</v>
      </c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</row>
    <row r="19" spans="1:62" ht="15.75" customHeight="1" x14ac:dyDescent="0.25">
      <c r="A19" s="7" t="s">
        <v>166</v>
      </c>
      <c r="B19" s="19">
        <v>6</v>
      </c>
      <c r="C19" s="19">
        <v>5</v>
      </c>
      <c r="D19" s="19">
        <v>4</v>
      </c>
      <c r="E19" s="19">
        <v>4</v>
      </c>
      <c r="F19" s="19">
        <v>8</v>
      </c>
      <c r="G19" s="19">
        <v>6</v>
      </c>
      <c r="H19" s="19">
        <v>6</v>
      </c>
      <c r="I19" s="19">
        <v>6</v>
      </c>
      <c r="J19" s="19">
        <v>8</v>
      </c>
      <c r="K19" s="19">
        <v>6</v>
      </c>
      <c r="L19" s="19">
        <v>7</v>
      </c>
      <c r="M19" s="19">
        <v>9</v>
      </c>
      <c r="N19" s="19">
        <v>13</v>
      </c>
      <c r="O19" s="19">
        <v>8</v>
      </c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</row>
    <row r="20" spans="1:62" ht="12.5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</row>
    <row r="21" spans="1:62" ht="12.5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</row>
    <row r="22" spans="1:62" ht="12.5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</row>
    <row r="23" spans="1:62" ht="12.5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</row>
    <row r="24" spans="1:62" ht="12.5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</row>
    <row r="25" spans="1:62" ht="12.5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</row>
    <row r="26" spans="1:62" ht="12.5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</row>
    <row r="27" spans="1:62" ht="12.5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</row>
    <row r="28" spans="1:62" ht="12.5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</row>
    <row r="29" spans="1:62" ht="12.5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</row>
    <row r="30" spans="1:62" ht="12.5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</row>
    <row r="31" spans="1:62" ht="12.5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</row>
    <row r="32" spans="1:62" ht="12.5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</row>
    <row r="33" spans="1:62" ht="12.5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</row>
    <row r="34" spans="1:62" ht="12.5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</row>
    <row r="35" spans="1:62" ht="12.5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</row>
    <row r="36" spans="1:62" ht="12.5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</row>
    <row r="37" spans="1:62" ht="12.5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</row>
    <row r="38" spans="1:62" ht="12.5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</row>
    <row r="39" spans="1:62" ht="12.5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</row>
    <row r="40" spans="1:62" ht="12.5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</row>
    <row r="41" spans="1:62" ht="12.5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</row>
    <row r="42" spans="1:62" ht="12.5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</row>
    <row r="43" spans="1:62" ht="12.5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</row>
    <row r="44" spans="1:62" ht="12.5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</row>
    <row r="45" spans="1:62" ht="12.5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</row>
    <row r="46" spans="1:62" ht="12.5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</row>
    <row r="47" spans="1:62" ht="12.5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</row>
    <row r="48" spans="1:62" ht="12.5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</row>
    <row r="49" spans="1:62" ht="12.5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</row>
    <row r="50" spans="1:62" ht="12.5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</row>
    <row r="51" spans="1:62" ht="12.5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</row>
    <row r="52" spans="1:62" ht="12.5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</row>
    <row r="53" spans="1:62" ht="12.5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</row>
    <row r="54" spans="1:62" ht="12.5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</row>
    <row r="55" spans="1:62" ht="12.5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</row>
    <row r="56" spans="1:62" ht="12.5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</row>
    <row r="57" spans="1:62" ht="12.5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</row>
    <row r="58" spans="1:62" ht="12.5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</row>
    <row r="59" spans="1:62" ht="12.5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</row>
    <row r="60" spans="1:62" ht="12.5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</row>
    <row r="61" spans="1:62" ht="12.5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</row>
    <row r="62" spans="1:62" ht="12.5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</row>
    <row r="63" spans="1:62" ht="12.5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</row>
    <row r="64" spans="1:62" ht="12.5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</row>
    <row r="65" spans="1:62" ht="12.5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</row>
    <row r="66" spans="1:62" ht="12.5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</row>
    <row r="67" spans="1:62" ht="12.5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</row>
    <row r="68" spans="1:62" ht="12.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</row>
    <row r="69" spans="1:62" ht="12.5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</row>
    <row r="70" spans="1:62" ht="12.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</row>
    <row r="71" spans="1:62" ht="12.5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</row>
    <row r="72" spans="1:62" ht="12.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</row>
    <row r="73" spans="1:62" ht="12.5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</row>
    <row r="74" spans="1:62" ht="12.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</row>
    <row r="75" spans="1:62" ht="12.5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</row>
    <row r="76" spans="1:62" ht="12.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</row>
    <row r="77" spans="1:62" ht="12.5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</row>
    <row r="78" spans="1:62" ht="12.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</row>
    <row r="79" spans="1:62" ht="12.5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</row>
    <row r="80" spans="1:62" ht="12.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</row>
    <row r="81" spans="1:62" ht="12.5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</row>
    <row r="82" spans="1:62" ht="12.5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</row>
    <row r="83" spans="1:62" ht="12.5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</row>
    <row r="84" spans="1:62" ht="12.5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</row>
    <row r="85" spans="1:62" ht="12.5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</row>
    <row r="86" spans="1:62" ht="12.5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</row>
    <row r="87" spans="1:62" ht="12.5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</row>
    <row r="88" spans="1:62" ht="12.5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</row>
    <row r="89" spans="1:62" ht="12.5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</row>
    <row r="90" spans="1:62" ht="12.5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</row>
    <row r="91" spans="1:62" ht="12.5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</row>
    <row r="92" spans="1:62" ht="12.5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</row>
    <row r="93" spans="1:62" ht="12.5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</row>
    <row r="94" spans="1:62" ht="12.5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</row>
    <row r="95" spans="1:62" ht="12.5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</row>
    <row r="96" spans="1:62" ht="12.5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</row>
    <row r="97" spans="1:62" ht="12.5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</row>
    <row r="98" spans="1:62" ht="12.5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</row>
    <row r="99" spans="1:62" ht="12.5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</row>
    <row r="100" spans="1:62" ht="12.5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</row>
    <row r="101" spans="1:62" ht="12.5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</row>
    <row r="102" spans="1:62" ht="12.5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</row>
    <row r="103" spans="1:62" ht="12.5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</row>
    <row r="104" spans="1:62" ht="12.5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</row>
    <row r="105" spans="1:62" ht="12.5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</row>
    <row r="106" spans="1:62" ht="12.5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</row>
    <row r="107" spans="1:62" ht="12.5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</row>
    <row r="108" spans="1:62" ht="12.5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</row>
    <row r="109" spans="1:62" ht="12.5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</row>
    <row r="110" spans="1:62" ht="12.5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</row>
    <row r="111" spans="1:62" ht="12.5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</row>
    <row r="112" spans="1:62" ht="12.5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</row>
    <row r="113" spans="1:62" ht="12.5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</row>
    <row r="114" spans="1:62" ht="12.5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</row>
    <row r="115" spans="1:62" ht="12.5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</row>
    <row r="116" spans="1:62" ht="12.5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</row>
    <row r="117" spans="1:62" ht="12.5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</row>
    <row r="118" spans="1:62" ht="12.5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</row>
    <row r="119" spans="1:62" ht="12.5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</row>
    <row r="120" spans="1:62" ht="12.5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</row>
    <row r="121" spans="1:62" ht="12.5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</row>
    <row r="122" spans="1:62" ht="12.5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</row>
    <row r="123" spans="1:62" ht="12.5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</row>
    <row r="124" spans="1:62" ht="12.5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</row>
    <row r="125" spans="1:62" ht="12.5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</row>
    <row r="126" spans="1:62" ht="12.5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</row>
    <row r="127" spans="1:62" ht="12.5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</row>
    <row r="128" spans="1:62" ht="12.5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</row>
    <row r="129" spans="1:62" ht="12.5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</row>
    <row r="130" spans="1:62" ht="12.5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</row>
    <row r="131" spans="1:62" ht="12.5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</row>
    <row r="132" spans="1:62" ht="12.5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</row>
    <row r="133" spans="1:62" ht="12.5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</row>
    <row r="134" spans="1:62" ht="12.5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</row>
    <row r="135" spans="1:62" ht="12.5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</row>
    <row r="136" spans="1:62" ht="12.5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</row>
    <row r="137" spans="1:62" ht="12.5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</row>
    <row r="138" spans="1:62" ht="12.5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</row>
    <row r="139" spans="1:62" ht="12.5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</row>
    <row r="140" spans="1:62" ht="12.5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</row>
    <row r="141" spans="1:62" ht="12.5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</row>
    <row r="142" spans="1:62" ht="12.5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</row>
    <row r="143" spans="1:62" ht="12.5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</row>
    <row r="144" spans="1:62" ht="12.5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</row>
    <row r="145" spans="1:62" ht="12.5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</row>
    <row r="146" spans="1:62" ht="12.5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</row>
    <row r="147" spans="1:62" ht="12.5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</row>
    <row r="148" spans="1:62" ht="12.5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</row>
    <row r="149" spans="1:62" ht="12.5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</row>
    <row r="150" spans="1:62" ht="12.5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</row>
    <row r="151" spans="1:62" ht="12.5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</row>
    <row r="152" spans="1:62" ht="12.5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</row>
    <row r="153" spans="1:62" ht="12.5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</row>
    <row r="154" spans="1:62" ht="12.5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</row>
    <row r="155" spans="1:62" ht="12.5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</row>
    <row r="156" spans="1:62" ht="12.5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</row>
    <row r="157" spans="1:62" ht="12.5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</row>
    <row r="158" spans="1:62" ht="12.5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</row>
    <row r="159" spans="1:62" ht="12.5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</row>
    <row r="160" spans="1:62" ht="12.5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</row>
    <row r="161" spans="1:62" ht="12.5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</row>
    <row r="162" spans="1:62" ht="12.5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</row>
    <row r="163" spans="1:62" ht="12.5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</row>
    <row r="164" spans="1:62" ht="12.5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</row>
    <row r="165" spans="1:62" ht="12.5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</row>
    <row r="166" spans="1:62" ht="12.5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</row>
    <row r="167" spans="1:62" ht="12.5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</row>
    <row r="168" spans="1:62" ht="12.5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</row>
    <row r="169" spans="1:62" ht="12.5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</row>
    <row r="170" spans="1:62" ht="12.5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</row>
    <row r="171" spans="1:62" ht="12.5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</row>
    <row r="172" spans="1:62" ht="12.5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</row>
    <row r="173" spans="1:62" ht="12.5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</row>
    <row r="174" spans="1:62" ht="12.5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</row>
    <row r="175" spans="1:62" ht="12.5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</row>
    <row r="176" spans="1:62" ht="12.5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</row>
    <row r="177" spans="1:62" ht="12.5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</row>
    <row r="178" spans="1:62" ht="12.5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</row>
    <row r="179" spans="1:62" ht="12.5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</row>
    <row r="180" spans="1:62" ht="12.5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</row>
    <row r="181" spans="1:62" ht="12.5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</row>
    <row r="182" spans="1:62" ht="12.5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</row>
    <row r="183" spans="1:62" ht="12.5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</row>
    <row r="184" spans="1:62" ht="12.5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</row>
    <row r="185" spans="1:62" ht="12.5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</row>
    <row r="186" spans="1:62" ht="12.5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</row>
    <row r="187" spans="1:62" ht="12.5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</row>
    <row r="188" spans="1:62" ht="12.5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</row>
    <row r="189" spans="1:62" ht="12.5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</row>
    <row r="190" spans="1:62" ht="12.5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</row>
    <row r="191" spans="1:62" ht="12.5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</row>
    <row r="192" spans="1:62" ht="12.5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</row>
    <row r="193" spans="1:62" ht="12.5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</row>
    <row r="194" spans="1:62" ht="12.5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</row>
    <row r="195" spans="1:62" ht="12.5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</row>
    <row r="196" spans="1:62" ht="12.5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</row>
    <row r="197" spans="1:62" ht="12.5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</row>
    <row r="198" spans="1:62" ht="12.5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</row>
    <row r="199" spans="1:62" ht="12.5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</row>
    <row r="200" spans="1:62" ht="12.5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</row>
    <row r="201" spans="1:62" ht="12.5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</row>
    <row r="202" spans="1:62" ht="12.5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</row>
    <row r="203" spans="1:62" ht="12.5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</row>
    <row r="204" spans="1:62" ht="12.5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</row>
    <row r="205" spans="1:62" ht="12.5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</row>
    <row r="206" spans="1:62" ht="12.5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</row>
    <row r="207" spans="1:62" ht="12.5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</row>
    <row r="208" spans="1:62" ht="12.5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</row>
    <row r="209" spans="1:62" ht="12.5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</row>
    <row r="210" spans="1:62" ht="12.5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</row>
    <row r="211" spans="1:62" ht="12.5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</row>
    <row r="212" spans="1:62" ht="12.5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</row>
    <row r="213" spans="1:62" ht="12.5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</row>
    <row r="214" spans="1:62" ht="12.5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</row>
    <row r="215" spans="1:62" ht="12.5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</row>
    <row r="216" spans="1:62" ht="12.5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</row>
    <row r="217" spans="1:62" ht="12.5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</row>
    <row r="218" spans="1:62" ht="12.5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</row>
    <row r="219" spans="1:62" ht="12.5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</row>
    <row r="220" spans="1:62" ht="12.5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</row>
    <row r="221" spans="1:62" ht="12.5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</row>
    <row r="222" spans="1:62" ht="12.5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</row>
    <row r="223" spans="1:62" ht="12.5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</row>
    <row r="224" spans="1:62" ht="12.5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</row>
    <row r="225" spans="1:62" ht="12.5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</row>
    <row r="226" spans="1:62" ht="12.5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</row>
    <row r="227" spans="1:62" ht="12.5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</row>
    <row r="228" spans="1:62" ht="12.5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</row>
    <row r="229" spans="1:62" ht="12.5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</row>
    <row r="230" spans="1:62" ht="12.5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</row>
    <row r="231" spans="1:62" ht="12.5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</row>
    <row r="232" spans="1:62" ht="12.5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</row>
    <row r="233" spans="1:62" ht="12.5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</row>
    <row r="234" spans="1:62" ht="12.5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</row>
    <row r="235" spans="1:62" ht="12.5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</row>
    <row r="236" spans="1:62" ht="12.5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</row>
    <row r="237" spans="1:62" ht="12.5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</row>
    <row r="238" spans="1:62" ht="12.5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</row>
    <row r="239" spans="1:62" ht="12.5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</row>
    <row r="240" spans="1:62" ht="12.5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</row>
    <row r="241" spans="1:62" ht="12.5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</row>
    <row r="242" spans="1:62" ht="12.5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</row>
    <row r="243" spans="1:62" ht="12.5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</row>
    <row r="244" spans="1:62" ht="12.5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</row>
    <row r="245" spans="1:62" ht="12.5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</row>
    <row r="246" spans="1:62" ht="12.5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</row>
    <row r="247" spans="1:62" ht="12.5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</row>
    <row r="248" spans="1:62" ht="12.5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</row>
    <row r="249" spans="1:62" ht="12.5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</row>
    <row r="250" spans="1:62" ht="12.5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</row>
    <row r="251" spans="1:62" ht="12.5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</row>
    <row r="252" spans="1:62" ht="12.5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</row>
    <row r="253" spans="1:62" ht="12.5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</row>
    <row r="254" spans="1:62" ht="12.5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</row>
    <row r="255" spans="1:62" ht="12.5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</row>
    <row r="256" spans="1:62" ht="12.5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</row>
    <row r="257" spans="1:62" ht="12.5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</row>
    <row r="258" spans="1:62" ht="12.5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</row>
    <row r="259" spans="1:62" ht="12.5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</row>
    <row r="260" spans="1:62" ht="12.5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</row>
    <row r="261" spans="1:62" ht="12.5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</row>
    <row r="262" spans="1:62" ht="12.5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</row>
    <row r="263" spans="1:62" ht="12.5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</row>
    <row r="264" spans="1:62" ht="12.5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</row>
    <row r="265" spans="1:62" ht="12.5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</row>
    <row r="266" spans="1:62" ht="12.5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</row>
    <row r="267" spans="1:62" ht="12.5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</row>
    <row r="268" spans="1:62" ht="12.5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</row>
    <row r="269" spans="1:62" ht="12.5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</row>
    <row r="270" spans="1:62" ht="12.5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</row>
    <row r="271" spans="1:62" ht="12.5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</row>
    <row r="272" spans="1:62" ht="12.5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</row>
    <row r="273" spans="1:62" ht="12.5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</row>
    <row r="274" spans="1:62" ht="12.5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</row>
    <row r="275" spans="1:62" ht="12.5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</row>
    <row r="276" spans="1:62" ht="12.5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</row>
    <row r="277" spans="1:62" ht="12.5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</row>
    <row r="278" spans="1:62" ht="12.5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</row>
    <row r="279" spans="1:62" ht="12.5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</row>
    <row r="280" spans="1:62" ht="12.5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</row>
    <row r="281" spans="1:62" ht="12.5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</row>
    <row r="282" spans="1:62" ht="12.5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</row>
    <row r="283" spans="1:62" ht="12.5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</row>
    <row r="284" spans="1:62" ht="12.5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</row>
    <row r="285" spans="1:62" ht="12.5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</row>
    <row r="286" spans="1:62" ht="12.5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</row>
    <row r="287" spans="1:62" ht="12.5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</row>
    <row r="288" spans="1:62" ht="12.5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</row>
    <row r="289" spans="1:62" ht="12.5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</row>
    <row r="290" spans="1:62" ht="12.5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</row>
    <row r="291" spans="1:62" ht="12.5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</row>
    <row r="292" spans="1:62" ht="12.5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</row>
    <row r="293" spans="1:62" ht="12.5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</row>
    <row r="294" spans="1:62" ht="12.5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</row>
    <row r="295" spans="1:62" ht="12.5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</row>
    <row r="296" spans="1:62" ht="12.5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</row>
    <row r="297" spans="1:62" ht="12.5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</row>
    <row r="298" spans="1:62" ht="12.5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</row>
    <row r="299" spans="1:62" ht="12.5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</row>
    <row r="300" spans="1:62" ht="12.5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</row>
    <row r="301" spans="1:62" ht="12.5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</row>
    <row r="302" spans="1:62" ht="12.5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</row>
    <row r="303" spans="1:62" ht="12.5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</row>
    <row r="304" spans="1:62" ht="12.5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</row>
    <row r="305" spans="1:62" ht="12.5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</row>
    <row r="306" spans="1:62" ht="12.5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</row>
    <row r="307" spans="1:62" ht="12.5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</row>
    <row r="308" spans="1:62" ht="12.5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</row>
    <row r="309" spans="1:62" ht="12.5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</row>
    <row r="310" spans="1:62" ht="12.5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</row>
    <row r="311" spans="1:62" ht="12.5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</row>
    <row r="312" spans="1:62" ht="12.5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</row>
    <row r="313" spans="1:62" ht="12.5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</row>
    <row r="314" spans="1:62" ht="12.5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</row>
    <row r="315" spans="1:62" ht="12.5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</row>
    <row r="316" spans="1:62" ht="12.5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</row>
    <row r="317" spans="1:62" ht="12.5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</row>
    <row r="318" spans="1:62" ht="12.5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</row>
    <row r="319" spans="1:62" ht="12.5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</row>
    <row r="320" spans="1:62" ht="12.5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</row>
    <row r="321" spans="1:62" ht="12.5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</row>
    <row r="322" spans="1:62" ht="12.5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</row>
    <row r="323" spans="1:62" ht="12.5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</row>
    <row r="324" spans="1:62" ht="12.5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</row>
    <row r="325" spans="1:62" ht="12.5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</row>
    <row r="326" spans="1:62" ht="12.5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</row>
    <row r="327" spans="1:62" ht="12.5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</row>
    <row r="328" spans="1:62" ht="12.5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</row>
    <row r="329" spans="1:62" ht="12.5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</row>
    <row r="330" spans="1:62" ht="12.5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</row>
    <row r="331" spans="1:62" ht="12.5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</row>
    <row r="332" spans="1:62" ht="12.5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</row>
    <row r="333" spans="1:62" ht="12.5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</row>
    <row r="334" spans="1:62" ht="12.5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</row>
    <row r="335" spans="1:62" ht="12.5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</row>
    <row r="336" spans="1:62" ht="12.5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</row>
    <row r="337" spans="1:62" ht="12.5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</row>
    <row r="338" spans="1:62" ht="12.5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</row>
    <row r="339" spans="1:62" ht="12.5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</row>
    <row r="340" spans="1:62" ht="12.5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</row>
    <row r="341" spans="1:62" ht="12.5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</row>
    <row r="342" spans="1:62" ht="12.5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</row>
    <row r="343" spans="1:62" ht="12.5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</row>
    <row r="344" spans="1:62" ht="12.5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</row>
    <row r="345" spans="1:62" ht="12.5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</row>
    <row r="346" spans="1:62" ht="12.5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</row>
    <row r="347" spans="1:62" ht="12.5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</row>
    <row r="348" spans="1:62" ht="12.5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</row>
    <row r="349" spans="1:62" ht="12.5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</row>
    <row r="350" spans="1:62" ht="12.5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</row>
    <row r="351" spans="1:62" ht="12.5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</row>
    <row r="352" spans="1:62" ht="12.5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</row>
    <row r="353" spans="1:62" ht="12.5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</row>
    <row r="354" spans="1:62" ht="12.5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</row>
    <row r="355" spans="1:62" ht="12.5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</row>
    <row r="356" spans="1:62" ht="12.5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</row>
    <row r="357" spans="1:62" ht="12.5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</row>
    <row r="358" spans="1:62" ht="12.5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</row>
    <row r="359" spans="1:62" ht="12.5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</row>
    <row r="360" spans="1:62" ht="12.5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</row>
    <row r="361" spans="1:62" ht="12.5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</row>
    <row r="362" spans="1:62" ht="12.5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</row>
    <row r="363" spans="1:62" ht="12.5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</row>
    <row r="364" spans="1:62" ht="12.5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</row>
    <row r="365" spans="1:62" ht="12.5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</row>
    <row r="366" spans="1:62" ht="12.5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</row>
    <row r="367" spans="1:62" ht="12.5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</row>
    <row r="368" spans="1:62" ht="12.5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</row>
    <row r="369" spans="1:62" ht="12.5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</row>
    <row r="370" spans="1:62" ht="12.5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</row>
    <row r="371" spans="1:62" ht="12.5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</row>
    <row r="372" spans="1:62" ht="12.5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</row>
    <row r="373" spans="1:62" ht="12.5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</row>
    <row r="374" spans="1:62" ht="12.5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</row>
    <row r="375" spans="1:62" ht="12.5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</row>
    <row r="376" spans="1:62" ht="12.5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</row>
    <row r="377" spans="1:62" ht="12.5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</row>
    <row r="378" spans="1:62" ht="12.5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</row>
    <row r="379" spans="1:62" ht="12.5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</row>
    <row r="380" spans="1:62" ht="12.5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</row>
    <row r="381" spans="1:62" ht="12.5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</row>
    <row r="382" spans="1:62" ht="12.5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</row>
    <row r="383" spans="1:62" ht="12.5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</row>
    <row r="384" spans="1:62" ht="12.5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</row>
    <row r="385" spans="1:62" ht="12.5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</row>
    <row r="386" spans="1:62" ht="12.5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</row>
    <row r="387" spans="1:62" ht="12.5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</row>
    <row r="388" spans="1:62" ht="12.5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</row>
    <row r="389" spans="1:62" ht="12.5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</row>
    <row r="390" spans="1:62" ht="12.5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</row>
    <row r="391" spans="1:62" ht="12.5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</row>
    <row r="392" spans="1:62" ht="12.5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</row>
    <row r="393" spans="1:62" ht="12.5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</row>
    <row r="394" spans="1:62" ht="12.5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</row>
    <row r="395" spans="1:62" ht="12.5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</row>
    <row r="396" spans="1:62" ht="12.5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</row>
    <row r="397" spans="1:62" ht="12.5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</row>
    <row r="398" spans="1:62" ht="12.5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</row>
    <row r="399" spans="1:62" ht="12.5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</row>
    <row r="400" spans="1:62" ht="12.5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</row>
    <row r="401" spans="1:62" ht="12.5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</row>
    <row r="402" spans="1:62" ht="12.5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</row>
    <row r="403" spans="1:62" ht="12.5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</row>
    <row r="404" spans="1:62" ht="12.5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</row>
    <row r="405" spans="1:62" ht="12.5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</row>
    <row r="406" spans="1:62" ht="12.5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</row>
    <row r="407" spans="1:62" ht="12.5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</row>
    <row r="408" spans="1:62" ht="12.5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</row>
    <row r="409" spans="1:62" ht="12.5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</row>
    <row r="410" spans="1:62" ht="12.5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</row>
    <row r="411" spans="1:62" ht="12.5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</row>
    <row r="412" spans="1:62" ht="12.5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</row>
    <row r="413" spans="1:62" ht="12.5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</row>
    <row r="414" spans="1:62" ht="12.5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</row>
    <row r="415" spans="1:62" ht="12.5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</row>
    <row r="416" spans="1:62" ht="12.5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</row>
    <row r="417" spans="1:62" ht="12.5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</row>
    <row r="418" spans="1:62" ht="12.5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</row>
    <row r="419" spans="1:62" ht="12.5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</row>
    <row r="420" spans="1:62" ht="12.5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</row>
    <row r="421" spans="1:62" ht="12.5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</row>
    <row r="422" spans="1:62" ht="12.5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</row>
    <row r="423" spans="1:62" ht="12.5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</row>
    <row r="424" spans="1:62" ht="12.5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</row>
    <row r="425" spans="1:62" ht="12.5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</row>
    <row r="426" spans="1:62" ht="12.5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</row>
    <row r="427" spans="1:62" ht="12.5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</row>
    <row r="428" spans="1:62" ht="12.5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</row>
    <row r="429" spans="1:62" ht="12.5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</row>
    <row r="430" spans="1:62" ht="12.5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</row>
    <row r="431" spans="1:62" ht="12.5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</row>
    <row r="432" spans="1:62" ht="12.5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</row>
    <row r="433" spans="1:62" ht="12.5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</row>
    <row r="434" spans="1:62" ht="12.5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</row>
    <row r="435" spans="1:62" ht="12.5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</row>
    <row r="436" spans="1:62" ht="12.5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</row>
    <row r="437" spans="1:62" ht="12.5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</row>
    <row r="438" spans="1:62" ht="12.5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</row>
    <row r="439" spans="1:62" ht="12.5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</row>
    <row r="440" spans="1:62" ht="12.5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</row>
    <row r="441" spans="1:62" ht="12.5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</row>
    <row r="442" spans="1:62" ht="12.5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</row>
    <row r="443" spans="1:62" ht="12.5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</row>
    <row r="444" spans="1:62" ht="12.5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</row>
    <row r="445" spans="1:62" ht="12.5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</row>
    <row r="446" spans="1:62" ht="12.5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</row>
    <row r="447" spans="1:62" ht="12.5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</row>
    <row r="448" spans="1:62" ht="12.5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</row>
    <row r="449" spans="1:62" ht="12.5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</row>
    <row r="450" spans="1:62" ht="12.5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</row>
    <row r="451" spans="1:62" ht="12.5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</row>
    <row r="452" spans="1:62" ht="12.5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</row>
    <row r="453" spans="1:62" ht="12.5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</row>
    <row r="454" spans="1:62" ht="12.5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</row>
    <row r="455" spans="1:62" ht="12.5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</row>
    <row r="456" spans="1:62" ht="12.5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</row>
    <row r="457" spans="1:62" ht="12.5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</row>
    <row r="458" spans="1:62" ht="12.5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</row>
    <row r="459" spans="1:62" ht="12.5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</row>
    <row r="460" spans="1:62" ht="12.5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</row>
    <row r="461" spans="1:62" ht="12.5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</row>
    <row r="462" spans="1:62" ht="12.5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</row>
    <row r="463" spans="1:62" ht="12.5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</row>
    <row r="464" spans="1:62" ht="12.5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</row>
    <row r="465" spans="1:62" ht="12.5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</row>
    <row r="466" spans="1:62" ht="12.5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</row>
    <row r="467" spans="1:62" ht="12.5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</row>
    <row r="468" spans="1:62" ht="12.5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</row>
    <row r="469" spans="1:62" ht="12.5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</row>
    <row r="470" spans="1:62" ht="12.5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</row>
    <row r="471" spans="1:62" ht="12.5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</row>
    <row r="472" spans="1:62" ht="12.5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</row>
    <row r="473" spans="1:62" ht="12.5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</row>
    <row r="474" spans="1:62" ht="12.5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</row>
    <row r="475" spans="1:62" ht="12.5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</row>
    <row r="476" spans="1:62" ht="12.5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</row>
    <row r="477" spans="1:62" ht="12.5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</row>
    <row r="478" spans="1:62" ht="12.5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</row>
    <row r="479" spans="1:62" ht="12.5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</row>
    <row r="480" spans="1:62" ht="12.5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</row>
    <row r="481" spans="1:62" ht="12.5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</row>
    <row r="482" spans="1:62" ht="12.5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</row>
    <row r="483" spans="1:62" ht="12.5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</row>
    <row r="484" spans="1:62" ht="12.5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</row>
    <row r="485" spans="1:62" ht="12.5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</row>
    <row r="486" spans="1:62" ht="12.5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</row>
    <row r="487" spans="1:62" ht="12.5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</row>
    <row r="488" spans="1:62" ht="12.5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</row>
    <row r="489" spans="1:62" ht="12.5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</row>
    <row r="490" spans="1:62" ht="12.5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</row>
    <row r="491" spans="1:62" ht="12.5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</row>
    <row r="492" spans="1:62" ht="12.5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</row>
    <row r="493" spans="1:62" ht="12.5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</row>
    <row r="494" spans="1:62" ht="12.5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</row>
    <row r="495" spans="1:62" ht="12.5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</row>
    <row r="496" spans="1:62" ht="12.5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</row>
    <row r="497" spans="1:62" ht="12.5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</row>
    <row r="498" spans="1:62" ht="12.5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</row>
    <row r="499" spans="1:62" ht="12.5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</row>
    <row r="500" spans="1:62" ht="12.5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</row>
    <row r="501" spans="1:62" ht="12.5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</row>
    <row r="502" spans="1:62" ht="12.5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</row>
    <row r="503" spans="1:62" ht="12.5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</row>
    <row r="504" spans="1:62" ht="12.5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</row>
    <row r="505" spans="1:62" ht="12.5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</row>
    <row r="506" spans="1:62" ht="12.5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</row>
    <row r="507" spans="1:62" ht="12.5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</row>
    <row r="508" spans="1:62" ht="12.5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</row>
    <row r="509" spans="1:62" ht="12.5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</row>
    <row r="510" spans="1:62" ht="12.5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</row>
    <row r="511" spans="1:62" ht="12.5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</row>
    <row r="512" spans="1:62" ht="12.5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</row>
    <row r="513" spans="1:62" ht="12.5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</row>
    <row r="514" spans="1:62" ht="12.5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</row>
    <row r="515" spans="1:62" ht="12.5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</row>
    <row r="516" spans="1:62" ht="12.5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</row>
    <row r="517" spans="1:62" ht="12.5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</row>
    <row r="518" spans="1:62" ht="12.5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</row>
    <row r="519" spans="1:62" ht="12.5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</row>
    <row r="520" spans="1:62" ht="12.5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</row>
    <row r="521" spans="1:62" ht="12.5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</row>
    <row r="522" spans="1:62" ht="12.5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</row>
    <row r="523" spans="1:62" ht="12.5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</row>
    <row r="524" spans="1:62" ht="12.5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</row>
    <row r="525" spans="1:62" ht="12.5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</row>
    <row r="526" spans="1:62" ht="12.5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</row>
    <row r="527" spans="1:62" ht="12.5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</row>
    <row r="528" spans="1:62" ht="12.5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</row>
    <row r="529" spans="1:62" ht="12.5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</row>
    <row r="530" spans="1:62" ht="12.5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</row>
    <row r="531" spans="1:62" ht="12.5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</row>
    <row r="532" spans="1:62" ht="12.5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</row>
    <row r="533" spans="1:62" ht="12.5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</row>
    <row r="534" spans="1:62" ht="12.5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</row>
    <row r="535" spans="1:62" ht="12.5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</row>
    <row r="536" spans="1:62" ht="12.5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</row>
    <row r="537" spans="1:62" ht="12.5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</row>
    <row r="538" spans="1:62" ht="12.5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</row>
    <row r="539" spans="1:62" ht="12.5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</row>
    <row r="540" spans="1:62" ht="12.5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</row>
    <row r="541" spans="1:62" ht="12.5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</row>
    <row r="542" spans="1:62" ht="12.5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</row>
    <row r="543" spans="1:62" ht="12.5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</row>
    <row r="544" spans="1:62" ht="12.5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</row>
    <row r="545" spans="1:62" ht="12.5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</row>
    <row r="546" spans="1:62" ht="12.5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</row>
    <row r="547" spans="1:62" ht="12.5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</row>
    <row r="548" spans="1:62" ht="12.5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</row>
    <row r="549" spans="1:62" ht="12.5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</row>
    <row r="550" spans="1:62" ht="12.5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</row>
    <row r="551" spans="1:62" ht="12.5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</row>
    <row r="552" spans="1:62" ht="12.5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</row>
    <row r="553" spans="1:62" ht="12.5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</row>
    <row r="554" spans="1:62" ht="12.5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</row>
    <row r="555" spans="1:62" ht="12.5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</row>
    <row r="556" spans="1:62" ht="12.5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</row>
    <row r="557" spans="1:62" ht="12.5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</row>
    <row r="558" spans="1:62" ht="12.5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</row>
    <row r="559" spans="1:62" ht="12.5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</row>
    <row r="560" spans="1:62" ht="12.5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</row>
    <row r="561" spans="1:62" ht="12.5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</row>
    <row r="562" spans="1:62" ht="12.5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</row>
    <row r="563" spans="1:62" ht="12.5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</row>
    <row r="564" spans="1:62" ht="12.5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</row>
    <row r="565" spans="1:62" ht="12.5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</row>
    <row r="566" spans="1:62" ht="12.5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</row>
    <row r="567" spans="1:62" ht="12.5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</row>
    <row r="568" spans="1:62" ht="12.5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</row>
    <row r="569" spans="1:62" ht="12.5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</row>
    <row r="570" spans="1:62" ht="12.5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</row>
    <row r="571" spans="1:62" ht="12.5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</row>
    <row r="572" spans="1:62" ht="12.5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</row>
    <row r="573" spans="1:62" ht="12.5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</row>
    <row r="574" spans="1:62" ht="12.5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</row>
    <row r="575" spans="1:62" ht="12.5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</row>
    <row r="576" spans="1:62" ht="12.5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</row>
    <row r="577" spans="1:62" ht="12.5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</row>
    <row r="578" spans="1:62" ht="12.5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</row>
    <row r="579" spans="1:62" ht="12.5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</row>
    <row r="580" spans="1:62" ht="12.5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</row>
    <row r="581" spans="1:62" ht="12.5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</row>
    <row r="582" spans="1:62" ht="12.5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</row>
    <row r="583" spans="1:62" ht="12.5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</row>
    <row r="584" spans="1:62" ht="12.5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</row>
    <row r="585" spans="1:62" ht="12.5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</row>
    <row r="586" spans="1:62" ht="12.5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</row>
    <row r="587" spans="1:62" ht="12.5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</row>
    <row r="588" spans="1:62" ht="12.5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</row>
    <row r="589" spans="1:62" ht="12.5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</row>
    <row r="590" spans="1:62" ht="12.5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</row>
    <row r="591" spans="1:62" ht="12.5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</row>
    <row r="592" spans="1:62" ht="12.5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</row>
    <row r="593" spans="1:62" ht="12.5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</row>
    <row r="594" spans="1:62" ht="12.5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</row>
    <row r="595" spans="1:62" ht="12.5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</row>
    <row r="596" spans="1:62" ht="12.5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</row>
    <row r="597" spans="1:62" ht="12.5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</row>
    <row r="598" spans="1:62" ht="12.5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</row>
    <row r="599" spans="1:62" ht="12.5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</row>
    <row r="600" spans="1:62" ht="12.5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</row>
    <row r="601" spans="1:62" ht="12.5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</row>
    <row r="602" spans="1:62" ht="12.5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</row>
    <row r="603" spans="1:62" ht="12.5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</row>
    <row r="604" spans="1:62" ht="12.5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</row>
    <row r="605" spans="1:62" ht="12.5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</row>
    <row r="606" spans="1:62" ht="12.5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</row>
    <row r="607" spans="1:62" ht="12.5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</row>
    <row r="608" spans="1:62" ht="12.5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</row>
    <row r="609" spans="1:62" ht="12.5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</row>
    <row r="610" spans="1:62" ht="12.5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</row>
    <row r="611" spans="1:62" ht="12.5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</row>
    <row r="612" spans="1:62" ht="12.5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</row>
    <row r="613" spans="1:62" ht="12.5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</row>
    <row r="614" spans="1:62" ht="12.5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</row>
    <row r="615" spans="1:62" ht="12.5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</row>
    <row r="616" spans="1:62" ht="12.5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</row>
    <row r="617" spans="1:62" ht="12.5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</row>
    <row r="618" spans="1:62" ht="12.5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</row>
    <row r="619" spans="1:62" ht="12.5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</row>
    <row r="620" spans="1:62" ht="12.5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</row>
    <row r="621" spans="1:62" ht="12.5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</row>
    <row r="622" spans="1:62" ht="12.5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</row>
    <row r="623" spans="1:62" ht="12.5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</row>
    <row r="624" spans="1:62" ht="12.5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</row>
    <row r="625" spans="1:62" ht="12.5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</row>
    <row r="626" spans="1:62" ht="12.5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</row>
    <row r="627" spans="1:62" ht="12.5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</row>
    <row r="628" spans="1:62" ht="12.5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</row>
    <row r="629" spans="1:62" ht="12.5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</row>
    <row r="630" spans="1:62" ht="12.5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</row>
    <row r="631" spans="1:62" ht="12.5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</row>
    <row r="632" spans="1:62" ht="12.5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</row>
    <row r="633" spans="1:62" ht="12.5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</row>
    <row r="634" spans="1:62" ht="12.5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</row>
    <row r="635" spans="1:62" ht="12.5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</row>
    <row r="636" spans="1:62" ht="12.5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</row>
    <row r="637" spans="1:62" ht="12.5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</row>
    <row r="638" spans="1:62" ht="12.5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</row>
    <row r="639" spans="1:62" ht="12.5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</row>
    <row r="640" spans="1:62" ht="12.5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</row>
    <row r="641" spans="1:62" ht="12.5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</row>
    <row r="642" spans="1:62" ht="12.5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</row>
    <row r="643" spans="1:62" ht="12.5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</row>
    <row r="644" spans="1:62" ht="12.5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</row>
    <row r="645" spans="1:62" ht="12.5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</row>
    <row r="646" spans="1:62" ht="12.5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</row>
    <row r="647" spans="1:62" ht="12.5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</row>
    <row r="648" spans="1:62" ht="12.5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</row>
    <row r="649" spans="1:62" ht="12.5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</row>
    <row r="650" spans="1:62" ht="12.5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</row>
    <row r="651" spans="1:62" ht="12.5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</row>
    <row r="652" spans="1:62" ht="12.5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</row>
    <row r="653" spans="1:62" ht="12.5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</row>
    <row r="654" spans="1:62" ht="12.5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</row>
    <row r="655" spans="1:62" ht="12.5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</row>
    <row r="656" spans="1:62" ht="12.5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</row>
    <row r="657" spans="1:62" ht="12.5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</row>
    <row r="658" spans="1:62" ht="12.5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</row>
    <row r="659" spans="1:62" ht="12.5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</row>
    <row r="660" spans="1:62" ht="12.5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</row>
    <row r="661" spans="1:62" ht="12.5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</row>
    <row r="662" spans="1:62" ht="12.5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</row>
    <row r="663" spans="1:62" ht="12.5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</row>
    <row r="664" spans="1:62" ht="12.5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</row>
    <row r="665" spans="1:62" ht="12.5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</row>
    <row r="666" spans="1:62" ht="12.5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</row>
    <row r="667" spans="1:62" ht="12.5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</row>
    <row r="668" spans="1:62" ht="12.5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</row>
    <row r="669" spans="1:62" ht="12.5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</row>
    <row r="670" spans="1:62" ht="12.5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</row>
    <row r="671" spans="1:62" ht="12.5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</row>
    <row r="672" spans="1:62" ht="12.5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</row>
    <row r="673" spans="1:62" ht="12.5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</row>
    <row r="674" spans="1:62" ht="12.5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</row>
    <row r="675" spans="1:62" ht="12.5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</row>
    <row r="676" spans="1:62" ht="12.5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</row>
    <row r="677" spans="1:62" ht="12.5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</row>
    <row r="678" spans="1:62" ht="12.5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</row>
    <row r="679" spans="1:62" ht="12.5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</row>
    <row r="680" spans="1:62" ht="12.5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</row>
    <row r="681" spans="1:62" ht="12.5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</row>
    <row r="682" spans="1:62" ht="12.5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</row>
    <row r="683" spans="1:62" ht="12.5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</row>
    <row r="684" spans="1:62" ht="12.5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</row>
    <row r="685" spans="1:62" ht="12.5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</row>
    <row r="686" spans="1:62" ht="12.5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</row>
    <row r="687" spans="1:62" ht="12.5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</row>
    <row r="688" spans="1:62" ht="12.5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</row>
    <row r="689" spans="1:62" ht="12.5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</row>
    <row r="690" spans="1:62" ht="12.5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</row>
    <row r="691" spans="1:62" ht="12.5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</row>
    <row r="692" spans="1:62" ht="12.5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</row>
    <row r="693" spans="1:62" ht="12.5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</row>
    <row r="694" spans="1:62" ht="12.5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</row>
    <row r="695" spans="1:62" ht="12.5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</row>
    <row r="696" spans="1:62" ht="12.5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</row>
    <row r="697" spans="1:62" ht="12.5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</row>
    <row r="698" spans="1:62" ht="12.5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</row>
    <row r="699" spans="1:62" ht="12.5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</row>
    <row r="700" spans="1:62" ht="12.5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</row>
    <row r="701" spans="1:62" ht="12.5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</row>
    <row r="702" spans="1:62" ht="12.5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</row>
    <row r="703" spans="1:62" ht="12.5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</row>
    <row r="704" spans="1:62" ht="12.5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</row>
    <row r="705" spans="1:62" ht="12.5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</row>
    <row r="706" spans="1:62" ht="12.5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</row>
    <row r="707" spans="1:62" ht="12.5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</row>
    <row r="708" spans="1:62" ht="12.5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</row>
    <row r="709" spans="1:62" ht="12.5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</row>
    <row r="710" spans="1:62" ht="12.5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</row>
    <row r="711" spans="1:62" ht="12.5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</row>
    <row r="712" spans="1:62" ht="12.5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</row>
    <row r="713" spans="1:62" ht="12.5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</row>
    <row r="714" spans="1:62" ht="12.5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</row>
    <row r="715" spans="1:62" ht="12.5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</row>
    <row r="716" spans="1:62" ht="12.5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</row>
    <row r="717" spans="1:62" ht="12.5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</row>
    <row r="718" spans="1:62" ht="12.5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</row>
    <row r="719" spans="1:62" ht="12.5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</row>
    <row r="720" spans="1:62" ht="12.5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</row>
    <row r="721" spans="1:62" ht="12.5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</row>
    <row r="722" spans="1:62" ht="12.5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</row>
    <row r="723" spans="1:62" ht="12.5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</row>
    <row r="724" spans="1:62" ht="12.5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</row>
    <row r="725" spans="1:62" ht="12.5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</row>
    <row r="726" spans="1:62" ht="12.5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</row>
    <row r="727" spans="1:62" ht="12.5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</row>
    <row r="728" spans="1:62" ht="12.5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</row>
    <row r="729" spans="1:62" ht="12.5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</row>
    <row r="730" spans="1:62" ht="12.5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</row>
    <row r="731" spans="1:62" ht="12.5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</row>
    <row r="732" spans="1:62" ht="12.5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</row>
    <row r="733" spans="1:62" ht="12.5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</row>
    <row r="734" spans="1:62" ht="12.5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</row>
    <row r="735" spans="1:62" ht="12.5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</row>
    <row r="736" spans="1:62" ht="12.5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</row>
    <row r="737" spans="1:62" ht="12.5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</row>
    <row r="738" spans="1:62" ht="12.5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</row>
    <row r="739" spans="1:62" ht="12.5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</row>
    <row r="740" spans="1:62" ht="12.5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</row>
    <row r="741" spans="1:62" ht="12.5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</row>
    <row r="742" spans="1:62" ht="12.5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</row>
    <row r="743" spans="1:62" ht="12.5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</row>
    <row r="744" spans="1:62" ht="12.5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</row>
    <row r="745" spans="1:62" ht="12.5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</row>
    <row r="746" spans="1:62" ht="12.5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</row>
    <row r="747" spans="1:62" ht="12.5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</row>
    <row r="748" spans="1:62" ht="12.5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</row>
    <row r="749" spans="1:62" ht="12.5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</row>
    <row r="750" spans="1:62" ht="12.5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</row>
    <row r="751" spans="1:62" ht="12.5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</row>
    <row r="752" spans="1:62" ht="12.5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</row>
    <row r="753" spans="1:62" ht="12.5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</row>
    <row r="754" spans="1:62" ht="12.5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</row>
    <row r="755" spans="1:62" ht="12.5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</row>
    <row r="756" spans="1:62" ht="12.5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</row>
    <row r="757" spans="1:62" ht="12.5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</row>
    <row r="758" spans="1:62" ht="12.5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</row>
    <row r="759" spans="1:62" ht="12.5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</row>
    <row r="760" spans="1:62" ht="12.5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</row>
    <row r="761" spans="1:62" ht="12.5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</row>
    <row r="762" spans="1:62" ht="12.5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</row>
    <row r="763" spans="1:62" ht="12.5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</row>
    <row r="764" spans="1:62" ht="12.5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</row>
    <row r="765" spans="1:62" ht="12.5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</row>
    <row r="766" spans="1:62" ht="12.5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</row>
    <row r="767" spans="1:62" ht="12.5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</row>
    <row r="768" spans="1:62" ht="12.5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</row>
    <row r="769" spans="1:62" ht="12.5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</row>
    <row r="770" spans="1:62" ht="12.5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</row>
    <row r="771" spans="1:62" ht="12.5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</row>
    <row r="772" spans="1:62" ht="12.5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</row>
    <row r="773" spans="1:62" ht="12.5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</row>
    <row r="774" spans="1:62" ht="12.5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</row>
    <row r="775" spans="1:62" ht="12.5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</row>
    <row r="776" spans="1:62" ht="12.5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</row>
    <row r="777" spans="1:62" ht="12.5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</row>
    <row r="778" spans="1:62" ht="12.5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</row>
    <row r="779" spans="1:62" ht="12.5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</row>
    <row r="780" spans="1:62" ht="12.5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</row>
    <row r="781" spans="1:62" ht="12.5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</row>
    <row r="782" spans="1:62" ht="12.5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</row>
    <row r="783" spans="1:62" ht="12.5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</row>
    <row r="784" spans="1:62" ht="12.5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</row>
    <row r="785" spans="1:62" ht="12.5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</row>
    <row r="786" spans="1:62" ht="12.5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</row>
    <row r="787" spans="1:62" ht="12.5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</row>
    <row r="788" spans="1:62" ht="12.5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</row>
    <row r="789" spans="1:62" ht="12.5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</row>
    <row r="790" spans="1:62" ht="12.5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</row>
    <row r="791" spans="1:62" ht="12.5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</row>
    <row r="792" spans="1:62" ht="12.5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</row>
    <row r="793" spans="1:62" ht="12.5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</row>
    <row r="794" spans="1:62" ht="12.5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</row>
    <row r="795" spans="1:62" ht="12.5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</row>
    <row r="796" spans="1:62" ht="12.5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</row>
    <row r="797" spans="1:62" ht="12.5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</row>
    <row r="798" spans="1:62" ht="12.5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</row>
    <row r="799" spans="1:62" ht="12.5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</row>
    <row r="800" spans="1:62" ht="12.5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</row>
    <row r="801" spans="1:62" ht="12.5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</row>
    <row r="802" spans="1:62" ht="12.5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</row>
    <row r="803" spans="1:62" ht="12.5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</row>
    <row r="804" spans="1:62" ht="12.5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</row>
    <row r="805" spans="1:62" ht="12.5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</row>
    <row r="806" spans="1:62" ht="12.5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</row>
    <row r="807" spans="1:62" ht="12.5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</row>
    <row r="808" spans="1:62" ht="12.5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</row>
    <row r="809" spans="1:62" ht="12.5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</row>
    <row r="810" spans="1:62" ht="12.5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</row>
    <row r="811" spans="1:62" ht="12.5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</row>
    <row r="812" spans="1:62" ht="12.5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</row>
    <row r="813" spans="1:62" ht="12.5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</row>
    <row r="814" spans="1:62" ht="12.5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</row>
    <row r="815" spans="1:62" ht="12.5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</row>
    <row r="816" spans="1:62" ht="12.5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</row>
    <row r="817" spans="1:62" ht="12.5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</row>
    <row r="818" spans="1:62" ht="12.5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</row>
    <row r="819" spans="1:62" ht="12.5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</row>
    <row r="820" spans="1:62" ht="12.5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</row>
    <row r="821" spans="1:62" ht="12.5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</row>
    <row r="822" spans="1:62" ht="12.5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</row>
    <row r="823" spans="1:62" ht="12.5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</row>
    <row r="824" spans="1:62" ht="12.5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</row>
    <row r="825" spans="1:62" ht="12.5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</row>
    <row r="826" spans="1:62" ht="12.5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</row>
    <row r="827" spans="1:62" ht="12.5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</row>
    <row r="828" spans="1:62" ht="12.5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</row>
    <row r="829" spans="1:62" ht="12.5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</row>
    <row r="830" spans="1:62" ht="12.5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</row>
    <row r="831" spans="1:62" ht="12.5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</row>
    <row r="832" spans="1:62" ht="12.5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</row>
    <row r="833" spans="1:62" ht="12.5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</row>
    <row r="834" spans="1:62" ht="12.5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</row>
    <row r="835" spans="1:62" ht="12.5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</row>
    <row r="836" spans="1:62" ht="12.5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</row>
    <row r="837" spans="1:62" ht="12.5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</row>
    <row r="838" spans="1:62" ht="12.5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</row>
    <row r="839" spans="1:62" ht="12.5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</row>
    <row r="840" spans="1:62" ht="12.5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</row>
    <row r="841" spans="1:62" ht="12.5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</row>
    <row r="842" spans="1:62" ht="12.5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</row>
    <row r="843" spans="1:62" ht="12.5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</row>
    <row r="844" spans="1:62" ht="12.5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</row>
    <row r="845" spans="1:62" ht="12.5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</row>
    <row r="846" spans="1:62" ht="12.5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</row>
    <row r="847" spans="1:62" ht="12.5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</row>
    <row r="848" spans="1:62" ht="12.5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</row>
    <row r="849" spans="1:62" ht="12.5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</row>
    <row r="850" spans="1:62" ht="12.5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</row>
    <row r="851" spans="1:62" ht="12.5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</row>
    <row r="852" spans="1:62" ht="12.5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</row>
    <row r="853" spans="1:62" ht="12.5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</row>
    <row r="854" spans="1:62" ht="12.5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</row>
    <row r="855" spans="1:62" ht="12.5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</row>
    <row r="856" spans="1:62" ht="12.5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</row>
    <row r="857" spans="1:62" ht="12.5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</row>
    <row r="858" spans="1:62" ht="12.5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</row>
    <row r="859" spans="1:62" ht="12.5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</row>
    <row r="860" spans="1:62" ht="12.5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</row>
    <row r="861" spans="1:62" ht="12.5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</row>
    <row r="862" spans="1:62" ht="12.5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</row>
    <row r="863" spans="1:62" ht="12.5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</row>
    <row r="864" spans="1:62" ht="12.5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</row>
    <row r="865" spans="1:62" ht="12.5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</row>
    <row r="866" spans="1:62" ht="12.5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</row>
    <row r="867" spans="1:62" ht="12.5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</row>
    <row r="868" spans="1:62" ht="12.5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</row>
    <row r="869" spans="1:62" ht="12.5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</row>
    <row r="870" spans="1:62" ht="12.5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</row>
    <row r="871" spans="1:62" ht="12.5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</row>
    <row r="872" spans="1:62" ht="12.5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</row>
    <row r="873" spans="1:62" ht="12.5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</row>
    <row r="874" spans="1:62" ht="12.5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</row>
    <row r="875" spans="1:62" ht="12.5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</row>
    <row r="876" spans="1:62" ht="12.5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</row>
    <row r="877" spans="1:62" ht="12.5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</row>
    <row r="878" spans="1:62" ht="12.5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</row>
    <row r="879" spans="1:62" ht="12.5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</row>
    <row r="880" spans="1:62" ht="12.5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</row>
    <row r="881" spans="1:62" ht="12.5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</row>
    <row r="882" spans="1:62" ht="12.5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</row>
    <row r="883" spans="1:62" ht="12.5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</row>
    <row r="884" spans="1:62" ht="12.5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</row>
    <row r="885" spans="1:62" ht="12.5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</row>
    <row r="886" spans="1:62" ht="12.5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</row>
    <row r="887" spans="1:62" ht="12.5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</row>
    <row r="888" spans="1:62" ht="12.5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</row>
    <row r="889" spans="1:62" ht="12.5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</row>
    <row r="890" spans="1:62" ht="12.5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</row>
    <row r="891" spans="1:62" ht="12.5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</row>
    <row r="892" spans="1:62" ht="12.5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</row>
    <row r="893" spans="1:62" ht="12.5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</row>
    <row r="894" spans="1:62" ht="12.5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</row>
    <row r="895" spans="1:62" ht="12.5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</row>
    <row r="896" spans="1:62" ht="12.5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</row>
    <row r="897" spans="1:62" ht="12.5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</row>
    <row r="898" spans="1:62" ht="12.5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</row>
    <row r="899" spans="1:62" ht="12.5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</row>
    <row r="900" spans="1:62" ht="12.5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</row>
    <row r="901" spans="1:62" ht="12.5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</row>
    <row r="902" spans="1:62" ht="12.5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</row>
    <row r="903" spans="1:62" ht="12.5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</row>
    <row r="904" spans="1:62" ht="12.5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</row>
    <row r="905" spans="1:62" ht="12.5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</row>
    <row r="906" spans="1:62" ht="12.5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</row>
    <row r="907" spans="1:62" ht="12.5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</row>
    <row r="908" spans="1:62" ht="12.5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</row>
    <row r="909" spans="1:62" ht="12.5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</row>
    <row r="910" spans="1:62" ht="12.5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</row>
    <row r="911" spans="1:62" ht="12.5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</row>
    <row r="912" spans="1:62" ht="12.5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</row>
    <row r="913" spans="1:62" ht="12.5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</row>
    <row r="914" spans="1:62" ht="12.5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</row>
    <row r="915" spans="1:62" ht="12.5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</row>
    <row r="916" spans="1:62" ht="12.5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</row>
    <row r="917" spans="1:62" ht="12.5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</row>
    <row r="918" spans="1:62" ht="12.5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</row>
    <row r="919" spans="1:62" ht="12.5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</row>
    <row r="920" spans="1:62" ht="12.5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</row>
    <row r="921" spans="1:62" ht="12.5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</row>
    <row r="922" spans="1:62" ht="12.5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</row>
    <row r="923" spans="1:62" ht="12.5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</row>
    <row r="924" spans="1:62" ht="12.5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</row>
    <row r="925" spans="1:62" ht="12.5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</row>
    <row r="926" spans="1:62" ht="12.5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</row>
    <row r="927" spans="1:62" ht="12.5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</row>
    <row r="928" spans="1:62" ht="12.5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</row>
    <row r="929" spans="1:62" ht="12.5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</row>
    <row r="930" spans="1:62" ht="12.5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</row>
    <row r="931" spans="1:62" ht="12.5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</row>
    <row r="932" spans="1:62" ht="12.5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</row>
    <row r="933" spans="1:62" ht="12.5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</row>
    <row r="934" spans="1:62" ht="12.5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</row>
    <row r="935" spans="1:62" ht="12.5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</row>
    <row r="936" spans="1:62" ht="12.5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</row>
    <row r="937" spans="1:62" ht="12.5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</row>
    <row r="938" spans="1:62" ht="12.5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</row>
    <row r="939" spans="1:62" ht="12.5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</row>
    <row r="940" spans="1:62" ht="12.5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</row>
    <row r="941" spans="1:62" ht="12.5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</row>
    <row r="942" spans="1:62" ht="12.5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</row>
    <row r="943" spans="1:62" ht="12.5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</row>
    <row r="944" spans="1:62" ht="12.5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</row>
    <row r="945" spans="1:62" ht="12.5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</row>
    <row r="946" spans="1:62" ht="12.5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</row>
    <row r="947" spans="1:62" ht="12.5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</row>
    <row r="948" spans="1:62" ht="12.5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</row>
    <row r="949" spans="1:62" ht="12.5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</row>
    <row r="950" spans="1:62" ht="12.5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</row>
    <row r="951" spans="1:62" ht="12.5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</row>
    <row r="952" spans="1:62" ht="12.5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</row>
    <row r="953" spans="1:62" ht="12.5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</row>
    <row r="954" spans="1:62" ht="12.5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</row>
    <row r="955" spans="1:62" ht="12.5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</row>
    <row r="956" spans="1:62" ht="12.5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</row>
    <row r="957" spans="1:62" ht="12.5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</row>
    <row r="958" spans="1:62" ht="12.5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</row>
    <row r="959" spans="1:62" ht="12.5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</row>
    <row r="960" spans="1:62" ht="12.5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</row>
    <row r="961" spans="1:62" ht="12.5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</row>
    <row r="962" spans="1:62" ht="12.5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</row>
    <row r="963" spans="1:62" ht="12.5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</row>
    <row r="964" spans="1:62" ht="12.5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</row>
    <row r="965" spans="1:62" ht="12.5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</row>
    <row r="966" spans="1:62" ht="12.5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</row>
    <row r="967" spans="1:62" ht="12.5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</row>
    <row r="968" spans="1:62" ht="12.5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</row>
    <row r="969" spans="1:62" ht="12.5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</row>
    <row r="970" spans="1:62" ht="12.5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</row>
    <row r="971" spans="1:62" ht="12.5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</row>
    <row r="972" spans="1:62" ht="12.5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</row>
    <row r="973" spans="1:62" ht="12.5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</row>
    <row r="974" spans="1:62" ht="12.5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</row>
    <row r="975" spans="1:62" ht="12.5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</row>
    <row r="976" spans="1:62" ht="12.5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</row>
    <row r="977" spans="1:62" ht="12.5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</row>
    <row r="978" spans="1:62" ht="12.5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</row>
    <row r="979" spans="1:62" ht="12.5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</row>
    <row r="980" spans="1:62" ht="12.5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</row>
    <row r="981" spans="1:62" ht="12.5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</row>
    <row r="982" spans="1:62" ht="12.5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</row>
    <row r="983" spans="1:62" ht="12.5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</row>
    <row r="984" spans="1:62" ht="12.5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</row>
    <row r="985" spans="1:62" ht="12.5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</row>
    <row r="986" spans="1:62" ht="12.5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</row>
    <row r="987" spans="1:62" ht="12.5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</row>
    <row r="988" spans="1:62" ht="12.5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</row>
    <row r="989" spans="1:62" ht="12.5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</row>
    <row r="990" spans="1:62" ht="12.5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</row>
    <row r="991" spans="1:62" ht="12.5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</row>
    <row r="992" spans="1:62" ht="12.5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3.453125" customWidth="1"/>
    <col min="2" max="2" width="22.08984375" customWidth="1"/>
  </cols>
  <sheetData>
    <row r="1" spans="1:26" x14ac:dyDescent="0.3">
      <c r="A1" s="32" t="s">
        <v>167</v>
      </c>
      <c r="B1" s="32" t="s">
        <v>168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spans="1:26" ht="15.75" customHeight="1" x14ac:dyDescent="0.25">
      <c r="A2" s="33" t="str">
        <f ca="1">IFERROR(__xludf.DUMMYFUNCTION("transpose(HSTACK(
FILTER(Router!D1:EA1, Router!D1:EA1&lt;&gt;""""),
FILTER(SwitchCampus!D1:CO1, SwitchCampus!D1:CO1&lt;&gt;""""),
FILTER(NexusSwitch!D1:CY1, NexusSwitch!D1:CY1&lt;&gt;""""),
FILTER(ModularSwitch!D1:CX1, ModularSwitch!D1:CX1&lt;&gt;""""),
FILTER(WiFi!D1:CO1, WiFi!"&amp;"D1:CO1&lt;&gt;""""),
FILTER(SFP!D1:CP1, SFP!D1:CP1&lt;&gt;"""")
))"),"C1161-8P")</f>
        <v>C1161-8P</v>
      </c>
      <c r="B2" s="34">
        <f ca="1">COUNTIF(AllListPrice!A:A,A2)</f>
        <v>1</v>
      </c>
    </row>
    <row r="3" spans="1:26" ht="15.75" customHeight="1" x14ac:dyDescent="0.25">
      <c r="A3" s="33" t="str">
        <f ca="1">IFERROR(__xludf.DUMMYFUNCTION("""COMPUTED_VALUE"""),"C1161X-8P")</f>
        <v>C1161X-8P</v>
      </c>
      <c r="B3" s="34">
        <f ca="1">COUNTIF(AllListPrice!A:A,A3)</f>
        <v>1</v>
      </c>
    </row>
    <row r="4" spans="1:26" ht="15.75" customHeight="1" x14ac:dyDescent="0.25">
      <c r="A4" s="33" t="str">
        <f ca="1">IFERROR(__xludf.DUMMYFUNCTION("""COMPUTED_VALUE"""),"C1131-8PWS")</f>
        <v>C1131-8PWS</v>
      </c>
      <c r="B4" s="34">
        <f ca="1">COUNTIF(AllListPrice!A:A,A4)</f>
        <v>1</v>
      </c>
    </row>
    <row r="5" spans="1:26" ht="15.75" customHeight="1" x14ac:dyDescent="0.25">
      <c r="A5" s="33" t="str">
        <f ca="1">IFERROR(__xludf.DUMMYFUNCTION("""COMPUTED_VALUE"""),"C1131X-8PWS")</f>
        <v>C1131X-8PWS</v>
      </c>
      <c r="B5" s="34">
        <f ca="1">COUNTIF(AllListPrice!A:A,A5)</f>
        <v>1</v>
      </c>
    </row>
    <row r="6" spans="1:26" ht="15.75" customHeight="1" x14ac:dyDescent="0.25">
      <c r="A6" s="33" t="str">
        <f ca="1">IFERROR(__xludf.DUMMYFUNCTION("""COMPUTED_VALUE"""),"C1121-4P")</f>
        <v>C1121-4P</v>
      </c>
      <c r="B6" s="34">
        <f ca="1">COUNTIF(AllListPrice!A:A,A6)</f>
        <v>1</v>
      </c>
    </row>
    <row r="7" spans="1:26" ht="15.75" customHeight="1" x14ac:dyDescent="0.25">
      <c r="A7" s="33" t="str">
        <f ca="1">IFERROR(__xludf.DUMMYFUNCTION("""COMPUTED_VALUE"""),"C1121-8P")</f>
        <v>C1121-8P</v>
      </c>
      <c r="B7" s="34">
        <f ca="1">COUNTIF(AllListPrice!A:A,A7)</f>
        <v>1</v>
      </c>
    </row>
    <row r="8" spans="1:26" ht="15.75" customHeight="1" x14ac:dyDescent="0.25">
      <c r="A8" s="33" t="str">
        <f ca="1">IFERROR(__xludf.DUMMYFUNCTION("""COMPUTED_VALUE"""),"C1127-8PLTEP")</f>
        <v>C1127-8PLTEP</v>
      </c>
      <c r="B8" s="34">
        <f ca="1">COUNTIF(AllListPrice!A:A,A8)</f>
        <v>1</v>
      </c>
    </row>
    <row r="9" spans="1:26" ht="15.75" customHeight="1" x14ac:dyDescent="0.25">
      <c r="A9" s="33" t="str">
        <f ca="1">IFERROR(__xludf.DUMMYFUNCTION("""COMPUTED_VALUE"""),"C1116-4P")</f>
        <v>C1116-4P</v>
      </c>
      <c r="B9" s="34">
        <f ca="1">COUNTIF(AllListPrice!A:A,A9)</f>
        <v>1</v>
      </c>
    </row>
    <row r="10" spans="1:26" ht="15.75" customHeight="1" x14ac:dyDescent="0.25">
      <c r="A10" s="33" t="str">
        <f ca="1">IFERROR(__xludf.DUMMYFUNCTION("""COMPUTED_VALUE"""),"C1117-4P")</f>
        <v>C1117-4P</v>
      </c>
      <c r="B10" s="34">
        <f ca="1">COUNTIF(AllListPrice!A:A,A10)</f>
        <v>1</v>
      </c>
    </row>
    <row r="11" spans="1:26" ht="15.75" customHeight="1" x14ac:dyDescent="0.25">
      <c r="A11" s="33" t="str">
        <f ca="1">IFERROR(__xludf.DUMMYFUNCTION("""COMPUTED_VALUE"""),"C1112-8P")</f>
        <v>C1112-8P</v>
      </c>
      <c r="B11" s="34">
        <f ca="1">COUNTIF(AllListPrice!A:A,A11)</f>
        <v>1</v>
      </c>
    </row>
    <row r="12" spans="1:26" ht="15.75" customHeight="1" x14ac:dyDescent="0.25">
      <c r="A12" s="33" t="str">
        <f ca="1">IFERROR(__xludf.DUMMYFUNCTION("""COMPUTED_VALUE"""),"C1109-4PLTE2P")</f>
        <v>C1109-4PLTE2P</v>
      </c>
      <c r="B12" s="34">
        <f ca="1">COUNTIF(AllListPrice!A:A,A12)</f>
        <v>1</v>
      </c>
    </row>
    <row r="13" spans="1:26" ht="15.75" customHeight="1" x14ac:dyDescent="0.25">
      <c r="A13" s="33" t="str">
        <f ca="1">IFERROR(__xludf.DUMMYFUNCTION("""COMPUTED_VALUE"""),"C8200L-1N-4T")</f>
        <v>C8200L-1N-4T</v>
      </c>
      <c r="B13" s="34">
        <f ca="1">COUNTIF(AllListPrice!A:A,A13)</f>
        <v>1</v>
      </c>
    </row>
    <row r="14" spans="1:26" ht="15.75" customHeight="1" x14ac:dyDescent="0.25">
      <c r="A14" s="33" t="str">
        <f ca="1">IFERROR(__xludf.DUMMYFUNCTION("""COMPUTED_VALUE"""),"C8200-1N-4T")</f>
        <v>C8200-1N-4T</v>
      </c>
      <c r="B14" s="34">
        <f ca="1">COUNTIF(AllListPrice!A:A,A14)</f>
        <v>1</v>
      </c>
    </row>
    <row r="15" spans="1:26" ht="15.75" customHeight="1" x14ac:dyDescent="0.25">
      <c r="A15" s="33" t="str">
        <f ca="1">IFERROR(__xludf.DUMMYFUNCTION("""COMPUTED_VALUE"""),"C8300-1N1S-6T")</f>
        <v>C8300-1N1S-6T</v>
      </c>
      <c r="B15" s="34">
        <f ca="1">COUNTIF(AllListPrice!A:A,A15)</f>
        <v>1</v>
      </c>
    </row>
    <row r="16" spans="1:26" ht="15.75" customHeight="1" x14ac:dyDescent="0.25">
      <c r="A16" s="33" t="str">
        <f ca="1">IFERROR(__xludf.DUMMYFUNCTION("""COMPUTED_VALUE"""),"C8300-2N2S-6T")</f>
        <v>C8300-2N2S-6T</v>
      </c>
      <c r="B16" s="34">
        <f ca="1">COUNTIF(AllListPrice!A:A,A16)</f>
        <v>1</v>
      </c>
    </row>
    <row r="17" spans="1:2" ht="15.75" customHeight="1" x14ac:dyDescent="0.25">
      <c r="A17" s="33" t="str">
        <f ca="1">IFERROR(__xludf.DUMMYFUNCTION("""COMPUTED_VALUE"""),"C8300-1N1S-4T2X")</f>
        <v>C8300-1N1S-4T2X</v>
      </c>
      <c r="B17" s="34">
        <f ca="1">COUNTIF(AllListPrice!A:A,A17)</f>
        <v>1</v>
      </c>
    </row>
    <row r="18" spans="1:2" ht="15.75" customHeight="1" x14ac:dyDescent="0.25">
      <c r="A18" s="33" t="str">
        <f ca="1">IFERROR(__xludf.DUMMYFUNCTION("""COMPUTED_VALUE"""),"C8300-2N2S-4T2X")</f>
        <v>C8300-2N2S-4T2X</v>
      </c>
      <c r="B18" s="34">
        <f ca="1">COUNTIF(AllListPrice!A:A,A18)</f>
        <v>1</v>
      </c>
    </row>
    <row r="19" spans="1:2" ht="15.75" customHeight="1" x14ac:dyDescent="0.25">
      <c r="A19" s="33" t="str">
        <f ca="1">IFERROR(__xludf.DUMMYFUNCTION("""COMPUTED_VALUE"""),"C8500L-8S4X")</f>
        <v>C8500L-8S4X</v>
      </c>
      <c r="B19" s="34">
        <f ca="1">COUNTIF(AllListPrice!A:A,A19)</f>
        <v>1</v>
      </c>
    </row>
    <row r="20" spans="1:2" ht="15.75" customHeight="1" x14ac:dyDescent="0.25">
      <c r="A20" s="33" t="str">
        <f ca="1">IFERROR(__xludf.DUMMYFUNCTION("""COMPUTED_VALUE"""),"C8500-12X")</f>
        <v>C8500-12X</v>
      </c>
      <c r="B20" s="34">
        <f ca="1">COUNTIF(AllListPrice!A:A,A20)</f>
        <v>1</v>
      </c>
    </row>
    <row r="21" spans="1:2" ht="15.75" customHeight="1" x14ac:dyDescent="0.25">
      <c r="A21" s="33" t="str">
        <f ca="1">IFERROR(__xludf.DUMMYFUNCTION("""COMPUTED_VALUE"""),"C8500-12X4QC")</f>
        <v>C8500-12X4QC</v>
      </c>
      <c r="B21" s="34">
        <f ca="1">COUNTIF(AllListPrice!A:A,A21)</f>
        <v>1</v>
      </c>
    </row>
    <row r="22" spans="1:2" ht="12.5" x14ac:dyDescent="0.25">
      <c r="A22" s="33" t="str">
        <f ca="1">IFERROR(__xludf.DUMMYFUNCTION("""COMPUTED_VALUE"""),"C8500-20X6C")</f>
        <v>C8500-20X6C</v>
      </c>
      <c r="B22" s="34">
        <f ca="1">COUNTIF(AllListPrice!A:A,A22)</f>
        <v>1</v>
      </c>
    </row>
    <row r="23" spans="1:2" ht="12.5" x14ac:dyDescent="0.25">
      <c r="A23" s="33" t="str">
        <f ca="1">IFERROR(__xludf.DUMMYFUNCTION("""COMPUTED_VALUE"""),"C1300-8T-E-2G")</f>
        <v>C1300-8T-E-2G</v>
      </c>
      <c r="B23" s="34">
        <f ca="1">COUNTIF(AllListPrice!A:A,A23)</f>
        <v>1</v>
      </c>
    </row>
    <row r="24" spans="1:2" ht="12.5" x14ac:dyDescent="0.25">
      <c r="A24" s="33" t="str">
        <f ca="1">IFERROR(__xludf.DUMMYFUNCTION("""COMPUTED_VALUE"""),"C1300-8P-E-2G")</f>
        <v>C1300-8P-E-2G</v>
      </c>
      <c r="B24" s="34">
        <f ca="1">COUNTIF(AllListPrice!A:A,A24)</f>
        <v>1</v>
      </c>
    </row>
    <row r="25" spans="1:2" ht="12.5" x14ac:dyDescent="0.25">
      <c r="A25" s="33" t="str">
        <f ca="1">IFERROR(__xludf.DUMMYFUNCTION("""COMPUTED_VALUE"""),"C1300-8FP-2G")</f>
        <v>C1300-8FP-2G</v>
      </c>
      <c r="B25" s="34">
        <f ca="1">COUNTIF(AllListPrice!A:A,A25)</f>
        <v>1</v>
      </c>
    </row>
    <row r="26" spans="1:2" ht="12.5" x14ac:dyDescent="0.25">
      <c r="A26" s="33" t="str">
        <f ca="1">IFERROR(__xludf.DUMMYFUNCTION("""COMPUTED_VALUE"""),"C1300-16T-2G")</f>
        <v>C1300-16T-2G</v>
      </c>
      <c r="B26" s="34">
        <f ca="1">COUNTIF(AllListPrice!A:A,A26)</f>
        <v>1</v>
      </c>
    </row>
    <row r="27" spans="1:2" ht="12.5" x14ac:dyDescent="0.25">
      <c r="A27" s="33" t="str">
        <f ca="1">IFERROR(__xludf.DUMMYFUNCTION("""COMPUTED_VALUE"""),"C1300-16P-2G")</f>
        <v>C1300-16P-2G</v>
      </c>
      <c r="B27" s="34">
        <f ca="1">COUNTIF(AllListPrice!A:A,A27)</f>
        <v>1</v>
      </c>
    </row>
    <row r="28" spans="1:2" ht="12.5" x14ac:dyDescent="0.25">
      <c r="A28" s="33" t="str">
        <f ca="1">IFERROR(__xludf.DUMMYFUNCTION("""COMPUTED_VALUE"""),"C1300-16FP-2G")</f>
        <v>C1300-16FP-2G</v>
      </c>
      <c r="B28" s="34">
        <f ca="1">COUNTIF(AllListPrice!A:A,A28)</f>
        <v>1</v>
      </c>
    </row>
    <row r="29" spans="1:2" ht="12.5" x14ac:dyDescent="0.25">
      <c r="A29" s="33" t="str">
        <f ca="1">IFERROR(__xludf.DUMMYFUNCTION("""COMPUTED_VALUE"""),"C1300-24T-4G")</f>
        <v>C1300-24T-4G</v>
      </c>
      <c r="B29" s="34">
        <f ca="1">COUNTIF(AllListPrice!A:A,A29)</f>
        <v>1</v>
      </c>
    </row>
    <row r="30" spans="1:2" ht="12.5" x14ac:dyDescent="0.25">
      <c r="A30" s="33" t="str">
        <f ca="1">IFERROR(__xludf.DUMMYFUNCTION("""COMPUTED_VALUE"""),"C1300-24P-4G")</f>
        <v>C1300-24P-4G</v>
      </c>
      <c r="B30" s="34">
        <f ca="1">COUNTIF(AllListPrice!A:A,A30)</f>
        <v>1</v>
      </c>
    </row>
    <row r="31" spans="1:2" ht="12.5" x14ac:dyDescent="0.25">
      <c r="A31" s="33" t="str">
        <f ca="1">IFERROR(__xludf.DUMMYFUNCTION("""COMPUTED_VALUE"""),"C1300-24FP-4G")</f>
        <v>C1300-24FP-4G</v>
      </c>
      <c r="B31" s="34">
        <f ca="1">COUNTIF(AllListPrice!A:A,A31)</f>
        <v>1</v>
      </c>
    </row>
    <row r="32" spans="1:2" ht="12.5" x14ac:dyDescent="0.25">
      <c r="A32" s="33" t="str">
        <f ca="1">IFERROR(__xludf.DUMMYFUNCTION("""COMPUTED_VALUE"""),"C1300-48T-4G")</f>
        <v>C1300-48T-4G</v>
      </c>
      <c r="B32" s="34">
        <f ca="1">COUNTIF(AllListPrice!A:A,A32)</f>
        <v>1</v>
      </c>
    </row>
    <row r="33" spans="1:2" ht="12.5" x14ac:dyDescent="0.25">
      <c r="A33" s="33" t="str">
        <f ca="1">IFERROR(__xludf.DUMMYFUNCTION("""COMPUTED_VALUE"""),"C1300-48P-4G")</f>
        <v>C1300-48P-4G</v>
      </c>
      <c r="B33" s="34">
        <f ca="1">COUNTIF(AllListPrice!A:A,A33)</f>
        <v>1</v>
      </c>
    </row>
    <row r="34" spans="1:2" ht="12.5" x14ac:dyDescent="0.25">
      <c r="A34" s="33" t="str">
        <f ca="1">IFERROR(__xludf.DUMMYFUNCTION("""COMPUTED_VALUE"""),"C1300-48FP-4G")</f>
        <v>C1300-48FP-4G</v>
      </c>
      <c r="B34" s="34">
        <f ca="1">COUNTIF(AllListPrice!A:A,A34)</f>
        <v>1</v>
      </c>
    </row>
    <row r="35" spans="1:2" ht="12.5" x14ac:dyDescent="0.25">
      <c r="A35" s="33" t="str">
        <f ca="1">IFERROR(__xludf.DUMMYFUNCTION("""COMPUTED_VALUE"""),"C1300-16P-4X")</f>
        <v>C1300-16P-4X</v>
      </c>
      <c r="B35" s="34">
        <f ca="1">COUNTIF(AllListPrice!A:A,A35)</f>
        <v>1</v>
      </c>
    </row>
    <row r="36" spans="1:2" ht="12.5" x14ac:dyDescent="0.25">
      <c r="A36" s="33" t="str">
        <f ca="1">IFERROR(__xludf.DUMMYFUNCTION("""COMPUTED_VALUE"""),"C1300-24T-4X")</f>
        <v>C1300-24T-4X</v>
      </c>
      <c r="B36" s="34">
        <f ca="1">COUNTIF(AllListPrice!A:A,A36)</f>
        <v>1</v>
      </c>
    </row>
    <row r="37" spans="1:2" ht="12.5" x14ac:dyDescent="0.25">
      <c r="A37" s="33" t="str">
        <f ca="1">IFERROR(__xludf.DUMMYFUNCTION("""COMPUTED_VALUE"""),"C1300-24P-4X")</f>
        <v>C1300-24P-4X</v>
      </c>
      <c r="B37" s="34">
        <f ca="1">COUNTIF(AllListPrice!A:A,A37)</f>
        <v>1</v>
      </c>
    </row>
    <row r="38" spans="1:2" ht="12.5" x14ac:dyDescent="0.25">
      <c r="A38" s="33" t="str">
        <f ca="1">IFERROR(__xludf.DUMMYFUNCTION("""COMPUTED_VALUE"""),"C1300-24FP-4X")</f>
        <v>C1300-24FP-4X</v>
      </c>
      <c r="B38" s="34">
        <f ca="1">COUNTIF(AllListPrice!A:A,A38)</f>
        <v>1</v>
      </c>
    </row>
    <row r="39" spans="1:2" ht="12.5" x14ac:dyDescent="0.25">
      <c r="A39" s="33" t="str">
        <f ca="1">IFERROR(__xludf.DUMMYFUNCTION("""COMPUTED_VALUE"""),"C1300-48T-4X")</f>
        <v>C1300-48T-4X</v>
      </c>
      <c r="B39" s="34">
        <f ca="1">COUNTIF(AllListPrice!A:A,A39)</f>
        <v>1</v>
      </c>
    </row>
    <row r="40" spans="1:2" ht="12.5" x14ac:dyDescent="0.25">
      <c r="A40" s="33" t="str">
        <f ca="1">IFERROR(__xludf.DUMMYFUNCTION("""COMPUTED_VALUE"""),"C1300-48P-4X")</f>
        <v>C1300-48P-4X</v>
      </c>
      <c r="B40" s="34">
        <f ca="1">COUNTIF(AllListPrice!A:A,A40)</f>
        <v>1</v>
      </c>
    </row>
    <row r="41" spans="1:2" ht="12.5" x14ac:dyDescent="0.25">
      <c r="A41" s="33" t="str">
        <f ca="1">IFERROR(__xludf.DUMMYFUNCTION("""COMPUTED_VALUE"""),"C1300-48FP-4X")</f>
        <v>C1300-48FP-4X</v>
      </c>
      <c r="B41" s="34">
        <f ca="1">COUNTIF(AllListPrice!A:A,A41)</f>
        <v>1</v>
      </c>
    </row>
    <row r="42" spans="1:2" ht="12.5" x14ac:dyDescent="0.25">
      <c r="A42" s="33" t="str">
        <f ca="1">IFERROR(__xludf.DUMMYFUNCTION("""COMPUTED_VALUE"""),"C1300-12XT-2X")</f>
        <v>C1300-12XT-2X</v>
      </c>
      <c r="B42" s="34">
        <f ca="1">COUNTIF(AllListPrice!A:A,A42)</f>
        <v>1</v>
      </c>
    </row>
    <row r="43" spans="1:2" ht="12.5" x14ac:dyDescent="0.25">
      <c r="A43" s="33" t="str">
        <f ca="1">IFERROR(__xludf.DUMMYFUNCTION("""COMPUTED_VALUE"""),"C1300-12XS")</f>
        <v>C1300-12XS</v>
      </c>
      <c r="B43" s="34">
        <f ca="1">COUNTIF(AllListPrice!A:A,A43)</f>
        <v>1</v>
      </c>
    </row>
    <row r="44" spans="1:2" ht="12.5" x14ac:dyDescent="0.25">
      <c r="A44" s="33" t="str">
        <f ca="1">IFERROR(__xludf.DUMMYFUNCTION("""COMPUTED_VALUE"""),"C1300-16XTS")</f>
        <v>C1300-16XTS</v>
      </c>
      <c r="B44" s="34">
        <f ca="1">COUNTIF(AllListPrice!A:A,A44)</f>
        <v>1</v>
      </c>
    </row>
    <row r="45" spans="1:2" ht="12.5" x14ac:dyDescent="0.25">
      <c r="A45" s="33" t="str">
        <f ca="1">IFERROR(__xludf.DUMMYFUNCTION("""COMPUTED_VALUE"""),"C1300-24XS")</f>
        <v>C1300-24XS</v>
      </c>
      <c r="B45" s="34">
        <f ca="1">COUNTIF(AllListPrice!A:A,A45)</f>
        <v>1</v>
      </c>
    </row>
    <row r="46" spans="1:2" ht="12.5" x14ac:dyDescent="0.25">
      <c r="A46" s="33" t="str">
        <f ca="1">IFERROR(__xludf.DUMMYFUNCTION("""COMPUTED_VALUE"""),"C1300-24XT")</f>
        <v>C1300-24XT</v>
      </c>
      <c r="B46" s="34">
        <f ca="1">COUNTIF(AllListPrice!A:A,A46)</f>
        <v>1</v>
      </c>
    </row>
    <row r="47" spans="1:2" ht="12.5" x14ac:dyDescent="0.25">
      <c r="A47" s="33" t="str">
        <f ca="1">IFERROR(__xludf.DUMMYFUNCTION("""COMPUTED_VALUE"""),"C1300-24XTS")</f>
        <v>C1300-24XTS</v>
      </c>
      <c r="B47" s="34">
        <f ca="1">COUNTIF(AllListPrice!A:A,A47)</f>
        <v>1</v>
      </c>
    </row>
    <row r="48" spans="1:2" ht="12.5" x14ac:dyDescent="0.25">
      <c r="A48" s="33" t="str">
        <f ca="1">IFERROR(__xludf.DUMMYFUNCTION("""COMPUTED_VALUE"""),"C1300X-24T-4X")</f>
        <v>C1300X-24T-4X</v>
      </c>
      <c r="B48" s="34">
        <f ca="1">COUNTIF(AllListPrice!A:A,A48)</f>
        <v>1</v>
      </c>
    </row>
    <row r="49" spans="1:2" ht="12.5" x14ac:dyDescent="0.25">
      <c r="A49" s="33" t="str">
        <f ca="1">IFERROR(__xludf.DUMMYFUNCTION("""COMPUTED_VALUE"""),"C1300X-48T-4X")</f>
        <v>C1300X-48T-4X</v>
      </c>
      <c r="B49" s="34">
        <f ca="1">COUNTIF(AllListPrice!A:A,A49)</f>
        <v>1</v>
      </c>
    </row>
    <row r="50" spans="1:2" ht="12.5" x14ac:dyDescent="0.25">
      <c r="A50" s="33" t="str">
        <f ca="1">IFERROR(__xludf.DUMMYFUNCTION("""COMPUTED_VALUE"""),"C1300X-24P-4X")</f>
        <v>C1300X-24P-4X</v>
      </c>
      <c r="B50" s="34">
        <f ca="1">COUNTIF(AllListPrice!A:A,A50)</f>
        <v>1</v>
      </c>
    </row>
    <row r="51" spans="1:2" ht="12.5" x14ac:dyDescent="0.25">
      <c r="A51" s="33" t="str">
        <f ca="1">IFERROR(__xludf.DUMMYFUNCTION("""COMPUTED_VALUE"""),"C1300X-48P-4X")</f>
        <v>C1300X-48P-4X</v>
      </c>
      <c r="B51" s="34">
        <f ca="1">COUNTIF(AllListPrice!A:A,A51)</f>
        <v>1</v>
      </c>
    </row>
    <row r="52" spans="1:2" ht="12.5" x14ac:dyDescent="0.25">
      <c r="A52" s="33" t="str">
        <f ca="1">IFERROR(__xludf.DUMMYFUNCTION("""COMPUTED_VALUE"""),"C9200-24T")</f>
        <v>C9200-24T</v>
      </c>
      <c r="B52" s="34">
        <f ca="1">COUNTIF(AllListPrice!A:A,A52)</f>
        <v>1</v>
      </c>
    </row>
    <row r="53" spans="1:2" ht="12.5" x14ac:dyDescent="0.25">
      <c r="A53" s="33" t="str">
        <f ca="1">IFERROR(__xludf.DUMMYFUNCTION("""COMPUTED_VALUE"""),"C9200-24P")</f>
        <v>C9200-24P</v>
      </c>
      <c r="B53" s="34">
        <f ca="1">COUNTIF(AllListPrice!A:A,A53)</f>
        <v>1</v>
      </c>
    </row>
    <row r="54" spans="1:2" ht="12.5" x14ac:dyDescent="0.25">
      <c r="A54" s="33" t="str">
        <f ca="1">IFERROR(__xludf.DUMMYFUNCTION("""COMPUTED_VALUE"""),"C9200-48T")</f>
        <v>C9200-48T</v>
      </c>
      <c r="B54" s="34">
        <f ca="1">COUNTIF(AllListPrice!A:A,A54)</f>
        <v>1</v>
      </c>
    </row>
    <row r="55" spans="1:2" ht="12.5" x14ac:dyDescent="0.25">
      <c r="A55" s="33" t="str">
        <f ca="1">IFERROR(__xludf.DUMMYFUNCTION("""COMPUTED_VALUE"""),"C9200-48P")</f>
        <v>C9200-48P</v>
      </c>
      <c r="B55" s="34">
        <f ca="1">COUNTIF(AllListPrice!A:A,A55)</f>
        <v>1</v>
      </c>
    </row>
    <row r="56" spans="1:2" ht="12.5" x14ac:dyDescent="0.25">
      <c r="A56" s="33" t="str">
        <f ca="1">IFERROR(__xludf.DUMMYFUNCTION("""COMPUTED_VALUE"""),"C9200L-24T-4G")</f>
        <v>C9200L-24T-4G</v>
      </c>
      <c r="B56" s="34">
        <f ca="1">COUNTIF(AllListPrice!A:A,A56)</f>
        <v>1</v>
      </c>
    </row>
    <row r="57" spans="1:2" ht="12.5" x14ac:dyDescent="0.25">
      <c r="A57" s="33" t="str">
        <f ca="1">IFERROR(__xludf.DUMMYFUNCTION("""COMPUTED_VALUE"""),"C9200L-24P-4G")</f>
        <v>C9200L-24P-4G</v>
      </c>
      <c r="B57" s="34">
        <f ca="1">COUNTIF(AllListPrice!A:A,A57)</f>
        <v>1</v>
      </c>
    </row>
    <row r="58" spans="1:2" ht="12.5" x14ac:dyDescent="0.25">
      <c r="A58" s="33" t="str">
        <f ca="1">IFERROR(__xludf.DUMMYFUNCTION("""COMPUTED_VALUE"""),"C9200L-48T-4G")</f>
        <v>C9200L-48T-4G</v>
      </c>
      <c r="B58" s="34">
        <f ca="1">COUNTIF(AllListPrice!A:A,A58)</f>
        <v>1</v>
      </c>
    </row>
    <row r="59" spans="1:2" ht="12.5" x14ac:dyDescent="0.25">
      <c r="A59" s="33" t="str">
        <f ca="1">IFERROR(__xludf.DUMMYFUNCTION("""COMPUTED_VALUE"""),"C9200L-48P-4G")</f>
        <v>C9200L-48P-4G</v>
      </c>
      <c r="B59" s="34">
        <f ca="1">COUNTIF(AllListPrice!A:A,A59)</f>
        <v>1</v>
      </c>
    </row>
    <row r="60" spans="1:2" ht="12.5" x14ac:dyDescent="0.25">
      <c r="A60" s="33" t="str">
        <f ca="1">IFERROR(__xludf.DUMMYFUNCTION("""COMPUTED_VALUE"""),"C9200L-24T-4X")</f>
        <v>C9200L-24T-4X</v>
      </c>
      <c r="B60" s="34">
        <f ca="1">COUNTIF(AllListPrice!A:A,A60)</f>
        <v>1</v>
      </c>
    </row>
    <row r="61" spans="1:2" ht="12.5" x14ac:dyDescent="0.25">
      <c r="A61" s="33" t="str">
        <f ca="1">IFERROR(__xludf.DUMMYFUNCTION("""COMPUTED_VALUE"""),"C9200L-24P-4X")</f>
        <v>C9200L-24P-4X</v>
      </c>
      <c r="B61" s="34">
        <f ca="1">COUNTIF(AllListPrice!A:A,A61)</f>
        <v>1</v>
      </c>
    </row>
    <row r="62" spans="1:2" ht="12.5" x14ac:dyDescent="0.25">
      <c r="A62" s="33" t="str">
        <f ca="1">IFERROR(__xludf.DUMMYFUNCTION("""COMPUTED_VALUE"""),"C9200L-48T-4X")</f>
        <v>C9200L-48T-4X</v>
      </c>
      <c r="B62" s="34">
        <f ca="1">COUNTIF(AllListPrice!A:A,A62)</f>
        <v>1</v>
      </c>
    </row>
    <row r="63" spans="1:2" ht="12.5" x14ac:dyDescent="0.25">
      <c r="A63" s="33" t="str">
        <f ca="1">IFERROR(__xludf.DUMMYFUNCTION("""COMPUTED_VALUE"""),"C9200L-48P-4X")</f>
        <v>C9200L-48P-4X</v>
      </c>
      <c r="B63" s="34">
        <f ca="1">COUNTIF(AllListPrice!A:A,A63)</f>
        <v>1</v>
      </c>
    </row>
    <row r="64" spans="1:2" ht="12.5" x14ac:dyDescent="0.25">
      <c r="A64" s="33" t="str">
        <f ca="1">IFERROR(__xludf.DUMMYFUNCTION("""COMPUTED_VALUE"""),"C9200CX-8P-2X2G")</f>
        <v>C9200CX-8P-2X2G</v>
      </c>
      <c r="B64" s="34">
        <f ca="1">COUNTIF(AllListPrice!A:A,A64)</f>
        <v>1</v>
      </c>
    </row>
    <row r="65" spans="1:2" ht="12.5" x14ac:dyDescent="0.25">
      <c r="A65" s="33" t="str">
        <f ca="1">IFERROR(__xludf.DUMMYFUNCTION("""COMPUTED_VALUE"""),"C9200CX-12T-2X2G")</f>
        <v>C9200CX-12T-2X2G</v>
      </c>
      <c r="B65" s="34">
        <f ca="1">COUNTIF(AllListPrice!A:A,A65)</f>
        <v>1</v>
      </c>
    </row>
    <row r="66" spans="1:2" ht="12.5" x14ac:dyDescent="0.25">
      <c r="A66" s="33" t="str">
        <f ca="1">IFERROR(__xludf.DUMMYFUNCTION("""COMPUTED_VALUE"""),"C9200CX-12P-2X2G")</f>
        <v>C9200CX-12P-2X2G</v>
      </c>
      <c r="B66" s="34">
        <f ca="1">COUNTIF(AllListPrice!A:A,A66)</f>
        <v>1</v>
      </c>
    </row>
    <row r="67" spans="1:2" ht="12.5" x14ac:dyDescent="0.25">
      <c r="A67" s="33" t="str">
        <f ca="1">IFERROR(__xludf.DUMMYFUNCTION("""COMPUTED_VALUE"""),"C9300L-24T-4G")</f>
        <v>C9300L-24T-4G</v>
      </c>
      <c r="B67" s="34">
        <f ca="1">COUNTIF(AllListPrice!A:A,A67)</f>
        <v>1</v>
      </c>
    </row>
    <row r="68" spans="1:2" ht="12.5" x14ac:dyDescent="0.25">
      <c r="A68" s="33" t="str">
        <f ca="1">IFERROR(__xludf.DUMMYFUNCTION("""COMPUTED_VALUE"""),"C9300L-24P-4G")</f>
        <v>C9300L-24P-4G</v>
      </c>
      <c r="B68" s="34">
        <f ca="1">COUNTIF(AllListPrice!A:A,A68)</f>
        <v>1</v>
      </c>
    </row>
    <row r="69" spans="1:2" ht="12.5" x14ac:dyDescent="0.25">
      <c r="A69" s="33" t="str">
        <f ca="1">IFERROR(__xludf.DUMMYFUNCTION("""COMPUTED_VALUE"""),"C9300L-24T-4X")</f>
        <v>C9300L-24T-4X</v>
      </c>
      <c r="B69" s="34">
        <f ca="1">COUNTIF(AllListPrice!A:A,A69)</f>
        <v>1</v>
      </c>
    </row>
    <row r="70" spans="1:2" ht="12.5" x14ac:dyDescent="0.25">
      <c r="A70" s="33" t="str">
        <f ca="1">IFERROR(__xludf.DUMMYFUNCTION("""COMPUTED_VALUE"""),"C9300L-24P-4X")</f>
        <v>C9300L-24P-4X</v>
      </c>
      <c r="B70" s="34">
        <f ca="1">COUNTIF(AllListPrice!A:A,A70)</f>
        <v>1</v>
      </c>
    </row>
    <row r="71" spans="1:2" ht="12.5" x14ac:dyDescent="0.25">
      <c r="A71" s="33" t="str">
        <f ca="1">IFERROR(__xludf.DUMMYFUNCTION("""COMPUTED_VALUE"""),"C9300L-48T-4G")</f>
        <v>C9300L-48T-4G</v>
      </c>
      <c r="B71" s="34">
        <f ca="1">COUNTIF(AllListPrice!A:A,A71)</f>
        <v>1</v>
      </c>
    </row>
    <row r="72" spans="1:2" ht="12.5" x14ac:dyDescent="0.25">
      <c r="A72" s="33" t="str">
        <f ca="1">IFERROR(__xludf.DUMMYFUNCTION("""COMPUTED_VALUE"""),"C9300L-48P-4G")</f>
        <v>C9300L-48P-4G</v>
      </c>
      <c r="B72" s="34">
        <f ca="1">COUNTIF(AllListPrice!A:A,A72)</f>
        <v>1</v>
      </c>
    </row>
    <row r="73" spans="1:2" ht="12.5" x14ac:dyDescent="0.25">
      <c r="A73" s="33" t="str">
        <f ca="1">IFERROR(__xludf.DUMMYFUNCTION("""COMPUTED_VALUE"""),"C9300L-48T-4X")</f>
        <v>C9300L-48T-4X</v>
      </c>
      <c r="B73" s="34">
        <f ca="1">COUNTIF(AllListPrice!A:A,A73)</f>
        <v>1</v>
      </c>
    </row>
    <row r="74" spans="1:2" ht="12.5" x14ac:dyDescent="0.25">
      <c r="A74" s="33" t="str">
        <f ca="1">IFERROR(__xludf.DUMMYFUNCTION("""COMPUTED_VALUE"""),"C9300L-48P-4X")</f>
        <v>C9300L-48P-4X</v>
      </c>
      <c r="B74" s="34">
        <f ca="1">COUNTIF(AllListPrice!A:A,A74)</f>
        <v>1</v>
      </c>
    </row>
    <row r="75" spans="1:2" ht="12.5" x14ac:dyDescent="0.25">
      <c r="A75" s="33" t="str">
        <f ca="1">IFERROR(__xludf.DUMMYFUNCTION("""COMPUTED_VALUE"""),"C9300-24T")</f>
        <v>C9300-24T</v>
      </c>
      <c r="B75" s="34">
        <f ca="1">COUNTIF(AllListPrice!A:A,A75)</f>
        <v>1</v>
      </c>
    </row>
    <row r="76" spans="1:2" ht="12.5" x14ac:dyDescent="0.25">
      <c r="A76" s="33" t="str">
        <f ca="1">IFERROR(__xludf.DUMMYFUNCTION("""COMPUTED_VALUE"""),"C9300-24P")</f>
        <v>C9300-24P</v>
      </c>
      <c r="B76" s="34">
        <f ca="1">COUNTIF(AllListPrice!A:A,A76)</f>
        <v>1</v>
      </c>
    </row>
    <row r="77" spans="1:2" ht="12.5" x14ac:dyDescent="0.25">
      <c r="A77" s="33" t="str">
        <f ca="1">IFERROR(__xludf.DUMMYFUNCTION("""COMPUTED_VALUE"""),"C9300-24U")</f>
        <v>C9300-24U</v>
      </c>
      <c r="B77" s="34">
        <f ca="1">COUNTIF(AllListPrice!A:A,A77)</f>
        <v>1</v>
      </c>
    </row>
    <row r="78" spans="1:2" ht="12.5" x14ac:dyDescent="0.25">
      <c r="A78" s="33" t="str">
        <f ca="1">IFERROR(__xludf.DUMMYFUNCTION("""COMPUTED_VALUE"""),"C9300-24H")</f>
        <v>C9300-24H</v>
      </c>
      <c r="B78" s="34">
        <f ca="1">COUNTIF(AllListPrice!A:A,A78)</f>
        <v>1</v>
      </c>
    </row>
    <row r="79" spans="1:2" ht="12.5" x14ac:dyDescent="0.25">
      <c r="A79" s="33" t="str">
        <f ca="1">IFERROR(__xludf.DUMMYFUNCTION("""COMPUTED_VALUE"""),"C9300-24S")</f>
        <v>C9300-24S</v>
      </c>
      <c r="B79" s="34">
        <f ca="1">COUNTIF(AllListPrice!A:A,A79)</f>
        <v>1</v>
      </c>
    </row>
    <row r="80" spans="1:2" ht="12.5" x14ac:dyDescent="0.25">
      <c r="A80" s="33" t="str">
        <f ca="1">IFERROR(__xludf.DUMMYFUNCTION("""COMPUTED_VALUE"""),"C9300-24UB")</f>
        <v>C9300-24UB</v>
      </c>
      <c r="B80" s="34">
        <f ca="1">COUNTIF(AllListPrice!A:A,A80)</f>
        <v>1</v>
      </c>
    </row>
    <row r="81" spans="1:2" ht="12.5" x14ac:dyDescent="0.25">
      <c r="A81" s="33" t="str">
        <f ca="1">IFERROR(__xludf.DUMMYFUNCTION("""COMPUTED_VALUE"""),"C9300-48T")</f>
        <v>C9300-48T</v>
      </c>
      <c r="B81" s="34">
        <f ca="1">COUNTIF(AllListPrice!A:A,A81)</f>
        <v>1</v>
      </c>
    </row>
    <row r="82" spans="1:2" ht="12.5" x14ac:dyDescent="0.25">
      <c r="A82" s="33" t="str">
        <f ca="1">IFERROR(__xludf.DUMMYFUNCTION("""COMPUTED_VALUE"""),"C9300-48P")</f>
        <v>C9300-48P</v>
      </c>
      <c r="B82" s="34">
        <f ca="1">COUNTIF(AllListPrice!A:A,A82)</f>
        <v>1</v>
      </c>
    </row>
    <row r="83" spans="1:2" ht="12.5" x14ac:dyDescent="0.25">
      <c r="A83" s="33" t="str">
        <f ca="1">IFERROR(__xludf.DUMMYFUNCTION("""COMPUTED_VALUE"""),"C9300-48U")</f>
        <v>C9300-48U</v>
      </c>
      <c r="B83" s="34">
        <f ca="1">COUNTIF(AllListPrice!A:A,A83)</f>
        <v>1</v>
      </c>
    </row>
    <row r="84" spans="1:2" ht="12.5" x14ac:dyDescent="0.25">
      <c r="A84" s="33" t="str">
        <f ca="1">IFERROR(__xludf.DUMMYFUNCTION("""COMPUTED_VALUE"""),"C9300-48H")</f>
        <v>C9300-48H</v>
      </c>
      <c r="B84" s="34">
        <f ca="1">COUNTIF(AllListPrice!A:A,A84)</f>
        <v>1</v>
      </c>
    </row>
    <row r="85" spans="1:2" ht="12.5" x14ac:dyDescent="0.25">
      <c r="A85" s="33" t="str">
        <f ca="1">IFERROR(__xludf.DUMMYFUNCTION("""COMPUTED_VALUE"""),"C9300-48S")</f>
        <v>C9300-48S</v>
      </c>
      <c r="B85" s="34">
        <f ca="1">COUNTIF(AllListPrice!A:A,A85)</f>
        <v>1</v>
      </c>
    </row>
    <row r="86" spans="1:2" ht="12.5" x14ac:dyDescent="0.25">
      <c r="A86" s="33" t="str">
        <f ca="1">IFERROR(__xludf.DUMMYFUNCTION("""COMPUTED_VALUE"""),"C9300-48UB")</f>
        <v>C9300-48UB</v>
      </c>
      <c r="B86" s="34">
        <f ca="1">COUNTIF(AllListPrice!A:A,A86)</f>
        <v>1</v>
      </c>
    </row>
    <row r="87" spans="1:2" ht="12.5" x14ac:dyDescent="0.25">
      <c r="A87" s="33" t="str">
        <f ca="1">IFERROR(__xludf.DUMMYFUNCTION("""COMPUTED_VALUE"""),"C9500-32C")</f>
        <v>C9500-32C</v>
      </c>
      <c r="B87" s="34">
        <f ca="1">COUNTIF(AllListPrice!A:A,A87)</f>
        <v>1</v>
      </c>
    </row>
    <row r="88" spans="1:2" ht="12.5" x14ac:dyDescent="0.25">
      <c r="A88" s="33" t="str">
        <f ca="1">IFERROR(__xludf.DUMMYFUNCTION("""COMPUTED_VALUE"""),"C9500-32QC")</f>
        <v>C9500-32QC</v>
      </c>
      <c r="B88" s="34">
        <f ca="1">COUNTIF(AllListPrice!A:A,A88)</f>
        <v>1</v>
      </c>
    </row>
    <row r="89" spans="1:2" ht="12.5" x14ac:dyDescent="0.25">
      <c r="A89" s="33" t="str">
        <f ca="1">IFERROR(__xludf.DUMMYFUNCTION("""COMPUTED_VALUE"""),"C9500-48Y4C")</f>
        <v>C9500-48Y4C</v>
      </c>
      <c r="B89" s="34">
        <f ca="1">COUNTIF(AllListPrice!A:A,A89)</f>
        <v>1</v>
      </c>
    </row>
    <row r="90" spans="1:2" ht="12.5" x14ac:dyDescent="0.25">
      <c r="A90" s="33" t="str">
        <f ca="1">IFERROR(__xludf.DUMMYFUNCTION("""COMPUTED_VALUE"""),"C9500-24Y4C")</f>
        <v>C9500-24Y4C</v>
      </c>
      <c r="B90" s="34">
        <f ca="1">COUNTIF(AllListPrice!A:A,A90)</f>
        <v>1</v>
      </c>
    </row>
    <row r="91" spans="1:2" ht="12.5" x14ac:dyDescent="0.25">
      <c r="A91" s="33" t="str">
        <f ca="1">IFERROR(__xludf.DUMMYFUNCTION("""COMPUTED_VALUE"""),"C9500X-28C8D")</f>
        <v>C9500X-28C8D</v>
      </c>
      <c r="B91" s="34">
        <f ca="1">COUNTIF(AllListPrice!A:A,A91)</f>
        <v>1</v>
      </c>
    </row>
    <row r="92" spans="1:2" ht="12.5" x14ac:dyDescent="0.25">
      <c r="A92" s="33" t="str">
        <f ca="1">IFERROR(__xludf.DUMMYFUNCTION("""COMPUTED_VALUE"""),"C9500X-60L4D")</f>
        <v>C9500X-60L4D</v>
      </c>
      <c r="B92" s="34">
        <f ca="1">COUNTIF(AllListPrice!A:A,A92)</f>
        <v>1</v>
      </c>
    </row>
    <row r="93" spans="1:2" ht="12.5" x14ac:dyDescent="0.25">
      <c r="A93" s="33" t="str">
        <f ca="1">IFERROR(__xludf.DUMMYFUNCTION("""COMPUTED_VALUE"""),"EX4200-24T")</f>
        <v>EX4200-24T</v>
      </c>
      <c r="B93" s="34">
        <f ca="1">COUNTIF(AllListPrice!A:A,A93)</f>
        <v>1</v>
      </c>
    </row>
    <row r="94" spans="1:2" ht="12.5" x14ac:dyDescent="0.25">
      <c r="A94" s="33" t="str">
        <f ca="1">IFERROR(__xludf.DUMMYFUNCTION("""COMPUTED_VALUE"""),"EX4300-48S")</f>
        <v>EX4300-48S</v>
      </c>
      <c r="B94" s="34">
        <f ca="1">COUNTIF(AllListPrice!A:A,A94)</f>
        <v>1</v>
      </c>
    </row>
    <row r="95" spans="1:2" ht="12.5" x14ac:dyDescent="0.25">
      <c r="A95" s="33" t="str">
        <f ca="1">IFERROR(__xludf.DUMMYFUNCTION("""COMPUTED_VALUE"""),"EX4600")</f>
        <v>EX4600</v>
      </c>
      <c r="B95" s="34">
        <f ca="1">COUNTIF(AllListPrice!A:A,A95)</f>
        <v>1</v>
      </c>
    </row>
    <row r="96" spans="1:2" ht="12.5" x14ac:dyDescent="0.25">
      <c r="A96" s="33" t="str">
        <f ca="1">IFERROR(__xludf.DUMMYFUNCTION("""COMPUTED_VALUE"""),"N9K-C9504")</f>
        <v>N9K-C9504</v>
      </c>
      <c r="B96" s="34">
        <f ca="1">COUNTIF(AllListPrice!A:A,A96)</f>
        <v>1</v>
      </c>
    </row>
    <row r="97" spans="1:2" ht="12.5" x14ac:dyDescent="0.25">
      <c r="A97" s="33" t="str">
        <f ca="1">IFERROR(__xludf.DUMMYFUNCTION("""COMPUTED_VALUE"""),"N9K-C9508")</f>
        <v>N9K-C9508</v>
      </c>
      <c r="B97" s="34">
        <f ca="1">COUNTIF(AllListPrice!A:A,A97)</f>
        <v>1</v>
      </c>
    </row>
    <row r="98" spans="1:2" ht="12.5" x14ac:dyDescent="0.25">
      <c r="A98" s="33" t="str">
        <f ca="1">IFERROR(__xludf.DUMMYFUNCTION("""COMPUTED_VALUE"""),"N9K-C9516")</f>
        <v>N9K-C9516</v>
      </c>
      <c r="B98" s="34">
        <f ca="1">COUNTIF(AllListPrice!A:A,A98)</f>
        <v>1</v>
      </c>
    </row>
    <row r="99" spans="1:2" ht="12.5" x14ac:dyDescent="0.25">
      <c r="A99" s="33" t="str">
        <f ca="1">IFERROR(__xludf.DUMMYFUNCTION("""COMPUTED_VALUE"""),"N9K-C9348GC-FX3")</f>
        <v>N9K-C9348GC-FX3</v>
      </c>
      <c r="B99" s="34">
        <f ca="1">COUNTIF(AllListPrice!A:A,A99)</f>
        <v>1</v>
      </c>
    </row>
    <row r="100" spans="1:2" ht="12.5" x14ac:dyDescent="0.25">
      <c r="A100" s="33" t="str">
        <f ca="1">IFERROR(__xludf.DUMMYFUNCTION("""COMPUTED_VALUE"""),"N9K-C93108TC-FX3")</f>
        <v>N9K-C93108TC-FX3</v>
      </c>
      <c r="B100" s="34">
        <f ca="1">COUNTIF(AllListPrice!A:A,A100)</f>
        <v>1</v>
      </c>
    </row>
    <row r="101" spans="1:2" ht="12.5" x14ac:dyDescent="0.25">
      <c r="A101" s="33" t="str">
        <f ca="1">IFERROR(__xludf.DUMMYFUNCTION("""COMPUTED_VALUE"""),"N9K-C93216TC-FX2")</f>
        <v>N9K-C93216TC-FX2</v>
      </c>
      <c r="B101" s="34">
        <f ca="1">COUNTIF(AllListPrice!A:A,A101)</f>
        <v>1</v>
      </c>
    </row>
    <row r="102" spans="1:2" ht="12.5" x14ac:dyDescent="0.25">
      <c r="A102" s="33" t="str">
        <f ca="1">IFERROR(__xludf.DUMMYFUNCTION("""COMPUTED_VALUE"""),"N9K-C93360YC-FX2")</f>
        <v>N9K-C93360YC-FX2</v>
      </c>
      <c r="B102" s="34">
        <f ca="1">COUNTIF(AllListPrice!A:A,A102)</f>
        <v>1</v>
      </c>
    </row>
    <row r="103" spans="1:2" ht="12.5" x14ac:dyDescent="0.25">
      <c r="A103" s="33" t="str">
        <f ca="1">IFERROR(__xludf.DUMMYFUNCTION("""COMPUTED_VALUE"""),"N9K-C93240YC-FX2")</f>
        <v>N9K-C93240YC-FX2</v>
      </c>
      <c r="B103" s="34">
        <f ca="1">COUNTIF(AllListPrice!A:A,A103)</f>
        <v>1</v>
      </c>
    </row>
    <row r="104" spans="1:2" ht="12.5" x14ac:dyDescent="0.25">
      <c r="A104" s="33" t="str">
        <f ca="1">IFERROR(__xludf.DUMMYFUNCTION("""COMPUTED_VALUE"""),"N9K-C93180YC-FX3")</f>
        <v>N9K-C93180YC-FX3</v>
      </c>
      <c r="B104" s="34">
        <f ca="1">COUNTIF(AllListPrice!A:A,A104)</f>
        <v>1</v>
      </c>
    </row>
    <row r="105" spans="1:2" ht="12.5" x14ac:dyDescent="0.25">
      <c r="A105" s="33" t="str">
        <f ca="1">IFERROR(__xludf.DUMMYFUNCTION("""COMPUTED_VALUE"""),"N9K-C93600CD-GX")</f>
        <v>N9K-C93600CD-GX</v>
      </c>
      <c r="B105" s="34">
        <f ca="1">COUNTIF(AllListPrice!A:A,A105)</f>
        <v>1</v>
      </c>
    </row>
    <row r="106" spans="1:2" ht="12.5" x14ac:dyDescent="0.25">
      <c r="A106" s="33" t="str">
        <f ca="1">IFERROR(__xludf.DUMMYFUNCTION("""COMPUTED_VALUE"""),"N9K-C9316D-GX")</f>
        <v>N9K-C9316D-GX</v>
      </c>
      <c r="B106" s="34">
        <f ca="1">COUNTIF(AllListPrice!A:A,A106)</f>
        <v>1</v>
      </c>
    </row>
    <row r="107" spans="1:2" ht="12.5" x14ac:dyDescent="0.25">
      <c r="A107" s="33" t="str">
        <f ca="1">IFERROR(__xludf.DUMMYFUNCTION("""COMPUTED_VALUE"""),"N9K-C9364C-GX")</f>
        <v>N9K-C9364C-GX</v>
      </c>
      <c r="B107" s="34">
        <f ca="1">COUNTIF(AllListPrice!A:A,A107)</f>
        <v>1</v>
      </c>
    </row>
    <row r="108" spans="1:2" ht="12.5" x14ac:dyDescent="0.25">
      <c r="A108" s="33" t="str">
        <f ca="1">IFERROR(__xludf.DUMMYFUNCTION("""COMPUTED_VALUE"""),"N9K-X9736C-FX3=")</f>
        <v>N9K-X9736C-FX3=</v>
      </c>
      <c r="B108" s="34">
        <f ca="1">COUNTIF(AllListPrice!A:A,A108)</f>
        <v>1</v>
      </c>
    </row>
    <row r="109" spans="1:2" ht="12.5" x14ac:dyDescent="0.25">
      <c r="A109" s="33" t="str">
        <f ca="1">IFERROR(__xludf.DUMMYFUNCTION("""COMPUTED_VALUE"""),"C9404R")</f>
        <v>C9404R</v>
      </c>
      <c r="B109" s="34">
        <f ca="1">COUNTIF(AllListPrice!A:A,A109)</f>
        <v>1</v>
      </c>
    </row>
    <row r="110" spans="1:2" ht="12.5" x14ac:dyDescent="0.25">
      <c r="A110" s="33" t="str">
        <f ca="1">IFERROR(__xludf.DUMMYFUNCTION("""COMPUTED_VALUE"""),"C9407R")</f>
        <v>C9407R</v>
      </c>
      <c r="B110" s="34">
        <f ca="1">COUNTIF(AllListPrice!A:A,A110)</f>
        <v>1</v>
      </c>
    </row>
    <row r="111" spans="1:2" ht="12.5" x14ac:dyDescent="0.25">
      <c r="A111" s="33" t="str">
        <f ca="1">IFERROR(__xludf.DUMMYFUNCTION("""COMPUTED_VALUE"""),"C9410R")</f>
        <v>C9410R</v>
      </c>
      <c r="B111" s="34">
        <f ca="1">COUNTIF(AllListPrice!A:A,A111)</f>
        <v>1</v>
      </c>
    </row>
    <row r="112" spans="1:2" ht="12.5" x14ac:dyDescent="0.25">
      <c r="A112" s="33" t="str">
        <f ca="1">IFERROR(__xludf.DUMMYFUNCTION("""COMPUTED_VALUE"""),"C9606R")</f>
        <v>C9606R</v>
      </c>
      <c r="B112" s="34">
        <f ca="1">COUNTIF(AllListPrice!A:A,A112)</f>
        <v>1</v>
      </c>
    </row>
    <row r="113" spans="1:2" ht="12.5" x14ac:dyDescent="0.25">
      <c r="A113" s="33" t="str">
        <f ca="1">IFERROR(__xludf.DUMMYFUNCTION("""COMPUTED_VALUE"""),"C9400-LC-12QC=")</f>
        <v>C9400-LC-12QC=</v>
      </c>
      <c r="B113" s="34">
        <f ca="1">COUNTIF(AllListPrice!A:A,A113)</f>
        <v>1</v>
      </c>
    </row>
    <row r="114" spans="1:2" ht="12.5" x14ac:dyDescent="0.25">
      <c r="A114" s="33" t="str">
        <f ca="1">IFERROR(__xludf.DUMMYFUNCTION("""COMPUTED_VALUE"""),"C9400-LC-48T=")</f>
        <v>C9400-LC-48T=</v>
      </c>
      <c r="B114" s="34">
        <f ca="1">COUNTIF(AllListPrice!A:A,A114)</f>
        <v>1</v>
      </c>
    </row>
    <row r="115" spans="1:2" ht="12.5" x14ac:dyDescent="0.25">
      <c r="A115" s="33" t="str">
        <f ca="1">IFERROR(__xludf.DUMMYFUNCTION("""COMPUTED_VALUE"""),"C9400-LC-48TX=")</f>
        <v>C9400-LC-48TX=</v>
      </c>
      <c r="B115" s="34">
        <f ca="1">COUNTIF(AllListPrice!A:A,A115)</f>
        <v>1</v>
      </c>
    </row>
    <row r="116" spans="1:2" ht="12.5" x14ac:dyDescent="0.25">
      <c r="A116" s="33" t="str">
        <f ca="1">IFERROR(__xludf.DUMMYFUNCTION("""COMPUTED_VALUE"""),"C9400-LC-48S=")</f>
        <v>C9400-LC-48S=</v>
      </c>
      <c r="B116" s="34">
        <f ca="1">COUNTIF(AllListPrice!A:A,A116)</f>
        <v>1</v>
      </c>
    </row>
    <row r="117" spans="1:2" ht="12.5" x14ac:dyDescent="0.25">
      <c r="A117" s="33" t="str">
        <f ca="1">IFERROR(__xludf.DUMMYFUNCTION("""COMPUTED_VALUE"""),"C9400-LC-48XS=")</f>
        <v>C9400-LC-48XS=</v>
      </c>
      <c r="B117" s="34">
        <f ca="1">COUNTIF(AllListPrice!A:A,A117)</f>
        <v>1</v>
      </c>
    </row>
    <row r="118" spans="1:2" ht="12.5" x14ac:dyDescent="0.25">
      <c r="A118" s="33" t="str">
        <f ca="1">IFERROR(__xludf.DUMMYFUNCTION("""COMPUTED_VALUE"""),"C9600-LC-48TX=")</f>
        <v>C9600-LC-48TX=</v>
      </c>
      <c r="B118" s="34">
        <f ca="1">COUNTIF(AllListPrice!A:A,A118)</f>
        <v>1</v>
      </c>
    </row>
    <row r="119" spans="1:2" ht="12.5" x14ac:dyDescent="0.25">
      <c r="A119" s="33" t="str">
        <f ca="1">IFERROR(__xludf.DUMMYFUNCTION("""COMPUTED_VALUE"""),"C9600-LC-48YL=")</f>
        <v>C9600-LC-48YL=</v>
      </c>
      <c r="B119" s="34">
        <f ca="1">COUNTIF(AllListPrice!A:A,A119)</f>
        <v>1</v>
      </c>
    </row>
    <row r="120" spans="1:2" ht="12.5" x14ac:dyDescent="0.25">
      <c r="A120" s="33" t="str">
        <f ca="1">IFERROR(__xludf.DUMMYFUNCTION("""COMPUTED_VALUE"""),"C9600-LC-40YL4CD=")</f>
        <v>C9600-LC-40YL4CD=</v>
      </c>
      <c r="B120" s="34">
        <f ca="1">COUNTIF(AllListPrice!A:A,A120)</f>
        <v>1</v>
      </c>
    </row>
    <row r="121" spans="1:2" ht="12.5" x14ac:dyDescent="0.25">
      <c r="A121" s="33" t="str">
        <f ca="1">IFERROR(__xludf.DUMMYFUNCTION("""COMPUTED_VALUE"""),"C9600-LC-24C=")</f>
        <v>C9600-LC-24C=</v>
      </c>
      <c r="B121" s="34">
        <f ca="1">COUNTIF(AllListPrice!A:A,A121)</f>
        <v>1</v>
      </c>
    </row>
    <row r="122" spans="1:2" ht="12.5" x14ac:dyDescent="0.25">
      <c r="A122" s="33" t="str">
        <f ca="1">IFERROR(__xludf.DUMMYFUNCTION("""COMPUTED_VALUE"""),"CW9164I")</f>
        <v>CW9164I</v>
      </c>
      <c r="B122" s="34">
        <f ca="1">COUNTIF(AllListPrice!A:A,A122)</f>
        <v>1</v>
      </c>
    </row>
    <row r="123" spans="1:2" ht="12.5" x14ac:dyDescent="0.25">
      <c r="A123" s="33" t="str">
        <f ca="1">IFERROR(__xludf.DUMMYFUNCTION("""COMPUTED_VALUE"""),"CW9166I")</f>
        <v>CW9166I</v>
      </c>
      <c r="B123" s="34">
        <f ca="1">COUNTIF(AllListPrice!A:A,A123)</f>
        <v>1</v>
      </c>
    </row>
    <row r="124" spans="1:2" ht="12.5" x14ac:dyDescent="0.25">
      <c r="A124" s="33" t="str">
        <f ca="1">IFERROR(__xludf.DUMMYFUNCTION("""COMPUTED_VALUE"""),"CW9166D1")</f>
        <v>CW9166D1</v>
      </c>
      <c r="B124" s="34">
        <f ca="1">COUNTIF(AllListPrice!A:A,A124)</f>
        <v>1</v>
      </c>
    </row>
    <row r="125" spans="1:2" ht="12.5" x14ac:dyDescent="0.25">
      <c r="A125" s="33" t="str">
        <f ca="1">IFERROR(__xludf.DUMMYFUNCTION("""COMPUTED_VALUE"""),"CW9172I")</f>
        <v>CW9172I</v>
      </c>
      <c r="B125" s="34">
        <f ca="1">COUNTIF(AllListPrice!A:A,A125)</f>
        <v>1</v>
      </c>
    </row>
    <row r="126" spans="1:2" ht="12.5" x14ac:dyDescent="0.25">
      <c r="A126" s="33" t="str">
        <f ca="1">IFERROR(__xludf.DUMMYFUNCTION("""COMPUTED_VALUE"""),"CW9172H")</f>
        <v>CW9172H</v>
      </c>
      <c r="B126" s="34">
        <f ca="1">COUNTIF(AllListPrice!A:A,A126)</f>
        <v>1</v>
      </c>
    </row>
    <row r="127" spans="1:2" ht="12.5" x14ac:dyDescent="0.25">
      <c r="A127" s="33" t="str">
        <f ca="1">IFERROR(__xludf.DUMMYFUNCTION("""COMPUTED_VALUE"""),"CW9176I")</f>
        <v>CW9176I</v>
      </c>
      <c r="B127" s="34">
        <f ca="1">COUNTIF(AllListPrice!A:A,A127)</f>
        <v>1</v>
      </c>
    </row>
    <row r="128" spans="1:2" ht="12.5" x14ac:dyDescent="0.25">
      <c r="A128" s="33" t="str">
        <f ca="1">IFERROR(__xludf.DUMMYFUNCTION("""COMPUTED_VALUE"""),"CW9176D1")</f>
        <v>CW9176D1</v>
      </c>
      <c r="B128" s="34"/>
    </row>
    <row r="129" spans="1:2" ht="12.5" x14ac:dyDescent="0.25">
      <c r="A129" s="33" t="str">
        <f ca="1">IFERROR(__xludf.DUMMYFUNCTION("""COMPUTED_VALUE"""),"CW9178I")</f>
        <v>CW9178I</v>
      </c>
      <c r="B129" s="34"/>
    </row>
    <row r="130" spans="1:2" ht="12.5" x14ac:dyDescent="0.25">
      <c r="A130" s="33" t="str">
        <f ca="1">IFERROR(__xludf.DUMMYFUNCTION("""COMPUTED_VALUE"""),"C9124AXI")</f>
        <v>C9124AXI</v>
      </c>
      <c r="B130" s="34"/>
    </row>
    <row r="131" spans="1:2" ht="12.5" x14ac:dyDescent="0.25">
      <c r="A131" s="33" t="str">
        <f ca="1">IFERROR(__xludf.DUMMYFUNCTION("""COMPUTED_VALUE"""),"C9124AXD")</f>
        <v>C9124AXD</v>
      </c>
      <c r="B131" s="34"/>
    </row>
    <row r="132" spans="1:2" ht="12.5" x14ac:dyDescent="0.25">
      <c r="A132" s="33" t="str">
        <f ca="1">IFERROR(__xludf.DUMMYFUNCTION("""COMPUTED_VALUE"""),"C9124AXE")</f>
        <v>C9124AXE</v>
      </c>
      <c r="B132" s="34"/>
    </row>
    <row r="133" spans="1:2" ht="12.5" x14ac:dyDescent="0.25">
      <c r="A133" s="33" t="str">
        <f ca="1">IFERROR(__xludf.DUMMYFUNCTION("""COMPUTED_VALUE"""),"CW9163E")</f>
        <v>CW9163E</v>
      </c>
      <c r="B133" s="34"/>
    </row>
    <row r="134" spans="1:2" ht="12.5" x14ac:dyDescent="0.25">
      <c r="A134" s="33" t="str">
        <f ca="1">IFERROR(__xludf.DUMMYFUNCTION("""COMPUTED_VALUE"""),"AIR-PWRINJ7=")</f>
        <v>AIR-PWRINJ7=</v>
      </c>
      <c r="B134" s="34"/>
    </row>
    <row r="135" spans="1:2" ht="12.5" x14ac:dyDescent="0.25">
      <c r="A135" s="33" t="str">
        <f ca="1">IFERROR(__xludf.DUMMYFUNCTION("""COMPUTED_VALUE"""),"IW-PWRINJ-60RGDMG=")</f>
        <v>IW-PWRINJ-60RGDMG=</v>
      </c>
      <c r="B135" s="34"/>
    </row>
    <row r="136" spans="1:2" ht="12.5" x14ac:dyDescent="0.25">
      <c r="A136" s="33" t="str">
        <f ca="1">IFERROR(__xludf.DUMMYFUNCTION("""COMPUTED_VALUE"""),"Ficer-1G-80km")</f>
        <v>Ficer-1G-80km</v>
      </c>
      <c r="B136" s="34"/>
    </row>
    <row r="137" spans="1:2" ht="12.5" x14ac:dyDescent="0.25">
      <c r="A137" s="33" t="str">
        <f ca="1">IFERROR(__xludf.DUMMYFUNCTION("""COMPUTED_VALUE"""),"Ficer-10G-10km")</f>
        <v>Ficer-10G-10km</v>
      </c>
      <c r="B137" s="34"/>
    </row>
    <row r="138" spans="1:2" ht="12.5" x14ac:dyDescent="0.25">
      <c r="A138" s="33" t="str">
        <f ca="1">IFERROR(__xludf.DUMMYFUNCTION("""COMPUTED_VALUE"""),"Ficer-10G-40km")</f>
        <v>Ficer-10G-40km</v>
      </c>
      <c r="B138" s="34"/>
    </row>
    <row r="139" spans="1:2" ht="12.5" x14ac:dyDescent="0.25">
      <c r="A139" s="33" t="str">
        <f ca="1">IFERROR(__xludf.DUMMYFUNCTION("""COMPUTED_VALUE"""),"Ficer-10G-80km")</f>
        <v>Ficer-10G-80km</v>
      </c>
      <c r="B139" s="34"/>
    </row>
    <row r="140" spans="1:2" ht="12.5" x14ac:dyDescent="0.25">
      <c r="A140" s="33" t="str">
        <f ca="1">IFERROR(__xludf.DUMMYFUNCTION("""COMPUTED_VALUE"""),"Ficer-100G-10km")</f>
        <v>Ficer-100G-10km</v>
      </c>
      <c r="B140" s="34"/>
    </row>
    <row r="141" spans="1:2" ht="12.5" x14ac:dyDescent="0.25">
      <c r="A141" s="33" t="str">
        <f ca="1">IFERROR(__xludf.DUMMYFUNCTION("""COMPUTED_VALUE"""),"Ficer-100G-40km")</f>
        <v>Ficer-100G-40km</v>
      </c>
      <c r="B141" s="34"/>
    </row>
    <row r="142" spans="1:2" ht="12.5" x14ac:dyDescent="0.25">
      <c r="A142" s="33" t="str">
        <f ca="1">IFERROR(__xludf.DUMMYFUNCTION("""COMPUTED_VALUE"""),"Ficer-100G-80km")</f>
        <v>Ficer-100G-80km</v>
      </c>
      <c r="B142" s="34"/>
    </row>
    <row r="143" spans="1:2" ht="12.5" x14ac:dyDescent="0.25">
      <c r="A143" s="33" t="str">
        <f ca="1">IFERROR(__xludf.DUMMYFUNCTION("""COMPUTED_VALUE"""),"GLC-SX-MMD=")</f>
        <v>GLC-SX-MMD=</v>
      </c>
      <c r="B143" s="34"/>
    </row>
    <row r="144" spans="1:2" ht="12.5" x14ac:dyDescent="0.25">
      <c r="A144" s="33" t="str">
        <f ca="1">IFERROR(__xludf.DUMMYFUNCTION("""COMPUTED_VALUE"""),"GLC-LH-SMD=")</f>
        <v>GLC-LH-SMD=</v>
      </c>
      <c r="B144" s="34"/>
    </row>
    <row r="145" spans="1:2" ht="12.5" x14ac:dyDescent="0.25">
      <c r="A145" s="33" t="str">
        <f ca="1">IFERROR(__xludf.DUMMYFUNCTION("""COMPUTED_VALUE"""),"GLC-EX-SMD=")</f>
        <v>GLC-EX-SMD=</v>
      </c>
      <c r="B145" s="34"/>
    </row>
    <row r="146" spans="1:2" ht="12.5" x14ac:dyDescent="0.25">
      <c r="A146" s="33" t="str">
        <f ca="1">IFERROR(__xludf.DUMMYFUNCTION("""COMPUTED_VALUE"""),"GLC-ZX-SMD=")</f>
        <v>GLC-ZX-SMD=</v>
      </c>
      <c r="B146" s="34"/>
    </row>
    <row r="147" spans="1:2" ht="12.5" x14ac:dyDescent="0.25">
      <c r="A147" s="33" t="str">
        <f ca="1">IFERROR(__xludf.DUMMYFUNCTION("""COMPUTED_VALUE"""),"SFP-10G-SR-S=")</f>
        <v>SFP-10G-SR-S=</v>
      </c>
      <c r="B147" s="34"/>
    </row>
    <row r="148" spans="1:2" ht="12.5" x14ac:dyDescent="0.25">
      <c r="A148" s="33" t="str">
        <f ca="1">IFERROR(__xludf.DUMMYFUNCTION("""COMPUTED_VALUE"""),"SFP-10G-SR=")</f>
        <v>SFP-10G-SR=</v>
      </c>
      <c r="B148" s="34"/>
    </row>
    <row r="149" spans="1:2" ht="12.5" x14ac:dyDescent="0.25">
      <c r="A149" s="33" t="str">
        <f ca="1">IFERROR(__xludf.DUMMYFUNCTION("""COMPUTED_VALUE"""),"SFP-10G-LR-S=")</f>
        <v>SFP-10G-LR-S=</v>
      </c>
      <c r="B149" s="34"/>
    </row>
    <row r="150" spans="1:2" ht="12.5" x14ac:dyDescent="0.25">
      <c r="A150" s="33" t="str">
        <f ca="1">IFERROR(__xludf.DUMMYFUNCTION("""COMPUTED_VALUE"""),"SFP-10G-LR=")</f>
        <v>SFP-10G-LR=</v>
      </c>
      <c r="B150" s="34"/>
    </row>
    <row r="151" spans="1:2" ht="12.5" x14ac:dyDescent="0.25">
      <c r="A151" s="33" t="str">
        <f ca="1">IFERROR(__xludf.DUMMYFUNCTION("""COMPUTED_VALUE"""),"SFP-10G-ER-S=")</f>
        <v>SFP-10G-ER-S=</v>
      </c>
      <c r="B151" s="34"/>
    </row>
    <row r="152" spans="1:2" ht="12.5" x14ac:dyDescent="0.25">
      <c r="A152" s="33" t="str">
        <f ca="1">IFERROR(__xludf.DUMMYFUNCTION("""COMPUTED_VALUE"""),"SFP-10G-ER=")</f>
        <v>SFP-10G-ER=</v>
      </c>
      <c r="B152" s="34"/>
    </row>
    <row r="153" spans="1:2" ht="12.5" x14ac:dyDescent="0.25">
      <c r="A153" s="33" t="str">
        <f ca="1">IFERROR(__xludf.DUMMYFUNCTION("""COMPUTED_VALUE"""),"SFP-10G-ZR-S=")</f>
        <v>SFP-10G-ZR-S=</v>
      </c>
      <c r="B153" s="34"/>
    </row>
    <row r="154" spans="1:2" ht="12.5" x14ac:dyDescent="0.25">
      <c r="A154" s="33" t="str">
        <f ca="1">IFERROR(__xludf.DUMMYFUNCTION("""COMPUTED_VALUE"""),"SFP-10G-ZR=")</f>
        <v>SFP-10G-ZR=</v>
      </c>
      <c r="B154" s="34"/>
    </row>
    <row r="155" spans="1:2" ht="12.5" x14ac:dyDescent="0.25">
      <c r="A155" s="33" t="str">
        <f ca="1">IFERROR(__xludf.DUMMYFUNCTION("""COMPUTED_VALUE"""),"QSFP-100G-LR4-S")</f>
        <v>QSFP-100G-LR4-S</v>
      </c>
      <c r="B155" s="34"/>
    </row>
    <row r="156" spans="1:2" ht="12.5" x14ac:dyDescent="0.25">
      <c r="A156" s="33" t="str">
        <f ca="1">IFERROR(__xludf.DUMMYFUNCTION("""COMPUTED_VALUE"""),"QSFP-100G-LR-S=")</f>
        <v>QSFP-100G-LR-S=</v>
      </c>
      <c r="B156" s="34"/>
    </row>
    <row r="157" spans="1:2" ht="12.5" x14ac:dyDescent="0.25">
      <c r="A157" s="33" t="str">
        <f ca="1">IFERROR(__xludf.DUMMYFUNCTION("""COMPUTED_VALUE"""),"QSFP-100G-ER4L-S=")</f>
        <v>QSFP-100G-ER4L-S=</v>
      </c>
      <c r="B157" s="34"/>
    </row>
    <row r="158" spans="1:2" ht="12.5" x14ac:dyDescent="0.25">
      <c r="A158" s="33" t="str">
        <f ca="1">IFERROR(__xludf.DUMMYFUNCTION("""COMPUTED_VALUE"""),"QSFP-100G-ZR4-S=")</f>
        <v>QSFP-100G-ZR4-S=</v>
      </c>
      <c r="B158" s="34"/>
    </row>
    <row r="159" spans="1:2" ht="12.5" x14ac:dyDescent="0.25">
      <c r="B159" s="34"/>
    </row>
    <row r="160" spans="1:2" ht="12.5" x14ac:dyDescent="0.25">
      <c r="B160" s="34"/>
    </row>
    <row r="161" spans="2:2" ht="12.5" x14ac:dyDescent="0.25">
      <c r="B161" s="34"/>
    </row>
    <row r="162" spans="2:2" ht="12.5" x14ac:dyDescent="0.25">
      <c r="B162" s="34"/>
    </row>
    <row r="163" spans="2:2" ht="12.5" x14ac:dyDescent="0.25">
      <c r="B163" s="34"/>
    </row>
    <row r="164" spans="2:2" ht="12.5" x14ac:dyDescent="0.25">
      <c r="B164" s="34"/>
    </row>
    <row r="165" spans="2:2" ht="12.5" x14ac:dyDescent="0.25">
      <c r="B165" s="34"/>
    </row>
    <row r="166" spans="2:2" ht="12.5" x14ac:dyDescent="0.25">
      <c r="B166" s="34"/>
    </row>
    <row r="167" spans="2:2" ht="12.5" x14ac:dyDescent="0.25">
      <c r="B167" s="34"/>
    </row>
    <row r="168" spans="2:2" ht="12.5" x14ac:dyDescent="0.25">
      <c r="B168" s="34"/>
    </row>
    <row r="169" spans="2:2" ht="12.5" x14ac:dyDescent="0.25">
      <c r="B169" s="34"/>
    </row>
    <row r="170" spans="2:2" ht="12.5" x14ac:dyDescent="0.25">
      <c r="B170" s="34"/>
    </row>
    <row r="171" spans="2:2" ht="12.5" x14ac:dyDescent="0.25">
      <c r="B171" s="34"/>
    </row>
    <row r="172" spans="2:2" ht="12.5" x14ac:dyDescent="0.25">
      <c r="B172" s="34"/>
    </row>
    <row r="173" spans="2:2" ht="12.5" x14ac:dyDescent="0.25">
      <c r="B173" s="34"/>
    </row>
    <row r="174" spans="2:2" ht="12.5" x14ac:dyDescent="0.25">
      <c r="B174" s="34"/>
    </row>
    <row r="175" spans="2:2" ht="12.5" x14ac:dyDescent="0.25">
      <c r="B175" s="34"/>
    </row>
    <row r="176" spans="2:2" ht="12.5" x14ac:dyDescent="0.25">
      <c r="B176" s="34"/>
    </row>
    <row r="177" spans="2:2" ht="12.5" x14ac:dyDescent="0.25">
      <c r="B177" s="34"/>
    </row>
    <row r="178" spans="2:2" ht="12.5" x14ac:dyDescent="0.25">
      <c r="B178" s="34"/>
    </row>
    <row r="179" spans="2:2" ht="12.5" x14ac:dyDescent="0.25">
      <c r="B179" s="34"/>
    </row>
    <row r="180" spans="2:2" ht="12.5" x14ac:dyDescent="0.25">
      <c r="B180" s="34"/>
    </row>
    <row r="181" spans="2:2" ht="12.5" x14ac:dyDescent="0.25">
      <c r="B181" s="34"/>
    </row>
    <row r="182" spans="2:2" ht="12.5" x14ac:dyDescent="0.25">
      <c r="B182" s="34"/>
    </row>
    <row r="183" spans="2:2" ht="12.5" x14ac:dyDescent="0.25">
      <c r="B183" s="34"/>
    </row>
    <row r="184" spans="2:2" ht="12.5" x14ac:dyDescent="0.25">
      <c r="B184" s="34"/>
    </row>
    <row r="185" spans="2:2" ht="12.5" x14ac:dyDescent="0.25">
      <c r="B185" s="34"/>
    </row>
    <row r="186" spans="2:2" ht="12.5" x14ac:dyDescent="0.25">
      <c r="B186" s="34"/>
    </row>
    <row r="187" spans="2:2" ht="12.5" x14ac:dyDescent="0.25">
      <c r="B187" s="34"/>
    </row>
    <row r="188" spans="2:2" ht="12.5" x14ac:dyDescent="0.25">
      <c r="B188" s="34"/>
    </row>
    <row r="189" spans="2:2" ht="12.5" x14ac:dyDescent="0.25">
      <c r="B189" s="34"/>
    </row>
    <row r="190" spans="2:2" ht="12.5" x14ac:dyDescent="0.25">
      <c r="B190" s="34"/>
    </row>
    <row r="191" spans="2:2" ht="12.5" x14ac:dyDescent="0.25">
      <c r="B191" s="34"/>
    </row>
    <row r="192" spans="2:2" ht="12.5" x14ac:dyDescent="0.25">
      <c r="B192" s="34"/>
    </row>
    <row r="193" spans="2:2" ht="12.5" x14ac:dyDescent="0.25">
      <c r="B193" s="34"/>
    </row>
    <row r="194" spans="2:2" ht="12.5" x14ac:dyDescent="0.25">
      <c r="B194" s="34"/>
    </row>
    <row r="195" spans="2:2" ht="12.5" x14ac:dyDescent="0.25">
      <c r="B195" s="34"/>
    </row>
    <row r="196" spans="2:2" ht="12.5" x14ac:dyDescent="0.25">
      <c r="B196" s="34"/>
    </row>
    <row r="197" spans="2:2" ht="12.5" x14ac:dyDescent="0.25">
      <c r="B197" s="34"/>
    </row>
    <row r="198" spans="2:2" ht="12.5" x14ac:dyDescent="0.25">
      <c r="B198" s="34"/>
    </row>
    <row r="199" spans="2:2" ht="12.5" x14ac:dyDescent="0.25">
      <c r="B199" s="34"/>
    </row>
    <row r="200" spans="2:2" ht="12.5" x14ac:dyDescent="0.25">
      <c r="B200" s="34"/>
    </row>
    <row r="201" spans="2:2" ht="12.5" x14ac:dyDescent="0.25">
      <c r="B201" s="34"/>
    </row>
    <row r="202" spans="2:2" ht="12.5" x14ac:dyDescent="0.25">
      <c r="B202" s="34"/>
    </row>
    <row r="203" spans="2:2" ht="12.5" x14ac:dyDescent="0.25">
      <c r="B203" s="34"/>
    </row>
    <row r="204" spans="2:2" ht="12.5" x14ac:dyDescent="0.25">
      <c r="B204" s="34"/>
    </row>
    <row r="205" spans="2:2" ht="12.5" x14ac:dyDescent="0.25">
      <c r="B205" s="34"/>
    </row>
    <row r="206" spans="2:2" ht="12.5" x14ac:dyDescent="0.25">
      <c r="B206" s="34"/>
    </row>
    <row r="207" spans="2:2" ht="12.5" x14ac:dyDescent="0.25">
      <c r="B207" s="34"/>
    </row>
    <row r="208" spans="2:2" ht="12.5" x14ac:dyDescent="0.25">
      <c r="B208" s="34"/>
    </row>
    <row r="209" spans="2:2" ht="12.5" x14ac:dyDescent="0.25">
      <c r="B209" s="34"/>
    </row>
    <row r="210" spans="2:2" ht="12.5" x14ac:dyDescent="0.25">
      <c r="B210" s="34"/>
    </row>
    <row r="211" spans="2:2" ht="12.5" x14ac:dyDescent="0.25">
      <c r="B211" s="34"/>
    </row>
    <row r="212" spans="2:2" ht="12.5" x14ac:dyDescent="0.25">
      <c r="B212" s="34"/>
    </row>
    <row r="213" spans="2:2" ht="12.5" x14ac:dyDescent="0.25">
      <c r="B213" s="34"/>
    </row>
    <row r="214" spans="2:2" ht="12.5" x14ac:dyDescent="0.25">
      <c r="B214" s="34"/>
    </row>
    <row r="215" spans="2:2" ht="12.5" x14ac:dyDescent="0.25">
      <c r="B215" s="34"/>
    </row>
    <row r="216" spans="2:2" ht="12.5" x14ac:dyDescent="0.25">
      <c r="B216" s="34"/>
    </row>
    <row r="217" spans="2:2" ht="12.5" x14ac:dyDescent="0.25">
      <c r="B217" s="34"/>
    </row>
    <row r="218" spans="2:2" ht="12.5" x14ac:dyDescent="0.25">
      <c r="B218" s="34"/>
    </row>
    <row r="219" spans="2:2" ht="12.5" x14ac:dyDescent="0.25">
      <c r="B219" s="34"/>
    </row>
    <row r="220" spans="2:2" ht="12.5" x14ac:dyDescent="0.25">
      <c r="B220" s="34"/>
    </row>
    <row r="221" spans="2:2" ht="12.5" x14ac:dyDescent="0.25">
      <c r="B221" s="34"/>
    </row>
    <row r="222" spans="2:2" ht="12.5" x14ac:dyDescent="0.25">
      <c r="B222" s="34"/>
    </row>
    <row r="223" spans="2:2" ht="12.5" x14ac:dyDescent="0.25">
      <c r="B223" s="34"/>
    </row>
    <row r="224" spans="2:2" ht="12.5" x14ac:dyDescent="0.25">
      <c r="B224" s="34"/>
    </row>
    <row r="225" spans="2:2" ht="12.5" x14ac:dyDescent="0.25">
      <c r="B225" s="34"/>
    </row>
    <row r="226" spans="2:2" ht="12.5" x14ac:dyDescent="0.25">
      <c r="B226" s="34"/>
    </row>
    <row r="227" spans="2:2" ht="12.5" x14ac:dyDescent="0.25">
      <c r="B227" s="34"/>
    </row>
    <row r="228" spans="2:2" ht="12.5" x14ac:dyDescent="0.25">
      <c r="B228" s="34"/>
    </row>
    <row r="229" spans="2:2" ht="12.5" x14ac:dyDescent="0.25">
      <c r="B229" s="34"/>
    </row>
    <row r="230" spans="2:2" ht="12.5" x14ac:dyDescent="0.25">
      <c r="B230" s="34"/>
    </row>
    <row r="231" spans="2:2" ht="12.5" x14ac:dyDescent="0.25">
      <c r="B231" s="34"/>
    </row>
    <row r="232" spans="2:2" ht="12.5" x14ac:dyDescent="0.25">
      <c r="B232" s="34"/>
    </row>
    <row r="233" spans="2:2" ht="12.5" x14ac:dyDescent="0.25">
      <c r="B233" s="34"/>
    </row>
    <row r="234" spans="2:2" ht="12.5" x14ac:dyDescent="0.25">
      <c r="B234" s="34"/>
    </row>
    <row r="235" spans="2:2" ht="12.5" x14ac:dyDescent="0.25">
      <c r="B235" s="34"/>
    </row>
    <row r="236" spans="2:2" ht="12.5" x14ac:dyDescent="0.25">
      <c r="B236" s="34"/>
    </row>
    <row r="237" spans="2:2" ht="12.5" x14ac:dyDescent="0.25">
      <c r="B237" s="34"/>
    </row>
    <row r="238" spans="2:2" ht="12.5" x14ac:dyDescent="0.25">
      <c r="B238" s="34"/>
    </row>
    <row r="239" spans="2:2" ht="12.5" x14ac:dyDescent="0.25">
      <c r="B239" s="34"/>
    </row>
    <row r="240" spans="2:2" ht="12.5" x14ac:dyDescent="0.25">
      <c r="B240" s="34"/>
    </row>
    <row r="241" spans="2:2" ht="12.5" x14ac:dyDescent="0.25">
      <c r="B241" s="34"/>
    </row>
    <row r="242" spans="2:2" ht="12.5" x14ac:dyDescent="0.25">
      <c r="B242" s="34"/>
    </row>
    <row r="243" spans="2:2" ht="12.5" x14ac:dyDescent="0.25">
      <c r="B243" s="34"/>
    </row>
    <row r="244" spans="2:2" ht="12.5" x14ac:dyDescent="0.25">
      <c r="B244" s="34"/>
    </row>
    <row r="245" spans="2:2" ht="12.5" x14ac:dyDescent="0.25">
      <c r="B245" s="34"/>
    </row>
    <row r="246" spans="2:2" ht="12.5" x14ac:dyDescent="0.25">
      <c r="B246" s="34"/>
    </row>
    <row r="247" spans="2:2" ht="12.5" x14ac:dyDescent="0.25">
      <c r="B247" s="34"/>
    </row>
    <row r="248" spans="2:2" ht="12.5" x14ac:dyDescent="0.25">
      <c r="B248" s="34"/>
    </row>
    <row r="249" spans="2:2" ht="12.5" x14ac:dyDescent="0.25">
      <c r="B249" s="34"/>
    </row>
    <row r="250" spans="2:2" ht="12.5" x14ac:dyDescent="0.25">
      <c r="B250" s="34"/>
    </row>
    <row r="251" spans="2:2" ht="12.5" x14ac:dyDescent="0.25">
      <c r="B251" s="34"/>
    </row>
    <row r="252" spans="2:2" ht="12.5" x14ac:dyDescent="0.25">
      <c r="B252" s="34"/>
    </row>
    <row r="253" spans="2:2" ht="12.5" x14ac:dyDescent="0.25">
      <c r="B253" s="34"/>
    </row>
    <row r="254" spans="2:2" ht="12.5" x14ac:dyDescent="0.25">
      <c r="B254" s="34"/>
    </row>
    <row r="255" spans="2:2" ht="12.5" x14ac:dyDescent="0.25">
      <c r="B255" s="34"/>
    </row>
    <row r="256" spans="2:2" ht="12.5" x14ac:dyDescent="0.25">
      <c r="B256" s="34"/>
    </row>
    <row r="257" spans="2:2" ht="12.5" x14ac:dyDescent="0.25">
      <c r="B257" s="34"/>
    </row>
    <row r="258" spans="2:2" ht="12.5" x14ac:dyDescent="0.25">
      <c r="B258" s="34"/>
    </row>
    <row r="259" spans="2:2" ht="12.5" x14ac:dyDescent="0.25">
      <c r="B259" s="34"/>
    </row>
    <row r="260" spans="2:2" ht="12.5" x14ac:dyDescent="0.25">
      <c r="B260" s="34"/>
    </row>
    <row r="261" spans="2:2" ht="12.5" x14ac:dyDescent="0.25">
      <c r="B261" s="34"/>
    </row>
    <row r="262" spans="2:2" ht="12.5" x14ac:dyDescent="0.25">
      <c r="B262" s="34"/>
    </row>
    <row r="263" spans="2:2" ht="12.5" x14ac:dyDescent="0.25">
      <c r="B263" s="34"/>
    </row>
    <row r="264" spans="2:2" ht="12.5" x14ac:dyDescent="0.25">
      <c r="B264" s="34"/>
    </row>
    <row r="265" spans="2:2" ht="12.5" x14ac:dyDescent="0.25">
      <c r="B265" s="34"/>
    </row>
    <row r="266" spans="2:2" ht="12.5" x14ac:dyDescent="0.25">
      <c r="B266" s="34"/>
    </row>
    <row r="267" spans="2:2" ht="12.5" x14ac:dyDescent="0.25">
      <c r="B267" s="34"/>
    </row>
    <row r="268" spans="2:2" ht="12.5" x14ac:dyDescent="0.25">
      <c r="B268" s="34"/>
    </row>
    <row r="269" spans="2:2" ht="12.5" x14ac:dyDescent="0.25">
      <c r="B269" s="34"/>
    </row>
    <row r="270" spans="2:2" ht="12.5" x14ac:dyDescent="0.25">
      <c r="B270" s="34"/>
    </row>
    <row r="271" spans="2:2" ht="12.5" x14ac:dyDescent="0.25">
      <c r="B271" s="34"/>
    </row>
    <row r="272" spans="2:2" ht="12.5" x14ac:dyDescent="0.25">
      <c r="B272" s="34"/>
    </row>
    <row r="273" spans="2:2" ht="12.5" x14ac:dyDescent="0.25">
      <c r="B273" s="34"/>
    </row>
    <row r="274" spans="2:2" ht="12.5" x14ac:dyDescent="0.25">
      <c r="B274" s="34"/>
    </row>
    <row r="275" spans="2:2" ht="12.5" x14ac:dyDescent="0.25">
      <c r="B275" s="34"/>
    </row>
    <row r="276" spans="2:2" ht="12.5" x14ac:dyDescent="0.25">
      <c r="B276" s="34"/>
    </row>
    <row r="277" spans="2:2" ht="12.5" x14ac:dyDescent="0.25">
      <c r="B277" s="34"/>
    </row>
    <row r="278" spans="2:2" ht="12.5" x14ac:dyDescent="0.25">
      <c r="B278" s="34"/>
    </row>
    <row r="279" spans="2:2" ht="12.5" x14ac:dyDescent="0.25">
      <c r="B279" s="34"/>
    </row>
    <row r="280" spans="2:2" ht="12.5" x14ac:dyDescent="0.25">
      <c r="B280" s="34"/>
    </row>
    <row r="281" spans="2:2" ht="12.5" x14ac:dyDescent="0.25">
      <c r="B281" s="34"/>
    </row>
    <row r="282" spans="2:2" ht="12.5" x14ac:dyDescent="0.25">
      <c r="B282" s="34"/>
    </row>
    <row r="283" spans="2:2" ht="12.5" x14ac:dyDescent="0.25">
      <c r="B283" s="34"/>
    </row>
    <row r="284" spans="2:2" ht="12.5" x14ac:dyDescent="0.25">
      <c r="B284" s="34"/>
    </row>
    <row r="285" spans="2:2" ht="12.5" x14ac:dyDescent="0.25">
      <c r="B285" s="34"/>
    </row>
    <row r="286" spans="2:2" ht="12.5" x14ac:dyDescent="0.25">
      <c r="B286" s="34"/>
    </row>
    <row r="287" spans="2:2" ht="12.5" x14ac:dyDescent="0.25">
      <c r="B287" s="34"/>
    </row>
    <row r="288" spans="2:2" ht="12.5" x14ac:dyDescent="0.25">
      <c r="B288" s="34"/>
    </row>
    <row r="289" spans="2:2" ht="12.5" x14ac:dyDescent="0.25">
      <c r="B289" s="34"/>
    </row>
    <row r="290" spans="2:2" ht="12.5" x14ac:dyDescent="0.25">
      <c r="B290" s="34"/>
    </row>
    <row r="291" spans="2:2" ht="12.5" x14ac:dyDescent="0.25">
      <c r="B291" s="34"/>
    </row>
    <row r="292" spans="2:2" ht="12.5" x14ac:dyDescent="0.25">
      <c r="B292" s="34"/>
    </row>
    <row r="293" spans="2:2" ht="12.5" x14ac:dyDescent="0.25">
      <c r="B293" s="34"/>
    </row>
    <row r="294" spans="2:2" ht="12.5" x14ac:dyDescent="0.25">
      <c r="B294" s="34"/>
    </row>
    <row r="295" spans="2:2" ht="12.5" x14ac:dyDescent="0.25">
      <c r="B295" s="34"/>
    </row>
    <row r="296" spans="2:2" ht="12.5" x14ac:dyDescent="0.25">
      <c r="B296" s="34"/>
    </row>
    <row r="297" spans="2:2" ht="12.5" x14ac:dyDescent="0.25">
      <c r="B297" s="34"/>
    </row>
    <row r="298" spans="2:2" ht="12.5" x14ac:dyDescent="0.25">
      <c r="B298" s="34"/>
    </row>
    <row r="299" spans="2:2" ht="12.5" x14ac:dyDescent="0.25">
      <c r="B299" s="34"/>
    </row>
    <row r="300" spans="2:2" ht="12.5" x14ac:dyDescent="0.25">
      <c r="B300" s="34"/>
    </row>
    <row r="301" spans="2:2" ht="12.5" x14ac:dyDescent="0.25">
      <c r="B301" s="34"/>
    </row>
    <row r="302" spans="2:2" ht="12.5" x14ac:dyDescent="0.25">
      <c r="B302" s="34"/>
    </row>
    <row r="303" spans="2:2" ht="12.5" x14ac:dyDescent="0.25">
      <c r="B303" s="34"/>
    </row>
    <row r="304" spans="2:2" ht="12.5" x14ac:dyDescent="0.25">
      <c r="B304" s="34"/>
    </row>
    <row r="305" spans="2:2" ht="12.5" x14ac:dyDescent="0.25">
      <c r="B305" s="34"/>
    </row>
    <row r="306" spans="2:2" ht="12.5" x14ac:dyDescent="0.25">
      <c r="B306" s="34"/>
    </row>
    <row r="307" spans="2:2" ht="12.5" x14ac:dyDescent="0.25">
      <c r="B307" s="34"/>
    </row>
    <row r="308" spans="2:2" ht="12.5" x14ac:dyDescent="0.25">
      <c r="B308" s="34"/>
    </row>
    <row r="309" spans="2:2" ht="12.5" x14ac:dyDescent="0.25">
      <c r="B309" s="34"/>
    </row>
    <row r="310" spans="2:2" ht="12.5" x14ac:dyDescent="0.25">
      <c r="B310" s="34"/>
    </row>
    <row r="311" spans="2:2" ht="12.5" x14ac:dyDescent="0.25">
      <c r="B311" s="34"/>
    </row>
    <row r="312" spans="2:2" ht="12.5" x14ac:dyDescent="0.25">
      <c r="B312" s="34"/>
    </row>
    <row r="313" spans="2:2" ht="12.5" x14ac:dyDescent="0.25">
      <c r="B313" s="34"/>
    </row>
    <row r="314" spans="2:2" ht="12.5" x14ac:dyDescent="0.25">
      <c r="B314" s="34"/>
    </row>
    <row r="315" spans="2:2" ht="12.5" x14ac:dyDescent="0.25">
      <c r="B315" s="34"/>
    </row>
    <row r="316" spans="2:2" ht="12.5" x14ac:dyDescent="0.25">
      <c r="B316" s="34"/>
    </row>
    <row r="317" spans="2:2" ht="12.5" x14ac:dyDescent="0.25">
      <c r="B317" s="34"/>
    </row>
    <row r="318" spans="2:2" ht="12.5" x14ac:dyDescent="0.25">
      <c r="B318" s="34"/>
    </row>
    <row r="319" spans="2:2" ht="12.5" x14ac:dyDescent="0.25">
      <c r="B319" s="34"/>
    </row>
    <row r="320" spans="2:2" ht="12.5" x14ac:dyDescent="0.25">
      <c r="B320" s="34"/>
    </row>
    <row r="321" spans="2:2" ht="12.5" x14ac:dyDescent="0.25">
      <c r="B321" s="34"/>
    </row>
    <row r="322" spans="2:2" ht="12.5" x14ac:dyDescent="0.25">
      <c r="B322" s="34"/>
    </row>
    <row r="323" spans="2:2" ht="12.5" x14ac:dyDescent="0.25">
      <c r="B323" s="34"/>
    </row>
    <row r="324" spans="2:2" ht="12.5" x14ac:dyDescent="0.25">
      <c r="B324" s="34"/>
    </row>
    <row r="325" spans="2:2" ht="12.5" x14ac:dyDescent="0.25">
      <c r="B325" s="34"/>
    </row>
    <row r="326" spans="2:2" ht="12.5" x14ac:dyDescent="0.25">
      <c r="B326" s="34"/>
    </row>
    <row r="327" spans="2:2" ht="12.5" x14ac:dyDescent="0.25">
      <c r="B327" s="34"/>
    </row>
    <row r="328" spans="2:2" ht="12.5" x14ac:dyDescent="0.25">
      <c r="B328" s="34"/>
    </row>
    <row r="329" spans="2:2" ht="12.5" x14ac:dyDescent="0.25">
      <c r="B329" s="34"/>
    </row>
    <row r="330" spans="2:2" ht="12.5" x14ac:dyDescent="0.25">
      <c r="B330" s="34"/>
    </row>
    <row r="331" spans="2:2" ht="12.5" x14ac:dyDescent="0.25">
      <c r="B331" s="34"/>
    </row>
    <row r="332" spans="2:2" ht="12.5" x14ac:dyDescent="0.25">
      <c r="B332" s="34"/>
    </row>
    <row r="333" spans="2:2" ht="12.5" x14ac:dyDescent="0.25">
      <c r="B333" s="34"/>
    </row>
    <row r="334" spans="2:2" ht="12.5" x14ac:dyDescent="0.25">
      <c r="B334" s="34"/>
    </row>
    <row r="335" spans="2:2" ht="12.5" x14ac:dyDescent="0.25">
      <c r="B335" s="34"/>
    </row>
    <row r="336" spans="2:2" ht="12.5" x14ac:dyDescent="0.25">
      <c r="B336" s="34"/>
    </row>
    <row r="337" spans="2:2" ht="12.5" x14ac:dyDescent="0.25">
      <c r="B337" s="34"/>
    </row>
    <row r="338" spans="2:2" ht="12.5" x14ac:dyDescent="0.25">
      <c r="B338" s="34"/>
    </row>
    <row r="339" spans="2:2" ht="12.5" x14ac:dyDescent="0.25">
      <c r="B339" s="34"/>
    </row>
    <row r="340" spans="2:2" ht="12.5" x14ac:dyDescent="0.25">
      <c r="B340" s="34"/>
    </row>
    <row r="341" spans="2:2" ht="12.5" x14ac:dyDescent="0.25">
      <c r="B341" s="34"/>
    </row>
    <row r="342" spans="2:2" ht="12.5" x14ac:dyDescent="0.25">
      <c r="B342" s="34"/>
    </row>
    <row r="343" spans="2:2" ht="12.5" x14ac:dyDescent="0.25">
      <c r="B343" s="34"/>
    </row>
    <row r="344" spans="2:2" ht="12.5" x14ac:dyDescent="0.25">
      <c r="B344" s="34"/>
    </row>
    <row r="345" spans="2:2" ht="12.5" x14ac:dyDescent="0.25">
      <c r="B345" s="34"/>
    </row>
    <row r="346" spans="2:2" ht="12.5" x14ac:dyDescent="0.25">
      <c r="B346" s="34"/>
    </row>
    <row r="347" spans="2:2" ht="12.5" x14ac:dyDescent="0.25">
      <c r="B347" s="34"/>
    </row>
    <row r="348" spans="2:2" ht="12.5" x14ac:dyDescent="0.25">
      <c r="B348" s="34"/>
    </row>
    <row r="349" spans="2:2" ht="12.5" x14ac:dyDescent="0.25">
      <c r="B349" s="34"/>
    </row>
    <row r="350" spans="2:2" ht="12.5" x14ac:dyDescent="0.25">
      <c r="B350" s="34"/>
    </row>
    <row r="351" spans="2:2" ht="12.5" x14ac:dyDescent="0.25">
      <c r="B351" s="34"/>
    </row>
    <row r="352" spans="2:2" ht="12.5" x14ac:dyDescent="0.25">
      <c r="B352" s="34"/>
    </row>
    <row r="353" spans="2:2" ht="12.5" x14ac:dyDescent="0.25">
      <c r="B353" s="34"/>
    </row>
    <row r="354" spans="2:2" ht="12.5" x14ac:dyDescent="0.25">
      <c r="B354" s="34"/>
    </row>
    <row r="355" spans="2:2" ht="12.5" x14ac:dyDescent="0.25">
      <c r="B355" s="34"/>
    </row>
    <row r="356" spans="2:2" ht="12.5" x14ac:dyDescent="0.25">
      <c r="B356" s="34"/>
    </row>
    <row r="357" spans="2:2" ht="12.5" x14ac:dyDescent="0.25">
      <c r="B357" s="34"/>
    </row>
    <row r="358" spans="2:2" ht="12.5" x14ac:dyDescent="0.25">
      <c r="B358" s="34"/>
    </row>
    <row r="359" spans="2:2" ht="12.5" x14ac:dyDescent="0.25">
      <c r="B359" s="34"/>
    </row>
    <row r="360" spans="2:2" ht="12.5" x14ac:dyDescent="0.25">
      <c r="B360" s="34"/>
    </row>
    <row r="361" spans="2:2" ht="12.5" x14ac:dyDescent="0.25">
      <c r="B361" s="34"/>
    </row>
    <row r="362" spans="2:2" ht="12.5" x14ac:dyDescent="0.25">
      <c r="B362" s="34"/>
    </row>
    <row r="363" spans="2:2" ht="12.5" x14ac:dyDescent="0.25">
      <c r="B363" s="34"/>
    </row>
    <row r="364" spans="2:2" ht="12.5" x14ac:dyDescent="0.25">
      <c r="B364" s="34"/>
    </row>
    <row r="365" spans="2:2" ht="12.5" x14ac:dyDescent="0.25">
      <c r="B365" s="34"/>
    </row>
    <row r="366" spans="2:2" ht="12.5" x14ac:dyDescent="0.25">
      <c r="B366" s="34"/>
    </row>
    <row r="367" spans="2:2" ht="12.5" x14ac:dyDescent="0.25">
      <c r="B367" s="34"/>
    </row>
    <row r="368" spans="2:2" ht="12.5" x14ac:dyDescent="0.25">
      <c r="B368" s="34"/>
    </row>
    <row r="369" spans="2:2" ht="12.5" x14ac:dyDescent="0.25">
      <c r="B369" s="34"/>
    </row>
    <row r="370" spans="2:2" ht="12.5" x14ac:dyDescent="0.25">
      <c r="B370" s="34"/>
    </row>
    <row r="371" spans="2:2" ht="12.5" x14ac:dyDescent="0.25">
      <c r="B371" s="34"/>
    </row>
    <row r="372" spans="2:2" ht="12.5" x14ac:dyDescent="0.25">
      <c r="B372" s="34"/>
    </row>
    <row r="373" spans="2:2" ht="12.5" x14ac:dyDescent="0.25">
      <c r="B373" s="34"/>
    </row>
    <row r="374" spans="2:2" ht="12.5" x14ac:dyDescent="0.25">
      <c r="B374" s="34"/>
    </row>
    <row r="375" spans="2:2" ht="12.5" x14ac:dyDescent="0.25">
      <c r="B375" s="34"/>
    </row>
    <row r="376" spans="2:2" ht="12.5" x14ac:dyDescent="0.25">
      <c r="B376" s="34"/>
    </row>
    <row r="377" spans="2:2" ht="12.5" x14ac:dyDescent="0.25">
      <c r="B377" s="34"/>
    </row>
    <row r="378" spans="2:2" ht="12.5" x14ac:dyDescent="0.25">
      <c r="B378" s="34"/>
    </row>
    <row r="379" spans="2:2" ht="12.5" x14ac:dyDescent="0.25">
      <c r="B379" s="34"/>
    </row>
    <row r="380" spans="2:2" ht="12.5" x14ac:dyDescent="0.25">
      <c r="B380" s="34"/>
    </row>
    <row r="381" spans="2:2" ht="12.5" x14ac:dyDescent="0.25">
      <c r="B381" s="34"/>
    </row>
    <row r="382" spans="2:2" ht="12.5" x14ac:dyDescent="0.25">
      <c r="B382" s="34"/>
    </row>
    <row r="383" spans="2:2" ht="12.5" x14ac:dyDescent="0.25">
      <c r="B383" s="34"/>
    </row>
    <row r="384" spans="2:2" ht="12.5" x14ac:dyDescent="0.25">
      <c r="B384" s="34"/>
    </row>
    <row r="385" spans="2:2" ht="12.5" x14ac:dyDescent="0.25">
      <c r="B385" s="34"/>
    </row>
    <row r="386" spans="2:2" ht="12.5" x14ac:dyDescent="0.25">
      <c r="B386" s="34"/>
    </row>
    <row r="387" spans="2:2" ht="12.5" x14ac:dyDescent="0.25">
      <c r="B387" s="34"/>
    </row>
    <row r="388" spans="2:2" ht="12.5" x14ac:dyDescent="0.25">
      <c r="B388" s="34"/>
    </row>
    <row r="389" spans="2:2" ht="12.5" x14ac:dyDescent="0.25">
      <c r="B389" s="34"/>
    </row>
    <row r="390" spans="2:2" ht="12.5" x14ac:dyDescent="0.25">
      <c r="B390" s="34"/>
    </row>
    <row r="391" spans="2:2" ht="12.5" x14ac:dyDescent="0.25">
      <c r="B391" s="34"/>
    </row>
    <row r="392" spans="2:2" ht="12.5" x14ac:dyDescent="0.25">
      <c r="B392" s="34"/>
    </row>
    <row r="393" spans="2:2" ht="12.5" x14ac:dyDescent="0.25">
      <c r="B393" s="34"/>
    </row>
    <row r="394" spans="2:2" ht="12.5" x14ac:dyDescent="0.25">
      <c r="B394" s="34"/>
    </row>
    <row r="395" spans="2:2" ht="12.5" x14ac:dyDescent="0.25">
      <c r="B395" s="34"/>
    </row>
    <row r="396" spans="2:2" ht="12.5" x14ac:dyDescent="0.25">
      <c r="B396" s="34"/>
    </row>
    <row r="397" spans="2:2" ht="12.5" x14ac:dyDescent="0.25">
      <c r="B397" s="34"/>
    </row>
    <row r="398" spans="2:2" ht="12.5" x14ac:dyDescent="0.25">
      <c r="B398" s="34"/>
    </row>
    <row r="399" spans="2:2" ht="12.5" x14ac:dyDescent="0.25">
      <c r="B399" s="34"/>
    </row>
    <row r="400" spans="2:2" ht="12.5" x14ac:dyDescent="0.25">
      <c r="B400" s="34"/>
    </row>
    <row r="401" spans="2:2" ht="12.5" x14ac:dyDescent="0.25">
      <c r="B401" s="34"/>
    </row>
    <row r="402" spans="2:2" ht="12.5" x14ac:dyDescent="0.25">
      <c r="B402" s="34"/>
    </row>
    <row r="403" spans="2:2" ht="12.5" x14ac:dyDescent="0.25">
      <c r="B403" s="34"/>
    </row>
    <row r="404" spans="2:2" ht="12.5" x14ac:dyDescent="0.25">
      <c r="B404" s="34"/>
    </row>
    <row r="405" spans="2:2" ht="12.5" x14ac:dyDescent="0.25">
      <c r="B405" s="34"/>
    </row>
    <row r="406" spans="2:2" ht="12.5" x14ac:dyDescent="0.25">
      <c r="B406" s="34"/>
    </row>
    <row r="407" spans="2:2" ht="12.5" x14ac:dyDescent="0.25">
      <c r="B407" s="34"/>
    </row>
    <row r="408" spans="2:2" ht="12.5" x14ac:dyDescent="0.25">
      <c r="B408" s="34"/>
    </row>
    <row r="409" spans="2:2" ht="12.5" x14ac:dyDescent="0.25">
      <c r="B409" s="34"/>
    </row>
    <row r="410" spans="2:2" ht="12.5" x14ac:dyDescent="0.25">
      <c r="B410" s="34"/>
    </row>
    <row r="411" spans="2:2" ht="12.5" x14ac:dyDescent="0.25">
      <c r="B411" s="34"/>
    </row>
    <row r="412" spans="2:2" ht="12.5" x14ac:dyDescent="0.25">
      <c r="B412" s="34"/>
    </row>
    <row r="413" spans="2:2" ht="12.5" x14ac:dyDescent="0.25">
      <c r="B413" s="34"/>
    </row>
    <row r="414" spans="2:2" ht="12.5" x14ac:dyDescent="0.25">
      <c r="B414" s="34"/>
    </row>
    <row r="415" spans="2:2" ht="12.5" x14ac:dyDescent="0.25">
      <c r="B415" s="34"/>
    </row>
    <row r="416" spans="2:2" ht="12.5" x14ac:dyDescent="0.25">
      <c r="B416" s="34"/>
    </row>
    <row r="417" spans="2:2" ht="12.5" x14ac:dyDescent="0.25">
      <c r="B417" s="34"/>
    </row>
    <row r="418" spans="2:2" ht="12.5" x14ac:dyDescent="0.25">
      <c r="B418" s="34"/>
    </row>
    <row r="419" spans="2:2" ht="12.5" x14ac:dyDescent="0.25">
      <c r="B419" s="34"/>
    </row>
    <row r="420" spans="2:2" ht="12.5" x14ac:dyDescent="0.25">
      <c r="B420" s="34"/>
    </row>
    <row r="421" spans="2:2" ht="12.5" x14ac:dyDescent="0.25">
      <c r="B421" s="34"/>
    </row>
    <row r="422" spans="2:2" ht="12.5" x14ac:dyDescent="0.25">
      <c r="B422" s="34"/>
    </row>
    <row r="423" spans="2:2" ht="12.5" x14ac:dyDescent="0.25">
      <c r="B423" s="34"/>
    </row>
    <row r="424" spans="2:2" ht="12.5" x14ac:dyDescent="0.25">
      <c r="B424" s="34"/>
    </row>
    <row r="425" spans="2:2" ht="12.5" x14ac:dyDescent="0.25">
      <c r="B425" s="34"/>
    </row>
    <row r="426" spans="2:2" ht="12.5" x14ac:dyDescent="0.25">
      <c r="B426" s="34"/>
    </row>
    <row r="427" spans="2:2" ht="12.5" x14ac:dyDescent="0.25">
      <c r="B427" s="34"/>
    </row>
    <row r="428" spans="2:2" ht="12.5" x14ac:dyDescent="0.25">
      <c r="B428" s="34"/>
    </row>
    <row r="429" spans="2:2" ht="12.5" x14ac:dyDescent="0.25">
      <c r="B429" s="34"/>
    </row>
    <row r="430" spans="2:2" ht="12.5" x14ac:dyDescent="0.25">
      <c r="B430" s="34"/>
    </row>
    <row r="431" spans="2:2" ht="12.5" x14ac:dyDescent="0.25">
      <c r="B431" s="34"/>
    </row>
    <row r="432" spans="2:2" ht="12.5" x14ac:dyDescent="0.25">
      <c r="B432" s="34"/>
    </row>
    <row r="433" spans="2:2" ht="12.5" x14ac:dyDescent="0.25">
      <c r="B433" s="34"/>
    </row>
    <row r="434" spans="2:2" ht="12.5" x14ac:dyDescent="0.25">
      <c r="B434" s="34"/>
    </row>
    <row r="435" spans="2:2" ht="12.5" x14ac:dyDescent="0.25">
      <c r="B435" s="34"/>
    </row>
    <row r="436" spans="2:2" ht="12.5" x14ac:dyDescent="0.25">
      <c r="B436" s="34"/>
    </row>
    <row r="437" spans="2:2" ht="12.5" x14ac:dyDescent="0.25">
      <c r="B437" s="34"/>
    </row>
    <row r="438" spans="2:2" ht="12.5" x14ac:dyDescent="0.25">
      <c r="B438" s="34"/>
    </row>
    <row r="439" spans="2:2" ht="12.5" x14ac:dyDescent="0.25">
      <c r="B439" s="34"/>
    </row>
    <row r="440" spans="2:2" ht="12.5" x14ac:dyDescent="0.25">
      <c r="B440" s="34"/>
    </row>
    <row r="441" spans="2:2" ht="12.5" x14ac:dyDescent="0.25">
      <c r="B441" s="34"/>
    </row>
    <row r="442" spans="2:2" ht="12.5" x14ac:dyDescent="0.25">
      <c r="B442" s="34"/>
    </row>
    <row r="443" spans="2:2" ht="12.5" x14ac:dyDescent="0.25">
      <c r="B443" s="34"/>
    </row>
    <row r="444" spans="2:2" ht="12.5" x14ac:dyDescent="0.25">
      <c r="B444" s="34"/>
    </row>
    <row r="445" spans="2:2" ht="12.5" x14ac:dyDescent="0.25">
      <c r="B445" s="34"/>
    </row>
    <row r="446" spans="2:2" ht="12.5" x14ac:dyDescent="0.25">
      <c r="B446" s="34"/>
    </row>
    <row r="447" spans="2:2" ht="12.5" x14ac:dyDescent="0.25">
      <c r="B447" s="34"/>
    </row>
    <row r="448" spans="2:2" ht="12.5" x14ac:dyDescent="0.25">
      <c r="B448" s="34"/>
    </row>
    <row r="449" spans="2:2" ht="12.5" x14ac:dyDescent="0.25">
      <c r="B449" s="34"/>
    </row>
    <row r="450" spans="2:2" ht="12.5" x14ac:dyDescent="0.25">
      <c r="B450" s="34"/>
    </row>
    <row r="451" spans="2:2" ht="12.5" x14ac:dyDescent="0.25">
      <c r="B451" s="34"/>
    </row>
    <row r="452" spans="2:2" ht="12.5" x14ac:dyDescent="0.25">
      <c r="B452" s="34"/>
    </row>
    <row r="453" spans="2:2" ht="12.5" x14ac:dyDescent="0.25">
      <c r="B453" s="34"/>
    </row>
    <row r="454" spans="2:2" ht="12.5" x14ac:dyDescent="0.25">
      <c r="B454" s="34"/>
    </row>
    <row r="455" spans="2:2" ht="12.5" x14ac:dyDescent="0.25">
      <c r="B455" s="34"/>
    </row>
    <row r="456" spans="2:2" ht="12.5" x14ac:dyDescent="0.25">
      <c r="B456" s="34"/>
    </row>
    <row r="457" spans="2:2" ht="12.5" x14ac:dyDescent="0.25">
      <c r="B457" s="34"/>
    </row>
    <row r="458" spans="2:2" ht="12.5" x14ac:dyDescent="0.25">
      <c r="B458" s="34"/>
    </row>
    <row r="459" spans="2:2" ht="12.5" x14ac:dyDescent="0.25">
      <c r="B459" s="34"/>
    </row>
    <row r="460" spans="2:2" ht="12.5" x14ac:dyDescent="0.25">
      <c r="B460" s="34"/>
    </row>
    <row r="461" spans="2:2" ht="12.5" x14ac:dyDescent="0.25">
      <c r="B461" s="34"/>
    </row>
    <row r="462" spans="2:2" ht="12.5" x14ac:dyDescent="0.25">
      <c r="B462" s="34"/>
    </row>
    <row r="463" spans="2:2" ht="12.5" x14ac:dyDescent="0.25">
      <c r="B463" s="34"/>
    </row>
    <row r="464" spans="2:2" ht="12.5" x14ac:dyDescent="0.25">
      <c r="B464" s="34"/>
    </row>
    <row r="465" spans="2:2" ht="12.5" x14ac:dyDescent="0.25">
      <c r="B465" s="34"/>
    </row>
    <row r="466" spans="2:2" ht="12.5" x14ac:dyDescent="0.25">
      <c r="B466" s="34"/>
    </row>
    <row r="467" spans="2:2" ht="12.5" x14ac:dyDescent="0.25">
      <c r="B467" s="34"/>
    </row>
    <row r="468" spans="2:2" ht="12.5" x14ac:dyDescent="0.25">
      <c r="B468" s="34"/>
    </row>
    <row r="469" spans="2:2" ht="12.5" x14ac:dyDescent="0.25">
      <c r="B469" s="34"/>
    </row>
    <row r="470" spans="2:2" ht="12.5" x14ac:dyDescent="0.25">
      <c r="B470" s="34"/>
    </row>
    <row r="471" spans="2:2" ht="12.5" x14ac:dyDescent="0.25">
      <c r="B471" s="34"/>
    </row>
    <row r="472" spans="2:2" ht="12.5" x14ac:dyDescent="0.25">
      <c r="B472" s="34"/>
    </row>
    <row r="473" spans="2:2" ht="12.5" x14ac:dyDescent="0.25">
      <c r="B473" s="34"/>
    </row>
    <row r="474" spans="2:2" ht="12.5" x14ac:dyDescent="0.25">
      <c r="B474" s="34"/>
    </row>
    <row r="475" spans="2:2" ht="12.5" x14ac:dyDescent="0.25">
      <c r="B475" s="34"/>
    </row>
    <row r="476" spans="2:2" ht="12.5" x14ac:dyDescent="0.25">
      <c r="B476" s="34"/>
    </row>
    <row r="477" spans="2:2" ht="12.5" x14ac:dyDescent="0.25">
      <c r="B477" s="34"/>
    </row>
    <row r="478" spans="2:2" ht="12.5" x14ac:dyDescent="0.25">
      <c r="B478" s="34"/>
    </row>
    <row r="479" spans="2:2" ht="12.5" x14ac:dyDescent="0.25">
      <c r="B479" s="34"/>
    </row>
    <row r="480" spans="2:2" ht="12.5" x14ac:dyDescent="0.25">
      <c r="B480" s="34"/>
    </row>
    <row r="481" spans="2:2" ht="12.5" x14ac:dyDescent="0.25">
      <c r="B481" s="34"/>
    </row>
    <row r="482" spans="2:2" ht="12.5" x14ac:dyDescent="0.25">
      <c r="B482" s="34"/>
    </row>
    <row r="483" spans="2:2" ht="12.5" x14ac:dyDescent="0.25">
      <c r="B483" s="34"/>
    </row>
    <row r="484" spans="2:2" ht="12.5" x14ac:dyDescent="0.25">
      <c r="B484" s="34"/>
    </row>
    <row r="485" spans="2:2" ht="12.5" x14ac:dyDescent="0.25">
      <c r="B485" s="34"/>
    </row>
    <row r="486" spans="2:2" ht="12.5" x14ac:dyDescent="0.25">
      <c r="B486" s="34"/>
    </row>
    <row r="487" spans="2:2" ht="12.5" x14ac:dyDescent="0.25">
      <c r="B487" s="34"/>
    </row>
    <row r="488" spans="2:2" ht="12.5" x14ac:dyDescent="0.25">
      <c r="B488" s="34"/>
    </row>
    <row r="489" spans="2:2" ht="12.5" x14ac:dyDescent="0.25">
      <c r="B489" s="34"/>
    </row>
    <row r="490" spans="2:2" ht="12.5" x14ac:dyDescent="0.25">
      <c r="B490" s="34"/>
    </row>
    <row r="491" spans="2:2" ht="12.5" x14ac:dyDescent="0.25">
      <c r="B491" s="34"/>
    </row>
    <row r="492" spans="2:2" ht="12.5" x14ac:dyDescent="0.25">
      <c r="B492" s="34"/>
    </row>
    <row r="493" spans="2:2" ht="12.5" x14ac:dyDescent="0.25">
      <c r="B493" s="34"/>
    </row>
    <row r="494" spans="2:2" ht="12.5" x14ac:dyDescent="0.25">
      <c r="B494" s="34"/>
    </row>
    <row r="495" spans="2:2" ht="12.5" x14ac:dyDescent="0.25">
      <c r="B495" s="34"/>
    </row>
    <row r="496" spans="2:2" ht="12.5" x14ac:dyDescent="0.25">
      <c r="B496" s="34"/>
    </row>
    <row r="497" spans="2:2" ht="12.5" x14ac:dyDescent="0.25">
      <c r="B497" s="34"/>
    </row>
    <row r="498" spans="2:2" ht="12.5" x14ac:dyDescent="0.25">
      <c r="B498" s="34"/>
    </row>
    <row r="499" spans="2:2" ht="12.5" x14ac:dyDescent="0.25">
      <c r="B499" s="34"/>
    </row>
    <row r="500" spans="2:2" ht="12.5" x14ac:dyDescent="0.25">
      <c r="B500" s="34"/>
    </row>
    <row r="501" spans="2:2" ht="12.5" x14ac:dyDescent="0.25">
      <c r="B501" s="34"/>
    </row>
    <row r="502" spans="2:2" ht="12.5" x14ac:dyDescent="0.25">
      <c r="B502" s="34"/>
    </row>
    <row r="503" spans="2:2" ht="12.5" x14ac:dyDescent="0.25">
      <c r="B503" s="34"/>
    </row>
    <row r="504" spans="2:2" ht="12.5" x14ac:dyDescent="0.25">
      <c r="B504" s="34"/>
    </row>
    <row r="505" spans="2:2" ht="12.5" x14ac:dyDescent="0.25">
      <c r="B505" s="34"/>
    </row>
    <row r="506" spans="2:2" ht="12.5" x14ac:dyDescent="0.25">
      <c r="B506" s="34"/>
    </row>
    <row r="507" spans="2:2" ht="12.5" x14ac:dyDescent="0.25">
      <c r="B507" s="34"/>
    </row>
    <row r="508" spans="2:2" ht="12.5" x14ac:dyDescent="0.25">
      <c r="B508" s="34"/>
    </row>
    <row r="509" spans="2:2" ht="12.5" x14ac:dyDescent="0.25">
      <c r="B509" s="34"/>
    </row>
    <row r="510" spans="2:2" ht="12.5" x14ac:dyDescent="0.25">
      <c r="B510" s="34"/>
    </row>
    <row r="511" spans="2:2" ht="12.5" x14ac:dyDescent="0.25">
      <c r="B511" s="34"/>
    </row>
    <row r="512" spans="2:2" ht="12.5" x14ac:dyDescent="0.25">
      <c r="B512" s="34"/>
    </row>
    <row r="513" spans="2:2" ht="12.5" x14ac:dyDescent="0.25">
      <c r="B513" s="34"/>
    </row>
    <row r="514" spans="2:2" ht="12.5" x14ac:dyDescent="0.25">
      <c r="B514" s="34"/>
    </row>
    <row r="515" spans="2:2" ht="12.5" x14ac:dyDescent="0.25">
      <c r="B515" s="34"/>
    </row>
    <row r="516" spans="2:2" ht="12.5" x14ac:dyDescent="0.25">
      <c r="B516" s="34"/>
    </row>
    <row r="517" spans="2:2" ht="12.5" x14ac:dyDescent="0.25">
      <c r="B517" s="34"/>
    </row>
    <row r="518" spans="2:2" ht="12.5" x14ac:dyDescent="0.25">
      <c r="B518" s="34"/>
    </row>
    <row r="519" spans="2:2" ht="12.5" x14ac:dyDescent="0.25">
      <c r="B519" s="34"/>
    </row>
    <row r="520" spans="2:2" ht="12.5" x14ac:dyDescent="0.25">
      <c r="B520" s="34"/>
    </row>
    <row r="521" spans="2:2" ht="12.5" x14ac:dyDescent="0.25">
      <c r="B521" s="34"/>
    </row>
    <row r="522" spans="2:2" ht="12.5" x14ac:dyDescent="0.25">
      <c r="B522" s="34"/>
    </row>
    <row r="523" spans="2:2" ht="12.5" x14ac:dyDescent="0.25">
      <c r="B523" s="34"/>
    </row>
    <row r="524" spans="2:2" ht="12.5" x14ac:dyDescent="0.25">
      <c r="B524" s="34"/>
    </row>
    <row r="525" spans="2:2" ht="12.5" x14ac:dyDescent="0.25">
      <c r="B525" s="34"/>
    </row>
    <row r="526" spans="2:2" ht="12.5" x14ac:dyDescent="0.25">
      <c r="B526" s="34"/>
    </row>
    <row r="527" spans="2:2" ht="12.5" x14ac:dyDescent="0.25">
      <c r="B527" s="34"/>
    </row>
    <row r="528" spans="2:2" ht="12.5" x14ac:dyDescent="0.25">
      <c r="B528" s="34"/>
    </row>
    <row r="529" spans="2:2" ht="12.5" x14ac:dyDescent="0.25">
      <c r="B529" s="34"/>
    </row>
    <row r="530" spans="2:2" ht="12.5" x14ac:dyDescent="0.25">
      <c r="B530" s="34"/>
    </row>
    <row r="531" spans="2:2" ht="12.5" x14ac:dyDescent="0.25">
      <c r="B531" s="34"/>
    </row>
    <row r="532" spans="2:2" ht="12.5" x14ac:dyDescent="0.25">
      <c r="B532" s="34"/>
    </row>
    <row r="533" spans="2:2" ht="12.5" x14ac:dyDescent="0.25">
      <c r="B533" s="34"/>
    </row>
    <row r="534" spans="2:2" ht="12.5" x14ac:dyDescent="0.25">
      <c r="B534" s="34"/>
    </row>
    <row r="535" spans="2:2" ht="12.5" x14ac:dyDescent="0.25">
      <c r="B535" s="34"/>
    </row>
    <row r="536" spans="2:2" ht="12.5" x14ac:dyDescent="0.25">
      <c r="B536" s="34"/>
    </row>
    <row r="537" spans="2:2" ht="12.5" x14ac:dyDescent="0.25">
      <c r="B537" s="34"/>
    </row>
    <row r="538" spans="2:2" ht="12.5" x14ac:dyDescent="0.25">
      <c r="B538" s="34"/>
    </row>
    <row r="539" spans="2:2" ht="12.5" x14ac:dyDescent="0.25">
      <c r="B539" s="34"/>
    </row>
    <row r="540" spans="2:2" ht="12.5" x14ac:dyDescent="0.25">
      <c r="B540" s="34"/>
    </row>
    <row r="541" spans="2:2" ht="12.5" x14ac:dyDescent="0.25">
      <c r="B541" s="34"/>
    </row>
    <row r="542" spans="2:2" ht="12.5" x14ac:dyDescent="0.25">
      <c r="B542" s="34"/>
    </row>
    <row r="543" spans="2:2" ht="12.5" x14ac:dyDescent="0.25">
      <c r="B543" s="34"/>
    </row>
    <row r="544" spans="2:2" ht="12.5" x14ac:dyDescent="0.25">
      <c r="B544" s="34"/>
    </row>
    <row r="545" spans="2:2" ht="12.5" x14ac:dyDescent="0.25">
      <c r="B545" s="34"/>
    </row>
    <row r="546" spans="2:2" ht="12.5" x14ac:dyDescent="0.25">
      <c r="B546" s="34"/>
    </row>
    <row r="547" spans="2:2" ht="12.5" x14ac:dyDescent="0.25">
      <c r="B547" s="34"/>
    </row>
    <row r="548" spans="2:2" ht="12.5" x14ac:dyDescent="0.25">
      <c r="B548" s="34"/>
    </row>
    <row r="549" spans="2:2" ht="12.5" x14ac:dyDescent="0.25">
      <c r="B549" s="34"/>
    </row>
    <row r="550" spans="2:2" ht="12.5" x14ac:dyDescent="0.25">
      <c r="B550" s="34"/>
    </row>
    <row r="551" spans="2:2" ht="12.5" x14ac:dyDescent="0.25">
      <c r="B551" s="34"/>
    </row>
    <row r="552" spans="2:2" ht="12.5" x14ac:dyDescent="0.25">
      <c r="B552" s="34"/>
    </row>
    <row r="553" spans="2:2" ht="12.5" x14ac:dyDescent="0.25">
      <c r="B553" s="34"/>
    </row>
    <row r="554" spans="2:2" ht="12.5" x14ac:dyDescent="0.25">
      <c r="B554" s="34"/>
    </row>
    <row r="555" spans="2:2" ht="12.5" x14ac:dyDescent="0.25">
      <c r="B555" s="34"/>
    </row>
    <row r="556" spans="2:2" ht="12.5" x14ac:dyDescent="0.25">
      <c r="B556" s="34"/>
    </row>
    <row r="557" spans="2:2" ht="12.5" x14ac:dyDescent="0.25">
      <c r="B557" s="34"/>
    </row>
    <row r="558" spans="2:2" ht="12.5" x14ac:dyDescent="0.25">
      <c r="B558" s="34"/>
    </row>
    <row r="559" spans="2:2" ht="12.5" x14ac:dyDescent="0.25">
      <c r="B559" s="34"/>
    </row>
    <row r="560" spans="2:2" ht="12.5" x14ac:dyDescent="0.25">
      <c r="B560" s="34"/>
    </row>
    <row r="561" spans="2:2" ht="12.5" x14ac:dyDescent="0.25">
      <c r="B561" s="34"/>
    </row>
    <row r="562" spans="2:2" ht="12.5" x14ac:dyDescent="0.25">
      <c r="B562" s="34"/>
    </row>
    <row r="563" spans="2:2" ht="12.5" x14ac:dyDescent="0.25">
      <c r="B563" s="34"/>
    </row>
    <row r="564" spans="2:2" ht="12.5" x14ac:dyDescent="0.25">
      <c r="B564" s="34"/>
    </row>
    <row r="565" spans="2:2" ht="12.5" x14ac:dyDescent="0.25">
      <c r="B565" s="34"/>
    </row>
    <row r="566" spans="2:2" ht="12.5" x14ac:dyDescent="0.25">
      <c r="B566" s="34"/>
    </row>
    <row r="567" spans="2:2" ht="12.5" x14ac:dyDescent="0.25">
      <c r="B567" s="34"/>
    </row>
    <row r="568" spans="2:2" ht="12.5" x14ac:dyDescent="0.25">
      <c r="B568" s="34"/>
    </row>
    <row r="569" spans="2:2" ht="12.5" x14ac:dyDescent="0.25">
      <c r="B569" s="34"/>
    </row>
    <row r="570" spans="2:2" ht="12.5" x14ac:dyDescent="0.25">
      <c r="B570" s="34"/>
    </row>
    <row r="571" spans="2:2" ht="12.5" x14ac:dyDescent="0.25">
      <c r="B571" s="34"/>
    </row>
    <row r="572" spans="2:2" ht="12.5" x14ac:dyDescent="0.25">
      <c r="B572" s="34"/>
    </row>
    <row r="573" spans="2:2" ht="12.5" x14ac:dyDescent="0.25">
      <c r="B573" s="34"/>
    </row>
    <row r="574" spans="2:2" ht="12.5" x14ac:dyDescent="0.25">
      <c r="B574" s="34"/>
    </row>
    <row r="575" spans="2:2" ht="12.5" x14ac:dyDescent="0.25">
      <c r="B575" s="34"/>
    </row>
    <row r="576" spans="2:2" ht="12.5" x14ac:dyDescent="0.25">
      <c r="B576" s="34"/>
    </row>
    <row r="577" spans="2:2" ht="12.5" x14ac:dyDescent="0.25">
      <c r="B577" s="34"/>
    </row>
    <row r="578" spans="2:2" ht="12.5" x14ac:dyDescent="0.25">
      <c r="B578" s="34"/>
    </row>
    <row r="579" spans="2:2" ht="12.5" x14ac:dyDescent="0.25">
      <c r="B579" s="34"/>
    </row>
    <row r="580" spans="2:2" ht="12.5" x14ac:dyDescent="0.25">
      <c r="B580" s="34"/>
    </row>
    <row r="581" spans="2:2" ht="12.5" x14ac:dyDescent="0.25">
      <c r="B581" s="34"/>
    </row>
    <row r="582" spans="2:2" ht="12.5" x14ac:dyDescent="0.25">
      <c r="B582" s="34"/>
    </row>
    <row r="583" spans="2:2" ht="12.5" x14ac:dyDescent="0.25">
      <c r="B583" s="34"/>
    </row>
    <row r="584" spans="2:2" ht="12.5" x14ac:dyDescent="0.25">
      <c r="B584" s="34"/>
    </row>
    <row r="585" spans="2:2" ht="12.5" x14ac:dyDescent="0.25">
      <c r="B585" s="34"/>
    </row>
    <row r="586" spans="2:2" ht="12.5" x14ac:dyDescent="0.25">
      <c r="B586" s="34"/>
    </row>
    <row r="587" spans="2:2" ht="12.5" x14ac:dyDescent="0.25">
      <c r="B587" s="34"/>
    </row>
    <row r="588" spans="2:2" ht="12.5" x14ac:dyDescent="0.25">
      <c r="B588" s="34"/>
    </row>
    <row r="589" spans="2:2" ht="12.5" x14ac:dyDescent="0.25">
      <c r="B589" s="34"/>
    </row>
    <row r="590" spans="2:2" ht="12.5" x14ac:dyDescent="0.25">
      <c r="B590" s="34"/>
    </row>
    <row r="591" spans="2:2" ht="12.5" x14ac:dyDescent="0.25">
      <c r="B591" s="34"/>
    </row>
    <row r="592" spans="2:2" ht="12.5" x14ac:dyDescent="0.25">
      <c r="B592" s="34"/>
    </row>
    <row r="593" spans="2:2" ht="12.5" x14ac:dyDescent="0.25">
      <c r="B593" s="34"/>
    </row>
    <row r="594" spans="2:2" ht="12.5" x14ac:dyDescent="0.25">
      <c r="B594" s="34"/>
    </row>
    <row r="595" spans="2:2" ht="12.5" x14ac:dyDescent="0.25">
      <c r="B595" s="34"/>
    </row>
    <row r="596" spans="2:2" ht="12.5" x14ac:dyDescent="0.25">
      <c r="B596" s="34"/>
    </row>
    <row r="597" spans="2:2" ht="12.5" x14ac:dyDescent="0.25">
      <c r="B597" s="34"/>
    </row>
    <row r="598" spans="2:2" ht="12.5" x14ac:dyDescent="0.25">
      <c r="B598" s="34"/>
    </row>
    <row r="599" spans="2:2" ht="12.5" x14ac:dyDescent="0.25">
      <c r="B599" s="34"/>
    </row>
    <row r="600" spans="2:2" ht="12.5" x14ac:dyDescent="0.25">
      <c r="B600" s="34"/>
    </row>
    <row r="601" spans="2:2" ht="12.5" x14ac:dyDescent="0.25">
      <c r="B601" s="34"/>
    </row>
    <row r="602" spans="2:2" ht="12.5" x14ac:dyDescent="0.25">
      <c r="B602" s="34"/>
    </row>
    <row r="603" spans="2:2" ht="12.5" x14ac:dyDescent="0.25">
      <c r="B603" s="34"/>
    </row>
    <row r="604" spans="2:2" ht="12.5" x14ac:dyDescent="0.25">
      <c r="B604" s="34"/>
    </row>
    <row r="605" spans="2:2" ht="12.5" x14ac:dyDescent="0.25">
      <c r="B605" s="34"/>
    </row>
    <row r="606" spans="2:2" ht="12.5" x14ac:dyDescent="0.25">
      <c r="B606" s="34"/>
    </row>
    <row r="607" spans="2:2" ht="12.5" x14ac:dyDescent="0.25">
      <c r="B607" s="34"/>
    </row>
    <row r="608" spans="2:2" ht="12.5" x14ac:dyDescent="0.25">
      <c r="B608" s="34"/>
    </row>
    <row r="609" spans="2:2" ht="12.5" x14ac:dyDescent="0.25">
      <c r="B609" s="34"/>
    </row>
    <row r="610" spans="2:2" ht="12.5" x14ac:dyDescent="0.25">
      <c r="B610" s="34"/>
    </row>
    <row r="611" spans="2:2" ht="12.5" x14ac:dyDescent="0.25">
      <c r="B611" s="34"/>
    </row>
    <row r="612" spans="2:2" ht="12.5" x14ac:dyDescent="0.25">
      <c r="B612" s="34"/>
    </row>
    <row r="613" spans="2:2" ht="12.5" x14ac:dyDescent="0.25">
      <c r="B613" s="34"/>
    </row>
    <row r="614" spans="2:2" ht="12.5" x14ac:dyDescent="0.25">
      <c r="B614" s="34"/>
    </row>
    <row r="615" spans="2:2" ht="12.5" x14ac:dyDescent="0.25">
      <c r="B615" s="34"/>
    </row>
    <row r="616" spans="2:2" ht="12.5" x14ac:dyDescent="0.25">
      <c r="B616" s="34"/>
    </row>
    <row r="617" spans="2:2" ht="12.5" x14ac:dyDescent="0.25">
      <c r="B617" s="34"/>
    </row>
    <row r="618" spans="2:2" ht="12.5" x14ac:dyDescent="0.25">
      <c r="B618" s="34"/>
    </row>
    <row r="619" spans="2:2" ht="12.5" x14ac:dyDescent="0.25">
      <c r="B619" s="34"/>
    </row>
    <row r="620" spans="2:2" ht="12.5" x14ac:dyDescent="0.25">
      <c r="B620" s="34"/>
    </row>
    <row r="621" spans="2:2" ht="12.5" x14ac:dyDescent="0.25">
      <c r="B621" s="34"/>
    </row>
    <row r="622" spans="2:2" ht="12.5" x14ac:dyDescent="0.25">
      <c r="B622" s="34"/>
    </row>
    <row r="623" spans="2:2" ht="12.5" x14ac:dyDescent="0.25">
      <c r="B623" s="34"/>
    </row>
    <row r="624" spans="2:2" ht="12.5" x14ac:dyDescent="0.25">
      <c r="B624" s="34"/>
    </row>
    <row r="625" spans="2:2" ht="12.5" x14ac:dyDescent="0.25">
      <c r="B625" s="34"/>
    </row>
    <row r="626" spans="2:2" ht="12.5" x14ac:dyDescent="0.25">
      <c r="B626" s="34"/>
    </row>
    <row r="627" spans="2:2" ht="12.5" x14ac:dyDescent="0.25">
      <c r="B627" s="34"/>
    </row>
    <row r="628" spans="2:2" ht="12.5" x14ac:dyDescent="0.25">
      <c r="B628" s="34"/>
    </row>
    <row r="629" spans="2:2" ht="12.5" x14ac:dyDescent="0.25">
      <c r="B629" s="34"/>
    </row>
    <row r="630" spans="2:2" ht="12.5" x14ac:dyDescent="0.25">
      <c r="B630" s="34"/>
    </row>
    <row r="631" spans="2:2" ht="12.5" x14ac:dyDescent="0.25">
      <c r="B631" s="34"/>
    </row>
    <row r="632" spans="2:2" ht="12.5" x14ac:dyDescent="0.25">
      <c r="B632" s="34"/>
    </row>
    <row r="633" spans="2:2" ht="12.5" x14ac:dyDescent="0.25">
      <c r="B633" s="34"/>
    </row>
    <row r="634" spans="2:2" ht="12.5" x14ac:dyDescent="0.25">
      <c r="B634" s="34"/>
    </row>
    <row r="635" spans="2:2" ht="12.5" x14ac:dyDescent="0.25">
      <c r="B635" s="34"/>
    </row>
    <row r="636" spans="2:2" ht="12.5" x14ac:dyDescent="0.25">
      <c r="B636" s="34"/>
    </row>
    <row r="637" spans="2:2" ht="12.5" x14ac:dyDescent="0.25">
      <c r="B637" s="34"/>
    </row>
    <row r="638" spans="2:2" ht="12.5" x14ac:dyDescent="0.25">
      <c r="B638" s="34"/>
    </row>
    <row r="639" spans="2:2" ht="12.5" x14ac:dyDescent="0.25">
      <c r="B639" s="34"/>
    </row>
    <row r="640" spans="2:2" ht="12.5" x14ac:dyDescent="0.25">
      <c r="B640" s="34"/>
    </row>
    <row r="641" spans="2:2" ht="12.5" x14ac:dyDescent="0.25">
      <c r="B641" s="34"/>
    </row>
    <row r="642" spans="2:2" ht="12.5" x14ac:dyDescent="0.25">
      <c r="B642" s="34"/>
    </row>
    <row r="643" spans="2:2" ht="12.5" x14ac:dyDescent="0.25">
      <c r="B643" s="34"/>
    </row>
    <row r="644" spans="2:2" ht="12.5" x14ac:dyDescent="0.25">
      <c r="B644" s="34"/>
    </row>
    <row r="645" spans="2:2" ht="12.5" x14ac:dyDescent="0.25">
      <c r="B645" s="34"/>
    </row>
    <row r="646" spans="2:2" ht="12.5" x14ac:dyDescent="0.25">
      <c r="B646" s="34"/>
    </row>
    <row r="647" spans="2:2" ht="12.5" x14ac:dyDescent="0.25">
      <c r="B647" s="34"/>
    </row>
    <row r="648" spans="2:2" ht="12.5" x14ac:dyDescent="0.25">
      <c r="B648" s="34"/>
    </row>
    <row r="649" spans="2:2" ht="12.5" x14ac:dyDescent="0.25">
      <c r="B649" s="34"/>
    </row>
    <row r="650" spans="2:2" ht="12.5" x14ac:dyDescent="0.25">
      <c r="B650" s="34"/>
    </row>
    <row r="651" spans="2:2" ht="12.5" x14ac:dyDescent="0.25">
      <c r="B651" s="34"/>
    </row>
    <row r="652" spans="2:2" ht="12.5" x14ac:dyDescent="0.25">
      <c r="B652" s="34"/>
    </row>
    <row r="653" spans="2:2" ht="12.5" x14ac:dyDescent="0.25">
      <c r="B653" s="34"/>
    </row>
    <row r="654" spans="2:2" ht="12.5" x14ac:dyDescent="0.25">
      <c r="B654" s="34"/>
    </row>
    <row r="655" spans="2:2" ht="12.5" x14ac:dyDescent="0.25">
      <c r="B655" s="34"/>
    </row>
    <row r="656" spans="2:2" ht="12.5" x14ac:dyDescent="0.25">
      <c r="B656" s="34"/>
    </row>
    <row r="657" spans="2:2" ht="12.5" x14ac:dyDescent="0.25">
      <c r="B657" s="34"/>
    </row>
    <row r="658" spans="2:2" ht="12.5" x14ac:dyDescent="0.25">
      <c r="B658" s="34"/>
    </row>
    <row r="659" spans="2:2" ht="12.5" x14ac:dyDescent="0.25">
      <c r="B659" s="34"/>
    </row>
    <row r="660" spans="2:2" ht="12.5" x14ac:dyDescent="0.25">
      <c r="B660" s="34"/>
    </row>
    <row r="661" spans="2:2" ht="12.5" x14ac:dyDescent="0.25">
      <c r="B661" s="34"/>
    </row>
    <row r="662" spans="2:2" ht="12.5" x14ac:dyDescent="0.25">
      <c r="B662" s="34"/>
    </row>
    <row r="663" spans="2:2" ht="12.5" x14ac:dyDescent="0.25">
      <c r="B663" s="34"/>
    </row>
    <row r="664" spans="2:2" ht="12.5" x14ac:dyDescent="0.25">
      <c r="B664" s="34"/>
    </row>
    <row r="665" spans="2:2" ht="12.5" x14ac:dyDescent="0.25">
      <c r="B665" s="34"/>
    </row>
    <row r="666" spans="2:2" ht="12.5" x14ac:dyDescent="0.25">
      <c r="B666" s="34"/>
    </row>
    <row r="667" spans="2:2" ht="12.5" x14ac:dyDescent="0.25">
      <c r="B667" s="34"/>
    </row>
    <row r="668" spans="2:2" ht="12.5" x14ac:dyDescent="0.25">
      <c r="B668" s="34"/>
    </row>
    <row r="669" spans="2:2" ht="12.5" x14ac:dyDescent="0.25">
      <c r="B669" s="34"/>
    </row>
    <row r="670" spans="2:2" ht="12.5" x14ac:dyDescent="0.25">
      <c r="B670" s="34"/>
    </row>
    <row r="671" spans="2:2" ht="12.5" x14ac:dyDescent="0.25">
      <c r="B671" s="34"/>
    </row>
    <row r="672" spans="2:2" ht="12.5" x14ac:dyDescent="0.25">
      <c r="B672" s="34"/>
    </row>
    <row r="673" spans="2:2" ht="12.5" x14ac:dyDescent="0.25">
      <c r="B673" s="34"/>
    </row>
    <row r="674" spans="2:2" ht="12.5" x14ac:dyDescent="0.25">
      <c r="B674" s="34"/>
    </row>
    <row r="675" spans="2:2" ht="12.5" x14ac:dyDescent="0.25">
      <c r="B675" s="34"/>
    </row>
    <row r="676" spans="2:2" ht="12.5" x14ac:dyDescent="0.25">
      <c r="B676" s="34"/>
    </row>
    <row r="677" spans="2:2" ht="12.5" x14ac:dyDescent="0.25">
      <c r="B677" s="34"/>
    </row>
    <row r="678" spans="2:2" ht="12.5" x14ac:dyDescent="0.25">
      <c r="B678" s="34"/>
    </row>
    <row r="679" spans="2:2" ht="12.5" x14ac:dyDescent="0.25">
      <c r="B679" s="34"/>
    </row>
    <row r="680" spans="2:2" ht="12.5" x14ac:dyDescent="0.25">
      <c r="B680" s="34"/>
    </row>
    <row r="681" spans="2:2" ht="12.5" x14ac:dyDescent="0.25">
      <c r="B681" s="34"/>
    </row>
    <row r="682" spans="2:2" ht="12.5" x14ac:dyDescent="0.25">
      <c r="B682" s="34"/>
    </row>
    <row r="683" spans="2:2" ht="12.5" x14ac:dyDescent="0.25">
      <c r="B683" s="34"/>
    </row>
    <row r="684" spans="2:2" ht="12.5" x14ac:dyDescent="0.25">
      <c r="B684" s="34"/>
    </row>
    <row r="685" spans="2:2" ht="12.5" x14ac:dyDescent="0.25">
      <c r="B685" s="34"/>
    </row>
    <row r="686" spans="2:2" ht="12.5" x14ac:dyDescent="0.25">
      <c r="B686" s="34"/>
    </row>
    <row r="687" spans="2:2" ht="12.5" x14ac:dyDescent="0.25">
      <c r="B687" s="34"/>
    </row>
    <row r="688" spans="2:2" ht="12.5" x14ac:dyDescent="0.25">
      <c r="B688" s="34"/>
    </row>
    <row r="689" spans="2:2" ht="12.5" x14ac:dyDescent="0.25">
      <c r="B689" s="34"/>
    </row>
    <row r="690" spans="2:2" ht="12.5" x14ac:dyDescent="0.25">
      <c r="B690" s="34"/>
    </row>
    <row r="691" spans="2:2" ht="12.5" x14ac:dyDescent="0.25">
      <c r="B691" s="34"/>
    </row>
    <row r="692" spans="2:2" ht="12.5" x14ac:dyDescent="0.25">
      <c r="B692" s="34"/>
    </row>
    <row r="693" spans="2:2" ht="12.5" x14ac:dyDescent="0.25">
      <c r="B693" s="34"/>
    </row>
    <row r="694" spans="2:2" ht="12.5" x14ac:dyDescent="0.25">
      <c r="B694" s="34"/>
    </row>
    <row r="695" spans="2:2" ht="12.5" x14ac:dyDescent="0.25">
      <c r="B695" s="34"/>
    </row>
    <row r="696" spans="2:2" ht="12.5" x14ac:dyDescent="0.25">
      <c r="B696" s="34"/>
    </row>
    <row r="697" spans="2:2" ht="12.5" x14ac:dyDescent="0.25">
      <c r="B697" s="34"/>
    </row>
    <row r="698" spans="2:2" ht="12.5" x14ac:dyDescent="0.25">
      <c r="B698" s="34"/>
    </row>
    <row r="699" spans="2:2" ht="12.5" x14ac:dyDescent="0.25">
      <c r="B699" s="34"/>
    </row>
    <row r="700" spans="2:2" ht="12.5" x14ac:dyDescent="0.25">
      <c r="B700" s="34"/>
    </row>
    <row r="701" spans="2:2" ht="12.5" x14ac:dyDescent="0.25">
      <c r="B701" s="34"/>
    </row>
    <row r="702" spans="2:2" ht="12.5" x14ac:dyDescent="0.25">
      <c r="B702" s="34"/>
    </row>
    <row r="703" spans="2:2" ht="12.5" x14ac:dyDescent="0.25">
      <c r="B703" s="34"/>
    </row>
    <row r="704" spans="2:2" ht="12.5" x14ac:dyDescent="0.25">
      <c r="B704" s="34"/>
    </row>
    <row r="705" spans="2:2" ht="12.5" x14ac:dyDescent="0.25">
      <c r="B705" s="34"/>
    </row>
    <row r="706" spans="2:2" ht="12.5" x14ac:dyDescent="0.25">
      <c r="B706" s="34"/>
    </row>
    <row r="707" spans="2:2" ht="12.5" x14ac:dyDescent="0.25">
      <c r="B707" s="34"/>
    </row>
    <row r="708" spans="2:2" ht="12.5" x14ac:dyDescent="0.25">
      <c r="B708" s="34"/>
    </row>
    <row r="709" spans="2:2" ht="12.5" x14ac:dyDescent="0.25">
      <c r="B709" s="34"/>
    </row>
    <row r="710" spans="2:2" ht="12.5" x14ac:dyDescent="0.25">
      <c r="B710" s="34"/>
    </row>
    <row r="711" spans="2:2" ht="12.5" x14ac:dyDescent="0.25">
      <c r="B711" s="34"/>
    </row>
    <row r="712" spans="2:2" ht="12.5" x14ac:dyDescent="0.25">
      <c r="B712" s="34"/>
    </row>
    <row r="713" spans="2:2" ht="12.5" x14ac:dyDescent="0.25">
      <c r="B713" s="34"/>
    </row>
    <row r="714" spans="2:2" ht="12.5" x14ac:dyDescent="0.25">
      <c r="B714" s="34"/>
    </row>
    <row r="715" spans="2:2" ht="12.5" x14ac:dyDescent="0.25">
      <c r="B715" s="34"/>
    </row>
    <row r="716" spans="2:2" ht="12.5" x14ac:dyDescent="0.25">
      <c r="B716" s="34"/>
    </row>
    <row r="717" spans="2:2" ht="12.5" x14ac:dyDescent="0.25">
      <c r="B717" s="34"/>
    </row>
    <row r="718" spans="2:2" ht="12.5" x14ac:dyDescent="0.25">
      <c r="B718" s="34"/>
    </row>
    <row r="719" spans="2:2" ht="12.5" x14ac:dyDescent="0.25">
      <c r="B719" s="34"/>
    </row>
    <row r="720" spans="2:2" ht="12.5" x14ac:dyDescent="0.25">
      <c r="B720" s="34"/>
    </row>
    <row r="721" spans="2:2" ht="12.5" x14ac:dyDescent="0.25">
      <c r="B721" s="34"/>
    </row>
    <row r="722" spans="2:2" ht="12.5" x14ac:dyDescent="0.25">
      <c r="B722" s="34"/>
    </row>
    <row r="723" spans="2:2" ht="12.5" x14ac:dyDescent="0.25">
      <c r="B723" s="34"/>
    </row>
    <row r="724" spans="2:2" ht="12.5" x14ac:dyDescent="0.25">
      <c r="B724" s="34"/>
    </row>
    <row r="725" spans="2:2" ht="12.5" x14ac:dyDescent="0.25">
      <c r="B725" s="34"/>
    </row>
    <row r="726" spans="2:2" ht="12.5" x14ac:dyDescent="0.25">
      <c r="B726" s="34"/>
    </row>
    <row r="727" spans="2:2" ht="12.5" x14ac:dyDescent="0.25">
      <c r="B727" s="34"/>
    </row>
    <row r="728" spans="2:2" ht="12.5" x14ac:dyDescent="0.25">
      <c r="B728" s="34"/>
    </row>
    <row r="729" spans="2:2" ht="12.5" x14ac:dyDescent="0.25">
      <c r="B729" s="34"/>
    </row>
    <row r="730" spans="2:2" ht="12.5" x14ac:dyDescent="0.25">
      <c r="B730" s="34"/>
    </row>
    <row r="731" spans="2:2" ht="12.5" x14ac:dyDescent="0.25">
      <c r="B731" s="34"/>
    </row>
    <row r="732" spans="2:2" ht="12.5" x14ac:dyDescent="0.25">
      <c r="B732" s="34"/>
    </row>
    <row r="733" spans="2:2" ht="12.5" x14ac:dyDescent="0.25">
      <c r="B733" s="34"/>
    </row>
    <row r="734" spans="2:2" ht="12.5" x14ac:dyDescent="0.25">
      <c r="B734" s="34"/>
    </row>
    <row r="735" spans="2:2" ht="12.5" x14ac:dyDescent="0.25">
      <c r="B735" s="34"/>
    </row>
    <row r="736" spans="2:2" ht="12.5" x14ac:dyDescent="0.25">
      <c r="B736" s="34"/>
    </row>
    <row r="737" spans="2:2" ht="12.5" x14ac:dyDescent="0.25">
      <c r="B737" s="34"/>
    </row>
    <row r="738" spans="2:2" ht="12.5" x14ac:dyDescent="0.25">
      <c r="B738" s="34"/>
    </row>
    <row r="739" spans="2:2" ht="12.5" x14ac:dyDescent="0.25">
      <c r="B739" s="34"/>
    </row>
    <row r="740" spans="2:2" ht="12.5" x14ac:dyDescent="0.25">
      <c r="B740" s="34"/>
    </row>
    <row r="741" spans="2:2" ht="12.5" x14ac:dyDescent="0.25">
      <c r="B741" s="34"/>
    </row>
    <row r="742" spans="2:2" ht="12.5" x14ac:dyDescent="0.25">
      <c r="B742" s="34"/>
    </row>
    <row r="743" spans="2:2" ht="12.5" x14ac:dyDescent="0.25">
      <c r="B743" s="34"/>
    </row>
    <row r="744" spans="2:2" ht="12.5" x14ac:dyDescent="0.25">
      <c r="B744" s="34"/>
    </row>
    <row r="745" spans="2:2" ht="12.5" x14ac:dyDescent="0.25">
      <c r="B745" s="34"/>
    </row>
    <row r="746" spans="2:2" ht="12.5" x14ac:dyDescent="0.25">
      <c r="B746" s="34"/>
    </row>
    <row r="747" spans="2:2" ht="12.5" x14ac:dyDescent="0.25">
      <c r="B747" s="34"/>
    </row>
    <row r="748" spans="2:2" ht="12.5" x14ac:dyDescent="0.25">
      <c r="B748" s="34"/>
    </row>
    <row r="749" spans="2:2" ht="12.5" x14ac:dyDescent="0.25">
      <c r="B749" s="34"/>
    </row>
    <row r="750" spans="2:2" ht="12.5" x14ac:dyDescent="0.25">
      <c r="B750" s="34"/>
    </row>
    <row r="751" spans="2:2" ht="12.5" x14ac:dyDescent="0.25">
      <c r="B751" s="34"/>
    </row>
    <row r="752" spans="2:2" ht="12.5" x14ac:dyDescent="0.25">
      <c r="B752" s="34"/>
    </row>
    <row r="753" spans="2:2" ht="12.5" x14ac:dyDescent="0.25">
      <c r="B753" s="34"/>
    </row>
    <row r="754" spans="2:2" ht="12.5" x14ac:dyDescent="0.25">
      <c r="B754" s="34"/>
    </row>
    <row r="755" spans="2:2" ht="12.5" x14ac:dyDescent="0.25">
      <c r="B755" s="34"/>
    </row>
    <row r="756" spans="2:2" ht="12.5" x14ac:dyDescent="0.25">
      <c r="B756" s="34"/>
    </row>
    <row r="757" spans="2:2" ht="12.5" x14ac:dyDescent="0.25">
      <c r="B757" s="34"/>
    </row>
    <row r="758" spans="2:2" ht="12.5" x14ac:dyDescent="0.25">
      <c r="B758" s="34"/>
    </row>
    <row r="759" spans="2:2" ht="12.5" x14ac:dyDescent="0.25">
      <c r="B759" s="34"/>
    </row>
    <row r="760" spans="2:2" ht="12.5" x14ac:dyDescent="0.25">
      <c r="B760" s="34"/>
    </row>
    <row r="761" spans="2:2" ht="12.5" x14ac:dyDescent="0.25">
      <c r="B761" s="34"/>
    </row>
    <row r="762" spans="2:2" ht="12.5" x14ac:dyDescent="0.25">
      <c r="B762" s="34"/>
    </row>
    <row r="763" spans="2:2" ht="12.5" x14ac:dyDescent="0.25">
      <c r="B763" s="34"/>
    </row>
    <row r="764" spans="2:2" ht="12.5" x14ac:dyDescent="0.25">
      <c r="B764" s="34"/>
    </row>
    <row r="765" spans="2:2" ht="12.5" x14ac:dyDescent="0.25">
      <c r="B765" s="34"/>
    </row>
    <row r="766" spans="2:2" ht="12.5" x14ac:dyDescent="0.25">
      <c r="B766" s="34"/>
    </row>
    <row r="767" spans="2:2" ht="12.5" x14ac:dyDescent="0.25">
      <c r="B767" s="34"/>
    </row>
    <row r="768" spans="2:2" ht="12.5" x14ac:dyDescent="0.25">
      <c r="B768" s="34"/>
    </row>
    <row r="769" spans="2:2" ht="12.5" x14ac:dyDescent="0.25">
      <c r="B769" s="34"/>
    </row>
    <row r="770" spans="2:2" ht="12.5" x14ac:dyDescent="0.25">
      <c r="B770" s="34"/>
    </row>
    <row r="771" spans="2:2" ht="12.5" x14ac:dyDescent="0.25">
      <c r="B771" s="34"/>
    </row>
    <row r="772" spans="2:2" ht="12.5" x14ac:dyDescent="0.25">
      <c r="B772" s="34"/>
    </row>
    <row r="773" spans="2:2" ht="12.5" x14ac:dyDescent="0.25">
      <c r="B773" s="34"/>
    </row>
    <row r="774" spans="2:2" ht="12.5" x14ac:dyDescent="0.25">
      <c r="B774" s="34"/>
    </row>
    <row r="775" spans="2:2" ht="12.5" x14ac:dyDescent="0.25">
      <c r="B775" s="34"/>
    </row>
    <row r="776" spans="2:2" ht="12.5" x14ac:dyDescent="0.25">
      <c r="B776" s="34"/>
    </row>
    <row r="777" spans="2:2" ht="12.5" x14ac:dyDescent="0.25">
      <c r="B777" s="34"/>
    </row>
    <row r="778" spans="2:2" ht="12.5" x14ac:dyDescent="0.25">
      <c r="B778" s="34"/>
    </row>
    <row r="779" spans="2:2" ht="12.5" x14ac:dyDescent="0.25">
      <c r="B779" s="34"/>
    </row>
    <row r="780" spans="2:2" ht="12.5" x14ac:dyDescent="0.25">
      <c r="B780" s="34"/>
    </row>
    <row r="781" spans="2:2" ht="12.5" x14ac:dyDescent="0.25">
      <c r="B781" s="34"/>
    </row>
    <row r="782" spans="2:2" ht="12.5" x14ac:dyDescent="0.25">
      <c r="B782" s="34"/>
    </row>
    <row r="783" spans="2:2" ht="12.5" x14ac:dyDescent="0.25">
      <c r="B783" s="34"/>
    </row>
    <row r="784" spans="2:2" ht="12.5" x14ac:dyDescent="0.25">
      <c r="B784" s="34"/>
    </row>
    <row r="785" spans="2:2" ht="12.5" x14ac:dyDescent="0.25">
      <c r="B785" s="34"/>
    </row>
    <row r="786" spans="2:2" ht="12.5" x14ac:dyDescent="0.25">
      <c r="B786" s="34"/>
    </row>
    <row r="787" spans="2:2" ht="12.5" x14ac:dyDescent="0.25">
      <c r="B787" s="34"/>
    </row>
    <row r="788" spans="2:2" ht="12.5" x14ac:dyDescent="0.25">
      <c r="B788" s="34"/>
    </row>
    <row r="789" spans="2:2" ht="12.5" x14ac:dyDescent="0.25">
      <c r="B789" s="34"/>
    </row>
    <row r="790" spans="2:2" ht="12.5" x14ac:dyDescent="0.25">
      <c r="B790" s="34"/>
    </row>
    <row r="791" spans="2:2" ht="12.5" x14ac:dyDescent="0.25">
      <c r="B791" s="34"/>
    </row>
    <row r="792" spans="2:2" ht="12.5" x14ac:dyDescent="0.25">
      <c r="B792" s="34"/>
    </row>
    <row r="793" spans="2:2" ht="12.5" x14ac:dyDescent="0.25">
      <c r="B793" s="34"/>
    </row>
    <row r="794" spans="2:2" ht="12.5" x14ac:dyDescent="0.25">
      <c r="B794" s="34"/>
    </row>
    <row r="795" spans="2:2" ht="12.5" x14ac:dyDescent="0.25">
      <c r="B795" s="34"/>
    </row>
    <row r="796" spans="2:2" ht="12.5" x14ac:dyDescent="0.25">
      <c r="B796" s="34"/>
    </row>
    <row r="797" spans="2:2" ht="12.5" x14ac:dyDescent="0.25">
      <c r="B797" s="34"/>
    </row>
    <row r="798" spans="2:2" ht="12.5" x14ac:dyDescent="0.25">
      <c r="B798" s="34"/>
    </row>
    <row r="799" spans="2:2" ht="12.5" x14ac:dyDescent="0.25">
      <c r="B799" s="34"/>
    </row>
    <row r="800" spans="2:2" ht="12.5" x14ac:dyDescent="0.25">
      <c r="B800" s="34"/>
    </row>
    <row r="801" spans="2:2" ht="12.5" x14ac:dyDescent="0.25">
      <c r="B801" s="34"/>
    </row>
    <row r="802" spans="2:2" ht="12.5" x14ac:dyDescent="0.25">
      <c r="B802" s="34"/>
    </row>
    <row r="803" spans="2:2" ht="12.5" x14ac:dyDescent="0.25">
      <c r="B803" s="34"/>
    </row>
    <row r="804" spans="2:2" ht="12.5" x14ac:dyDescent="0.25">
      <c r="B804" s="34"/>
    </row>
    <row r="805" spans="2:2" ht="12.5" x14ac:dyDescent="0.25">
      <c r="B805" s="34"/>
    </row>
    <row r="806" spans="2:2" ht="12.5" x14ac:dyDescent="0.25">
      <c r="B806" s="34"/>
    </row>
    <row r="807" spans="2:2" ht="12.5" x14ac:dyDescent="0.25">
      <c r="B807" s="34"/>
    </row>
    <row r="808" spans="2:2" ht="12.5" x14ac:dyDescent="0.25">
      <c r="B808" s="34"/>
    </row>
    <row r="809" spans="2:2" ht="12.5" x14ac:dyDescent="0.25">
      <c r="B809" s="34"/>
    </row>
    <row r="810" spans="2:2" ht="12.5" x14ac:dyDescent="0.25">
      <c r="B810" s="34"/>
    </row>
    <row r="811" spans="2:2" ht="12.5" x14ac:dyDescent="0.25">
      <c r="B811" s="34"/>
    </row>
    <row r="812" spans="2:2" ht="12.5" x14ac:dyDescent="0.25">
      <c r="B812" s="34"/>
    </row>
    <row r="813" spans="2:2" ht="12.5" x14ac:dyDescent="0.25">
      <c r="B813" s="34"/>
    </row>
    <row r="814" spans="2:2" ht="12.5" x14ac:dyDescent="0.25">
      <c r="B814" s="34"/>
    </row>
    <row r="815" spans="2:2" ht="12.5" x14ac:dyDescent="0.25">
      <c r="B815" s="34"/>
    </row>
    <row r="816" spans="2:2" ht="12.5" x14ac:dyDescent="0.25">
      <c r="B816" s="34"/>
    </row>
    <row r="817" spans="2:2" ht="12.5" x14ac:dyDescent="0.25">
      <c r="B817" s="34"/>
    </row>
    <row r="818" spans="2:2" ht="12.5" x14ac:dyDescent="0.25">
      <c r="B818" s="34"/>
    </row>
    <row r="819" spans="2:2" ht="12.5" x14ac:dyDescent="0.25">
      <c r="B819" s="34"/>
    </row>
    <row r="820" spans="2:2" ht="12.5" x14ac:dyDescent="0.25">
      <c r="B820" s="34"/>
    </row>
    <row r="821" spans="2:2" ht="12.5" x14ac:dyDescent="0.25">
      <c r="B821" s="34"/>
    </row>
    <row r="822" spans="2:2" ht="12.5" x14ac:dyDescent="0.25">
      <c r="B822" s="34"/>
    </row>
    <row r="823" spans="2:2" ht="12.5" x14ac:dyDescent="0.25">
      <c r="B823" s="34"/>
    </row>
    <row r="824" spans="2:2" ht="12.5" x14ac:dyDescent="0.25">
      <c r="B824" s="34"/>
    </row>
    <row r="825" spans="2:2" ht="12.5" x14ac:dyDescent="0.25">
      <c r="B825" s="34"/>
    </row>
    <row r="826" spans="2:2" ht="12.5" x14ac:dyDescent="0.25">
      <c r="B826" s="34"/>
    </row>
    <row r="827" spans="2:2" ht="12.5" x14ac:dyDescent="0.25">
      <c r="B827" s="34"/>
    </row>
    <row r="828" spans="2:2" ht="12.5" x14ac:dyDescent="0.25">
      <c r="B828" s="34"/>
    </row>
    <row r="829" spans="2:2" ht="12.5" x14ac:dyDescent="0.25">
      <c r="B829" s="34"/>
    </row>
    <row r="830" spans="2:2" ht="12.5" x14ac:dyDescent="0.25">
      <c r="B830" s="34"/>
    </row>
    <row r="831" spans="2:2" ht="12.5" x14ac:dyDescent="0.25">
      <c r="B831" s="34"/>
    </row>
    <row r="832" spans="2:2" ht="12.5" x14ac:dyDescent="0.25">
      <c r="B832" s="34"/>
    </row>
    <row r="833" spans="2:2" ht="12.5" x14ac:dyDescent="0.25">
      <c r="B833" s="34"/>
    </row>
    <row r="834" spans="2:2" ht="12.5" x14ac:dyDescent="0.25">
      <c r="B834" s="34"/>
    </row>
    <row r="835" spans="2:2" ht="12.5" x14ac:dyDescent="0.25">
      <c r="B835" s="34"/>
    </row>
    <row r="836" spans="2:2" ht="12.5" x14ac:dyDescent="0.25">
      <c r="B836" s="34"/>
    </row>
    <row r="837" spans="2:2" ht="12.5" x14ac:dyDescent="0.25">
      <c r="B837" s="34"/>
    </row>
    <row r="838" spans="2:2" ht="12.5" x14ac:dyDescent="0.25">
      <c r="B838" s="34"/>
    </row>
    <row r="839" spans="2:2" ht="12.5" x14ac:dyDescent="0.25">
      <c r="B839" s="34"/>
    </row>
    <row r="840" spans="2:2" ht="12.5" x14ac:dyDescent="0.25">
      <c r="B840" s="34"/>
    </row>
    <row r="841" spans="2:2" ht="12.5" x14ac:dyDescent="0.25">
      <c r="B841" s="34"/>
    </row>
    <row r="842" spans="2:2" ht="12.5" x14ac:dyDescent="0.25">
      <c r="B842" s="34"/>
    </row>
    <row r="843" spans="2:2" ht="12.5" x14ac:dyDescent="0.25">
      <c r="B843" s="34"/>
    </row>
    <row r="844" spans="2:2" ht="12.5" x14ac:dyDescent="0.25">
      <c r="B844" s="34"/>
    </row>
    <row r="845" spans="2:2" ht="12.5" x14ac:dyDescent="0.25">
      <c r="B845" s="34"/>
    </row>
    <row r="846" spans="2:2" ht="12.5" x14ac:dyDescent="0.25">
      <c r="B846" s="34"/>
    </row>
    <row r="847" spans="2:2" ht="12.5" x14ac:dyDescent="0.25">
      <c r="B847" s="34"/>
    </row>
    <row r="848" spans="2:2" ht="12.5" x14ac:dyDescent="0.25">
      <c r="B848" s="34"/>
    </row>
    <row r="849" spans="2:2" ht="12.5" x14ac:dyDescent="0.25">
      <c r="B849" s="34"/>
    </row>
    <row r="850" spans="2:2" ht="12.5" x14ac:dyDescent="0.25">
      <c r="B850" s="34"/>
    </row>
    <row r="851" spans="2:2" ht="12.5" x14ac:dyDescent="0.25">
      <c r="B851" s="34"/>
    </row>
    <row r="852" spans="2:2" ht="12.5" x14ac:dyDescent="0.25">
      <c r="B852" s="34"/>
    </row>
    <row r="853" spans="2:2" ht="12.5" x14ac:dyDescent="0.25">
      <c r="B853" s="34"/>
    </row>
    <row r="854" spans="2:2" ht="12.5" x14ac:dyDescent="0.25">
      <c r="B854" s="34"/>
    </row>
    <row r="855" spans="2:2" ht="12.5" x14ac:dyDescent="0.25">
      <c r="B855" s="34"/>
    </row>
    <row r="856" spans="2:2" ht="12.5" x14ac:dyDescent="0.25">
      <c r="B856" s="34"/>
    </row>
    <row r="857" spans="2:2" ht="12.5" x14ac:dyDescent="0.25">
      <c r="B857" s="34"/>
    </row>
    <row r="858" spans="2:2" ht="12.5" x14ac:dyDescent="0.25">
      <c r="B858" s="34"/>
    </row>
    <row r="859" spans="2:2" ht="12.5" x14ac:dyDescent="0.25">
      <c r="B859" s="34"/>
    </row>
    <row r="860" spans="2:2" ht="12.5" x14ac:dyDescent="0.25">
      <c r="B860" s="34"/>
    </row>
    <row r="861" spans="2:2" ht="12.5" x14ac:dyDescent="0.25">
      <c r="B861" s="34"/>
    </row>
    <row r="862" spans="2:2" ht="12.5" x14ac:dyDescent="0.25">
      <c r="B862" s="34"/>
    </row>
    <row r="863" spans="2:2" ht="12.5" x14ac:dyDescent="0.25">
      <c r="B863" s="34"/>
    </row>
    <row r="864" spans="2:2" ht="12.5" x14ac:dyDescent="0.25">
      <c r="B864" s="34"/>
    </row>
    <row r="865" spans="2:2" ht="12.5" x14ac:dyDescent="0.25">
      <c r="B865" s="34"/>
    </row>
    <row r="866" spans="2:2" ht="12.5" x14ac:dyDescent="0.25">
      <c r="B866" s="34"/>
    </row>
    <row r="867" spans="2:2" ht="12.5" x14ac:dyDescent="0.25">
      <c r="B867" s="34"/>
    </row>
    <row r="868" spans="2:2" ht="12.5" x14ac:dyDescent="0.25">
      <c r="B868" s="34"/>
    </row>
    <row r="869" spans="2:2" ht="12.5" x14ac:dyDescent="0.25">
      <c r="B869" s="34"/>
    </row>
    <row r="870" spans="2:2" ht="12.5" x14ac:dyDescent="0.25">
      <c r="B870" s="34"/>
    </row>
    <row r="871" spans="2:2" ht="12.5" x14ac:dyDescent="0.25">
      <c r="B871" s="34"/>
    </row>
    <row r="872" spans="2:2" ht="12.5" x14ac:dyDescent="0.25">
      <c r="B872" s="34"/>
    </row>
    <row r="873" spans="2:2" ht="12.5" x14ac:dyDescent="0.25">
      <c r="B873" s="34"/>
    </row>
    <row r="874" spans="2:2" ht="12.5" x14ac:dyDescent="0.25">
      <c r="B874" s="34"/>
    </row>
    <row r="875" spans="2:2" ht="12.5" x14ac:dyDescent="0.25">
      <c r="B875" s="34"/>
    </row>
    <row r="876" spans="2:2" ht="12.5" x14ac:dyDescent="0.25">
      <c r="B876" s="34"/>
    </row>
    <row r="877" spans="2:2" ht="12.5" x14ac:dyDescent="0.25">
      <c r="B877" s="34"/>
    </row>
    <row r="878" spans="2:2" ht="12.5" x14ac:dyDescent="0.25">
      <c r="B878" s="34"/>
    </row>
    <row r="879" spans="2:2" ht="12.5" x14ac:dyDescent="0.25">
      <c r="B879" s="34"/>
    </row>
    <row r="880" spans="2:2" ht="12.5" x14ac:dyDescent="0.25">
      <c r="B880" s="34"/>
    </row>
    <row r="881" spans="2:2" ht="12.5" x14ac:dyDescent="0.25">
      <c r="B881" s="34"/>
    </row>
    <row r="882" spans="2:2" ht="12.5" x14ac:dyDescent="0.25">
      <c r="B882" s="34"/>
    </row>
    <row r="883" spans="2:2" ht="12.5" x14ac:dyDescent="0.25">
      <c r="B883" s="34"/>
    </row>
    <row r="884" spans="2:2" ht="12.5" x14ac:dyDescent="0.25">
      <c r="B884" s="34"/>
    </row>
    <row r="885" spans="2:2" ht="12.5" x14ac:dyDescent="0.25">
      <c r="B885" s="34"/>
    </row>
    <row r="886" spans="2:2" ht="12.5" x14ac:dyDescent="0.25">
      <c r="B886" s="34"/>
    </row>
    <row r="887" spans="2:2" ht="12.5" x14ac:dyDescent="0.25">
      <c r="B887" s="34"/>
    </row>
    <row r="888" spans="2:2" ht="12.5" x14ac:dyDescent="0.25">
      <c r="B888" s="34"/>
    </row>
    <row r="889" spans="2:2" ht="12.5" x14ac:dyDescent="0.25">
      <c r="B889" s="34"/>
    </row>
    <row r="890" spans="2:2" ht="12.5" x14ac:dyDescent="0.25">
      <c r="B890" s="34"/>
    </row>
    <row r="891" spans="2:2" ht="12.5" x14ac:dyDescent="0.25">
      <c r="B891" s="34"/>
    </row>
    <row r="892" spans="2:2" ht="12.5" x14ac:dyDescent="0.25">
      <c r="B892" s="34"/>
    </row>
    <row r="893" spans="2:2" ht="12.5" x14ac:dyDescent="0.25">
      <c r="B893" s="34"/>
    </row>
    <row r="894" spans="2:2" ht="12.5" x14ac:dyDescent="0.25">
      <c r="B894" s="34"/>
    </row>
    <row r="895" spans="2:2" ht="12.5" x14ac:dyDescent="0.25">
      <c r="B895" s="34"/>
    </row>
    <row r="896" spans="2:2" ht="12.5" x14ac:dyDescent="0.25">
      <c r="B896" s="34"/>
    </row>
    <row r="897" spans="2:2" ht="12.5" x14ac:dyDescent="0.25">
      <c r="B897" s="34"/>
    </row>
    <row r="898" spans="2:2" ht="12.5" x14ac:dyDescent="0.25">
      <c r="B898" s="34"/>
    </row>
    <row r="899" spans="2:2" ht="12.5" x14ac:dyDescent="0.25">
      <c r="B899" s="34"/>
    </row>
    <row r="900" spans="2:2" ht="12.5" x14ac:dyDescent="0.25">
      <c r="B900" s="34"/>
    </row>
    <row r="901" spans="2:2" ht="12.5" x14ac:dyDescent="0.25">
      <c r="B901" s="34"/>
    </row>
    <row r="902" spans="2:2" ht="12.5" x14ac:dyDescent="0.25">
      <c r="B902" s="34"/>
    </row>
    <row r="903" spans="2:2" ht="12.5" x14ac:dyDescent="0.25">
      <c r="B903" s="34"/>
    </row>
    <row r="904" spans="2:2" ht="12.5" x14ac:dyDescent="0.25">
      <c r="B904" s="34"/>
    </row>
    <row r="905" spans="2:2" ht="12.5" x14ac:dyDescent="0.25">
      <c r="B905" s="34"/>
    </row>
    <row r="906" spans="2:2" ht="12.5" x14ac:dyDescent="0.25">
      <c r="B906" s="34"/>
    </row>
    <row r="907" spans="2:2" ht="12.5" x14ac:dyDescent="0.25">
      <c r="B907" s="34"/>
    </row>
    <row r="908" spans="2:2" ht="12.5" x14ac:dyDescent="0.25">
      <c r="B908" s="34"/>
    </row>
    <row r="909" spans="2:2" ht="12.5" x14ac:dyDescent="0.25">
      <c r="B909" s="34"/>
    </row>
    <row r="910" spans="2:2" ht="12.5" x14ac:dyDescent="0.25">
      <c r="B910" s="34"/>
    </row>
    <row r="911" spans="2:2" ht="12.5" x14ac:dyDescent="0.25">
      <c r="B911" s="34"/>
    </row>
    <row r="912" spans="2:2" ht="12.5" x14ac:dyDescent="0.25">
      <c r="B912" s="34"/>
    </row>
    <row r="913" spans="2:2" ht="12.5" x14ac:dyDescent="0.25">
      <c r="B913" s="34"/>
    </row>
    <row r="914" spans="2:2" ht="12.5" x14ac:dyDescent="0.25">
      <c r="B914" s="34"/>
    </row>
    <row r="915" spans="2:2" ht="12.5" x14ac:dyDescent="0.25">
      <c r="B915" s="34"/>
    </row>
    <row r="916" spans="2:2" ht="12.5" x14ac:dyDescent="0.25">
      <c r="B916" s="34"/>
    </row>
    <row r="917" spans="2:2" ht="12.5" x14ac:dyDescent="0.25">
      <c r="B917" s="34"/>
    </row>
    <row r="918" spans="2:2" ht="12.5" x14ac:dyDescent="0.25">
      <c r="B918" s="34"/>
    </row>
    <row r="919" spans="2:2" ht="12.5" x14ac:dyDescent="0.25">
      <c r="B919" s="34"/>
    </row>
    <row r="920" spans="2:2" ht="12.5" x14ac:dyDescent="0.25">
      <c r="B920" s="34"/>
    </row>
    <row r="921" spans="2:2" ht="12.5" x14ac:dyDescent="0.25">
      <c r="B921" s="34"/>
    </row>
    <row r="922" spans="2:2" ht="12.5" x14ac:dyDescent="0.25">
      <c r="B922" s="34"/>
    </row>
    <row r="923" spans="2:2" ht="12.5" x14ac:dyDescent="0.25">
      <c r="B923" s="34"/>
    </row>
    <row r="924" spans="2:2" ht="12.5" x14ac:dyDescent="0.25">
      <c r="B924" s="34"/>
    </row>
    <row r="925" spans="2:2" ht="12.5" x14ac:dyDescent="0.25">
      <c r="B925" s="34"/>
    </row>
    <row r="926" spans="2:2" ht="12.5" x14ac:dyDescent="0.25">
      <c r="B926" s="34"/>
    </row>
    <row r="927" spans="2:2" ht="12.5" x14ac:dyDescent="0.25">
      <c r="B927" s="34"/>
    </row>
    <row r="928" spans="2:2" ht="12.5" x14ac:dyDescent="0.25">
      <c r="B928" s="34"/>
    </row>
    <row r="929" spans="2:2" ht="12.5" x14ac:dyDescent="0.25">
      <c r="B929" s="34"/>
    </row>
    <row r="930" spans="2:2" ht="12.5" x14ac:dyDescent="0.25">
      <c r="B930" s="34"/>
    </row>
    <row r="931" spans="2:2" ht="12.5" x14ac:dyDescent="0.25">
      <c r="B931" s="34"/>
    </row>
    <row r="932" spans="2:2" ht="12.5" x14ac:dyDescent="0.25">
      <c r="B932" s="34"/>
    </row>
    <row r="933" spans="2:2" ht="12.5" x14ac:dyDescent="0.25">
      <c r="B933" s="34"/>
    </row>
    <row r="934" spans="2:2" ht="12.5" x14ac:dyDescent="0.25">
      <c r="B934" s="34"/>
    </row>
    <row r="935" spans="2:2" ht="12.5" x14ac:dyDescent="0.25">
      <c r="B935" s="34"/>
    </row>
    <row r="936" spans="2:2" ht="12.5" x14ac:dyDescent="0.25">
      <c r="B936" s="34"/>
    </row>
    <row r="937" spans="2:2" ht="12.5" x14ac:dyDescent="0.25">
      <c r="B937" s="34"/>
    </row>
    <row r="938" spans="2:2" ht="12.5" x14ac:dyDescent="0.25">
      <c r="B938" s="34"/>
    </row>
    <row r="939" spans="2:2" ht="12.5" x14ac:dyDescent="0.25">
      <c r="B939" s="34"/>
    </row>
    <row r="940" spans="2:2" ht="12.5" x14ac:dyDescent="0.25">
      <c r="B940" s="34"/>
    </row>
    <row r="941" spans="2:2" ht="12.5" x14ac:dyDescent="0.25">
      <c r="B941" s="34"/>
    </row>
    <row r="942" spans="2:2" ht="12.5" x14ac:dyDescent="0.25">
      <c r="B942" s="34"/>
    </row>
    <row r="943" spans="2:2" ht="12.5" x14ac:dyDescent="0.25">
      <c r="B943" s="34"/>
    </row>
    <row r="944" spans="2:2" ht="12.5" x14ac:dyDescent="0.25">
      <c r="B944" s="34"/>
    </row>
    <row r="945" spans="2:2" ht="12.5" x14ac:dyDescent="0.25">
      <c r="B945" s="34"/>
    </row>
    <row r="946" spans="2:2" ht="12.5" x14ac:dyDescent="0.25">
      <c r="B946" s="34"/>
    </row>
    <row r="947" spans="2:2" ht="12.5" x14ac:dyDescent="0.25">
      <c r="B947" s="34"/>
    </row>
    <row r="948" spans="2:2" ht="12.5" x14ac:dyDescent="0.25">
      <c r="B948" s="34"/>
    </row>
    <row r="949" spans="2:2" ht="12.5" x14ac:dyDescent="0.25">
      <c r="B949" s="34"/>
    </row>
    <row r="950" spans="2:2" ht="12.5" x14ac:dyDescent="0.25">
      <c r="B950" s="34"/>
    </row>
    <row r="951" spans="2:2" ht="12.5" x14ac:dyDescent="0.25">
      <c r="B951" s="34"/>
    </row>
    <row r="952" spans="2:2" ht="12.5" x14ac:dyDescent="0.25">
      <c r="B952" s="34"/>
    </row>
    <row r="953" spans="2:2" ht="12.5" x14ac:dyDescent="0.25">
      <c r="B953" s="34"/>
    </row>
    <row r="954" spans="2:2" ht="12.5" x14ac:dyDescent="0.25">
      <c r="B954" s="34"/>
    </row>
    <row r="955" spans="2:2" ht="12.5" x14ac:dyDescent="0.25">
      <c r="B955" s="34"/>
    </row>
    <row r="956" spans="2:2" ht="12.5" x14ac:dyDescent="0.25">
      <c r="B956" s="34"/>
    </row>
    <row r="957" spans="2:2" ht="12.5" x14ac:dyDescent="0.25">
      <c r="B957" s="34"/>
    </row>
    <row r="958" spans="2:2" ht="12.5" x14ac:dyDescent="0.25">
      <c r="B958" s="34"/>
    </row>
    <row r="959" spans="2:2" ht="12.5" x14ac:dyDescent="0.25">
      <c r="B959" s="34"/>
    </row>
    <row r="960" spans="2:2" ht="12.5" x14ac:dyDescent="0.25">
      <c r="B960" s="34"/>
    </row>
    <row r="961" spans="2:2" ht="12.5" x14ac:dyDescent="0.25">
      <c r="B961" s="34"/>
    </row>
    <row r="962" spans="2:2" ht="12.5" x14ac:dyDescent="0.25">
      <c r="B962" s="34"/>
    </row>
    <row r="963" spans="2:2" ht="12.5" x14ac:dyDescent="0.25">
      <c r="B963" s="34"/>
    </row>
    <row r="964" spans="2:2" ht="12.5" x14ac:dyDescent="0.25">
      <c r="B964" s="34"/>
    </row>
    <row r="965" spans="2:2" ht="12.5" x14ac:dyDescent="0.25">
      <c r="B965" s="34"/>
    </row>
    <row r="966" spans="2:2" ht="12.5" x14ac:dyDescent="0.25">
      <c r="B966" s="34"/>
    </row>
    <row r="967" spans="2:2" ht="12.5" x14ac:dyDescent="0.25">
      <c r="B967" s="34"/>
    </row>
    <row r="968" spans="2:2" ht="12.5" x14ac:dyDescent="0.25">
      <c r="B968" s="34"/>
    </row>
    <row r="969" spans="2:2" ht="12.5" x14ac:dyDescent="0.25">
      <c r="B969" s="34"/>
    </row>
    <row r="970" spans="2:2" ht="12.5" x14ac:dyDescent="0.25">
      <c r="B970" s="34"/>
    </row>
    <row r="971" spans="2:2" ht="12.5" x14ac:dyDescent="0.25">
      <c r="B971" s="34"/>
    </row>
    <row r="972" spans="2:2" ht="12.5" x14ac:dyDescent="0.25">
      <c r="B972" s="34"/>
    </row>
    <row r="973" spans="2:2" ht="12.5" x14ac:dyDescent="0.25">
      <c r="B973" s="34"/>
    </row>
    <row r="974" spans="2:2" ht="12.5" x14ac:dyDescent="0.25">
      <c r="B974" s="34"/>
    </row>
    <row r="975" spans="2:2" ht="12.5" x14ac:dyDescent="0.25">
      <c r="B975" s="34"/>
    </row>
    <row r="976" spans="2:2" ht="12.5" x14ac:dyDescent="0.25">
      <c r="B976" s="34"/>
    </row>
    <row r="977" spans="2:2" ht="12.5" x14ac:dyDescent="0.25">
      <c r="B977" s="34"/>
    </row>
    <row r="978" spans="2:2" ht="12.5" x14ac:dyDescent="0.25">
      <c r="B978" s="34"/>
    </row>
    <row r="979" spans="2:2" ht="12.5" x14ac:dyDescent="0.25">
      <c r="B979" s="34"/>
    </row>
    <row r="980" spans="2:2" ht="12.5" x14ac:dyDescent="0.25">
      <c r="B980" s="34"/>
    </row>
    <row r="981" spans="2:2" ht="12.5" x14ac:dyDescent="0.25">
      <c r="B981" s="34"/>
    </row>
    <row r="982" spans="2:2" ht="12.5" x14ac:dyDescent="0.25">
      <c r="B982" s="34"/>
    </row>
    <row r="983" spans="2:2" ht="12.5" x14ac:dyDescent="0.25">
      <c r="B983" s="34"/>
    </row>
    <row r="984" spans="2:2" ht="12.5" x14ac:dyDescent="0.25">
      <c r="B984" s="34"/>
    </row>
    <row r="985" spans="2:2" ht="12.5" x14ac:dyDescent="0.25">
      <c r="B985" s="34"/>
    </row>
    <row r="986" spans="2:2" ht="12.5" x14ac:dyDescent="0.25">
      <c r="B986" s="34"/>
    </row>
    <row r="987" spans="2:2" ht="12.5" x14ac:dyDescent="0.25">
      <c r="B987" s="34"/>
    </row>
    <row r="988" spans="2:2" ht="12.5" x14ac:dyDescent="0.25">
      <c r="B988" s="34"/>
    </row>
    <row r="989" spans="2:2" ht="12.5" x14ac:dyDescent="0.25">
      <c r="B989" s="34"/>
    </row>
    <row r="990" spans="2:2" ht="12.5" x14ac:dyDescent="0.25">
      <c r="B990" s="34"/>
    </row>
    <row r="991" spans="2:2" ht="12.5" x14ac:dyDescent="0.25">
      <c r="B991" s="34"/>
    </row>
    <row r="992" spans="2:2" ht="12.5" x14ac:dyDescent="0.25">
      <c r="B992" s="34"/>
    </row>
    <row r="993" spans="2:2" ht="12.5" x14ac:dyDescent="0.25">
      <c r="B993" s="34"/>
    </row>
    <row r="994" spans="2:2" ht="12.5" x14ac:dyDescent="0.25">
      <c r="B994" s="34"/>
    </row>
    <row r="995" spans="2:2" ht="12.5" x14ac:dyDescent="0.25">
      <c r="B995" s="34"/>
    </row>
    <row r="996" spans="2:2" ht="12.5" x14ac:dyDescent="0.25">
      <c r="B996" s="34"/>
    </row>
    <row r="997" spans="2:2" ht="12.5" x14ac:dyDescent="0.25">
      <c r="B997" s="34"/>
    </row>
    <row r="998" spans="2:2" ht="12.5" x14ac:dyDescent="0.25">
      <c r="B998" s="34"/>
    </row>
    <row r="999" spans="2:2" ht="12.5" x14ac:dyDescent="0.25">
      <c r="B999" s="34"/>
    </row>
    <row r="1000" spans="2:2" ht="12.5" x14ac:dyDescent="0.25">
      <c r="B1000" s="34"/>
    </row>
    <row r="1001" spans="2:2" ht="12.5" x14ac:dyDescent="0.25">
      <c r="B1001" s="34"/>
    </row>
  </sheetData>
  <autoFilter ref="A1:Z84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Y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7.453125" customWidth="1"/>
    <col min="2" max="6" width="15.90625" customWidth="1"/>
    <col min="9" max="9" width="13.08984375" customWidth="1"/>
  </cols>
  <sheetData>
    <row r="1" spans="1:51" x14ac:dyDescent="0.3">
      <c r="A1" s="32" t="str">
        <f ca="1">IFERROR(__xludf.DUMMYFUNCTION("IMPORTRANGE(""https://docs.google.com/spreadsheets/d/1ctPXcx7hfCzmjvCqyMaRqRYeCF5tAFMlXFOh56O9Jw4/edit?gid=0#gid=0"",""Cisco!A1:D1000"")"),"Devices")</f>
        <v>Devices</v>
      </c>
      <c r="B1" s="35" t="str">
        <f ca="1">IFERROR(__xludf.DUMMYFUNCTION("""COMPUTED_VALUE"""),"List Price")</f>
        <v>List Price</v>
      </c>
      <c r="C1" s="32" t="str">
        <f ca="1">IFERROR(__xludf.DUMMYFUNCTION("""COMPUTED_VALUE"""),"Giá AM nhập")</f>
        <v>Giá AM nhập</v>
      </c>
      <c r="D1" s="32" t="str">
        <f ca="1">IFERROR(__xludf.DUMMYFUNCTION("""COMPUTED_VALUE"""),"Final Price")</f>
        <v>Final Price</v>
      </c>
      <c r="E1" s="36"/>
      <c r="F1" s="36"/>
      <c r="G1" s="32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</row>
    <row r="2" spans="1:51" ht="15.75" customHeight="1" x14ac:dyDescent="0.25">
      <c r="A2" s="33" t="str">
        <f ca="1">IFERROR(__xludf.DUMMYFUNCTION("""COMPUTED_VALUE"""),"C8200L-1N-4T")</f>
        <v>C8200L-1N-4T</v>
      </c>
      <c r="B2" s="37">
        <f ca="1">IFERROR(__xludf.DUMMYFUNCTION("""COMPUTED_VALUE"""),22728.05)</f>
        <v>22728.05</v>
      </c>
      <c r="C2" s="37">
        <f ca="1">IFERROR(__xludf.DUMMYFUNCTION("""COMPUTED_VALUE"""),18000)</f>
        <v>18000</v>
      </c>
      <c r="D2" s="37">
        <f ca="1">IFERROR(__xludf.DUMMYFUNCTION("""COMPUTED_VALUE"""),18000)</f>
        <v>18000</v>
      </c>
      <c r="G2" s="37"/>
    </row>
    <row r="3" spans="1:51" ht="15.75" customHeight="1" x14ac:dyDescent="0.25">
      <c r="A3" s="33" t="str">
        <f ca="1">IFERROR(__xludf.DUMMYFUNCTION("""COMPUTED_VALUE"""),"C8200-1N-4T")</f>
        <v>C8200-1N-4T</v>
      </c>
      <c r="B3" s="37">
        <f ca="1">IFERROR(__xludf.DUMMYFUNCTION("""COMPUTED_VALUE"""),29504.46)</f>
        <v>29504.46</v>
      </c>
      <c r="C3" s="37">
        <f ca="1">IFERROR(__xludf.DUMMYFUNCTION("""COMPUTED_VALUE"""),15000)</f>
        <v>15000</v>
      </c>
      <c r="D3" s="37">
        <f ca="1">IFERROR(__xludf.DUMMYFUNCTION("""COMPUTED_VALUE"""),15000)</f>
        <v>15000</v>
      </c>
      <c r="G3" s="37"/>
    </row>
    <row r="4" spans="1:51" ht="15.75" customHeight="1" x14ac:dyDescent="0.25">
      <c r="A4" s="33" t="str">
        <f ca="1">IFERROR(__xludf.DUMMYFUNCTION("""COMPUTED_VALUE"""),"C8300-2N2S-4T2X")</f>
        <v>C8300-2N2S-4T2X</v>
      </c>
      <c r="B4" s="37">
        <f ca="1">IFERROR(__xludf.DUMMYFUNCTION("""COMPUTED_VALUE"""),91782.43)</f>
        <v>91782.43</v>
      </c>
      <c r="C4" s="33"/>
      <c r="D4" s="37">
        <f ca="1">IFERROR(__xludf.DUMMYFUNCTION("""COMPUTED_VALUE"""),91782.43)</f>
        <v>91782.43</v>
      </c>
      <c r="G4" s="37"/>
    </row>
    <row r="5" spans="1:51" ht="15.75" customHeight="1" x14ac:dyDescent="0.25">
      <c r="A5" s="33" t="str">
        <f ca="1">IFERROR(__xludf.DUMMYFUNCTION("""COMPUTED_VALUE"""),"C8300-1N1S-4T2X")</f>
        <v>C8300-1N1S-4T2X</v>
      </c>
      <c r="B5" s="37">
        <f ca="1">IFERROR(__xludf.DUMMYFUNCTION("""COMPUTED_VALUE"""),75749.61)</f>
        <v>75749.61</v>
      </c>
      <c r="C5" s="33"/>
      <c r="D5" s="37">
        <f ca="1">IFERROR(__xludf.DUMMYFUNCTION("""COMPUTED_VALUE"""),75749.61)</f>
        <v>75749.61</v>
      </c>
      <c r="G5" s="37"/>
    </row>
    <row r="6" spans="1:51" ht="15.75" customHeight="1" x14ac:dyDescent="0.25">
      <c r="A6" s="33" t="str">
        <f ca="1">IFERROR(__xludf.DUMMYFUNCTION("""COMPUTED_VALUE"""),"C8300-2N2S-6T")</f>
        <v>C8300-2N2S-6T</v>
      </c>
      <c r="B6" s="37">
        <f ca="1">IFERROR(__xludf.DUMMYFUNCTION("""COMPUTED_VALUE"""),50264.61)</f>
        <v>50264.61</v>
      </c>
      <c r="C6" s="33"/>
      <c r="D6" s="37">
        <f ca="1">IFERROR(__xludf.DUMMYFUNCTION("""COMPUTED_VALUE"""),50264.61)</f>
        <v>50264.61</v>
      </c>
      <c r="G6" s="37"/>
    </row>
    <row r="7" spans="1:51" ht="15.75" customHeight="1" x14ac:dyDescent="0.25">
      <c r="A7" s="33" t="str">
        <f ca="1">IFERROR(__xludf.DUMMYFUNCTION("""COMPUTED_VALUE"""),"C8300-1N1S-6T")</f>
        <v>C8300-1N1S-6T</v>
      </c>
      <c r="B7" s="37">
        <f ca="1">IFERROR(__xludf.DUMMYFUNCTION("""COMPUTED_VALUE"""),41045.93)</f>
        <v>41045.93</v>
      </c>
      <c r="C7" s="33"/>
      <c r="D7" s="37">
        <f ca="1">IFERROR(__xludf.DUMMYFUNCTION("""COMPUTED_VALUE"""),41045.93)</f>
        <v>41045.93</v>
      </c>
      <c r="G7" s="37"/>
    </row>
    <row r="8" spans="1:51" ht="15.75" customHeight="1" x14ac:dyDescent="0.25">
      <c r="A8" s="33" t="str">
        <f ca="1">IFERROR(__xludf.DUMMYFUNCTION("""COMPUTED_VALUE"""),"C8500-20X6C")</f>
        <v>C8500-20X6C</v>
      </c>
      <c r="B8" s="37">
        <f ca="1">IFERROR(__xludf.DUMMYFUNCTION("""COMPUTED_VALUE"""),553572.06)</f>
        <v>553572.06000000006</v>
      </c>
      <c r="C8" s="33"/>
      <c r="D8" s="37">
        <f ca="1">IFERROR(__xludf.DUMMYFUNCTION("""COMPUTED_VALUE"""),553572.06)</f>
        <v>553572.06000000006</v>
      </c>
      <c r="G8" s="37"/>
    </row>
    <row r="9" spans="1:51" ht="15.75" customHeight="1" x14ac:dyDescent="0.25">
      <c r="A9" s="33" t="str">
        <f ca="1">IFERROR(__xludf.DUMMYFUNCTION("""COMPUTED_VALUE"""),"C8500-12X4QC")</f>
        <v>C8500-12X4QC</v>
      </c>
      <c r="B9" s="37">
        <f ca="1">IFERROR(__xludf.DUMMYFUNCTION("""COMPUTED_VALUE"""),297234.95)</f>
        <v>297234.95</v>
      </c>
      <c r="C9" s="33"/>
      <c r="D9" s="37">
        <f ca="1">IFERROR(__xludf.DUMMYFUNCTION("""COMPUTED_VALUE"""),297234.95)</f>
        <v>297234.95</v>
      </c>
      <c r="G9" s="37"/>
    </row>
    <row r="10" spans="1:51" ht="15.75" customHeight="1" x14ac:dyDescent="0.25">
      <c r="A10" s="33" t="str">
        <f ca="1">IFERROR(__xludf.DUMMYFUNCTION("""COMPUTED_VALUE"""),"C8500-12X")</f>
        <v>C8500-12X</v>
      </c>
      <c r="B10" s="37">
        <f ca="1">IFERROR(__xludf.DUMMYFUNCTION("""COMPUTED_VALUE"""),206911.8)</f>
        <v>206911.8</v>
      </c>
      <c r="C10" s="33"/>
      <c r="D10" s="37">
        <f ca="1">IFERROR(__xludf.DUMMYFUNCTION("""COMPUTED_VALUE"""),206911.8)</f>
        <v>206911.8</v>
      </c>
      <c r="G10" s="37"/>
    </row>
    <row r="11" spans="1:51" ht="15.75" customHeight="1" x14ac:dyDescent="0.25">
      <c r="A11" s="33" t="str">
        <f ca="1">IFERROR(__xludf.DUMMYFUNCTION("""COMPUTED_VALUE"""),"C8500L-8S4X")</f>
        <v>C8500L-8S4X</v>
      </c>
      <c r="B11" s="37">
        <f ca="1">IFERROR(__xludf.DUMMYFUNCTION("""COMPUTED_VALUE"""),97005.56)</f>
        <v>97005.56</v>
      </c>
      <c r="C11" s="33"/>
      <c r="D11" s="37">
        <f ca="1">IFERROR(__xludf.DUMMYFUNCTION("""COMPUTED_VALUE"""),97005.56)</f>
        <v>97005.56</v>
      </c>
      <c r="G11" s="37"/>
    </row>
    <row r="12" spans="1:51" ht="15.75" customHeight="1" x14ac:dyDescent="0.25">
      <c r="A12" s="33" t="str">
        <f ca="1">IFERROR(__xludf.DUMMYFUNCTION("""COMPUTED_VALUE"""),"C9200-24T")</f>
        <v>C9200-24T</v>
      </c>
      <c r="B12" s="37">
        <f ca="1">IFERROR(__xludf.DUMMYFUNCTION("""COMPUTED_VALUE"""),9916.42)</f>
        <v>9916.42</v>
      </c>
      <c r="C12" s="33"/>
      <c r="D12" s="37">
        <f ca="1">IFERROR(__xludf.DUMMYFUNCTION("""COMPUTED_VALUE"""),9916.42)</f>
        <v>9916.42</v>
      </c>
      <c r="G12" s="37"/>
    </row>
    <row r="13" spans="1:51" ht="15.75" customHeight="1" x14ac:dyDescent="0.25">
      <c r="A13" s="33" t="str">
        <f ca="1">IFERROR(__xludf.DUMMYFUNCTION("""COMPUTED_VALUE"""),"C9200-24P")</f>
        <v>C9200-24P</v>
      </c>
      <c r="B13" s="37">
        <f ca="1">IFERROR(__xludf.DUMMYFUNCTION("""COMPUTED_VALUE"""),11052.8)</f>
        <v>11052.8</v>
      </c>
      <c r="C13" s="33"/>
      <c r="D13" s="37">
        <f ca="1">IFERROR(__xludf.DUMMYFUNCTION("""COMPUTED_VALUE"""),11052.8)</f>
        <v>11052.8</v>
      </c>
      <c r="G13" s="37"/>
    </row>
    <row r="14" spans="1:51" ht="15.75" customHeight="1" x14ac:dyDescent="0.25">
      <c r="A14" s="33" t="str">
        <f ca="1">IFERROR(__xludf.DUMMYFUNCTION("""COMPUTED_VALUE"""),"C9200-48T")</f>
        <v>C9200-48T</v>
      </c>
      <c r="B14" s="37">
        <f ca="1">IFERROR(__xludf.DUMMYFUNCTION("""COMPUTED_VALUE"""),15602.18)</f>
        <v>15602.18</v>
      </c>
      <c r="C14" s="33"/>
      <c r="D14" s="37">
        <f ca="1">IFERROR(__xludf.DUMMYFUNCTION("""COMPUTED_VALUE"""),15602.18)</f>
        <v>15602.18</v>
      </c>
      <c r="G14" s="37"/>
    </row>
    <row r="15" spans="1:51" ht="15.75" customHeight="1" x14ac:dyDescent="0.25">
      <c r="A15" s="33" t="str">
        <f ca="1">IFERROR(__xludf.DUMMYFUNCTION("""COMPUTED_VALUE"""),"C9200-48P")</f>
        <v>C9200-48P</v>
      </c>
      <c r="B15" s="37">
        <f ca="1">IFERROR(__xludf.DUMMYFUNCTION("""COMPUTED_VALUE"""),19860.05)</f>
        <v>19860.05</v>
      </c>
      <c r="C15" s="33"/>
      <c r="D15" s="37">
        <f ca="1">IFERROR(__xludf.DUMMYFUNCTION("""COMPUTED_VALUE"""),19860.05)</f>
        <v>19860.05</v>
      </c>
      <c r="G15" s="37"/>
    </row>
    <row r="16" spans="1:51" ht="15.75" customHeight="1" x14ac:dyDescent="0.25">
      <c r="A16" s="33" t="str">
        <f ca="1">IFERROR(__xludf.DUMMYFUNCTION("""COMPUTED_VALUE"""),"C9200L-24T-4G")</f>
        <v>C9200L-24T-4G</v>
      </c>
      <c r="B16" s="37">
        <f ca="1">IFERROR(__xludf.DUMMYFUNCTION("""COMPUTED_VALUE"""),6063.41)</f>
        <v>6063.41</v>
      </c>
      <c r="C16" s="33"/>
      <c r="D16" s="37">
        <f ca="1">IFERROR(__xludf.DUMMYFUNCTION("""COMPUTED_VALUE"""),6063.41)</f>
        <v>6063.41</v>
      </c>
      <c r="G16" s="37"/>
    </row>
    <row r="17" spans="1:7" ht="15.75" customHeight="1" x14ac:dyDescent="0.25">
      <c r="A17" s="33" t="str">
        <f ca="1">IFERROR(__xludf.DUMMYFUNCTION("""COMPUTED_VALUE"""),"C9200L-24P-4G")</f>
        <v>C9200L-24P-4G</v>
      </c>
      <c r="B17" s="37">
        <f ca="1">IFERROR(__xludf.DUMMYFUNCTION("""COMPUTED_VALUE"""),7529.2)</f>
        <v>7529.2</v>
      </c>
      <c r="C17" s="33"/>
      <c r="D17" s="37">
        <f ca="1">IFERROR(__xludf.DUMMYFUNCTION("""COMPUTED_VALUE"""),7529.2)</f>
        <v>7529.2</v>
      </c>
      <c r="G17" s="37"/>
    </row>
    <row r="18" spans="1:7" ht="15.75" customHeight="1" x14ac:dyDescent="0.25">
      <c r="A18" s="33" t="str">
        <f ca="1">IFERROR(__xludf.DUMMYFUNCTION("""COMPUTED_VALUE"""),"C9200L-48T-4G")</f>
        <v>C9200L-48T-4G</v>
      </c>
      <c r="B18" s="37">
        <f ca="1">IFERROR(__xludf.DUMMYFUNCTION("""COMPUTED_VALUE"""),10867.95)</f>
        <v>10867.95</v>
      </c>
      <c r="C18" s="33"/>
      <c r="D18" s="37">
        <f ca="1">IFERROR(__xludf.DUMMYFUNCTION("""COMPUTED_VALUE"""),10867.95)</f>
        <v>10867.95</v>
      </c>
      <c r="G18" s="37"/>
    </row>
    <row r="19" spans="1:7" ht="15.75" customHeight="1" x14ac:dyDescent="0.25">
      <c r="A19" s="33" t="str">
        <f ca="1">IFERROR(__xludf.DUMMYFUNCTION("""COMPUTED_VALUE"""),"C9200L-48P-4G")</f>
        <v>C9200L-48P-4G</v>
      </c>
      <c r="B19" s="37">
        <f ca="1">IFERROR(__xludf.DUMMYFUNCTION("""COMPUTED_VALUE"""),15269.17)</f>
        <v>15269.17</v>
      </c>
      <c r="C19" s="33"/>
      <c r="D19" s="37">
        <f ca="1">IFERROR(__xludf.DUMMYFUNCTION("""COMPUTED_VALUE"""),15269.17)</f>
        <v>15269.17</v>
      </c>
      <c r="G19" s="37"/>
    </row>
    <row r="20" spans="1:7" ht="15.75" customHeight="1" x14ac:dyDescent="0.25">
      <c r="A20" s="33" t="str">
        <f ca="1">IFERROR(__xludf.DUMMYFUNCTION("""COMPUTED_VALUE"""),"C9200L-24T-4X")</f>
        <v>C9200L-24T-4X</v>
      </c>
      <c r="B20" s="37">
        <f ca="1">IFERROR(__xludf.DUMMYFUNCTION("""COMPUTED_VALUE"""),8631.47)</f>
        <v>8631.4699999999993</v>
      </c>
      <c r="C20" s="33"/>
      <c r="D20" s="37">
        <f ca="1">IFERROR(__xludf.DUMMYFUNCTION("""COMPUTED_VALUE"""),8631.47)</f>
        <v>8631.4699999999993</v>
      </c>
      <c r="G20" s="37"/>
    </row>
    <row r="21" spans="1:7" ht="15.75" customHeight="1" x14ac:dyDescent="0.25">
      <c r="A21" s="33" t="str">
        <f ca="1">IFERROR(__xludf.DUMMYFUNCTION("""COMPUTED_VALUE"""),"C9200L-24P-4X")</f>
        <v>C9200L-24P-4X</v>
      </c>
      <c r="B21" s="37">
        <f ca="1">IFERROR(__xludf.DUMMYFUNCTION("""COMPUTED_VALUE"""),10097.26)</f>
        <v>10097.26</v>
      </c>
      <c r="C21" s="33"/>
      <c r="D21" s="37">
        <f ca="1">IFERROR(__xludf.DUMMYFUNCTION("""COMPUTED_VALUE"""),10097.26)</f>
        <v>10097.26</v>
      </c>
      <c r="G21" s="37"/>
    </row>
    <row r="22" spans="1:7" ht="12.5" x14ac:dyDescent="0.25">
      <c r="A22" s="33" t="str">
        <f ca="1">IFERROR(__xludf.DUMMYFUNCTION("""COMPUTED_VALUE"""),"C9200L-48T-4X")</f>
        <v>C9200L-48T-4X</v>
      </c>
      <c r="B22" s="37">
        <f ca="1">IFERROR(__xludf.DUMMYFUNCTION("""COMPUTED_VALUE"""),13436.01)</f>
        <v>13436.01</v>
      </c>
      <c r="C22" s="33"/>
      <c r="D22" s="37">
        <f ca="1">IFERROR(__xludf.DUMMYFUNCTION("""COMPUTED_VALUE"""),13436.01)</f>
        <v>13436.01</v>
      </c>
      <c r="G22" s="37"/>
    </row>
    <row r="23" spans="1:7" ht="12.5" x14ac:dyDescent="0.25">
      <c r="A23" s="33" t="str">
        <f ca="1">IFERROR(__xludf.DUMMYFUNCTION("""COMPUTED_VALUE"""),"C9200L-48P-4X")</f>
        <v>C9200L-48P-4X</v>
      </c>
      <c r="B23" s="37">
        <f ca="1">IFERROR(__xludf.DUMMYFUNCTION("""COMPUTED_VALUE"""),17837.21)</f>
        <v>17837.21</v>
      </c>
      <c r="C23" s="33"/>
      <c r="D23" s="37">
        <f ca="1">IFERROR(__xludf.DUMMYFUNCTION("""COMPUTED_VALUE"""),17837.21)</f>
        <v>17837.21</v>
      </c>
      <c r="G23" s="37"/>
    </row>
    <row r="24" spans="1:7" ht="12.5" x14ac:dyDescent="0.25">
      <c r="A24" s="33" t="str">
        <f ca="1">IFERROR(__xludf.DUMMYFUNCTION("""COMPUTED_VALUE"""),"C9200CX-8P-2X2G")</f>
        <v>C9200CX-8P-2X2G</v>
      </c>
      <c r="B24" s="37">
        <f ca="1">IFERROR(__xludf.DUMMYFUNCTION("""COMPUTED_VALUE"""),5197.72)</f>
        <v>5197.72</v>
      </c>
      <c r="C24" s="33"/>
      <c r="D24" s="37">
        <f ca="1">IFERROR(__xludf.DUMMYFUNCTION("""COMPUTED_VALUE"""),5197.72)</f>
        <v>5197.72</v>
      </c>
      <c r="G24" s="37"/>
    </row>
    <row r="25" spans="1:7" ht="12.5" x14ac:dyDescent="0.25">
      <c r="A25" s="33" t="str">
        <f ca="1">IFERROR(__xludf.DUMMYFUNCTION("""COMPUTED_VALUE"""),"C9200CX-12T-2X2G")</f>
        <v>C9200CX-12T-2X2G</v>
      </c>
      <c r="B25" s="37">
        <f ca="1">IFERROR(__xludf.DUMMYFUNCTION("""COMPUTED_VALUE"""),4748.49)</f>
        <v>4748.49</v>
      </c>
      <c r="C25" s="33"/>
      <c r="D25" s="37">
        <f ca="1">IFERROR(__xludf.DUMMYFUNCTION("""COMPUTED_VALUE"""),4748.49)</f>
        <v>4748.49</v>
      </c>
      <c r="G25" s="37"/>
    </row>
    <row r="26" spans="1:7" ht="12.5" x14ac:dyDescent="0.25">
      <c r="A26" s="33" t="str">
        <f ca="1">IFERROR(__xludf.DUMMYFUNCTION("""COMPUTED_VALUE"""),"C9200CX-12P-2X2G")</f>
        <v>C9200CX-12P-2X2G</v>
      </c>
      <c r="B26" s="37">
        <f ca="1">IFERROR(__xludf.DUMMYFUNCTION("""COMPUTED_VALUE"""),5672.87)</f>
        <v>5672.87</v>
      </c>
      <c r="C26" s="33"/>
      <c r="D26" s="37">
        <f ca="1">IFERROR(__xludf.DUMMYFUNCTION("""COMPUTED_VALUE"""),5672.87)</f>
        <v>5672.87</v>
      </c>
      <c r="G26" s="37"/>
    </row>
    <row r="27" spans="1:7" ht="12.5" x14ac:dyDescent="0.25">
      <c r="A27" s="33" t="str">
        <f ca="1">IFERROR(__xludf.DUMMYFUNCTION("""COMPUTED_VALUE"""),"C9300L-24T-4G")</f>
        <v>C9300L-24T-4G</v>
      </c>
      <c r="B27" s="37">
        <f ca="1">IFERROR(__xludf.DUMMYFUNCTION("""COMPUTED_VALUE"""),13699.63)</f>
        <v>13699.63</v>
      </c>
      <c r="C27" s="33"/>
      <c r="D27" s="37">
        <f ca="1">IFERROR(__xludf.DUMMYFUNCTION("""COMPUTED_VALUE"""),13699.63)</f>
        <v>13699.63</v>
      </c>
      <c r="G27" s="37"/>
    </row>
    <row r="28" spans="1:7" ht="12.5" x14ac:dyDescent="0.25">
      <c r="A28" s="33" t="str">
        <f ca="1">IFERROR(__xludf.DUMMYFUNCTION("""COMPUTED_VALUE"""),"C9300L-24P-4G")</f>
        <v>C9300L-24P-4G</v>
      </c>
      <c r="B28" s="37">
        <f ca="1">IFERROR(__xludf.DUMMYFUNCTION("""COMPUTED_VALUE"""),14671.04)</f>
        <v>14671.04</v>
      </c>
      <c r="C28" s="33"/>
      <c r="D28" s="37">
        <f ca="1">IFERROR(__xludf.DUMMYFUNCTION("""COMPUTED_VALUE"""),14671.04)</f>
        <v>14671.04</v>
      </c>
      <c r="G28" s="37"/>
    </row>
    <row r="29" spans="1:7" ht="12.5" x14ac:dyDescent="0.25">
      <c r="A29" s="33" t="str">
        <f ca="1">IFERROR(__xludf.DUMMYFUNCTION("""COMPUTED_VALUE"""),"C9300L-24T-4X")</f>
        <v>C9300L-24T-4X</v>
      </c>
      <c r="B29" s="37">
        <f ca="1">IFERROR(__xludf.DUMMYFUNCTION("""COMPUTED_VALUE"""),16613.85)</f>
        <v>16613.849999999999</v>
      </c>
      <c r="C29" s="33"/>
      <c r="D29" s="37">
        <f ca="1">IFERROR(__xludf.DUMMYFUNCTION("""COMPUTED_VALUE"""),16613.85)</f>
        <v>16613.849999999999</v>
      </c>
      <c r="G29" s="37"/>
    </row>
    <row r="30" spans="1:7" ht="12.5" x14ac:dyDescent="0.25">
      <c r="A30" s="33" t="str">
        <f ca="1">IFERROR(__xludf.DUMMYFUNCTION("""COMPUTED_VALUE"""),"C9300L-24P-4X")</f>
        <v>C9300L-24P-4X</v>
      </c>
      <c r="B30" s="37">
        <f ca="1">IFERROR(__xludf.DUMMYFUNCTION("""COMPUTED_VALUE"""),17585.24)</f>
        <v>17585.240000000002</v>
      </c>
      <c r="C30" s="33"/>
      <c r="D30" s="37">
        <f ca="1">IFERROR(__xludf.DUMMYFUNCTION("""COMPUTED_VALUE"""),17585.24)</f>
        <v>17585.240000000002</v>
      </c>
      <c r="G30" s="37"/>
    </row>
    <row r="31" spans="1:7" ht="12.5" x14ac:dyDescent="0.25">
      <c r="A31" s="33" t="str">
        <f ca="1">IFERROR(__xludf.DUMMYFUNCTION("""COMPUTED_VALUE"""),"C9300L-48T-4G")</f>
        <v>C9300L-48T-4G</v>
      </c>
      <c r="B31" s="37">
        <f ca="1">IFERROR(__xludf.DUMMYFUNCTION("""COMPUTED_VALUE"""),19825.33)</f>
        <v>19825.330000000002</v>
      </c>
      <c r="C31" s="33"/>
      <c r="D31" s="37">
        <f ca="1">IFERROR(__xludf.DUMMYFUNCTION("""COMPUTED_VALUE"""),19825.33)</f>
        <v>19825.330000000002</v>
      </c>
      <c r="G31" s="37"/>
    </row>
    <row r="32" spans="1:7" ht="12.5" x14ac:dyDescent="0.25">
      <c r="A32" s="33" t="str">
        <f ca="1">IFERROR(__xludf.DUMMYFUNCTION("""COMPUTED_VALUE"""),"C9300L-48P-4G")</f>
        <v>C9300L-48P-4G</v>
      </c>
      <c r="B32" s="37">
        <f ca="1">IFERROR(__xludf.DUMMYFUNCTION("""COMPUTED_VALUE"""),22545.48)</f>
        <v>22545.48</v>
      </c>
      <c r="C32" s="33"/>
      <c r="D32" s="37">
        <f ca="1">IFERROR(__xludf.DUMMYFUNCTION("""COMPUTED_VALUE"""),22545.48)</f>
        <v>22545.48</v>
      </c>
      <c r="G32" s="37"/>
    </row>
    <row r="33" spans="1:7" ht="12.5" x14ac:dyDescent="0.25">
      <c r="A33" s="33" t="str">
        <f ca="1">IFERROR(__xludf.DUMMYFUNCTION("""COMPUTED_VALUE"""),"C9300L-48T-4X")</f>
        <v>C9300L-48T-4X</v>
      </c>
      <c r="B33" s="37">
        <f ca="1">IFERROR(__xludf.DUMMYFUNCTION("""COMPUTED_VALUE"""),22736.79)</f>
        <v>22736.79</v>
      </c>
      <c r="C33" s="33"/>
      <c r="D33" s="37">
        <f ca="1">IFERROR(__xludf.DUMMYFUNCTION("""COMPUTED_VALUE"""),22736.79)</f>
        <v>22736.79</v>
      </c>
      <c r="G33" s="37"/>
    </row>
    <row r="34" spans="1:7" ht="12.5" x14ac:dyDescent="0.25">
      <c r="A34" s="33" t="str">
        <f ca="1">IFERROR(__xludf.DUMMYFUNCTION("""COMPUTED_VALUE"""),"C9300L-48P-4X")</f>
        <v>C9300L-48P-4X</v>
      </c>
      <c r="B34" s="37">
        <f ca="1">IFERROR(__xludf.DUMMYFUNCTION("""COMPUTED_VALUE"""),25455.65)</f>
        <v>25455.65</v>
      </c>
      <c r="C34" s="33"/>
      <c r="D34" s="37">
        <f ca="1">IFERROR(__xludf.DUMMYFUNCTION("""COMPUTED_VALUE"""),25455.65)</f>
        <v>25455.65</v>
      </c>
      <c r="G34" s="37"/>
    </row>
    <row r="35" spans="1:7" ht="12.5" x14ac:dyDescent="0.25">
      <c r="A35" s="33" t="str">
        <f ca="1">IFERROR(__xludf.DUMMYFUNCTION("""COMPUTED_VALUE"""),"C9300-24T")</f>
        <v>C9300-24T</v>
      </c>
      <c r="B35" s="37">
        <f ca="1">IFERROR(__xludf.DUMMYFUNCTION("""COMPUTED_VALUE"""),18011.91)</f>
        <v>18011.91</v>
      </c>
      <c r="C35" s="33"/>
      <c r="D35" s="37">
        <f ca="1">IFERROR(__xludf.DUMMYFUNCTION("""COMPUTED_VALUE"""),18011.91)</f>
        <v>18011.91</v>
      </c>
      <c r="G35" s="37"/>
    </row>
    <row r="36" spans="1:7" ht="12.5" x14ac:dyDescent="0.25">
      <c r="A36" s="33" t="str">
        <f ca="1">IFERROR(__xludf.DUMMYFUNCTION("""COMPUTED_VALUE"""),"C9300-24P")</f>
        <v>C9300-24P</v>
      </c>
      <c r="B36" s="37">
        <f ca="1">IFERROR(__xludf.DUMMYFUNCTION("""COMPUTED_VALUE"""),19547.88)</f>
        <v>19547.88</v>
      </c>
      <c r="C36" s="33"/>
      <c r="D36" s="37">
        <f ca="1">IFERROR(__xludf.DUMMYFUNCTION("""COMPUTED_VALUE"""),19547.88)</f>
        <v>19547.88</v>
      </c>
      <c r="G36" s="37"/>
    </row>
    <row r="37" spans="1:7" ht="12.5" x14ac:dyDescent="0.25">
      <c r="A37" s="33" t="str">
        <f ca="1">IFERROR(__xludf.DUMMYFUNCTION("""COMPUTED_VALUE"""),"C9300-24U")</f>
        <v>C9300-24U</v>
      </c>
      <c r="B37" s="37">
        <f ca="1">IFERROR(__xludf.DUMMYFUNCTION("""COMPUTED_VALUE"""),20505.61)</f>
        <v>20505.61</v>
      </c>
      <c r="C37" s="33"/>
      <c r="D37" s="37">
        <f ca="1">IFERROR(__xludf.DUMMYFUNCTION("""COMPUTED_VALUE"""),20505.61)</f>
        <v>20505.61</v>
      </c>
      <c r="G37" s="37"/>
    </row>
    <row r="38" spans="1:7" ht="12.5" x14ac:dyDescent="0.25">
      <c r="A38" s="33" t="str">
        <f ca="1">IFERROR(__xludf.DUMMYFUNCTION("""COMPUTED_VALUE"""),"C9300-24H")</f>
        <v>C9300-24H</v>
      </c>
      <c r="B38" s="37">
        <f ca="1">IFERROR(__xludf.DUMMYFUNCTION("""COMPUTED_VALUE"""),21073.06)</f>
        <v>21073.06</v>
      </c>
      <c r="C38" s="33"/>
      <c r="D38" s="37">
        <f ca="1">IFERROR(__xludf.DUMMYFUNCTION("""COMPUTED_VALUE"""),21073.06)</f>
        <v>21073.06</v>
      </c>
      <c r="G38" s="37"/>
    </row>
    <row r="39" spans="1:7" ht="12.5" x14ac:dyDescent="0.25">
      <c r="A39" s="33" t="str">
        <f ca="1">IFERROR(__xludf.DUMMYFUNCTION("""COMPUTED_VALUE"""),"C9300-24S")</f>
        <v>C9300-24S</v>
      </c>
      <c r="B39" s="37">
        <f ca="1">IFERROR(__xludf.DUMMYFUNCTION("""COMPUTED_VALUE"""),50184.37)</f>
        <v>50184.37</v>
      </c>
      <c r="C39" s="33"/>
      <c r="D39" s="37">
        <f ca="1">IFERROR(__xludf.DUMMYFUNCTION("""COMPUTED_VALUE"""),50184.37)</f>
        <v>50184.37</v>
      </c>
      <c r="G39" s="37"/>
    </row>
    <row r="40" spans="1:7" ht="12.5" x14ac:dyDescent="0.25">
      <c r="A40" s="33" t="str">
        <f ca="1">IFERROR(__xludf.DUMMYFUNCTION("""COMPUTED_VALUE"""),"C9300-24UB")</f>
        <v>C9300-24UB</v>
      </c>
      <c r="B40" s="37">
        <f ca="1">IFERROR(__xludf.DUMMYFUNCTION("""COMPUTED_VALUE"""),25086.8)</f>
        <v>25086.799999999999</v>
      </c>
      <c r="C40" s="33"/>
      <c r="D40" s="37">
        <f ca="1">IFERROR(__xludf.DUMMYFUNCTION("""COMPUTED_VALUE"""),25086.8)</f>
        <v>25086.799999999999</v>
      </c>
      <c r="G40" s="37"/>
    </row>
    <row r="41" spans="1:7" ht="12.5" x14ac:dyDescent="0.25">
      <c r="A41" s="33" t="str">
        <f ca="1">IFERROR(__xludf.DUMMYFUNCTION("""COMPUTED_VALUE"""),"C9300-48T")</f>
        <v>C9300-48T</v>
      </c>
      <c r="B41" s="37">
        <f ca="1">IFERROR(__xludf.DUMMYFUNCTION("""COMPUTED_VALUE"""),26361.21)</f>
        <v>26361.21</v>
      </c>
      <c r="C41" s="33"/>
      <c r="D41" s="37">
        <f ca="1">IFERROR(__xludf.DUMMYFUNCTION("""COMPUTED_VALUE"""),26361.21)</f>
        <v>26361.21</v>
      </c>
      <c r="G41" s="37"/>
    </row>
    <row r="42" spans="1:7" ht="12.5" x14ac:dyDescent="0.25">
      <c r="A42" s="33" t="str">
        <f ca="1">IFERROR(__xludf.DUMMYFUNCTION("""COMPUTED_VALUE"""),"C9300-48P")</f>
        <v>C9300-48P</v>
      </c>
      <c r="B42" s="37">
        <f ca="1">IFERROR(__xludf.DUMMYFUNCTION("""COMPUTED_VALUE"""),29374.16)</f>
        <v>29374.16</v>
      </c>
      <c r="C42" s="33"/>
      <c r="D42" s="37">
        <f ca="1">IFERROR(__xludf.DUMMYFUNCTION("""COMPUTED_VALUE"""),29374.16)</f>
        <v>29374.16</v>
      </c>
      <c r="G42" s="37"/>
    </row>
    <row r="43" spans="1:7" ht="12.5" x14ac:dyDescent="0.25">
      <c r="A43" s="33" t="str">
        <f ca="1">IFERROR(__xludf.DUMMYFUNCTION("""COMPUTED_VALUE"""),"C9300-48U")</f>
        <v>C9300-48U</v>
      </c>
      <c r="B43" s="37">
        <f ca="1">IFERROR(__xludf.DUMMYFUNCTION("""COMPUTED_VALUE"""),31290.78)</f>
        <v>31290.78</v>
      </c>
      <c r="C43" s="33"/>
      <c r="D43" s="37">
        <f ca="1">IFERROR(__xludf.DUMMYFUNCTION("""COMPUTED_VALUE"""),31290.78)</f>
        <v>31290.78</v>
      </c>
      <c r="G43" s="37"/>
    </row>
    <row r="44" spans="1:7" ht="12.5" x14ac:dyDescent="0.25">
      <c r="A44" s="33" t="str">
        <f ca="1">IFERROR(__xludf.DUMMYFUNCTION("""COMPUTED_VALUE"""),"C9300-48H")</f>
        <v>C9300-48H</v>
      </c>
      <c r="B44" s="37">
        <f ca="1">IFERROR(__xludf.DUMMYFUNCTION("""COMPUTED_VALUE"""),32286.54)</f>
        <v>32286.54</v>
      </c>
      <c r="C44" s="33"/>
      <c r="D44" s="37">
        <f ca="1">IFERROR(__xludf.DUMMYFUNCTION("""COMPUTED_VALUE"""),32286.54)</f>
        <v>32286.54</v>
      </c>
      <c r="G44" s="37"/>
    </row>
    <row r="45" spans="1:7" ht="12.5" x14ac:dyDescent="0.25">
      <c r="A45" s="33" t="str">
        <f ca="1">IFERROR(__xludf.DUMMYFUNCTION("""COMPUTED_VALUE"""),"C9300-48S")</f>
        <v>C9300-48S</v>
      </c>
      <c r="B45" s="37">
        <f ca="1">IFERROR(__xludf.DUMMYFUNCTION("""COMPUTED_VALUE"""),57322.71)</f>
        <v>57322.71</v>
      </c>
      <c r="C45" s="33"/>
      <c r="D45" s="37">
        <f ca="1">IFERROR(__xludf.DUMMYFUNCTION("""COMPUTED_VALUE"""),57322.71)</f>
        <v>57322.71</v>
      </c>
      <c r="G45" s="37"/>
    </row>
    <row r="46" spans="1:7" ht="12.5" x14ac:dyDescent="0.25">
      <c r="A46" s="33" t="str">
        <f ca="1">IFERROR(__xludf.DUMMYFUNCTION("""COMPUTED_VALUE"""),"C9300-48UB")</f>
        <v>C9300-48UB</v>
      </c>
      <c r="B46" s="37">
        <f ca="1">IFERROR(__xludf.DUMMYFUNCTION("""COMPUTED_VALUE"""),37491.48)</f>
        <v>37491.480000000003</v>
      </c>
      <c r="C46" s="33"/>
      <c r="D46" s="37">
        <f ca="1">IFERROR(__xludf.DUMMYFUNCTION("""COMPUTED_VALUE"""),37491.48)</f>
        <v>37491.480000000003</v>
      </c>
      <c r="G46" s="37"/>
    </row>
    <row r="47" spans="1:7" ht="12.5" x14ac:dyDescent="0.25">
      <c r="A47" s="33" t="str">
        <f ca="1">IFERROR(__xludf.DUMMYFUNCTION("""COMPUTED_VALUE"""),"C1300-8T-E-2G")</f>
        <v>C1300-8T-E-2G</v>
      </c>
      <c r="B47" s="37">
        <f ca="1">IFERROR(__xludf.DUMMYFUNCTION("""COMPUTED_VALUE"""),463.29)</f>
        <v>463.29</v>
      </c>
      <c r="C47" s="33"/>
      <c r="D47" s="37">
        <f ca="1">IFERROR(__xludf.DUMMYFUNCTION("""COMPUTED_VALUE"""),463.29)</f>
        <v>463.29</v>
      </c>
      <c r="G47" s="37"/>
    </row>
    <row r="48" spans="1:7" ht="12.5" x14ac:dyDescent="0.25">
      <c r="A48" s="33" t="str">
        <f ca="1">IFERROR(__xludf.DUMMYFUNCTION("""COMPUTED_VALUE"""),"C1300-8P-E-2G")</f>
        <v>C1300-8P-E-2G</v>
      </c>
      <c r="B48" s="37">
        <f ca="1">IFERROR(__xludf.DUMMYFUNCTION("""COMPUTED_VALUE"""),570.56)</f>
        <v>570.55999999999995</v>
      </c>
      <c r="C48" s="33"/>
      <c r="D48" s="37">
        <f ca="1">IFERROR(__xludf.DUMMYFUNCTION("""COMPUTED_VALUE"""),570.56)</f>
        <v>570.55999999999995</v>
      </c>
      <c r="G48" s="37"/>
    </row>
    <row r="49" spans="1:7" ht="12.5" x14ac:dyDescent="0.25">
      <c r="A49" s="33" t="str">
        <f ca="1">IFERROR(__xludf.DUMMYFUNCTION("""COMPUTED_VALUE"""),"C1300-8FP-2G")</f>
        <v>C1300-8FP-2G</v>
      </c>
      <c r="B49" s="37">
        <f ca="1">IFERROR(__xludf.DUMMYFUNCTION("""COMPUTED_VALUE"""),757.69)</f>
        <v>757.69</v>
      </c>
      <c r="C49" s="33"/>
      <c r="D49" s="37">
        <f ca="1">IFERROR(__xludf.DUMMYFUNCTION("""COMPUTED_VALUE"""),757.69)</f>
        <v>757.69</v>
      </c>
      <c r="G49" s="37"/>
    </row>
    <row r="50" spans="1:7" ht="12.5" x14ac:dyDescent="0.25">
      <c r="A50" s="33" t="str">
        <f ca="1">IFERROR(__xludf.DUMMYFUNCTION("""COMPUTED_VALUE"""),"C1300-16T-2G")</f>
        <v>C1300-16T-2G</v>
      </c>
      <c r="B50" s="37">
        <f ca="1">IFERROR(__xludf.DUMMYFUNCTION("""COMPUTED_VALUE"""),655.57)</f>
        <v>655.57</v>
      </c>
      <c r="C50" s="33"/>
      <c r="D50" s="37">
        <f ca="1">IFERROR(__xludf.DUMMYFUNCTION("""COMPUTED_VALUE"""),655.57)</f>
        <v>655.57</v>
      </c>
      <c r="G50" s="37"/>
    </row>
    <row r="51" spans="1:7" ht="12.5" x14ac:dyDescent="0.25">
      <c r="A51" s="33" t="str">
        <f ca="1">IFERROR(__xludf.DUMMYFUNCTION("""COMPUTED_VALUE"""),"C1300-16P-2G")</f>
        <v>C1300-16P-2G</v>
      </c>
      <c r="B51" s="37">
        <f ca="1">IFERROR(__xludf.DUMMYFUNCTION("""COMPUTED_VALUE"""),952.7)</f>
        <v>952.7</v>
      </c>
      <c r="C51" s="33"/>
      <c r="D51" s="37">
        <f ca="1">IFERROR(__xludf.DUMMYFUNCTION("""COMPUTED_VALUE"""),952.7)</f>
        <v>952.7</v>
      </c>
      <c r="G51" s="37"/>
    </row>
    <row r="52" spans="1:7" ht="12.5" x14ac:dyDescent="0.25">
      <c r="A52" s="33" t="str">
        <f ca="1">IFERROR(__xludf.DUMMYFUNCTION("""COMPUTED_VALUE"""),"C1300-16FP-2G")</f>
        <v>C1300-16FP-2G</v>
      </c>
      <c r="B52" s="37">
        <f ca="1">IFERROR(__xludf.DUMMYFUNCTION("""COMPUTED_VALUE"""),1350.49)</f>
        <v>1350.49</v>
      </c>
      <c r="C52" s="33"/>
      <c r="D52" s="37">
        <f ca="1">IFERROR(__xludf.DUMMYFUNCTION("""COMPUTED_VALUE"""),1350.49)</f>
        <v>1350.49</v>
      </c>
      <c r="G52" s="37"/>
    </row>
    <row r="53" spans="1:7" ht="12.5" x14ac:dyDescent="0.25">
      <c r="A53" s="33" t="str">
        <f ca="1">IFERROR(__xludf.DUMMYFUNCTION("""COMPUTED_VALUE"""),"C1300-24T-4G")</f>
        <v>C1300-24T-4G</v>
      </c>
      <c r="B53" s="37">
        <f ca="1">IFERROR(__xludf.DUMMYFUNCTION("""COMPUTED_VALUE"""),913.34)</f>
        <v>913.34</v>
      </c>
      <c r="C53" s="33"/>
      <c r="D53" s="37">
        <f ca="1">IFERROR(__xludf.DUMMYFUNCTION("""COMPUTED_VALUE"""),913.34)</f>
        <v>913.34</v>
      </c>
      <c r="G53" s="37"/>
    </row>
    <row r="54" spans="1:7" ht="12.5" x14ac:dyDescent="0.25">
      <c r="A54" s="33" t="str">
        <f ca="1">IFERROR(__xludf.DUMMYFUNCTION("""COMPUTED_VALUE"""),"C1300-24P-4G")</f>
        <v>C1300-24P-4G</v>
      </c>
      <c r="B54" s="37">
        <f ca="1">IFERROR(__xludf.DUMMYFUNCTION("""COMPUTED_VALUE"""),1300.65)</f>
        <v>1300.6500000000001</v>
      </c>
      <c r="C54" s="33"/>
      <c r="D54" s="37">
        <f ca="1">IFERROR(__xludf.DUMMYFUNCTION("""COMPUTED_VALUE"""),1300.65)</f>
        <v>1300.6500000000001</v>
      </c>
      <c r="G54" s="37"/>
    </row>
    <row r="55" spans="1:7" ht="12.5" x14ac:dyDescent="0.25">
      <c r="A55" s="33" t="str">
        <f ca="1">IFERROR(__xludf.DUMMYFUNCTION("""COMPUTED_VALUE"""),"C1300-24FP-4G")</f>
        <v>C1300-24FP-4G</v>
      </c>
      <c r="B55" s="37">
        <f ca="1">IFERROR(__xludf.DUMMYFUNCTION("""COMPUTED_VALUE"""),1770.54)</f>
        <v>1770.54</v>
      </c>
      <c r="C55" s="33"/>
      <c r="D55" s="37">
        <f ca="1">IFERROR(__xludf.DUMMYFUNCTION("""COMPUTED_VALUE"""),1770.54)</f>
        <v>1770.54</v>
      </c>
      <c r="G55" s="37"/>
    </row>
    <row r="56" spans="1:7" ht="12.5" x14ac:dyDescent="0.25">
      <c r="A56" s="33" t="str">
        <f ca="1">IFERROR(__xludf.DUMMYFUNCTION("""COMPUTED_VALUE"""),"C1300-48T-4G")</f>
        <v>C1300-48T-4G</v>
      </c>
      <c r="B56" s="37">
        <f ca="1">IFERROR(__xludf.DUMMYFUNCTION("""COMPUTED_VALUE"""),1434.22)</f>
        <v>1434.22</v>
      </c>
      <c r="C56" s="33"/>
      <c r="D56" s="37">
        <f ca="1">IFERROR(__xludf.DUMMYFUNCTION("""COMPUTED_VALUE"""),1434.22)</f>
        <v>1434.22</v>
      </c>
      <c r="G56" s="37"/>
    </row>
    <row r="57" spans="1:7" ht="12.5" x14ac:dyDescent="0.25">
      <c r="A57" s="33" t="str">
        <f ca="1">IFERROR(__xludf.DUMMYFUNCTION("""COMPUTED_VALUE"""),"C1300-48P-4G")</f>
        <v>C1300-48P-4G</v>
      </c>
      <c r="B57" s="37">
        <f ca="1">IFERROR(__xludf.DUMMYFUNCTION("""COMPUTED_VALUE"""),2368.53)</f>
        <v>2368.5300000000002</v>
      </c>
      <c r="C57" s="33"/>
      <c r="D57" s="37">
        <f ca="1">IFERROR(__xludf.DUMMYFUNCTION("""COMPUTED_VALUE"""),2368.53)</f>
        <v>2368.5300000000002</v>
      </c>
      <c r="G57" s="37"/>
    </row>
    <row r="58" spans="1:7" ht="12.5" x14ac:dyDescent="0.25">
      <c r="A58" s="33" t="str">
        <f ca="1">IFERROR(__xludf.DUMMYFUNCTION("""COMPUTED_VALUE"""),"C1300-48FP-4G")</f>
        <v>C1300-48FP-4G</v>
      </c>
      <c r="B58" s="37">
        <f ca="1">IFERROR(__xludf.DUMMYFUNCTION("""COMPUTED_VALUE"""),2962.61)</f>
        <v>2962.61</v>
      </c>
      <c r="C58" s="33"/>
      <c r="D58" s="37">
        <f ca="1">IFERROR(__xludf.DUMMYFUNCTION("""COMPUTED_VALUE"""),2962.61)</f>
        <v>2962.61</v>
      </c>
      <c r="G58" s="37"/>
    </row>
    <row r="59" spans="1:7" ht="12.5" x14ac:dyDescent="0.25">
      <c r="A59" s="33" t="str">
        <f ca="1">IFERROR(__xludf.DUMMYFUNCTION("""COMPUTED_VALUE"""),"C1300-16P-4X")</f>
        <v>C1300-16P-4X</v>
      </c>
      <c r="B59" s="37">
        <f ca="1">IFERROR(__xludf.DUMMYFUNCTION("""COMPUTED_VALUE"""),1019.52)</f>
        <v>1019.52</v>
      </c>
      <c r="C59" s="33"/>
      <c r="D59" s="37">
        <f ca="1">IFERROR(__xludf.DUMMYFUNCTION("""COMPUTED_VALUE"""),1019.52)</f>
        <v>1019.52</v>
      </c>
      <c r="G59" s="37"/>
    </row>
    <row r="60" spans="1:7" ht="12.5" x14ac:dyDescent="0.25">
      <c r="A60" s="33" t="str">
        <f ca="1">IFERROR(__xludf.DUMMYFUNCTION("""COMPUTED_VALUE"""),"C1300-24T-4X")</f>
        <v>C1300-24T-4X</v>
      </c>
      <c r="B60" s="37">
        <f ca="1">IFERROR(__xludf.DUMMYFUNCTION("""COMPUTED_VALUE"""),1315.75)</f>
        <v>1315.75</v>
      </c>
      <c r="C60" s="33"/>
      <c r="D60" s="37">
        <f ca="1">IFERROR(__xludf.DUMMYFUNCTION("""COMPUTED_VALUE"""),1315.75)</f>
        <v>1315.75</v>
      </c>
      <c r="G60" s="37"/>
    </row>
    <row r="61" spans="1:7" ht="12.5" x14ac:dyDescent="0.25">
      <c r="A61" s="33" t="str">
        <f ca="1">IFERROR(__xludf.DUMMYFUNCTION("""COMPUTED_VALUE"""),"C1300-24P-4X")</f>
        <v>C1300-24P-4X</v>
      </c>
      <c r="B61" s="37">
        <f ca="1">IFERROR(__xludf.DUMMYFUNCTION("""COMPUTED_VALUE"""),1567.48)</f>
        <v>1567.48</v>
      </c>
      <c r="C61" s="33"/>
      <c r="D61" s="37">
        <f ca="1">IFERROR(__xludf.DUMMYFUNCTION("""COMPUTED_VALUE"""),1567.48)</f>
        <v>1567.48</v>
      </c>
      <c r="G61" s="37"/>
    </row>
    <row r="62" spans="1:7" ht="12.5" x14ac:dyDescent="0.25">
      <c r="A62" s="33" t="str">
        <f ca="1">IFERROR(__xludf.DUMMYFUNCTION("""COMPUTED_VALUE"""),"C1300-24FP-4X")</f>
        <v>C1300-24FP-4X</v>
      </c>
      <c r="B62" s="37">
        <f ca="1">IFERROR(__xludf.DUMMYFUNCTION("""COMPUTED_VALUE"""),2131.86)</f>
        <v>2131.86</v>
      </c>
      <c r="C62" s="33"/>
      <c r="D62" s="37">
        <f ca="1">IFERROR(__xludf.DUMMYFUNCTION("""COMPUTED_VALUE"""),2131.86)</f>
        <v>2131.86</v>
      </c>
      <c r="G62" s="37"/>
    </row>
    <row r="63" spans="1:7" ht="12.5" x14ac:dyDescent="0.25">
      <c r="A63" s="33" t="str">
        <f ca="1">IFERROR(__xludf.DUMMYFUNCTION("""COMPUTED_VALUE"""),"C1300-48T-4X")</f>
        <v>C1300-48T-4X</v>
      </c>
      <c r="B63" s="37">
        <f ca="1">IFERROR(__xludf.DUMMYFUNCTION("""COMPUTED_VALUE"""),2062.75)</f>
        <v>2062.75</v>
      </c>
      <c r="C63" s="33"/>
      <c r="D63" s="37">
        <f ca="1">IFERROR(__xludf.DUMMYFUNCTION("""COMPUTED_VALUE"""),2062.75)</f>
        <v>2062.75</v>
      </c>
      <c r="G63" s="37"/>
    </row>
    <row r="64" spans="1:7" ht="12.5" x14ac:dyDescent="0.25">
      <c r="A64" s="33" t="str">
        <f ca="1">IFERROR(__xludf.DUMMYFUNCTION("""COMPUTED_VALUE"""),"C1300-48P-4X")</f>
        <v>C1300-48P-4X</v>
      </c>
      <c r="B64" s="37">
        <f ca="1">IFERROR(__xludf.DUMMYFUNCTION("""COMPUTED_VALUE"""),2557.45)</f>
        <v>2557.4499999999998</v>
      </c>
      <c r="C64" s="33"/>
      <c r="D64" s="37">
        <f ca="1">IFERROR(__xludf.DUMMYFUNCTION("""COMPUTED_VALUE"""),2557.45)</f>
        <v>2557.4499999999998</v>
      </c>
      <c r="G64" s="37"/>
    </row>
    <row r="65" spans="1:7" ht="12.5" x14ac:dyDescent="0.25">
      <c r="A65" s="33" t="str">
        <f ca="1">IFERROR(__xludf.DUMMYFUNCTION("""COMPUTED_VALUE"""),"C1300-48FP-4X")</f>
        <v>C1300-48FP-4X</v>
      </c>
      <c r="B65" s="37">
        <f ca="1">IFERROR(__xludf.DUMMYFUNCTION("""COMPUTED_VALUE"""),3302.25)</f>
        <v>3302.25</v>
      </c>
      <c r="C65" s="33"/>
      <c r="D65" s="37">
        <f ca="1">IFERROR(__xludf.DUMMYFUNCTION("""COMPUTED_VALUE"""),3302.25)</f>
        <v>3302.25</v>
      </c>
      <c r="G65" s="37"/>
    </row>
    <row r="66" spans="1:7" ht="12.5" x14ac:dyDescent="0.25">
      <c r="A66" s="33" t="str">
        <f ca="1">IFERROR(__xludf.DUMMYFUNCTION("""COMPUTED_VALUE"""),"C1300-12XT-2X")</f>
        <v>C1300-12XT-2X</v>
      </c>
      <c r="B66" s="37">
        <f ca="1">IFERROR(__xludf.DUMMYFUNCTION("""COMPUTED_VALUE"""),2264.01)</f>
        <v>2264.0100000000002</v>
      </c>
      <c r="C66" s="33"/>
      <c r="D66" s="37">
        <f ca="1">IFERROR(__xludf.DUMMYFUNCTION("""COMPUTED_VALUE"""),2264.01)</f>
        <v>2264.0100000000002</v>
      </c>
      <c r="G66" s="37"/>
    </row>
    <row r="67" spans="1:7" ht="12.5" x14ac:dyDescent="0.25">
      <c r="A67" s="33" t="str">
        <f ca="1">IFERROR(__xludf.DUMMYFUNCTION("""COMPUTED_VALUE"""),"C1300-12XS")</f>
        <v>C1300-12XS</v>
      </c>
      <c r="B67" s="37">
        <f ca="1">IFERROR(__xludf.DUMMYFUNCTION("""COMPUTED_VALUE"""),2306.8)</f>
        <v>2306.8000000000002</v>
      </c>
      <c r="C67" s="33"/>
      <c r="D67" s="37">
        <f ca="1">IFERROR(__xludf.DUMMYFUNCTION("""COMPUTED_VALUE"""),2306.8)</f>
        <v>2306.8000000000002</v>
      </c>
      <c r="G67" s="37"/>
    </row>
    <row r="68" spans="1:7" ht="12.5" x14ac:dyDescent="0.25">
      <c r="A68" s="33" t="str">
        <f ca="1">IFERROR(__xludf.DUMMYFUNCTION("""COMPUTED_VALUE"""),"C1300-16XTS")</f>
        <v>C1300-16XTS</v>
      </c>
      <c r="B68" s="37">
        <f ca="1">IFERROR(__xludf.DUMMYFUNCTION("""COMPUTED_VALUE"""),3602.8)</f>
        <v>3602.8</v>
      </c>
      <c r="C68" s="33"/>
      <c r="D68" s="37">
        <f ca="1">IFERROR(__xludf.DUMMYFUNCTION("""COMPUTED_VALUE"""),3602.8)</f>
        <v>3602.8</v>
      </c>
      <c r="G68" s="37"/>
    </row>
    <row r="69" spans="1:7" ht="12.5" x14ac:dyDescent="0.25">
      <c r="A69" s="33" t="str">
        <f ca="1">IFERROR(__xludf.DUMMYFUNCTION("""COMPUTED_VALUE"""),"C1300-24XS")</f>
        <v>C1300-24XS</v>
      </c>
      <c r="B69" s="37">
        <f ca="1">IFERROR(__xludf.DUMMYFUNCTION("""COMPUTED_VALUE"""),3725.66)</f>
        <v>3725.66</v>
      </c>
      <c r="C69" s="33"/>
      <c r="D69" s="37">
        <f ca="1">IFERROR(__xludf.DUMMYFUNCTION("""COMPUTED_VALUE"""),3725.66)</f>
        <v>3725.66</v>
      </c>
      <c r="G69" s="37"/>
    </row>
    <row r="70" spans="1:7" ht="12.5" x14ac:dyDescent="0.25">
      <c r="A70" s="33" t="str">
        <f ca="1">IFERROR(__xludf.DUMMYFUNCTION("""COMPUTED_VALUE"""),"C1300-24XT")</f>
        <v>C1300-24XT</v>
      </c>
      <c r="B70" s="37">
        <f ca="1">IFERROR(__xludf.DUMMYFUNCTION("""COMPUTED_VALUE"""),4790.18)</f>
        <v>4790.18</v>
      </c>
      <c r="C70" s="33"/>
      <c r="D70" s="37">
        <f ca="1">IFERROR(__xludf.DUMMYFUNCTION("""COMPUTED_VALUE"""),4790.18)</f>
        <v>4790.18</v>
      </c>
      <c r="G70" s="37"/>
    </row>
    <row r="71" spans="1:7" ht="12.5" x14ac:dyDescent="0.25">
      <c r="A71" s="33" t="str">
        <f ca="1">IFERROR(__xludf.DUMMYFUNCTION("""COMPUTED_VALUE"""),"C1300-24XTS")</f>
        <v>C1300-24XTS</v>
      </c>
      <c r="B71" s="37">
        <f ca="1">IFERROR(__xludf.DUMMYFUNCTION("""COMPUTED_VALUE"""),4622.36)</f>
        <v>4622.3599999999997</v>
      </c>
      <c r="C71" s="33"/>
      <c r="D71" s="37">
        <f ca="1">IFERROR(__xludf.DUMMYFUNCTION("""COMPUTED_VALUE"""),4622.36)</f>
        <v>4622.3599999999997</v>
      </c>
      <c r="G71" s="37"/>
    </row>
    <row r="72" spans="1:7" ht="12.5" x14ac:dyDescent="0.25">
      <c r="A72" s="33" t="str">
        <f ca="1">IFERROR(__xludf.DUMMYFUNCTION("""COMPUTED_VALUE"""),"C1300X-24T-4X")</f>
        <v>C1300X-24T-4X</v>
      </c>
      <c r="B72" s="37">
        <f ca="1">IFERROR(__xludf.DUMMYFUNCTION("""COMPUTED_VALUE"""),1379.74)</f>
        <v>1379.74</v>
      </c>
      <c r="C72" s="33"/>
      <c r="D72" s="37">
        <f ca="1">IFERROR(__xludf.DUMMYFUNCTION("""COMPUTED_VALUE"""),1379.74)</f>
        <v>1379.74</v>
      </c>
      <c r="G72" s="37"/>
    </row>
    <row r="73" spans="1:7" ht="12.5" x14ac:dyDescent="0.25">
      <c r="A73" s="33" t="str">
        <f ca="1">IFERROR(__xludf.DUMMYFUNCTION("""COMPUTED_VALUE"""),"C1300X-48T-4X")</f>
        <v>C1300X-48T-4X</v>
      </c>
      <c r="B73" s="37">
        <f ca="1">IFERROR(__xludf.DUMMYFUNCTION("""COMPUTED_VALUE"""),2116.76)</f>
        <v>2116.7600000000002</v>
      </c>
      <c r="C73" s="33"/>
      <c r="D73" s="37">
        <f ca="1">IFERROR(__xludf.DUMMYFUNCTION("""COMPUTED_VALUE"""),2116.76)</f>
        <v>2116.7600000000002</v>
      </c>
      <c r="G73" s="37"/>
    </row>
    <row r="74" spans="1:7" ht="12.5" x14ac:dyDescent="0.25">
      <c r="A74" s="33" t="str">
        <f ca="1">IFERROR(__xludf.DUMMYFUNCTION("""COMPUTED_VALUE"""),"C1300X-24P-4X")</f>
        <v>C1300X-24P-4X</v>
      </c>
      <c r="B74" s="37">
        <f ca="1">IFERROR(__xludf.DUMMYFUNCTION("""COMPUTED_VALUE"""),2238.02)</f>
        <v>2238.02</v>
      </c>
      <c r="C74" s="33"/>
      <c r="D74" s="37">
        <f ca="1">IFERROR(__xludf.DUMMYFUNCTION("""COMPUTED_VALUE"""),2238.02)</f>
        <v>2238.02</v>
      </c>
      <c r="G74" s="37"/>
    </row>
    <row r="75" spans="1:7" ht="12.5" x14ac:dyDescent="0.25">
      <c r="A75" s="33" t="str">
        <f ca="1">IFERROR(__xludf.DUMMYFUNCTION("""COMPUTED_VALUE"""),"C1300X-48P-4X")</f>
        <v>C1300X-48P-4X</v>
      </c>
      <c r="B75" s="37">
        <f ca="1">IFERROR(__xludf.DUMMYFUNCTION("""COMPUTED_VALUE"""),3466.95)</f>
        <v>3466.95</v>
      </c>
      <c r="C75" s="33"/>
      <c r="D75" s="37">
        <f ca="1">IFERROR(__xludf.DUMMYFUNCTION("""COMPUTED_VALUE"""),3466.95)</f>
        <v>3466.95</v>
      </c>
      <c r="G75" s="37"/>
    </row>
    <row r="76" spans="1:7" ht="12.5" x14ac:dyDescent="0.25">
      <c r="A76" s="33" t="str">
        <f ca="1">IFERROR(__xludf.DUMMYFUNCTION("""COMPUTED_VALUE"""),"C9500-32C")</f>
        <v>C9500-32C</v>
      </c>
      <c r="B76" s="37">
        <f ca="1">IFERROR(__xludf.DUMMYFUNCTION("""COMPUTED_VALUE"""),86779.49)</f>
        <v>86779.49</v>
      </c>
      <c r="C76" s="33"/>
      <c r="D76" s="37">
        <f ca="1">IFERROR(__xludf.DUMMYFUNCTION("""COMPUTED_VALUE"""),86779.49)</f>
        <v>86779.49</v>
      </c>
      <c r="G76" s="37"/>
    </row>
    <row r="77" spans="1:7" ht="12.5" x14ac:dyDescent="0.25">
      <c r="A77" s="33" t="str">
        <f ca="1">IFERROR(__xludf.DUMMYFUNCTION("""COMPUTED_VALUE"""),"C9500-32QC")</f>
        <v>C9500-32QC</v>
      </c>
      <c r="B77" s="37">
        <f ca="1">IFERROR(__xludf.DUMMYFUNCTION("""COMPUTED_VALUE"""),78332.98)</f>
        <v>78332.98</v>
      </c>
      <c r="C77" s="33"/>
      <c r="D77" s="37">
        <f ca="1">IFERROR(__xludf.DUMMYFUNCTION("""COMPUTED_VALUE"""),78332.98)</f>
        <v>78332.98</v>
      </c>
      <c r="G77" s="37"/>
    </row>
    <row r="78" spans="1:7" ht="12.5" x14ac:dyDescent="0.25">
      <c r="A78" s="33" t="str">
        <f ca="1">IFERROR(__xludf.DUMMYFUNCTION("""COMPUTED_VALUE"""),"C9500-48Y4C")</f>
        <v>C9500-48Y4C</v>
      </c>
      <c r="B78" s="37">
        <f ca="1">IFERROR(__xludf.DUMMYFUNCTION("""COMPUTED_VALUE"""),66036.97)</f>
        <v>66036.97</v>
      </c>
      <c r="C78" s="33"/>
      <c r="D78" s="37">
        <f ca="1">IFERROR(__xludf.DUMMYFUNCTION("""COMPUTED_VALUE"""),66036.97)</f>
        <v>66036.97</v>
      </c>
      <c r="G78" s="37"/>
    </row>
    <row r="79" spans="1:7" ht="12.5" x14ac:dyDescent="0.25">
      <c r="A79" s="33" t="str">
        <f ca="1">IFERROR(__xludf.DUMMYFUNCTION("""COMPUTED_VALUE"""),"C9500-24Y4C")</f>
        <v>C9500-24Y4C</v>
      </c>
      <c r="B79" s="37">
        <f ca="1">IFERROR(__xludf.DUMMYFUNCTION("""COMPUTED_VALUE"""),55686.03)</f>
        <v>55686.03</v>
      </c>
      <c r="C79" s="33"/>
      <c r="D79" s="37">
        <f ca="1">IFERROR(__xludf.DUMMYFUNCTION("""COMPUTED_VALUE"""),55686.03)</f>
        <v>55686.03</v>
      </c>
      <c r="G79" s="37"/>
    </row>
    <row r="80" spans="1:7" ht="12.5" x14ac:dyDescent="0.25">
      <c r="A80" s="33" t="str">
        <f ca="1">IFERROR(__xludf.DUMMYFUNCTION("""COMPUTED_VALUE"""),"C9500X-28C8D")</f>
        <v>C9500X-28C8D</v>
      </c>
      <c r="B80" s="37">
        <f ca="1">IFERROR(__xludf.DUMMYFUNCTION("""COMPUTED_VALUE"""),170302.47)</f>
        <v>170302.47</v>
      </c>
      <c r="C80" s="33"/>
      <c r="D80" s="37">
        <f ca="1">IFERROR(__xludf.DUMMYFUNCTION("""COMPUTED_VALUE"""),170302.47)</f>
        <v>170302.47</v>
      </c>
      <c r="G80" s="37"/>
    </row>
    <row r="81" spans="1:7" ht="12.5" x14ac:dyDescent="0.25">
      <c r="A81" s="33" t="str">
        <f ca="1">IFERROR(__xludf.DUMMYFUNCTION("""COMPUTED_VALUE"""),"C9500X-60L4D")</f>
        <v>C9500X-60L4D</v>
      </c>
      <c r="B81" s="37">
        <f ca="1">IFERROR(__xludf.DUMMYFUNCTION("""COMPUTED_VALUE"""),130669.25)</f>
        <v>130669.25</v>
      </c>
      <c r="C81" s="33"/>
      <c r="D81" s="37">
        <f ca="1">IFERROR(__xludf.DUMMYFUNCTION("""COMPUTED_VALUE"""),130669.25)</f>
        <v>130669.25</v>
      </c>
      <c r="G81" s="37"/>
    </row>
    <row r="82" spans="1:7" ht="12.5" x14ac:dyDescent="0.25">
      <c r="A82" s="33" t="str">
        <f ca="1">IFERROR(__xludf.DUMMYFUNCTION("""COMPUTED_VALUE"""),"C9500-16X")</f>
        <v>C9500-16X</v>
      </c>
      <c r="B82" s="37">
        <f ca="1">IFERROR(__xludf.DUMMYFUNCTION("""COMPUTED_VALUE"""),41745.39)</f>
        <v>41745.39</v>
      </c>
      <c r="C82" s="33"/>
      <c r="D82" s="37">
        <f ca="1">IFERROR(__xludf.DUMMYFUNCTION("""COMPUTED_VALUE"""),41745.39)</f>
        <v>41745.39</v>
      </c>
      <c r="G82" s="37"/>
    </row>
    <row r="83" spans="1:7" ht="12.5" x14ac:dyDescent="0.25">
      <c r="A83" s="33" t="str">
        <f ca="1">IFERROR(__xludf.DUMMYFUNCTION("""COMPUTED_VALUE"""),"APIC-CLUSTERG5")</f>
        <v>APIC-CLUSTERG5</v>
      </c>
      <c r="B83" s="37">
        <f ca="1">IFERROR(__xludf.DUMMYFUNCTION("""COMPUTED_VALUE"""),161856.78)</f>
        <v>161856.78</v>
      </c>
      <c r="C83" s="33"/>
      <c r="D83" s="37">
        <f ca="1">IFERROR(__xludf.DUMMYFUNCTION("""COMPUTED_VALUE"""),161856.78)</f>
        <v>161856.78</v>
      </c>
      <c r="G83" s="37"/>
    </row>
    <row r="84" spans="1:7" ht="12.5" x14ac:dyDescent="0.25">
      <c r="A84" s="33" t="str">
        <f ca="1">IFERROR(__xludf.DUMMYFUNCTION("""COMPUTED_VALUE"""),"N9K-C9504")</f>
        <v>N9K-C9504</v>
      </c>
      <c r="B84" s="37">
        <f ca="1">IFERROR(__xludf.DUMMYFUNCTION("""COMPUTED_VALUE"""),383674.39)</f>
        <v>383674.39</v>
      </c>
      <c r="C84" s="33"/>
      <c r="D84" s="37">
        <f ca="1">IFERROR(__xludf.DUMMYFUNCTION("""COMPUTED_VALUE"""),383674.39)</f>
        <v>383674.39</v>
      </c>
      <c r="G84" s="37"/>
    </row>
    <row r="85" spans="1:7" ht="12.5" x14ac:dyDescent="0.25">
      <c r="A85" s="33" t="str">
        <f ca="1">IFERROR(__xludf.DUMMYFUNCTION("""COMPUTED_VALUE"""),"N9K-C9508")</f>
        <v>N9K-C9508</v>
      </c>
      <c r="B85" s="37">
        <f ca="1">IFERROR(__xludf.DUMMYFUNCTION("""COMPUTED_VALUE"""),645324.61)</f>
        <v>645324.61</v>
      </c>
      <c r="C85" s="33"/>
      <c r="D85" s="37">
        <f ca="1">IFERROR(__xludf.DUMMYFUNCTION("""COMPUTED_VALUE"""),645324.61)</f>
        <v>645324.61</v>
      </c>
      <c r="G85" s="37"/>
    </row>
    <row r="86" spans="1:7" ht="12.5" x14ac:dyDescent="0.25">
      <c r="A86" s="33" t="str">
        <f ca="1">IFERROR(__xludf.DUMMYFUNCTION("""COMPUTED_VALUE"""),"N9K-C9516")</f>
        <v>N9K-C9516</v>
      </c>
      <c r="B86" s="37">
        <f ca="1">IFERROR(__xludf.DUMMYFUNCTION("""COMPUTED_VALUE"""),761874.61)</f>
        <v>761874.61</v>
      </c>
      <c r="C86" s="33"/>
      <c r="D86" s="37">
        <f ca="1">IFERROR(__xludf.DUMMYFUNCTION("""COMPUTED_VALUE"""),761874.61)</f>
        <v>761874.61</v>
      </c>
      <c r="G86" s="37"/>
    </row>
    <row r="87" spans="1:7" ht="12.5" x14ac:dyDescent="0.25">
      <c r="A87" s="33" t="str">
        <f ca="1">IFERROR(__xludf.DUMMYFUNCTION("""COMPUTED_VALUE"""),"N9K-X9736C-FX3=")</f>
        <v>N9K-X9736C-FX3=</v>
      </c>
      <c r="B87" s="37">
        <f ca="1">IFERROR(__xludf.DUMMYFUNCTION("""COMPUTED_VALUE"""),59012.02)</f>
        <v>59012.02</v>
      </c>
      <c r="C87" s="33"/>
      <c r="D87" s="37">
        <f ca="1">IFERROR(__xludf.DUMMYFUNCTION("""COMPUTED_VALUE"""),59012.02)</f>
        <v>59012.02</v>
      </c>
      <c r="G87" s="37"/>
    </row>
    <row r="88" spans="1:7" ht="12.5" x14ac:dyDescent="0.25">
      <c r="A88" s="33" t="str">
        <f ca="1">IFERROR(__xludf.DUMMYFUNCTION("""COMPUTED_VALUE"""),"N9K-C9364C-GX")</f>
        <v>N9K-C9364C-GX</v>
      </c>
      <c r="B88" s="37">
        <f ca="1">IFERROR(__xludf.DUMMYFUNCTION("""COMPUTED_VALUE"""),150153.17)</f>
        <v>150153.17000000001</v>
      </c>
      <c r="C88" s="33"/>
      <c r="D88" s="37">
        <f ca="1">IFERROR(__xludf.DUMMYFUNCTION("""COMPUTED_VALUE"""),150153.17)</f>
        <v>150153.17000000001</v>
      </c>
      <c r="G88" s="37"/>
    </row>
    <row r="89" spans="1:7" ht="12.5" x14ac:dyDescent="0.25">
      <c r="A89" s="33" t="str">
        <f ca="1">IFERROR(__xludf.DUMMYFUNCTION("""COMPUTED_VALUE"""),"N9K-C9316D-GX")</f>
        <v>N9K-C9316D-GX</v>
      </c>
      <c r="B89" s="37">
        <f ca="1">IFERROR(__xludf.DUMMYFUNCTION("""COMPUTED_VALUE"""),125701.93)</f>
        <v>125701.93</v>
      </c>
      <c r="C89" s="37">
        <f ca="1">IFERROR(__xludf.DUMMYFUNCTION("""COMPUTED_VALUE"""),26500)</f>
        <v>26500</v>
      </c>
      <c r="D89" s="37">
        <f ca="1">IFERROR(__xludf.DUMMYFUNCTION("""COMPUTED_VALUE"""),26500)</f>
        <v>26500</v>
      </c>
      <c r="G89" s="37"/>
    </row>
    <row r="90" spans="1:7" ht="12.5" x14ac:dyDescent="0.25">
      <c r="A90" s="33" t="str">
        <f ca="1">IFERROR(__xludf.DUMMYFUNCTION("""COMPUTED_VALUE"""),"N9K-C93600CD-GX")</f>
        <v>N9K-C93600CD-GX</v>
      </c>
      <c r="B90" s="37">
        <f ca="1">IFERROR(__xludf.DUMMYFUNCTION("""COMPUTED_VALUE"""),121246.9)</f>
        <v>121246.9</v>
      </c>
      <c r="C90" s="37">
        <f ca="1">IFERROR(__xludf.DUMMYFUNCTION("""COMPUTED_VALUE"""),32500)</f>
        <v>32500</v>
      </c>
      <c r="D90" s="37">
        <f ca="1">IFERROR(__xludf.DUMMYFUNCTION("""COMPUTED_VALUE"""),32500)</f>
        <v>32500</v>
      </c>
      <c r="G90" s="37"/>
    </row>
    <row r="91" spans="1:7" ht="12.5" x14ac:dyDescent="0.25">
      <c r="A91" s="33" t="str">
        <f ca="1">IFERROR(__xludf.DUMMYFUNCTION("""COMPUTED_VALUE"""),"N9K-C93180YC-FX3")</f>
        <v>N9K-C93180YC-FX3</v>
      </c>
      <c r="B91" s="37">
        <f ca="1">IFERROR(__xludf.DUMMYFUNCTION("""COMPUTED_VALUE"""),73302.82)</f>
        <v>73302.820000000007</v>
      </c>
      <c r="C91" s="37">
        <f ca="1">IFERROR(__xludf.DUMMYFUNCTION("""COMPUTED_VALUE"""),192000)</f>
        <v>192000</v>
      </c>
      <c r="D91" s="37">
        <f ca="1">IFERROR(__xludf.DUMMYFUNCTION("""COMPUTED_VALUE"""),192000)</f>
        <v>192000</v>
      </c>
      <c r="G91" s="37"/>
    </row>
    <row r="92" spans="1:7" ht="12.5" x14ac:dyDescent="0.25">
      <c r="A92" s="33" t="str">
        <f ca="1">IFERROR(__xludf.DUMMYFUNCTION("""COMPUTED_VALUE"""),"N9K-C93240YC-FX2")</f>
        <v>N9K-C93240YC-FX2</v>
      </c>
      <c r="B92" s="37">
        <f ca="1">IFERROR(__xludf.DUMMYFUNCTION("""COMPUTED_VALUE"""),81871.35)</f>
        <v>81871.350000000006</v>
      </c>
      <c r="C92" s="33"/>
      <c r="D92" s="37">
        <f ca="1">IFERROR(__xludf.DUMMYFUNCTION("""COMPUTED_VALUE"""),81871.35)</f>
        <v>81871.350000000006</v>
      </c>
      <c r="G92" s="37"/>
    </row>
    <row r="93" spans="1:7" ht="12.5" x14ac:dyDescent="0.25">
      <c r="A93" s="33" t="str">
        <f ca="1">IFERROR(__xludf.DUMMYFUNCTION("""COMPUTED_VALUE"""),"N9K-C93360YC-FX2")</f>
        <v>N9K-C93360YC-FX2</v>
      </c>
      <c r="B93" s="37">
        <f ca="1">IFERROR(__xludf.DUMMYFUNCTION("""COMPUTED_VALUE"""),95456.27)</f>
        <v>95456.27</v>
      </c>
      <c r="C93" s="33"/>
      <c r="D93" s="37">
        <f ca="1">IFERROR(__xludf.DUMMYFUNCTION("""COMPUTED_VALUE"""),95456.27)</f>
        <v>95456.27</v>
      </c>
      <c r="G93" s="37"/>
    </row>
    <row r="94" spans="1:7" ht="12.5" x14ac:dyDescent="0.25">
      <c r="A94" s="33" t="str">
        <f ca="1">IFERROR(__xludf.DUMMYFUNCTION("""COMPUTED_VALUE"""),"N9K-C93216TC-FX2")</f>
        <v>N9K-C93216TC-FX2</v>
      </c>
      <c r="B94" s="37">
        <f ca="1">IFERROR(__xludf.DUMMYFUNCTION("""COMPUTED_VALUE"""),95212.19)</f>
        <v>95212.19</v>
      </c>
      <c r="C94" s="33"/>
      <c r="D94" s="37">
        <f ca="1">IFERROR(__xludf.DUMMYFUNCTION("""COMPUTED_VALUE"""),95212.19)</f>
        <v>95212.19</v>
      </c>
      <c r="G94" s="37"/>
    </row>
    <row r="95" spans="1:7" ht="12.5" x14ac:dyDescent="0.25">
      <c r="A95" s="33" t="str">
        <f ca="1">IFERROR(__xludf.DUMMYFUNCTION("""COMPUTED_VALUE"""),"N9K-C93108TC-FX3")</f>
        <v>N9K-C93108TC-FX3</v>
      </c>
      <c r="B95" s="37">
        <f ca="1">IFERROR(__xludf.DUMMYFUNCTION("""COMPUTED_VALUE"""),78416.27)</f>
        <v>78416.27</v>
      </c>
      <c r="C95" s="33"/>
      <c r="D95" s="37">
        <f ca="1">IFERROR(__xludf.DUMMYFUNCTION("""COMPUTED_VALUE"""),78416.27)</f>
        <v>78416.27</v>
      </c>
      <c r="G95" s="37"/>
    </row>
    <row r="96" spans="1:7" ht="12.5" x14ac:dyDescent="0.25">
      <c r="A96" s="33" t="str">
        <f ca="1">IFERROR(__xludf.DUMMYFUNCTION("""COMPUTED_VALUE"""),"N9K-C9348GC-FX3")</f>
        <v>N9K-C9348GC-FX3</v>
      </c>
      <c r="B96" s="37">
        <f ca="1">IFERROR(__xludf.DUMMYFUNCTION("""COMPUTED_VALUE"""),32577.06)</f>
        <v>32577.06</v>
      </c>
      <c r="C96" s="33"/>
      <c r="D96" s="37">
        <f ca="1">IFERROR(__xludf.DUMMYFUNCTION("""COMPUTED_VALUE"""),32577.06)</f>
        <v>32577.06</v>
      </c>
      <c r="G96" s="37"/>
    </row>
    <row r="97" spans="1:7" ht="12.5" x14ac:dyDescent="0.25">
      <c r="A97" s="33" t="str">
        <f ca="1">IFERROR(__xludf.DUMMYFUNCTION("""COMPUTED_VALUE"""),"C1161X-8P")</f>
        <v>C1161X-8P</v>
      </c>
      <c r="B97" s="37">
        <f ca="1">IFERROR(__xludf.DUMMYFUNCTION("""COMPUTED_VALUE"""),10265.06)</f>
        <v>10265.06</v>
      </c>
      <c r="C97" s="33"/>
      <c r="D97" s="37">
        <f ca="1">IFERROR(__xludf.DUMMYFUNCTION("""COMPUTED_VALUE"""),10265.06)</f>
        <v>10265.06</v>
      </c>
      <c r="G97" s="37"/>
    </row>
    <row r="98" spans="1:7" ht="12.5" x14ac:dyDescent="0.25">
      <c r="A98" s="33" t="str">
        <f ca="1">IFERROR(__xludf.DUMMYFUNCTION("""COMPUTED_VALUE"""),"C1127-8PLTEP")</f>
        <v>C1127-8PLTEP</v>
      </c>
      <c r="B98" s="37">
        <f ca="1">IFERROR(__xludf.DUMMYFUNCTION("""COMPUTED_VALUE"""),8935.48)</f>
        <v>8935.48</v>
      </c>
      <c r="C98" s="33"/>
      <c r="D98" s="37">
        <f ca="1">IFERROR(__xludf.DUMMYFUNCTION("""COMPUTED_VALUE"""),8935.48)</f>
        <v>8935.48</v>
      </c>
      <c r="G98" s="37"/>
    </row>
    <row r="99" spans="1:7" ht="12.5" x14ac:dyDescent="0.25">
      <c r="A99" s="33" t="str">
        <f ca="1">IFERROR(__xludf.DUMMYFUNCTION("""COMPUTED_VALUE"""),"C1117-4P")</f>
        <v>C1117-4P</v>
      </c>
      <c r="B99" s="37">
        <f ca="1">IFERROR(__xludf.DUMMYFUNCTION("""COMPUTED_VALUE"""),8519.2)</f>
        <v>8519.2000000000007</v>
      </c>
      <c r="C99" s="33"/>
      <c r="D99" s="37">
        <f ca="1">IFERROR(__xludf.DUMMYFUNCTION("""COMPUTED_VALUE"""),8519.2)</f>
        <v>8519.2000000000007</v>
      </c>
      <c r="G99" s="37"/>
    </row>
    <row r="100" spans="1:7" ht="12.5" x14ac:dyDescent="0.25">
      <c r="A100" s="33" t="str">
        <f ca="1">IFERROR(__xludf.DUMMYFUNCTION("""COMPUTED_VALUE"""),"C1109-4PLTE2P")</f>
        <v>C1109-4PLTE2P</v>
      </c>
      <c r="B100" s="37">
        <f ca="1">IFERROR(__xludf.DUMMYFUNCTION("""COMPUTED_VALUE"""),9070.11)</f>
        <v>9070.11</v>
      </c>
      <c r="C100" s="33"/>
      <c r="D100" s="37">
        <f ca="1">IFERROR(__xludf.DUMMYFUNCTION("""COMPUTED_VALUE"""),9070.11)</f>
        <v>9070.11</v>
      </c>
      <c r="G100" s="37"/>
    </row>
    <row r="101" spans="1:7" ht="12.5" x14ac:dyDescent="0.25">
      <c r="A101" s="33" t="str">
        <f ca="1">IFERROR(__xludf.DUMMYFUNCTION("""COMPUTED_VALUE"""),"C1161-8P")</f>
        <v>C1161-8P</v>
      </c>
      <c r="B101" s="37">
        <f ca="1">IFERROR(__xludf.DUMMYFUNCTION("""COMPUTED_VALUE"""),9713.63)</f>
        <v>9713.6299999999992</v>
      </c>
      <c r="C101" s="33"/>
      <c r="D101" s="37">
        <f ca="1">IFERROR(__xludf.DUMMYFUNCTION("""COMPUTED_VALUE"""),9713.63)</f>
        <v>9713.6299999999992</v>
      </c>
      <c r="G101" s="37"/>
    </row>
    <row r="102" spans="1:7" ht="12.5" x14ac:dyDescent="0.25">
      <c r="A102" s="33" t="str">
        <f ca="1">IFERROR(__xludf.DUMMYFUNCTION("""COMPUTED_VALUE"""),"C1131-8PWS")</f>
        <v>C1131-8PWS</v>
      </c>
      <c r="B102" s="37">
        <f ca="1">IFERROR(__xludf.DUMMYFUNCTION("""COMPUTED_VALUE"""),8922.97)</f>
        <v>8922.9699999999993</v>
      </c>
      <c r="C102" s="33"/>
      <c r="D102" s="37">
        <f ca="1">IFERROR(__xludf.DUMMYFUNCTION("""COMPUTED_VALUE"""),8922.97)</f>
        <v>8922.9699999999993</v>
      </c>
      <c r="G102" s="37"/>
    </row>
    <row r="103" spans="1:7" ht="12.5" x14ac:dyDescent="0.25">
      <c r="A103" s="33" t="str">
        <f ca="1">IFERROR(__xludf.DUMMYFUNCTION("""COMPUTED_VALUE"""),"C1131X-8PWS")</f>
        <v>C1131X-8PWS</v>
      </c>
      <c r="B103" s="37">
        <f ca="1">IFERROR(__xludf.DUMMYFUNCTION("""COMPUTED_VALUE"""),9142.75)</f>
        <v>9142.75</v>
      </c>
      <c r="C103" s="33"/>
      <c r="D103" s="37">
        <f ca="1">IFERROR(__xludf.DUMMYFUNCTION("""COMPUTED_VALUE"""),9142.75)</f>
        <v>9142.75</v>
      </c>
      <c r="G103" s="37"/>
    </row>
    <row r="104" spans="1:7" ht="12.5" x14ac:dyDescent="0.25">
      <c r="A104" s="33" t="str">
        <f ca="1">IFERROR(__xludf.DUMMYFUNCTION("""COMPUTED_VALUE"""),"C1121-4P")</f>
        <v>C1121-4P</v>
      </c>
      <c r="B104" s="37">
        <f ca="1">IFERROR(__xludf.DUMMYFUNCTION("""COMPUTED_VALUE"""),8003.54999999999)</f>
        <v>8003.5499999999902</v>
      </c>
      <c r="C104" s="33"/>
      <c r="D104" s="37">
        <f ca="1">IFERROR(__xludf.DUMMYFUNCTION("""COMPUTED_VALUE"""),8003.54999999999)</f>
        <v>8003.5499999999902</v>
      </c>
      <c r="G104" s="37"/>
    </row>
    <row r="105" spans="1:7" ht="12.5" x14ac:dyDescent="0.25">
      <c r="A105" s="33" t="str">
        <f ca="1">IFERROR(__xludf.DUMMYFUNCTION("""COMPUTED_VALUE"""),"C1121-8P")</f>
        <v>C1121-8P</v>
      </c>
      <c r="B105" s="37">
        <f ca="1">IFERROR(__xludf.DUMMYFUNCTION("""COMPUTED_VALUE"""),8311.31)</f>
        <v>8311.31</v>
      </c>
      <c r="C105" s="33"/>
      <c r="D105" s="37">
        <f ca="1">IFERROR(__xludf.DUMMYFUNCTION("""COMPUTED_VALUE"""),8311.31)</f>
        <v>8311.31</v>
      </c>
      <c r="G105" s="37"/>
    </row>
    <row r="106" spans="1:7" ht="12.5" x14ac:dyDescent="0.25">
      <c r="A106" s="33" t="str">
        <f ca="1">IFERROR(__xludf.DUMMYFUNCTION("""COMPUTED_VALUE"""),"C1116-4P")</f>
        <v>C1116-4P</v>
      </c>
      <c r="B106" s="37">
        <f ca="1">IFERROR(__xludf.DUMMYFUNCTION("""COMPUTED_VALUE"""),8519.2)</f>
        <v>8519.2000000000007</v>
      </c>
      <c r="C106" s="33"/>
      <c r="D106" s="37">
        <f ca="1">IFERROR(__xludf.DUMMYFUNCTION("""COMPUTED_VALUE"""),8519.2)</f>
        <v>8519.2000000000007</v>
      </c>
      <c r="G106" s="37"/>
    </row>
    <row r="107" spans="1:7" ht="12.5" x14ac:dyDescent="0.25">
      <c r="A107" s="33" t="str">
        <f ca="1">IFERROR(__xludf.DUMMYFUNCTION("""COMPUTED_VALUE"""),"C1112-8P")</f>
        <v>C1112-8P</v>
      </c>
      <c r="B107" s="37">
        <f ca="1">IFERROR(__xludf.DUMMYFUNCTION("""COMPUTED_VALUE"""),9556.93999999999)</f>
        <v>9556.9399999999896</v>
      </c>
      <c r="C107" s="33"/>
      <c r="D107" s="37">
        <f ca="1">IFERROR(__xludf.DUMMYFUNCTION("""COMPUTED_VALUE"""),9556.93999999999)</f>
        <v>9556.9399999999896</v>
      </c>
      <c r="G107" s="37"/>
    </row>
    <row r="108" spans="1:7" ht="12.5" x14ac:dyDescent="0.25">
      <c r="A108" s="33" t="str">
        <f ca="1">IFERROR(__xludf.DUMMYFUNCTION("""COMPUTED_VALUE"""),"C8355-G2 (Default Routing)")</f>
        <v>C8355-G2 (Default Routing)</v>
      </c>
      <c r="B108" s="37">
        <f ca="1">IFERROR(__xludf.DUMMYFUNCTION("""COMPUTED_VALUE"""),24102.27)</f>
        <v>24102.27</v>
      </c>
      <c r="C108" s="33"/>
      <c r="D108" s="37">
        <f ca="1">IFERROR(__xludf.DUMMYFUNCTION("""COMPUTED_VALUE"""),24102.27)</f>
        <v>24102.27</v>
      </c>
      <c r="G108" s="37"/>
    </row>
    <row r="109" spans="1:7" ht="12.5" x14ac:dyDescent="0.25">
      <c r="A109" s="33" t="str">
        <f ca="1">IFERROR(__xludf.DUMMYFUNCTION("""COMPUTED_VALUE"""),"C8355-G2 (Adv Routing)")</f>
        <v>C8355-G2 (Adv Routing)</v>
      </c>
      <c r="B109" s="37">
        <f ca="1">IFERROR(__xludf.DUMMYFUNCTION("""COMPUTED_VALUE"""),34182.27)</f>
        <v>34182.269999999997</v>
      </c>
      <c r="C109" s="33"/>
      <c r="D109" s="37">
        <f ca="1">IFERROR(__xludf.DUMMYFUNCTION("""COMPUTED_VALUE"""),34182.27)</f>
        <v>34182.269999999997</v>
      </c>
      <c r="G109" s="37"/>
    </row>
    <row r="110" spans="1:7" ht="12.5" x14ac:dyDescent="0.25">
      <c r="A110" s="33" t="str">
        <f ca="1">IFERROR(__xludf.DUMMYFUNCTION("""COMPUTED_VALUE"""),"C8355-G2 (SDWAN)")</f>
        <v>C8355-G2 (SDWAN)</v>
      </c>
      <c r="B110" s="37">
        <f ca="1">IFERROR(__xludf.DUMMYFUNCTION("""COMPUTED_VALUE"""),38286.27)</f>
        <v>38286.269999999997</v>
      </c>
      <c r="C110" s="33"/>
      <c r="D110" s="37">
        <f ca="1">IFERROR(__xludf.DUMMYFUNCTION("""COMPUTED_VALUE"""),38286.27)</f>
        <v>38286.269999999997</v>
      </c>
      <c r="G110" s="37"/>
    </row>
    <row r="111" spans="1:7" ht="12.5" x14ac:dyDescent="0.25">
      <c r="A111" s="33" t="str">
        <f ca="1">IFERROR(__xludf.DUMMYFUNCTION("""COMPUTED_VALUE"""),"C8355-G2 (Full Adds On)")</f>
        <v>C8355-G2 (Full Adds On)</v>
      </c>
      <c r="B111" s="37">
        <f ca="1">IFERROR(__xludf.DUMMYFUNCTION("""COMPUTED_VALUE"""),40122.27)</f>
        <v>40122.269999999997</v>
      </c>
      <c r="C111" s="33"/>
      <c r="D111" s="37">
        <f ca="1">IFERROR(__xludf.DUMMYFUNCTION("""COMPUTED_VALUE"""),40122.27)</f>
        <v>40122.269999999997</v>
      </c>
      <c r="G111" s="37"/>
    </row>
    <row r="112" spans="1:7" ht="12.5" x14ac:dyDescent="0.25">
      <c r="A112" s="33" t="str">
        <f ca="1">IFERROR(__xludf.DUMMYFUNCTION("""COMPUTED_VALUE"""),"C8375-E-G2 (Default Routing)")</f>
        <v>C8375-E-G2 (Default Routing)</v>
      </c>
      <c r="B112" s="37">
        <f ca="1">IFERROR(__xludf.DUMMYFUNCTION("""COMPUTED_VALUE"""),40699.17)</f>
        <v>40699.17</v>
      </c>
      <c r="C112" s="33"/>
      <c r="D112" s="37">
        <f ca="1">IFERROR(__xludf.DUMMYFUNCTION("""COMPUTED_VALUE"""),40699.17)</f>
        <v>40699.17</v>
      </c>
      <c r="G112" s="37"/>
    </row>
    <row r="113" spans="1:7" ht="12.5" x14ac:dyDescent="0.25">
      <c r="A113" s="33" t="str">
        <f ca="1">IFERROR(__xludf.DUMMYFUNCTION("""COMPUTED_VALUE"""),"C8375-E-G2 (Adv Routing)")</f>
        <v>C8375-E-G2 (Adv Routing)</v>
      </c>
      <c r="B113" s="37">
        <f ca="1">IFERROR(__xludf.DUMMYFUNCTION("""COMPUTED_VALUE"""),50779.17)</f>
        <v>50779.17</v>
      </c>
      <c r="C113" s="33"/>
      <c r="D113" s="37">
        <f ca="1">IFERROR(__xludf.DUMMYFUNCTION("""COMPUTED_VALUE"""),50779.17)</f>
        <v>50779.17</v>
      </c>
      <c r="G113" s="37"/>
    </row>
    <row r="114" spans="1:7" ht="12.5" x14ac:dyDescent="0.25">
      <c r="A114" s="33" t="str">
        <f ca="1">IFERROR(__xludf.DUMMYFUNCTION("""COMPUTED_VALUE"""),"C8375-E-G2 (SDWAN)")</f>
        <v>C8375-E-G2 (SDWAN)</v>
      </c>
      <c r="B114" s="37">
        <f ca="1">IFERROR(__xludf.DUMMYFUNCTION("""COMPUTED_VALUE"""),54883.17)</f>
        <v>54883.17</v>
      </c>
      <c r="C114" s="33"/>
      <c r="D114" s="37">
        <f ca="1">IFERROR(__xludf.DUMMYFUNCTION("""COMPUTED_VALUE"""),54883.17)</f>
        <v>54883.17</v>
      </c>
      <c r="G114" s="37"/>
    </row>
    <row r="115" spans="1:7" ht="12.5" x14ac:dyDescent="0.25">
      <c r="A115" s="33" t="str">
        <f ca="1">IFERROR(__xludf.DUMMYFUNCTION("""COMPUTED_VALUE"""),"C8375-E-G2 (Full Adds On)")</f>
        <v>C8375-E-G2 (Full Adds On)</v>
      </c>
      <c r="B115" s="37">
        <f ca="1">IFERROR(__xludf.DUMMYFUNCTION("""COMPUTED_VALUE"""),56719.17)</f>
        <v>56719.17</v>
      </c>
      <c r="C115" s="33"/>
      <c r="D115" s="37">
        <f ca="1">IFERROR(__xludf.DUMMYFUNCTION("""COMPUTED_VALUE"""),56719.17)</f>
        <v>56719.17</v>
      </c>
      <c r="G115" s="37"/>
    </row>
    <row r="116" spans="1:7" ht="12.5" x14ac:dyDescent="0.25">
      <c r="A116" s="33" t="str">
        <f ca="1">IFERROR(__xludf.DUMMYFUNCTION("""COMPUTED_VALUE"""),"C8550-G2 (Default Routing)")</f>
        <v>C8550-G2 (Default Routing)</v>
      </c>
      <c r="B116" s="37">
        <f ca="1">IFERROR(__xludf.DUMMYFUNCTION("""COMPUTED_VALUE"""),164387.73)</f>
        <v>164387.73000000001</v>
      </c>
      <c r="C116" s="33"/>
      <c r="D116" s="37">
        <f ca="1">IFERROR(__xludf.DUMMYFUNCTION("""COMPUTED_VALUE"""),164387.73)</f>
        <v>164387.73000000001</v>
      </c>
      <c r="G116" s="37"/>
    </row>
    <row r="117" spans="1:7" ht="12.5" x14ac:dyDescent="0.25">
      <c r="A117" s="33" t="str">
        <f ca="1">IFERROR(__xludf.DUMMYFUNCTION("""COMPUTED_VALUE"""),"C8550-G2 (Adv Routing)")</f>
        <v>C8550-G2 (Adv Routing)</v>
      </c>
      <c r="B117" s="37">
        <f ca="1">IFERROR(__xludf.DUMMYFUNCTION("""COMPUTED_VALUE"""),197987.73)</f>
        <v>197987.73</v>
      </c>
      <c r="C117" s="33"/>
      <c r="D117" s="37">
        <f ca="1">IFERROR(__xludf.DUMMYFUNCTION("""COMPUTED_VALUE"""),197987.73)</f>
        <v>197987.73</v>
      </c>
      <c r="G117" s="37"/>
    </row>
    <row r="118" spans="1:7" ht="12.5" x14ac:dyDescent="0.25">
      <c r="A118" s="33" t="str">
        <f ca="1">IFERROR(__xludf.DUMMYFUNCTION("""COMPUTED_VALUE"""),"C8550-G2 (SDWAN)")</f>
        <v>C8550-G2 (SDWAN)</v>
      </c>
      <c r="B118" s="37">
        <f ca="1">IFERROR(__xludf.DUMMYFUNCTION("""COMPUTED_VALUE"""),219575.73)</f>
        <v>219575.73</v>
      </c>
      <c r="C118" s="33"/>
      <c r="D118" s="37">
        <f ca="1">IFERROR(__xludf.DUMMYFUNCTION("""COMPUTED_VALUE"""),219575.73)</f>
        <v>219575.73</v>
      </c>
      <c r="G118" s="37"/>
    </row>
    <row r="119" spans="1:7" ht="12.5" x14ac:dyDescent="0.25">
      <c r="A119" s="33" t="str">
        <f ca="1">IFERROR(__xludf.DUMMYFUNCTION("""COMPUTED_VALUE"""),"C8570-G2 (Default Routing)")</f>
        <v>C8570-G2 (Default Routing)</v>
      </c>
      <c r="B119" s="37">
        <f ca="1">IFERROR(__xludf.DUMMYFUNCTION("""COMPUTED_VALUE"""),229697.16)</f>
        <v>229697.16</v>
      </c>
      <c r="C119" s="33"/>
      <c r="D119" s="37">
        <f ca="1">IFERROR(__xludf.DUMMYFUNCTION("""COMPUTED_VALUE"""),229697.16)</f>
        <v>229697.16</v>
      </c>
      <c r="G119" s="37"/>
    </row>
    <row r="120" spans="1:7" ht="12.5" x14ac:dyDescent="0.25">
      <c r="A120" s="33" t="str">
        <f ca="1">IFERROR(__xludf.DUMMYFUNCTION("""COMPUTED_VALUE"""),"C8570-G2 (Adv Routing)")</f>
        <v>C8570-G2 (Adv Routing)</v>
      </c>
      <c r="B120" s="37">
        <f ca="1">IFERROR(__xludf.DUMMYFUNCTION("""COMPUTED_VALUE"""),263297.16)</f>
        <v>263297.15999999997</v>
      </c>
      <c r="C120" s="33"/>
      <c r="D120" s="37">
        <f ca="1">IFERROR(__xludf.DUMMYFUNCTION("""COMPUTED_VALUE"""),263297.16)</f>
        <v>263297.15999999997</v>
      </c>
      <c r="G120" s="37"/>
    </row>
    <row r="121" spans="1:7" ht="12.5" x14ac:dyDescent="0.25">
      <c r="A121" s="33" t="str">
        <f ca="1">IFERROR(__xludf.DUMMYFUNCTION("""COMPUTED_VALUE"""),"C8570-G2 (SDWAN)")</f>
        <v>C8570-G2 (SDWAN)</v>
      </c>
      <c r="B121" s="37">
        <f ca="1">IFERROR(__xludf.DUMMYFUNCTION("""COMPUTED_VALUE"""),284885.16)</f>
        <v>284885.15999999997</v>
      </c>
      <c r="C121" s="33"/>
      <c r="D121" s="37">
        <f ca="1">IFERROR(__xludf.DUMMYFUNCTION("""COMPUTED_VALUE"""),284885.16)</f>
        <v>284885.15999999997</v>
      </c>
      <c r="G121" s="37"/>
    </row>
    <row r="122" spans="1:7" ht="12.5" x14ac:dyDescent="0.25">
      <c r="A122" s="33" t="str">
        <f ca="1">IFERROR(__xludf.DUMMYFUNCTION("""COMPUTED_VALUE"""),"C8455-G2 (Default Routing)")</f>
        <v>C8455-G2 (Default Routing)</v>
      </c>
      <c r="B122" s="37">
        <f ca="1">IFERROR(__xludf.DUMMYFUNCTION("""COMPUTED_VALUE"""),55540.54)</f>
        <v>55540.54</v>
      </c>
      <c r="C122" s="33"/>
      <c r="D122" s="37">
        <f ca="1">IFERROR(__xludf.DUMMYFUNCTION("""COMPUTED_VALUE"""),55540.54)</f>
        <v>55540.54</v>
      </c>
      <c r="G122" s="37"/>
    </row>
    <row r="123" spans="1:7" ht="12.5" x14ac:dyDescent="0.25">
      <c r="A123" s="33" t="str">
        <f ca="1">IFERROR(__xludf.DUMMYFUNCTION("""COMPUTED_VALUE"""),"C8455-G2 (Adv Routing)")</f>
        <v>C8455-G2 (Adv Routing)</v>
      </c>
      <c r="B123" s="37">
        <f ca="1">IFERROR(__xludf.DUMMYFUNCTION("""COMPUTED_VALUE"""),89140.54)</f>
        <v>89140.54</v>
      </c>
      <c r="C123" s="33"/>
      <c r="D123" s="37">
        <f ca="1">IFERROR(__xludf.DUMMYFUNCTION("""COMPUTED_VALUE"""),89140.54)</f>
        <v>89140.54</v>
      </c>
      <c r="G123" s="37"/>
    </row>
    <row r="124" spans="1:7" ht="12.5" x14ac:dyDescent="0.25">
      <c r="A124" s="33" t="str">
        <f ca="1">IFERROR(__xludf.DUMMYFUNCTION("""COMPUTED_VALUE"""),"C8455-G2 (SDWAN)")</f>
        <v>C8455-G2 (SDWAN)</v>
      </c>
      <c r="B124" s="37">
        <f ca="1">IFERROR(__xludf.DUMMYFUNCTION("""COMPUTED_VALUE"""),110728.54)</f>
        <v>110728.54</v>
      </c>
      <c r="C124" s="33"/>
      <c r="D124" s="37">
        <f ca="1">IFERROR(__xludf.DUMMYFUNCTION("""COMPUTED_VALUE"""),110728.54)</f>
        <v>110728.54</v>
      </c>
      <c r="G124" s="37"/>
    </row>
    <row r="125" spans="1:7" ht="12.5" x14ac:dyDescent="0.25">
      <c r="A125" s="33" t="str">
        <f ca="1">IFERROR(__xludf.DUMMYFUNCTION("""COMPUTED_VALUE"""),"C8455-G2 (Full Adds On)")</f>
        <v>C8455-G2 (Full Adds On)</v>
      </c>
      <c r="B125" s="37">
        <f ca="1">IFERROR(__xludf.DUMMYFUNCTION("""COMPUTED_VALUE"""),114400.54)</f>
        <v>114400.54</v>
      </c>
      <c r="C125" s="33"/>
      <c r="D125" s="37">
        <f ca="1">IFERROR(__xludf.DUMMYFUNCTION("""COMPUTED_VALUE"""),114400.54)</f>
        <v>114400.54</v>
      </c>
      <c r="G125" s="37"/>
    </row>
    <row r="126" spans="1:7" ht="12.5" x14ac:dyDescent="0.25">
      <c r="A126" s="33" t="str">
        <f ca="1">IFERROR(__xludf.DUMMYFUNCTION("""COMPUTED_VALUE"""),"C8475-G2 (Default Routing)")</f>
        <v>C8475-G2 (Default Routing)</v>
      </c>
      <c r="B126" s="37">
        <f ca="1">IFERROR(__xludf.DUMMYFUNCTION("""COMPUTED_VALUE"""),99078.32)</f>
        <v>99078.32</v>
      </c>
      <c r="C126" s="33"/>
      <c r="D126" s="37">
        <f ca="1">IFERROR(__xludf.DUMMYFUNCTION("""COMPUTED_VALUE"""),99078.32)</f>
        <v>99078.32</v>
      </c>
      <c r="G126" s="37"/>
    </row>
    <row r="127" spans="1:7" ht="12.5" x14ac:dyDescent="0.25">
      <c r="A127" s="33" t="str">
        <f ca="1">IFERROR(__xludf.DUMMYFUNCTION("""COMPUTED_VALUE"""),"C8475-G2 (Adv Routing)")</f>
        <v>C8475-G2 (Adv Routing)</v>
      </c>
      <c r="B127" s="37">
        <f ca="1">IFERROR(__xludf.DUMMYFUNCTION("""COMPUTED_VALUE"""),132678.32)</f>
        <v>132678.32</v>
      </c>
      <c r="C127" s="33"/>
      <c r="D127" s="37">
        <f ca="1">IFERROR(__xludf.DUMMYFUNCTION("""COMPUTED_VALUE"""),132678.32)</f>
        <v>132678.32</v>
      </c>
      <c r="G127" s="37"/>
    </row>
    <row r="128" spans="1:7" ht="12.5" x14ac:dyDescent="0.25">
      <c r="A128" s="33" t="str">
        <f ca="1">IFERROR(__xludf.DUMMYFUNCTION("""COMPUTED_VALUE"""),"C8475-G2 (SDWAN)")</f>
        <v>C8475-G2 (SDWAN)</v>
      </c>
      <c r="B128" s="37">
        <f ca="1">IFERROR(__xludf.DUMMYFUNCTION("""COMPUTED_VALUE"""),154266.32)</f>
        <v>154266.32</v>
      </c>
      <c r="C128" s="33"/>
      <c r="D128" s="37">
        <f ca="1">IFERROR(__xludf.DUMMYFUNCTION("""COMPUTED_VALUE"""),154266.32)</f>
        <v>154266.32</v>
      </c>
      <c r="G128" s="37"/>
    </row>
    <row r="129" spans="1:7" ht="12.5" x14ac:dyDescent="0.25">
      <c r="A129" s="33" t="str">
        <f ca="1">IFERROR(__xludf.DUMMYFUNCTION("""COMPUTED_VALUE"""),"C8475-G2 (Full Adds On)")</f>
        <v>C8475-G2 (Full Adds On)</v>
      </c>
      <c r="B129" s="37">
        <f ca="1">IFERROR(__xludf.DUMMYFUNCTION("""COMPUTED_VALUE"""),157938.32)</f>
        <v>157938.32</v>
      </c>
      <c r="C129" s="33"/>
      <c r="D129" s="37">
        <f ca="1">IFERROR(__xludf.DUMMYFUNCTION("""COMPUTED_VALUE"""),157938.32)</f>
        <v>157938.32</v>
      </c>
      <c r="G129" s="37"/>
    </row>
    <row r="130" spans="1:7" ht="12.5" x14ac:dyDescent="0.25">
      <c r="A130" s="33" t="str">
        <f ca="1">IFERROR(__xludf.DUMMYFUNCTION("""COMPUTED_VALUE"""),"C8235-E-G2 (Default Routing)")</f>
        <v>C8235-E-G2 (Default Routing)</v>
      </c>
      <c r="B130" s="37">
        <f ca="1">IFERROR(__xludf.DUMMYFUNCTION("""COMPUTED_VALUE"""),12676)</f>
        <v>12676</v>
      </c>
      <c r="C130" s="33"/>
      <c r="D130" s="37">
        <f ca="1">IFERROR(__xludf.DUMMYFUNCTION("""COMPUTED_VALUE"""),12676)</f>
        <v>12676</v>
      </c>
      <c r="G130" s="37"/>
    </row>
    <row r="131" spans="1:7" ht="12.5" x14ac:dyDescent="0.25">
      <c r="A131" s="33" t="str">
        <f ca="1">IFERROR(__xludf.DUMMYFUNCTION("""COMPUTED_VALUE"""),"C8235-E-G2 (Adv Routing)")</f>
        <v>C8235-E-G2 (Adv Routing)</v>
      </c>
      <c r="B131" s="37">
        <f ca="1">IFERROR(__xludf.DUMMYFUNCTION("""COMPUTED_VALUE"""),16708)</f>
        <v>16708</v>
      </c>
      <c r="C131" s="33"/>
      <c r="D131" s="37">
        <f ca="1">IFERROR(__xludf.DUMMYFUNCTION("""COMPUTED_VALUE"""),16708)</f>
        <v>16708</v>
      </c>
      <c r="G131" s="37"/>
    </row>
    <row r="132" spans="1:7" ht="12.5" x14ac:dyDescent="0.25">
      <c r="A132" s="33" t="str">
        <f ca="1">IFERROR(__xludf.DUMMYFUNCTION("""COMPUTED_VALUE"""),"C8235-E-G2 (SDWAN)")</f>
        <v>C8235-E-G2 (SDWAN)</v>
      </c>
      <c r="B132" s="37">
        <f ca="1">IFERROR(__xludf.DUMMYFUNCTION("""COMPUTED_VALUE"""),17356)</f>
        <v>17356</v>
      </c>
      <c r="C132" s="33"/>
      <c r="D132" s="37">
        <f ca="1">IFERROR(__xludf.DUMMYFUNCTION("""COMPUTED_VALUE"""),17356)</f>
        <v>17356</v>
      </c>
      <c r="G132" s="37"/>
    </row>
    <row r="133" spans="1:7" ht="12.5" x14ac:dyDescent="0.25">
      <c r="A133" s="33" t="str">
        <f ca="1">IFERROR(__xludf.DUMMYFUNCTION("""COMPUTED_VALUE"""),"C8235-E-G2 (Full Adds On)")</f>
        <v>C8235-E-G2 (Full Adds On)</v>
      </c>
      <c r="B133" s="37">
        <f ca="1">IFERROR(__xludf.DUMMYFUNCTION("""COMPUTED_VALUE"""),18004)</f>
        <v>18004</v>
      </c>
      <c r="C133" s="33"/>
      <c r="D133" s="37">
        <f ca="1">IFERROR(__xludf.DUMMYFUNCTION("""COMPUTED_VALUE"""),18004)</f>
        <v>18004</v>
      </c>
      <c r="G133" s="37"/>
    </row>
    <row r="134" spans="1:7" ht="12.5" x14ac:dyDescent="0.25">
      <c r="A134" s="33" t="str">
        <f ca="1">IFERROR(__xludf.DUMMYFUNCTION("""COMPUTED_VALUE"""),"C8231-E-G2 (Default Routing)")</f>
        <v>C8231-E-G2 (Default Routing)</v>
      </c>
      <c r="B134" s="37">
        <f ca="1">IFERROR(__xludf.DUMMYFUNCTION("""COMPUTED_VALUE"""),10123.96)</f>
        <v>10123.959999999999</v>
      </c>
      <c r="C134" s="33"/>
      <c r="D134" s="37">
        <f ca="1">IFERROR(__xludf.DUMMYFUNCTION("""COMPUTED_VALUE"""),10123.96)</f>
        <v>10123.959999999999</v>
      </c>
      <c r="G134" s="37"/>
    </row>
    <row r="135" spans="1:7" ht="12.5" x14ac:dyDescent="0.25">
      <c r="A135" s="33" t="str">
        <f ca="1">IFERROR(__xludf.DUMMYFUNCTION("""COMPUTED_VALUE"""),"C8231-E-G2 (Adv Routing)")</f>
        <v>C8231-E-G2 (Adv Routing)</v>
      </c>
      <c r="B135" s="37">
        <f ca="1">IFERROR(__xludf.DUMMYFUNCTION("""COMPUTED_VALUE"""),14155.96)</f>
        <v>14155.96</v>
      </c>
      <c r="C135" s="33"/>
      <c r="D135" s="37">
        <f ca="1">IFERROR(__xludf.DUMMYFUNCTION("""COMPUTED_VALUE"""),14155.96)</f>
        <v>14155.96</v>
      </c>
      <c r="G135" s="37"/>
    </row>
    <row r="136" spans="1:7" ht="12.5" x14ac:dyDescent="0.25">
      <c r="A136" s="33" t="str">
        <f ca="1">IFERROR(__xludf.DUMMYFUNCTION("""COMPUTED_VALUE"""),"C8231-E-G2 (SDWAN)")</f>
        <v>C8231-E-G2 (SDWAN)</v>
      </c>
      <c r="B136" s="37">
        <f ca="1">IFERROR(__xludf.DUMMYFUNCTION("""COMPUTED_VALUE"""),14803.96)</f>
        <v>14803.96</v>
      </c>
      <c r="C136" s="33"/>
      <c r="D136" s="37">
        <f ca="1">IFERROR(__xludf.DUMMYFUNCTION("""COMPUTED_VALUE"""),14803.96)</f>
        <v>14803.96</v>
      </c>
      <c r="G136" s="37"/>
    </row>
    <row r="137" spans="1:7" ht="12.5" x14ac:dyDescent="0.25">
      <c r="A137" s="33" t="str">
        <f ca="1">IFERROR(__xludf.DUMMYFUNCTION("""COMPUTED_VALUE"""),"C8231-E-G2 (Full Adds On)")</f>
        <v>C8231-E-G2 (Full Adds On)</v>
      </c>
      <c r="B137" s="37">
        <f ca="1">IFERROR(__xludf.DUMMYFUNCTION("""COMPUTED_VALUE"""),15451.96)</f>
        <v>15451.96</v>
      </c>
      <c r="C137" s="33"/>
      <c r="D137" s="37">
        <f ca="1">IFERROR(__xludf.DUMMYFUNCTION("""COMPUTED_VALUE"""),15451.96)</f>
        <v>15451.96</v>
      </c>
      <c r="G137" s="37"/>
    </row>
    <row r="138" spans="1:7" ht="12.5" x14ac:dyDescent="0.25">
      <c r="A138" s="33" t="str">
        <f ca="1">IFERROR(__xludf.DUMMYFUNCTION("""COMPUTED_VALUE"""),"C8235-G2 (Default Routing)")</f>
        <v>C8235-G2 (Default Routing)</v>
      </c>
      <c r="B138" s="37">
        <f ca="1">IFERROR(__xludf.DUMMYFUNCTION("""COMPUTED_VALUE"""),10306.39)</f>
        <v>10306.39</v>
      </c>
      <c r="C138" s="33"/>
      <c r="D138" s="37">
        <f ca="1">IFERROR(__xludf.DUMMYFUNCTION("""COMPUTED_VALUE"""),10306.39)</f>
        <v>10306.39</v>
      </c>
      <c r="G138" s="37"/>
    </row>
    <row r="139" spans="1:7" ht="12.5" x14ac:dyDescent="0.25">
      <c r="A139" s="33" t="str">
        <f ca="1">IFERROR(__xludf.DUMMYFUNCTION("""COMPUTED_VALUE"""),"C8235-G2 (Adv Routing)")</f>
        <v>C8235-G2 (Adv Routing)</v>
      </c>
      <c r="B139" s="37">
        <f ca="1">IFERROR(__xludf.DUMMYFUNCTION("""COMPUTED_VALUE"""),14338.39)</f>
        <v>14338.39</v>
      </c>
      <c r="C139" s="33"/>
      <c r="D139" s="37">
        <f ca="1">IFERROR(__xludf.DUMMYFUNCTION("""COMPUTED_VALUE"""),14338.39)</f>
        <v>14338.39</v>
      </c>
      <c r="G139" s="37"/>
    </row>
    <row r="140" spans="1:7" ht="12.5" x14ac:dyDescent="0.25">
      <c r="A140" s="33" t="str">
        <f ca="1">IFERROR(__xludf.DUMMYFUNCTION("""COMPUTED_VALUE"""),"C8235-G2 (SDWAN)")</f>
        <v>C8235-G2 (SDWAN)</v>
      </c>
      <c r="B140" s="37">
        <f ca="1">IFERROR(__xludf.DUMMYFUNCTION("""COMPUTED_VALUE"""),14986.39)</f>
        <v>14986.39</v>
      </c>
      <c r="C140" s="33"/>
      <c r="D140" s="37">
        <f ca="1">IFERROR(__xludf.DUMMYFUNCTION("""COMPUTED_VALUE"""),14986.39)</f>
        <v>14986.39</v>
      </c>
      <c r="G140" s="37"/>
    </row>
    <row r="141" spans="1:7" ht="12.5" x14ac:dyDescent="0.25">
      <c r="A141" s="33" t="str">
        <f ca="1">IFERROR(__xludf.DUMMYFUNCTION("""COMPUTED_VALUE"""),"C8235-G2 (Full Adds On)")</f>
        <v>C8235-G2 (Full Adds On)</v>
      </c>
      <c r="B141" s="37">
        <f ca="1">IFERROR(__xludf.DUMMYFUNCTION("""COMPUTED_VALUE"""),15634.39)</f>
        <v>15634.39</v>
      </c>
      <c r="C141" s="33"/>
      <c r="D141" s="37">
        <f ca="1">IFERROR(__xludf.DUMMYFUNCTION("""COMPUTED_VALUE"""),15634.39)</f>
        <v>15634.39</v>
      </c>
      <c r="G141" s="37"/>
    </row>
    <row r="142" spans="1:7" ht="12.5" x14ac:dyDescent="0.25">
      <c r="A142" s="33" t="str">
        <f ca="1">IFERROR(__xludf.DUMMYFUNCTION("""COMPUTED_VALUE"""),"C8231-G2 (Default Routing)")</f>
        <v>C8231-G2 (Default Routing)</v>
      </c>
      <c r="B142" s="37">
        <f ca="1">IFERROR(__xludf.DUMMYFUNCTION("""COMPUTED_VALUE"""),6545.14)</f>
        <v>6545.14</v>
      </c>
      <c r="C142" s="33"/>
      <c r="D142" s="37">
        <f ca="1">IFERROR(__xludf.DUMMYFUNCTION("""COMPUTED_VALUE"""),6545.14)</f>
        <v>6545.14</v>
      </c>
      <c r="G142" s="37"/>
    </row>
    <row r="143" spans="1:7" ht="12.5" x14ac:dyDescent="0.25">
      <c r="A143" s="33" t="str">
        <f ca="1">IFERROR(__xludf.DUMMYFUNCTION("""COMPUTED_VALUE"""),"C8231-G2 (Adv Routing)")</f>
        <v>C8231-G2 (Adv Routing)</v>
      </c>
      <c r="B143" s="37">
        <f ca="1">IFERROR(__xludf.DUMMYFUNCTION("""COMPUTED_VALUE"""),10577.14)</f>
        <v>10577.14</v>
      </c>
      <c r="C143" s="33"/>
      <c r="D143" s="37">
        <f ca="1">IFERROR(__xludf.DUMMYFUNCTION("""COMPUTED_VALUE"""),10577.14)</f>
        <v>10577.14</v>
      </c>
      <c r="G143" s="37"/>
    </row>
    <row r="144" spans="1:7" ht="12.5" x14ac:dyDescent="0.25">
      <c r="A144" s="33" t="str">
        <f ca="1">IFERROR(__xludf.DUMMYFUNCTION("""COMPUTED_VALUE"""),"C8231-G2 (SDWAN)")</f>
        <v>C8231-G2 (SDWAN)</v>
      </c>
      <c r="B144" s="37">
        <f ca="1">IFERROR(__xludf.DUMMYFUNCTION("""COMPUTED_VALUE"""),11225.14)</f>
        <v>11225.14</v>
      </c>
      <c r="C144" s="33"/>
      <c r="D144" s="37">
        <f ca="1">IFERROR(__xludf.DUMMYFUNCTION("""COMPUTED_VALUE"""),11225.14)</f>
        <v>11225.14</v>
      </c>
      <c r="G144" s="37"/>
    </row>
    <row r="145" spans="1:7" ht="12.5" x14ac:dyDescent="0.25">
      <c r="A145" s="33" t="str">
        <f ca="1">IFERROR(__xludf.DUMMYFUNCTION("""COMPUTED_VALUE"""),"C8231-G2 (Full Adds On)")</f>
        <v>C8231-G2 (Full Adds On)</v>
      </c>
      <c r="B145" s="37">
        <f ca="1">IFERROR(__xludf.DUMMYFUNCTION("""COMPUTED_VALUE"""),11873.14)</f>
        <v>11873.14</v>
      </c>
      <c r="C145" s="33"/>
      <c r="D145" s="37">
        <f ca="1">IFERROR(__xludf.DUMMYFUNCTION("""COMPUTED_VALUE"""),11873.14)</f>
        <v>11873.14</v>
      </c>
      <c r="G145" s="37"/>
    </row>
    <row r="146" spans="1:7" ht="12.5" x14ac:dyDescent="0.25">
      <c r="A146" s="33" t="str">
        <f ca="1">IFERROR(__xludf.DUMMYFUNCTION("""COMPUTED_VALUE"""),"C8130-G2 (Default Routing)")</f>
        <v>C8130-G2 (Default Routing)</v>
      </c>
      <c r="B146" s="37">
        <f ca="1">IFERROR(__xludf.DUMMYFUNCTION("""COMPUTED_VALUE"""),2142.02)</f>
        <v>2142.02</v>
      </c>
      <c r="C146" s="33"/>
      <c r="D146" s="37">
        <f ca="1">IFERROR(__xludf.DUMMYFUNCTION("""COMPUTED_VALUE"""),2142.02)</f>
        <v>2142.02</v>
      </c>
      <c r="G146" s="37"/>
    </row>
    <row r="147" spans="1:7" ht="12.5" x14ac:dyDescent="0.25">
      <c r="A147" s="33" t="str">
        <f ca="1">IFERROR(__xludf.DUMMYFUNCTION("""COMPUTED_VALUE"""),"C8130-G2 (Adv Routing)")</f>
        <v>C8130-G2 (Adv Routing)</v>
      </c>
      <c r="B147" s="37">
        <f ca="1">IFERROR(__xludf.DUMMYFUNCTION("""COMPUTED_VALUE"""),3822.02)</f>
        <v>3822.02</v>
      </c>
      <c r="C147" s="33"/>
      <c r="D147" s="37">
        <f ca="1">IFERROR(__xludf.DUMMYFUNCTION("""COMPUTED_VALUE"""),3822.02)</f>
        <v>3822.02</v>
      </c>
      <c r="G147" s="37"/>
    </row>
    <row r="148" spans="1:7" ht="12.5" x14ac:dyDescent="0.25">
      <c r="A148" s="33" t="str">
        <f ca="1">IFERROR(__xludf.DUMMYFUNCTION("""COMPUTED_VALUE"""),"C8131-G2 (Default Routing)")</f>
        <v>C8131-G2 (Default Routing)</v>
      </c>
      <c r="B148" s="37">
        <f ca="1">IFERROR(__xludf.DUMMYFUNCTION("""COMPUTED_VALUE"""),2559.26)</f>
        <v>2559.2600000000002</v>
      </c>
      <c r="C148" s="33"/>
      <c r="D148" s="37">
        <f ca="1">IFERROR(__xludf.DUMMYFUNCTION("""COMPUTED_VALUE"""),2559.26)</f>
        <v>2559.2600000000002</v>
      </c>
      <c r="G148" s="37"/>
    </row>
    <row r="149" spans="1:7" ht="12.5" x14ac:dyDescent="0.25">
      <c r="A149" s="33" t="str">
        <f ca="1">IFERROR(__xludf.DUMMYFUNCTION("""COMPUTED_VALUE"""),"C8131-G2 (Adv Routing)")</f>
        <v>C8131-G2 (Adv Routing)</v>
      </c>
      <c r="B149" s="37">
        <f ca="1">IFERROR(__xludf.DUMMYFUNCTION("""COMPUTED_VALUE"""),4239.26)</f>
        <v>4239.26</v>
      </c>
      <c r="C149" s="33"/>
      <c r="D149" s="37">
        <f ca="1">IFERROR(__xludf.DUMMYFUNCTION("""COMPUTED_VALUE"""),4239.26)</f>
        <v>4239.26</v>
      </c>
      <c r="G149" s="37"/>
    </row>
    <row r="150" spans="1:7" ht="12.5" x14ac:dyDescent="0.25">
      <c r="A150" s="33" t="str">
        <f ca="1">IFERROR(__xludf.DUMMYFUNCTION("""COMPUTED_VALUE"""),"C8131-G2 (SDWAN)")</f>
        <v>C8131-G2 (SDWAN)</v>
      </c>
      <c r="B150" s="37">
        <f ca="1">IFERROR(__xludf.DUMMYFUNCTION("""COMPUTED_VALUE"""),4575.26)</f>
        <v>4575.26</v>
      </c>
      <c r="C150" s="33"/>
      <c r="D150" s="37">
        <f ca="1">IFERROR(__xludf.DUMMYFUNCTION("""COMPUTED_VALUE"""),4575.26)</f>
        <v>4575.26</v>
      </c>
      <c r="G150" s="37"/>
    </row>
    <row r="151" spans="1:7" ht="12.5" x14ac:dyDescent="0.25">
      <c r="A151" s="33" t="str">
        <f ca="1">IFERROR(__xludf.DUMMYFUNCTION("""COMPUTED_VALUE"""),"C8131-G2 (Full Adds On)")</f>
        <v>C8131-G2 (Full Adds On)</v>
      </c>
      <c r="B151" s="37">
        <f ca="1">IFERROR(__xludf.DUMMYFUNCTION("""COMPUTED_VALUE"""),4899.26)</f>
        <v>4899.26</v>
      </c>
      <c r="C151" s="33"/>
      <c r="D151" s="37">
        <f ca="1">IFERROR(__xludf.DUMMYFUNCTION("""COMPUTED_VALUE"""),4899.26)</f>
        <v>4899.26</v>
      </c>
      <c r="G151" s="37"/>
    </row>
    <row r="152" spans="1:7" ht="12.5" x14ac:dyDescent="0.25">
      <c r="A152" s="33" t="str">
        <f ca="1">IFERROR(__xludf.DUMMYFUNCTION("""COMPUTED_VALUE"""),"C8140-G2 (Default Routing)")</f>
        <v>C8140-G2 (Default Routing)</v>
      </c>
      <c r="B152" s="37">
        <f ca="1">IFERROR(__xludf.DUMMYFUNCTION("""COMPUTED_VALUE"""),2563.32)</f>
        <v>2563.3200000000002</v>
      </c>
      <c r="C152" s="33"/>
      <c r="D152" s="37">
        <f ca="1">IFERROR(__xludf.DUMMYFUNCTION("""COMPUTED_VALUE"""),2563.32)</f>
        <v>2563.3200000000002</v>
      </c>
      <c r="G152" s="37"/>
    </row>
    <row r="153" spans="1:7" ht="12.5" x14ac:dyDescent="0.25">
      <c r="A153" s="33" t="str">
        <f ca="1">IFERROR(__xludf.DUMMYFUNCTION("""COMPUTED_VALUE"""),"C8140-G2 (Adv Routing)")</f>
        <v>C8140-G2 (Adv Routing)</v>
      </c>
      <c r="B153" s="37">
        <f ca="1">IFERROR(__xludf.DUMMYFUNCTION("""COMPUTED_VALUE"""),4243.32)</f>
        <v>4243.32</v>
      </c>
      <c r="C153" s="33"/>
      <c r="D153" s="37">
        <f ca="1">IFERROR(__xludf.DUMMYFUNCTION("""COMPUTED_VALUE"""),4243.32)</f>
        <v>4243.32</v>
      </c>
      <c r="G153" s="37"/>
    </row>
    <row r="154" spans="1:7" ht="12.5" x14ac:dyDescent="0.25">
      <c r="A154" s="33" t="str">
        <f ca="1">IFERROR(__xludf.DUMMYFUNCTION("""COMPUTED_VALUE"""),"C8151-G2 (Default Routing)")</f>
        <v>C8151-G2 (Default Routing)</v>
      </c>
      <c r="B154" s="37">
        <f ca="1">IFERROR(__xludf.DUMMYFUNCTION("""COMPUTED_VALUE"""),3265.48)</f>
        <v>3265.48</v>
      </c>
      <c r="C154" s="33"/>
      <c r="D154" s="37">
        <f ca="1">IFERROR(__xludf.DUMMYFUNCTION("""COMPUTED_VALUE"""),3265.48)</f>
        <v>3265.48</v>
      </c>
      <c r="G154" s="37"/>
    </row>
    <row r="155" spans="1:7" ht="12.5" x14ac:dyDescent="0.25">
      <c r="A155" s="33" t="str">
        <f ca="1">IFERROR(__xludf.DUMMYFUNCTION("""COMPUTED_VALUE"""),"C8151-G2 (Adv Routing)")</f>
        <v>C8151-G2 (Adv Routing)</v>
      </c>
      <c r="B155" s="37">
        <f ca="1">IFERROR(__xludf.DUMMYFUNCTION("""COMPUTED_VALUE"""),4945.48)</f>
        <v>4945.4799999999996</v>
      </c>
      <c r="C155" s="33"/>
      <c r="D155" s="37">
        <f ca="1">IFERROR(__xludf.DUMMYFUNCTION("""COMPUTED_VALUE"""),4945.48)</f>
        <v>4945.4799999999996</v>
      </c>
      <c r="G155" s="37"/>
    </row>
    <row r="156" spans="1:7" ht="12.5" x14ac:dyDescent="0.25">
      <c r="A156" s="33" t="str">
        <f ca="1">IFERROR(__xludf.DUMMYFUNCTION("""COMPUTED_VALUE"""),"C8151-G2 (SDWAN)")</f>
        <v>C8151-G2 (SDWAN)</v>
      </c>
      <c r="B156" s="37">
        <f ca="1">IFERROR(__xludf.DUMMYFUNCTION("""COMPUTED_VALUE"""),5281.48)</f>
        <v>5281.48</v>
      </c>
      <c r="C156" s="33"/>
      <c r="D156" s="37">
        <f ca="1">IFERROR(__xludf.DUMMYFUNCTION("""COMPUTED_VALUE"""),5281.48)</f>
        <v>5281.48</v>
      </c>
      <c r="G156" s="37"/>
    </row>
    <row r="157" spans="1:7" ht="12.5" x14ac:dyDescent="0.25">
      <c r="A157" s="33" t="str">
        <f ca="1">IFERROR(__xludf.DUMMYFUNCTION("""COMPUTED_VALUE"""),"C8151-G2 (Full Adds On)")</f>
        <v>C8151-G2 (Full Adds On)</v>
      </c>
      <c r="B157" s="37">
        <f ca="1">IFERROR(__xludf.DUMMYFUNCTION("""COMPUTED_VALUE"""),5605.48)</f>
        <v>5605.48</v>
      </c>
      <c r="C157" s="33"/>
      <c r="D157" s="37">
        <f ca="1">IFERROR(__xludf.DUMMYFUNCTION("""COMPUTED_VALUE"""),5605.48)</f>
        <v>5605.48</v>
      </c>
      <c r="G157" s="37"/>
    </row>
    <row r="158" spans="1:7" ht="12.5" x14ac:dyDescent="0.25">
      <c r="A158" s="33" t="str">
        <f ca="1">IFERROR(__xludf.DUMMYFUNCTION("""COMPUTED_VALUE"""),"C8161-G2 (Default Routing)")</f>
        <v>C8161-G2 (Default Routing)</v>
      </c>
      <c r="B158" s="37">
        <f ca="1">IFERROR(__xludf.DUMMYFUNCTION("""COMPUTED_VALUE"""),3824.45)</f>
        <v>3824.45</v>
      </c>
      <c r="C158" s="33"/>
      <c r="D158" s="37">
        <f ca="1">IFERROR(__xludf.DUMMYFUNCTION("""COMPUTED_VALUE"""),3824.45)</f>
        <v>3824.45</v>
      </c>
      <c r="G158" s="37"/>
    </row>
    <row r="159" spans="1:7" ht="12.5" x14ac:dyDescent="0.25">
      <c r="A159" s="33" t="str">
        <f ca="1">IFERROR(__xludf.DUMMYFUNCTION("""COMPUTED_VALUE"""),"C8161-G2 (Adv Routing)")</f>
        <v>C8161-G2 (Adv Routing)</v>
      </c>
      <c r="B159" s="37">
        <f ca="1">IFERROR(__xludf.DUMMYFUNCTION("""COMPUTED_VALUE"""),5504.45)</f>
        <v>5504.45</v>
      </c>
      <c r="C159" s="33"/>
      <c r="D159" s="37">
        <f ca="1">IFERROR(__xludf.DUMMYFUNCTION("""COMPUTED_VALUE"""),5504.45)</f>
        <v>5504.45</v>
      </c>
      <c r="G159" s="37"/>
    </row>
    <row r="160" spans="1:7" ht="12.5" x14ac:dyDescent="0.25">
      <c r="A160" s="33" t="str">
        <f ca="1">IFERROR(__xludf.DUMMYFUNCTION("""COMPUTED_VALUE"""),"C8161-G2 (SDWAN)")</f>
        <v>C8161-G2 (SDWAN)</v>
      </c>
      <c r="B160" s="37">
        <f ca="1">IFERROR(__xludf.DUMMYFUNCTION("""COMPUTED_VALUE"""),5840.45)</f>
        <v>5840.45</v>
      </c>
      <c r="C160" s="33"/>
      <c r="D160" s="37">
        <f ca="1">IFERROR(__xludf.DUMMYFUNCTION("""COMPUTED_VALUE"""),5840.45)</f>
        <v>5840.45</v>
      </c>
      <c r="G160" s="37"/>
    </row>
    <row r="161" spans="1:7" ht="12.5" x14ac:dyDescent="0.25">
      <c r="A161" s="33" t="str">
        <f ca="1">IFERROR(__xludf.DUMMYFUNCTION("""COMPUTED_VALUE"""),"C8161-G2 (Full Adds On)")</f>
        <v>C8161-G2 (Full Adds On)</v>
      </c>
      <c r="B161" s="37">
        <f ca="1">IFERROR(__xludf.DUMMYFUNCTION("""COMPUTED_VALUE"""),6164.45)</f>
        <v>6164.45</v>
      </c>
      <c r="C161" s="33"/>
      <c r="D161" s="37">
        <f ca="1">IFERROR(__xludf.DUMMYFUNCTION("""COMPUTED_VALUE"""),6164.45)</f>
        <v>6164.45</v>
      </c>
      <c r="G161" s="37"/>
    </row>
    <row r="162" spans="1:7" ht="12.5" x14ac:dyDescent="0.25">
      <c r="A162" s="33" t="str">
        <f ca="1">IFERROR(__xludf.DUMMYFUNCTION("""COMPUTED_VALUE"""),"100GQSFP-LR4-4=")</f>
        <v>100GQSFP-LR4-4=</v>
      </c>
      <c r="B162" s="37">
        <f ca="1">IFERROR(__xludf.DUMMYFUNCTION("""COMPUTED_VALUE"""),36510.54)</f>
        <v>36510.54</v>
      </c>
      <c r="C162" s="33"/>
      <c r="D162" s="37">
        <f ca="1">IFERROR(__xludf.DUMMYFUNCTION("""COMPUTED_VALUE"""),36510.54)</f>
        <v>36510.54</v>
      </c>
      <c r="G162" s="37"/>
    </row>
    <row r="163" spans="1:7" ht="12.5" x14ac:dyDescent="0.25">
      <c r="A163" s="33" t="str">
        <f ca="1">IFERROR(__xludf.DUMMYFUNCTION("""COMPUTED_VALUE"""),"QSFP-100G-LR-S=")</f>
        <v>QSFP-100G-LR-S=</v>
      </c>
      <c r="B163" s="37">
        <f ca="1">IFERROR(__xludf.DUMMYFUNCTION("""COMPUTED_VALUE"""),4130.83)</f>
        <v>4130.83</v>
      </c>
      <c r="C163" s="33"/>
      <c r="D163" s="37">
        <f ca="1">IFERROR(__xludf.DUMMYFUNCTION("""COMPUTED_VALUE"""),4130.83)</f>
        <v>4130.83</v>
      </c>
      <c r="G163" s="37"/>
    </row>
    <row r="164" spans="1:7" ht="12.5" x14ac:dyDescent="0.25">
      <c r="A164" s="33" t="str">
        <f ca="1">IFERROR(__xludf.DUMMYFUNCTION("""COMPUTED_VALUE"""),"QSFP-100G-ER4L-S=")</f>
        <v>QSFP-100G-ER4L-S=</v>
      </c>
      <c r="B164" s="37">
        <f ca="1">IFERROR(__xludf.DUMMYFUNCTION("""COMPUTED_VALUE"""),91270.27)</f>
        <v>91270.27</v>
      </c>
      <c r="C164" s="33"/>
      <c r="D164" s="37">
        <f ca="1">IFERROR(__xludf.DUMMYFUNCTION("""COMPUTED_VALUE"""),91270.27)</f>
        <v>91270.27</v>
      </c>
      <c r="G164" s="37"/>
    </row>
    <row r="165" spans="1:7" ht="12.5" x14ac:dyDescent="0.25">
      <c r="A165" s="33" t="str">
        <f ca="1">IFERROR(__xludf.DUMMYFUNCTION("""COMPUTED_VALUE"""),"QSFP-100G-ZR4-S=")</f>
        <v>QSFP-100G-ZR4-S=</v>
      </c>
      <c r="B165" s="37">
        <f ca="1">IFERROR(__xludf.DUMMYFUNCTION("""COMPUTED_VALUE"""),36190)</f>
        <v>36190</v>
      </c>
      <c r="C165" s="33"/>
      <c r="D165" s="37">
        <f ca="1">IFERROR(__xludf.DUMMYFUNCTION("""COMPUTED_VALUE"""),36190)</f>
        <v>36190</v>
      </c>
      <c r="G165" s="37"/>
    </row>
    <row r="166" spans="1:7" ht="12.5" x14ac:dyDescent="0.25">
      <c r="A166" s="33" t="str">
        <f ca="1">IFERROR(__xludf.DUMMYFUNCTION("""COMPUTED_VALUE"""),"SFP-10G-SR=")</f>
        <v>SFP-10G-SR=</v>
      </c>
      <c r="B166" s="37">
        <f ca="1">IFERROR(__xludf.DUMMYFUNCTION("""COMPUTED_VALUE"""),1210.94)</f>
        <v>1210.94</v>
      </c>
      <c r="C166" s="33"/>
      <c r="D166" s="37">
        <f ca="1">IFERROR(__xludf.DUMMYFUNCTION("""COMPUTED_VALUE"""),1210.94)</f>
        <v>1210.94</v>
      </c>
      <c r="G166" s="37"/>
    </row>
    <row r="167" spans="1:7" ht="12.5" x14ac:dyDescent="0.25">
      <c r="A167" s="33" t="str">
        <f ca="1">IFERROR(__xludf.DUMMYFUNCTION("""COMPUTED_VALUE"""),"SFP-10G-LR=")</f>
        <v>SFP-10G-LR=</v>
      </c>
      <c r="B167" s="37">
        <f ca="1">IFERROR(__xludf.DUMMYFUNCTION("""COMPUTED_VALUE"""),4861.99)</f>
        <v>4861.99</v>
      </c>
      <c r="C167" s="33"/>
      <c r="D167" s="37">
        <f ca="1">IFERROR(__xludf.DUMMYFUNCTION("""COMPUTED_VALUE"""),4861.99)</f>
        <v>4861.99</v>
      </c>
      <c r="G167" s="37"/>
    </row>
    <row r="168" spans="1:7" ht="12.5" x14ac:dyDescent="0.25">
      <c r="A168" s="33" t="str">
        <f ca="1">IFERROR(__xludf.DUMMYFUNCTION("""COMPUTED_VALUE"""),"SFP-10G-ER=")</f>
        <v>SFP-10G-ER=</v>
      </c>
      <c r="B168" s="37">
        <f ca="1">IFERROR(__xludf.DUMMYFUNCTION("""COMPUTED_VALUE"""),12170.18)</f>
        <v>12170.18</v>
      </c>
      <c r="C168" s="33"/>
      <c r="D168" s="37">
        <f ca="1">IFERROR(__xludf.DUMMYFUNCTION("""COMPUTED_VALUE"""),12170.18)</f>
        <v>12170.18</v>
      </c>
      <c r="G168" s="37"/>
    </row>
    <row r="169" spans="1:7" ht="12.5" x14ac:dyDescent="0.25">
      <c r="A169" s="33" t="str">
        <f ca="1">IFERROR(__xludf.DUMMYFUNCTION("""COMPUTED_VALUE"""),"SFP-10G-ZR=")</f>
        <v>SFP-10G-ZR=</v>
      </c>
      <c r="B169" s="37">
        <f ca="1">IFERROR(__xludf.DUMMYFUNCTION("""COMPUTED_VALUE"""),19472.29)</f>
        <v>19472.29</v>
      </c>
      <c r="C169" s="33"/>
      <c r="D169" s="37">
        <f ca="1">IFERROR(__xludf.DUMMYFUNCTION("""COMPUTED_VALUE"""),19472.29)</f>
        <v>19472.29</v>
      </c>
      <c r="G169" s="37"/>
    </row>
    <row r="170" spans="1:7" ht="12.5" x14ac:dyDescent="0.25">
      <c r="A170" s="33" t="str">
        <f ca="1">IFERROR(__xludf.DUMMYFUNCTION("""COMPUTED_VALUE"""),"GLC-LH-SMD=")</f>
        <v>GLC-LH-SMD=</v>
      </c>
      <c r="B170" s="37">
        <f ca="1">IFERROR(__xludf.DUMMYFUNCTION("""COMPUTED_VALUE"""),1210.94)</f>
        <v>1210.94</v>
      </c>
      <c r="C170" s="33"/>
      <c r="D170" s="37">
        <f ca="1">IFERROR(__xludf.DUMMYFUNCTION("""COMPUTED_VALUE"""),1210.94)</f>
        <v>1210.94</v>
      </c>
      <c r="G170" s="37"/>
    </row>
    <row r="171" spans="1:7" ht="12.5" x14ac:dyDescent="0.25">
      <c r="A171" s="33" t="str">
        <f ca="1">IFERROR(__xludf.DUMMYFUNCTION("""COMPUTED_VALUE"""),"GLC-EX-SMD=")</f>
        <v>GLC-EX-SMD=</v>
      </c>
      <c r="B171" s="37">
        <f ca="1">IFERROR(__xludf.DUMMYFUNCTION("""COMPUTED_VALUE"""),2427.96)</f>
        <v>2427.96</v>
      </c>
      <c r="C171" s="33"/>
      <c r="D171" s="37">
        <f ca="1">IFERROR(__xludf.DUMMYFUNCTION("""COMPUTED_VALUE"""),2427.96)</f>
        <v>2427.96</v>
      </c>
      <c r="G171" s="37"/>
    </row>
    <row r="172" spans="1:7" ht="12.5" x14ac:dyDescent="0.25">
      <c r="A172" s="33" t="str">
        <f ca="1">IFERROR(__xludf.DUMMYFUNCTION("""COMPUTED_VALUE"""),"GLC-ZX-SMD=")</f>
        <v>GLC-ZX-SMD=</v>
      </c>
      <c r="B172" s="37">
        <f ca="1">IFERROR(__xludf.DUMMYFUNCTION("""COMPUTED_VALUE"""),4861.99)</f>
        <v>4861.99</v>
      </c>
      <c r="C172" s="33"/>
      <c r="D172" s="37">
        <f ca="1">IFERROR(__xludf.DUMMYFUNCTION("""COMPUTED_VALUE"""),4861.99)</f>
        <v>4861.99</v>
      </c>
      <c r="G172" s="37"/>
    </row>
    <row r="173" spans="1:7" ht="12.5" x14ac:dyDescent="0.25">
      <c r="A173" s="33" t="str">
        <f ca="1">IFERROR(__xludf.DUMMYFUNCTION("""COMPUTED_VALUE"""),"GLC-TE=")</f>
        <v>GLC-TE=</v>
      </c>
      <c r="B173" s="37">
        <f ca="1">IFERROR(__xludf.DUMMYFUNCTION("""COMPUTED_VALUE"""),547.66)</f>
        <v>547.66</v>
      </c>
      <c r="C173" s="33"/>
      <c r="D173" s="37">
        <f ca="1">IFERROR(__xludf.DUMMYFUNCTION("""COMPUTED_VALUE"""),547.66)</f>
        <v>547.66</v>
      </c>
      <c r="G173" s="37"/>
    </row>
    <row r="174" spans="1:7" ht="12.5" x14ac:dyDescent="0.25">
      <c r="A174" s="33" t="str">
        <f ca="1">IFERROR(__xludf.DUMMYFUNCTION("""COMPUTED_VALUE"""),"SFP-10G-SR-S=")</f>
        <v>SFP-10G-SR-S=</v>
      </c>
      <c r="B174" s="37">
        <f ca="1">IFERROR(__xludf.DUMMYFUNCTION("""COMPUTED_VALUE"""),851.91)</f>
        <v>851.91</v>
      </c>
      <c r="C174" s="33"/>
      <c r="D174" s="37">
        <f ca="1">IFERROR(__xludf.DUMMYFUNCTION("""COMPUTED_VALUE"""),851.91)</f>
        <v>851.91</v>
      </c>
      <c r="G174" s="37"/>
    </row>
    <row r="175" spans="1:7" ht="12.5" x14ac:dyDescent="0.25">
      <c r="A175" s="33" t="str">
        <f ca="1">IFERROR(__xludf.DUMMYFUNCTION("""COMPUTED_VALUE"""),"SFP-10G-LR-S=")</f>
        <v>SFP-10G-LR-S=</v>
      </c>
      <c r="B175" s="37">
        <f ca="1">IFERROR(__xludf.DUMMYFUNCTION("""COMPUTED_VALUE"""),2434.04)</f>
        <v>2434.04</v>
      </c>
      <c r="C175" s="33"/>
      <c r="D175" s="37">
        <f ca="1">IFERROR(__xludf.DUMMYFUNCTION("""COMPUTED_VALUE"""),2434.04)</f>
        <v>2434.04</v>
      </c>
      <c r="G175" s="37"/>
    </row>
    <row r="176" spans="1:7" ht="12.5" x14ac:dyDescent="0.25">
      <c r="A176" s="33" t="str">
        <f ca="1">IFERROR(__xludf.DUMMYFUNCTION("""COMPUTED_VALUE"""),"SFP-10G-ER-S=")</f>
        <v>SFP-10G-ER-S=</v>
      </c>
      <c r="B176" s="37">
        <f ca="1">IFERROR(__xludf.DUMMYFUNCTION("""COMPUTED_VALUE"""),9614.44)</f>
        <v>9614.44</v>
      </c>
      <c r="C176" s="33"/>
      <c r="D176" s="37">
        <f ca="1">IFERROR(__xludf.DUMMYFUNCTION("""COMPUTED_VALUE"""),9614.44)</f>
        <v>9614.44</v>
      </c>
      <c r="G176" s="37"/>
    </row>
    <row r="177" spans="1:7" ht="12.5" x14ac:dyDescent="0.25">
      <c r="A177" s="33" t="str">
        <f ca="1">IFERROR(__xludf.DUMMYFUNCTION("""COMPUTED_VALUE"""),"SFP-10G-ZR-S=")</f>
        <v>SFP-10G-ZR-S=</v>
      </c>
      <c r="B177" s="37">
        <f ca="1">IFERROR(__xludf.DUMMYFUNCTION("""COMPUTED_VALUE"""),13265.5)</f>
        <v>13265.5</v>
      </c>
      <c r="C177" s="33"/>
      <c r="D177" s="37">
        <f ca="1">IFERROR(__xludf.DUMMYFUNCTION("""COMPUTED_VALUE"""),13265.5)</f>
        <v>13265.5</v>
      </c>
      <c r="G177" s="37"/>
    </row>
    <row r="178" spans="1:7" ht="12.5" x14ac:dyDescent="0.25">
      <c r="A178" s="33" t="str">
        <f ca="1">IFERROR(__xludf.DUMMYFUNCTION("""COMPUTED_VALUE"""),"GLC-SX-MMD=")</f>
        <v>GLC-SX-MMD=</v>
      </c>
      <c r="B178" s="37">
        <f ca="1">IFERROR(__xludf.DUMMYFUNCTION("""COMPUTED_VALUE"""),608.51)</f>
        <v>608.51</v>
      </c>
      <c r="C178" s="33"/>
      <c r="D178" s="37">
        <f ca="1">IFERROR(__xludf.DUMMYFUNCTION("""COMPUTED_VALUE"""),608.51)</f>
        <v>608.51</v>
      </c>
      <c r="G178" s="37"/>
    </row>
    <row r="179" spans="1:7" ht="12.5" x14ac:dyDescent="0.25">
      <c r="A179" s="33" t="str">
        <f ca="1">IFERROR(__xludf.DUMMYFUNCTION("""COMPUTED_VALUE"""),"C9136I")</f>
        <v>C9136I</v>
      </c>
      <c r="B179" s="37">
        <f ca="1">IFERROR(__xludf.DUMMYFUNCTION("""COMPUTED_VALUE"""),4892.02)</f>
        <v>4892.0200000000004</v>
      </c>
      <c r="C179" s="33"/>
      <c r="D179" s="37">
        <f ca="1">IFERROR(__xludf.DUMMYFUNCTION("""COMPUTED_VALUE"""),4892.02)</f>
        <v>4892.0200000000004</v>
      </c>
      <c r="G179" s="37"/>
    </row>
    <row r="180" spans="1:7" ht="12.5" x14ac:dyDescent="0.25">
      <c r="A180" s="33" t="str">
        <f ca="1">IFERROR(__xludf.DUMMYFUNCTION("""COMPUTED_VALUE"""),"CW9162I")</f>
        <v>CW9162I</v>
      </c>
      <c r="B180" s="37">
        <f ca="1">IFERROR(__xludf.DUMMYFUNCTION("""COMPUTED_VALUE"""),2476.36)</f>
        <v>2476.36</v>
      </c>
      <c r="C180" s="33"/>
      <c r="D180" s="37">
        <f ca="1">IFERROR(__xludf.DUMMYFUNCTION("""COMPUTED_VALUE"""),2476.36)</f>
        <v>2476.36</v>
      </c>
      <c r="G180" s="37"/>
    </row>
    <row r="181" spans="1:7" ht="12.5" x14ac:dyDescent="0.25">
      <c r="A181" s="33" t="str">
        <f ca="1">IFERROR(__xludf.DUMMYFUNCTION("""COMPUTED_VALUE"""),"CW9164I")</f>
        <v>CW9164I</v>
      </c>
      <c r="B181" s="37">
        <f ca="1">IFERROR(__xludf.DUMMYFUNCTION("""COMPUTED_VALUE"""),3786.46)</f>
        <v>3786.46</v>
      </c>
      <c r="C181" s="33"/>
      <c r="D181" s="37">
        <f ca="1">IFERROR(__xludf.DUMMYFUNCTION("""COMPUTED_VALUE"""),3786.46)</f>
        <v>3786.46</v>
      </c>
      <c r="G181" s="37"/>
    </row>
    <row r="182" spans="1:7" ht="12.5" x14ac:dyDescent="0.25">
      <c r="A182" s="33" t="str">
        <f ca="1">IFERROR(__xludf.DUMMYFUNCTION("""COMPUTED_VALUE"""),"CW9166I")</f>
        <v>CW9166I</v>
      </c>
      <c r="B182" s="37">
        <f ca="1">IFERROR(__xludf.DUMMYFUNCTION("""COMPUTED_VALUE"""),4201.05)</f>
        <v>4201.05</v>
      </c>
      <c r="C182" s="33"/>
      <c r="D182" s="37">
        <f ca="1">IFERROR(__xludf.DUMMYFUNCTION("""COMPUTED_VALUE"""),4201.05)</f>
        <v>4201.05</v>
      </c>
      <c r="G182" s="37"/>
    </row>
    <row r="183" spans="1:7" ht="12.5" x14ac:dyDescent="0.25">
      <c r="A183" s="33" t="str">
        <f ca="1">IFERROR(__xludf.DUMMYFUNCTION("""COMPUTED_VALUE"""),"CW9166D1")</f>
        <v>CW9166D1</v>
      </c>
      <c r="B183" s="37">
        <f ca="1">IFERROR(__xludf.DUMMYFUNCTION("""COMPUTED_VALUE"""),4615.63)</f>
        <v>4615.63</v>
      </c>
      <c r="C183" s="33"/>
      <c r="D183" s="37">
        <f ca="1">IFERROR(__xludf.DUMMYFUNCTION("""COMPUTED_VALUE"""),4615.63)</f>
        <v>4615.63</v>
      </c>
      <c r="G183" s="37"/>
    </row>
    <row r="184" spans="1:7" ht="12.5" x14ac:dyDescent="0.25">
      <c r="A184" s="33" t="str">
        <f ca="1">IFERROR(__xludf.DUMMYFUNCTION("""COMPUTED_VALUE"""),"CW9172I")</f>
        <v>CW9172I</v>
      </c>
      <c r="B184" s="37">
        <f ca="1">IFERROR(__xludf.DUMMYFUNCTION("""COMPUTED_VALUE"""),2643.68)</f>
        <v>2643.68</v>
      </c>
      <c r="C184" s="33"/>
      <c r="D184" s="37">
        <f ca="1">IFERROR(__xludf.DUMMYFUNCTION("""COMPUTED_VALUE"""),2643.68)</f>
        <v>2643.68</v>
      </c>
      <c r="G184" s="37"/>
    </row>
    <row r="185" spans="1:7" ht="12.5" x14ac:dyDescent="0.25">
      <c r="A185" s="33" t="str">
        <f ca="1">IFERROR(__xludf.DUMMYFUNCTION("""COMPUTED_VALUE"""),"CW9172H")</f>
        <v>CW9172H</v>
      </c>
      <c r="B185" s="37">
        <f ca="1">IFERROR(__xludf.DUMMYFUNCTION("""COMPUTED_VALUE"""),2350.28)</f>
        <v>2350.2800000000002</v>
      </c>
      <c r="C185" s="33"/>
      <c r="D185" s="37">
        <f ca="1">IFERROR(__xludf.DUMMYFUNCTION("""COMPUTED_VALUE"""),2350.28)</f>
        <v>2350.2800000000002</v>
      </c>
      <c r="G185" s="37"/>
    </row>
    <row r="186" spans="1:7" ht="12.5" x14ac:dyDescent="0.25">
      <c r="A186" s="33" t="str">
        <f ca="1">IFERROR(__xludf.DUMMYFUNCTION("""COMPUTED_VALUE"""),"CW9176I")</f>
        <v>CW9176I</v>
      </c>
      <c r="B186" s="37">
        <f ca="1">IFERROR(__xludf.DUMMYFUNCTION("""COMPUTED_VALUE"""),4414.05999999999)</f>
        <v>4414.0599999999904</v>
      </c>
      <c r="C186" s="33"/>
      <c r="D186" s="37">
        <f ca="1">IFERROR(__xludf.DUMMYFUNCTION("""COMPUTED_VALUE"""),4414.05999999999)</f>
        <v>4414.0599999999904</v>
      </c>
      <c r="G186" s="37"/>
    </row>
    <row r="187" spans="1:7" ht="12.5" x14ac:dyDescent="0.25">
      <c r="A187" s="33" t="str">
        <f ca="1">IFERROR(__xludf.DUMMYFUNCTION("""COMPUTED_VALUE"""),"CW9176D1")</f>
        <v>CW9176D1</v>
      </c>
      <c r="B187" s="37">
        <f ca="1">IFERROR(__xludf.DUMMYFUNCTION("""COMPUTED_VALUE"""),4854.66)</f>
        <v>4854.66</v>
      </c>
      <c r="C187" s="33"/>
      <c r="D187" s="37">
        <f ca="1">IFERROR(__xludf.DUMMYFUNCTION("""COMPUTED_VALUE"""),4854.66)</f>
        <v>4854.66</v>
      </c>
      <c r="G187" s="37"/>
    </row>
    <row r="188" spans="1:7" ht="12.5" x14ac:dyDescent="0.25">
      <c r="A188" s="33" t="str">
        <f ca="1">IFERROR(__xludf.DUMMYFUNCTION("""COMPUTED_VALUE"""),"CW9178I")</f>
        <v>CW9178I</v>
      </c>
      <c r="B188" s="37">
        <f ca="1">IFERROR(__xludf.DUMMYFUNCTION("""COMPUTED_VALUE"""),5149.29)</f>
        <v>5149.29</v>
      </c>
      <c r="C188" s="33"/>
      <c r="D188" s="37">
        <f ca="1">IFERROR(__xludf.DUMMYFUNCTION("""COMPUTED_VALUE"""),5149.29)</f>
        <v>5149.29</v>
      </c>
      <c r="G188" s="37"/>
    </row>
    <row r="189" spans="1:7" ht="12.5" x14ac:dyDescent="0.25">
      <c r="A189" s="33" t="str">
        <f ca="1">IFERROR(__xludf.DUMMYFUNCTION("""COMPUTED_VALUE"""),"C9124AXI")</f>
        <v>C9124AXI</v>
      </c>
      <c r="B189" s="37">
        <f ca="1">IFERROR(__xludf.DUMMYFUNCTION("""COMPUTED_VALUE"""),4605.48)</f>
        <v>4605.4799999999996</v>
      </c>
      <c r="C189" s="33"/>
      <c r="D189" s="37">
        <f ca="1">IFERROR(__xludf.DUMMYFUNCTION("""COMPUTED_VALUE"""),4605.48)</f>
        <v>4605.4799999999996</v>
      </c>
      <c r="G189" s="37"/>
    </row>
    <row r="190" spans="1:7" ht="12.5" x14ac:dyDescent="0.25">
      <c r="A190" s="33" t="str">
        <f ca="1">IFERROR(__xludf.DUMMYFUNCTION("""COMPUTED_VALUE"""),"C9124AXD")</f>
        <v>C9124AXD</v>
      </c>
      <c r="B190" s="37">
        <f ca="1">IFERROR(__xludf.DUMMYFUNCTION("""COMPUTED_VALUE"""),4933.2)</f>
        <v>4933.2</v>
      </c>
      <c r="C190" s="33"/>
      <c r="D190" s="37">
        <f ca="1">IFERROR(__xludf.DUMMYFUNCTION("""COMPUTED_VALUE"""),4933.2)</f>
        <v>4933.2</v>
      </c>
      <c r="G190" s="37"/>
    </row>
    <row r="191" spans="1:7" ht="12.5" x14ac:dyDescent="0.25">
      <c r="A191" s="33" t="str">
        <f ca="1">IFERROR(__xludf.DUMMYFUNCTION("""COMPUTED_VALUE"""),"C9124AXE")</f>
        <v>C9124AXE</v>
      </c>
      <c r="B191" s="37">
        <f ca="1">IFERROR(__xludf.DUMMYFUNCTION("""COMPUTED_VALUE"""),4933.2)</f>
        <v>4933.2</v>
      </c>
      <c r="C191" s="33"/>
      <c r="D191" s="37">
        <f ca="1">IFERROR(__xludf.DUMMYFUNCTION("""COMPUTED_VALUE"""),4933.2)</f>
        <v>4933.2</v>
      </c>
      <c r="G191" s="37"/>
    </row>
    <row r="192" spans="1:7" ht="12.5" x14ac:dyDescent="0.25">
      <c r="A192" s="33" t="str">
        <f ca="1">IFERROR(__xludf.DUMMYFUNCTION("""COMPUTED_VALUE"""),"CW9163E")</f>
        <v>CW9163E</v>
      </c>
      <c r="B192" s="37">
        <f ca="1">IFERROR(__xludf.DUMMYFUNCTION("""COMPUTED_VALUE"""),4041.49)</f>
        <v>4041.49</v>
      </c>
      <c r="C192" s="33"/>
      <c r="D192" s="37">
        <f ca="1">IFERROR(__xludf.DUMMYFUNCTION("""COMPUTED_VALUE"""),4041.49)</f>
        <v>4041.49</v>
      </c>
      <c r="G192" s="37"/>
    </row>
    <row r="193" spans="1:7" ht="12.5" x14ac:dyDescent="0.25">
      <c r="A193" s="33" t="str">
        <f ca="1">IFERROR(__xludf.DUMMYFUNCTION("""COMPUTED_VALUE"""),"IW-PWRINJ-60RGDMG=")</f>
        <v>IW-PWRINJ-60RGDMG=</v>
      </c>
      <c r="B193" s="37">
        <f ca="1">IFERROR(__xludf.DUMMYFUNCTION("""COMPUTED_VALUE"""),1292.5)</f>
        <v>1292.5</v>
      </c>
      <c r="C193" s="33"/>
      <c r="D193" s="37">
        <f ca="1">IFERROR(__xludf.DUMMYFUNCTION("""COMPUTED_VALUE"""),1292.5)</f>
        <v>1292.5</v>
      </c>
      <c r="G193" s="37"/>
    </row>
    <row r="194" spans="1:7" ht="12.5" x14ac:dyDescent="0.25">
      <c r="A194" s="33" t="str">
        <f ca="1">IFERROR(__xludf.DUMMYFUNCTION("""COMPUTED_VALUE"""),"AIR-PWRINJ7=")</f>
        <v>AIR-PWRINJ7=</v>
      </c>
      <c r="B194" s="37">
        <f ca="1">IFERROR(__xludf.DUMMYFUNCTION("""COMPUTED_VALUE"""),483.4)</f>
        <v>483.4</v>
      </c>
      <c r="C194" s="33"/>
      <c r="D194" s="37">
        <f ca="1">IFERROR(__xludf.DUMMYFUNCTION("""COMPUTED_VALUE"""),483.4)</f>
        <v>483.4</v>
      </c>
      <c r="G194" s="37"/>
    </row>
    <row r="195" spans="1:7" ht="12.5" x14ac:dyDescent="0.25">
      <c r="A195" s="33" t="str">
        <f ca="1">IFERROR(__xludf.DUMMYFUNCTION("""COMPUTED_VALUE"""),"C9404R")</f>
        <v>C9404R</v>
      </c>
      <c r="B195" s="37">
        <f ca="1">IFERROR(__xludf.DUMMYFUNCTION("""COMPUTED_VALUE"""),117530.33)</f>
        <v>117530.33</v>
      </c>
      <c r="C195" s="33"/>
      <c r="D195" s="37">
        <f ca="1">IFERROR(__xludf.DUMMYFUNCTION("""COMPUTED_VALUE"""),117530.33)</f>
        <v>117530.33</v>
      </c>
      <c r="G195" s="37"/>
    </row>
    <row r="196" spans="1:7" ht="12.5" x14ac:dyDescent="0.25">
      <c r="A196" s="33" t="str">
        <f ca="1">IFERROR(__xludf.DUMMYFUNCTION("""COMPUTED_VALUE"""),"C9407R")</f>
        <v>C9407R</v>
      </c>
      <c r="B196" s="37">
        <f ca="1">IFERROR(__xludf.DUMMYFUNCTION("""COMPUTED_VALUE"""),136174.7)</f>
        <v>136174.70000000001</v>
      </c>
      <c r="C196" s="33"/>
      <c r="D196" s="37">
        <f ca="1">IFERROR(__xludf.DUMMYFUNCTION("""COMPUTED_VALUE"""),136174.7)</f>
        <v>136174.70000000001</v>
      </c>
      <c r="G196" s="37"/>
    </row>
    <row r="197" spans="1:7" ht="12.5" x14ac:dyDescent="0.25">
      <c r="A197" s="33" t="str">
        <f ca="1">IFERROR(__xludf.DUMMYFUNCTION("""COMPUTED_VALUE"""),"C9410R")</f>
        <v>C9410R</v>
      </c>
      <c r="B197" s="37">
        <f ca="1">IFERROR(__xludf.DUMMYFUNCTION("""COMPUTED_VALUE"""),144810.28)</f>
        <v>144810.28</v>
      </c>
      <c r="C197" s="33"/>
      <c r="D197" s="37">
        <f ca="1">IFERROR(__xludf.DUMMYFUNCTION("""COMPUTED_VALUE"""),144810.28)</f>
        <v>144810.28</v>
      </c>
      <c r="G197" s="37"/>
    </row>
    <row r="198" spans="1:7" ht="12.5" x14ac:dyDescent="0.25">
      <c r="A198" s="33" t="str">
        <f ca="1">IFERROR(__xludf.DUMMYFUNCTION("""COMPUTED_VALUE"""),"C9400-LC-12QC=")</f>
        <v>C9400-LC-12QC=</v>
      </c>
      <c r="B198" s="37">
        <f ca="1">IFERROR(__xludf.DUMMYFUNCTION("""COMPUTED_VALUE"""),38258)</f>
        <v>38258</v>
      </c>
      <c r="C198" s="33"/>
      <c r="D198" s="37">
        <f ca="1">IFERROR(__xludf.DUMMYFUNCTION("""COMPUTED_VALUE"""),38258)</f>
        <v>38258</v>
      </c>
      <c r="G198" s="37"/>
    </row>
    <row r="199" spans="1:7" ht="12.5" x14ac:dyDescent="0.25">
      <c r="A199" s="33" t="str">
        <f ca="1">IFERROR(__xludf.DUMMYFUNCTION("""COMPUTED_VALUE"""),"C9400-LC-48T=")</f>
        <v>C9400-LC-48T=</v>
      </c>
      <c r="B199" s="37">
        <f ca="1">IFERROR(__xludf.DUMMYFUNCTION("""COMPUTED_VALUE"""),8689.51)</f>
        <v>8689.51</v>
      </c>
      <c r="C199" s="33"/>
      <c r="D199" s="37">
        <f ca="1">IFERROR(__xludf.DUMMYFUNCTION("""COMPUTED_VALUE"""),8689.51)</f>
        <v>8689.51</v>
      </c>
      <c r="G199" s="37"/>
    </row>
    <row r="200" spans="1:7" ht="12.5" x14ac:dyDescent="0.25">
      <c r="A200" s="33" t="str">
        <f ca="1">IFERROR(__xludf.DUMMYFUNCTION("""COMPUTED_VALUE"""),"C9400-LC-48TX=")</f>
        <v>C9400-LC-48TX=</v>
      </c>
      <c r="B200" s="37">
        <f ca="1">IFERROR(__xludf.DUMMYFUNCTION("""COMPUTED_VALUE"""),19129)</f>
        <v>19129</v>
      </c>
      <c r="C200" s="33"/>
      <c r="D200" s="37">
        <f ca="1">IFERROR(__xludf.DUMMYFUNCTION("""COMPUTED_VALUE"""),19129)</f>
        <v>19129</v>
      </c>
      <c r="G200" s="37"/>
    </row>
    <row r="201" spans="1:7" ht="12.5" x14ac:dyDescent="0.25">
      <c r="A201" s="33" t="str">
        <f ca="1">IFERROR(__xludf.DUMMYFUNCTION("""COMPUTED_VALUE"""),"C9400-LC-48S=")</f>
        <v>C9400-LC-48S=</v>
      </c>
      <c r="B201" s="37">
        <f ca="1">IFERROR(__xludf.DUMMYFUNCTION("""COMPUTED_VALUE"""),30425.45)</f>
        <v>30425.45</v>
      </c>
      <c r="C201" s="33"/>
      <c r="D201" s="37">
        <f ca="1">IFERROR(__xludf.DUMMYFUNCTION("""COMPUTED_VALUE"""),30425.45)</f>
        <v>30425.45</v>
      </c>
      <c r="G201" s="37"/>
    </row>
    <row r="202" spans="1:7" ht="12.5" x14ac:dyDescent="0.25">
      <c r="A202" s="33" t="str">
        <f ca="1">IFERROR(__xludf.DUMMYFUNCTION("""COMPUTED_VALUE"""),"C9400-LC-48XS=")</f>
        <v>C9400-LC-48XS=</v>
      </c>
      <c r="B202" s="37">
        <f ca="1">IFERROR(__xludf.DUMMYFUNCTION("""COMPUTED_VALUE"""),47564)</f>
        <v>47564</v>
      </c>
      <c r="C202" s="33"/>
      <c r="D202" s="37">
        <f ca="1">IFERROR(__xludf.DUMMYFUNCTION("""COMPUTED_VALUE"""),47564)</f>
        <v>47564</v>
      </c>
      <c r="G202" s="37"/>
    </row>
    <row r="203" spans="1:7" ht="12.5" x14ac:dyDescent="0.25">
      <c r="A203" s="33" t="str">
        <f ca="1">IFERROR(__xludf.DUMMYFUNCTION("""COMPUTED_VALUE"""),"C9606R")</f>
        <v>C9606R</v>
      </c>
      <c r="B203" s="37">
        <f ca="1">IFERROR(__xludf.DUMMYFUNCTION("""COMPUTED_VALUE"""),246495.41)</f>
        <v>246495.41</v>
      </c>
      <c r="C203" s="33"/>
      <c r="D203" s="37">
        <f ca="1">IFERROR(__xludf.DUMMYFUNCTION("""COMPUTED_VALUE"""),246495.41)</f>
        <v>246495.41</v>
      </c>
      <c r="G203" s="37"/>
    </row>
    <row r="204" spans="1:7" ht="12.5" x14ac:dyDescent="0.25">
      <c r="A204" s="33" t="str">
        <f ca="1">IFERROR(__xludf.DUMMYFUNCTION("""COMPUTED_VALUE"""),"C9600-LC-48TX=")</f>
        <v>C9600-LC-48TX=</v>
      </c>
      <c r="B204" s="37">
        <f ca="1">IFERROR(__xludf.DUMMYFUNCTION("""COMPUTED_VALUE"""),28916.35)</f>
        <v>28916.35</v>
      </c>
      <c r="C204" s="33"/>
      <c r="D204" s="37">
        <f ca="1">IFERROR(__xludf.DUMMYFUNCTION("""COMPUTED_VALUE"""),28916.35)</f>
        <v>28916.35</v>
      </c>
      <c r="G204" s="37"/>
    </row>
    <row r="205" spans="1:7" ht="12.5" x14ac:dyDescent="0.25">
      <c r="A205" s="33" t="str">
        <f ca="1">IFERROR(__xludf.DUMMYFUNCTION("""COMPUTED_VALUE"""),"C9600-LC-48YL=")</f>
        <v>C9600-LC-48YL=</v>
      </c>
      <c r="B205" s="37">
        <f ca="1">IFERROR(__xludf.DUMMYFUNCTION("""COMPUTED_VALUE"""),28916.35)</f>
        <v>28916.35</v>
      </c>
      <c r="C205" s="33"/>
      <c r="D205" s="37">
        <f ca="1">IFERROR(__xludf.DUMMYFUNCTION("""COMPUTED_VALUE"""),28916.35)</f>
        <v>28916.35</v>
      </c>
      <c r="G205" s="37"/>
    </row>
    <row r="206" spans="1:7" ht="12.5" x14ac:dyDescent="0.25">
      <c r="A206" s="33" t="str">
        <f ca="1">IFERROR(__xludf.DUMMYFUNCTION("""COMPUTED_VALUE"""),"C9600-LC-40YL4CD=")</f>
        <v>C9600-LC-40YL4CD=</v>
      </c>
      <c r="B206" s="37">
        <f ca="1">IFERROR(__xludf.DUMMYFUNCTION("""COMPUTED_VALUE"""),34122)</f>
        <v>34122</v>
      </c>
      <c r="C206" s="33"/>
      <c r="D206" s="37">
        <f ca="1">IFERROR(__xludf.DUMMYFUNCTION("""COMPUTED_VALUE"""),34122)</f>
        <v>34122</v>
      </c>
      <c r="G206" s="37"/>
    </row>
    <row r="207" spans="1:7" ht="12.5" x14ac:dyDescent="0.25">
      <c r="A207" s="33" t="str">
        <f ca="1">IFERROR(__xludf.DUMMYFUNCTION("""COMPUTED_VALUE"""),"C9600-LC-24C=")</f>
        <v>C9600-LC-24C=</v>
      </c>
      <c r="B207" s="37">
        <f ca="1">IFERROR(__xludf.DUMMYFUNCTION("""COMPUTED_VALUE"""),32859.49)</f>
        <v>32859.49</v>
      </c>
      <c r="C207" s="33"/>
      <c r="D207" s="37">
        <f ca="1">IFERROR(__xludf.DUMMYFUNCTION("""COMPUTED_VALUE"""),32859.49)</f>
        <v>32859.49</v>
      </c>
      <c r="G207" s="37"/>
    </row>
    <row r="208" spans="1:7" ht="12.5" x14ac:dyDescent="0.25">
      <c r="A208" s="33"/>
      <c r="B208" s="33"/>
      <c r="C208" s="33"/>
      <c r="D208" s="33"/>
      <c r="G208" s="37"/>
    </row>
    <row r="209" spans="1:7" ht="12.5" x14ac:dyDescent="0.25">
      <c r="A209" s="33"/>
      <c r="B209" s="33"/>
      <c r="C209" s="33"/>
      <c r="D209" s="33"/>
      <c r="G209" s="37"/>
    </row>
    <row r="210" spans="1:7" ht="12.5" x14ac:dyDescent="0.25">
      <c r="A210" s="33"/>
      <c r="B210" s="33"/>
      <c r="C210" s="33"/>
      <c r="D210" s="33"/>
      <c r="G210" s="37"/>
    </row>
    <row r="211" spans="1:7" ht="12.5" x14ac:dyDescent="0.25">
      <c r="A211" s="33"/>
      <c r="B211" s="33"/>
      <c r="C211" s="33"/>
      <c r="D211" s="33"/>
      <c r="G211" s="37"/>
    </row>
    <row r="212" spans="1:7" ht="12.5" x14ac:dyDescent="0.25">
      <c r="A212" s="33"/>
      <c r="B212" s="33"/>
      <c r="C212" s="33"/>
      <c r="D212" s="33"/>
      <c r="G212" s="37"/>
    </row>
    <row r="213" spans="1:7" ht="12.5" x14ac:dyDescent="0.25">
      <c r="A213" s="33"/>
      <c r="B213" s="33"/>
      <c r="C213" s="33"/>
      <c r="D213" s="33"/>
      <c r="G213" s="37"/>
    </row>
    <row r="214" spans="1:7" ht="12.5" x14ac:dyDescent="0.25">
      <c r="A214" s="33"/>
      <c r="B214" s="33"/>
      <c r="C214" s="33"/>
      <c r="D214" s="33"/>
      <c r="G214" s="37"/>
    </row>
    <row r="215" spans="1:7" ht="12.5" x14ac:dyDescent="0.25">
      <c r="A215" s="33"/>
      <c r="B215" s="33"/>
      <c r="C215" s="33"/>
      <c r="D215" s="33"/>
      <c r="G215" s="37"/>
    </row>
    <row r="216" spans="1:7" ht="12.5" x14ac:dyDescent="0.25">
      <c r="A216" s="33"/>
      <c r="B216" s="33"/>
      <c r="C216" s="33"/>
      <c r="D216" s="33"/>
      <c r="G216" s="37"/>
    </row>
    <row r="217" spans="1:7" ht="12.5" x14ac:dyDescent="0.25">
      <c r="A217" s="33"/>
      <c r="B217" s="33"/>
      <c r="C217" s="33"/>
      <c r="D217" s="33"/>
      <c r="G217" s="37"/>
    </row>
    <row r="218" spans="1:7" ht="12.5" x14ac:dyDescent="0.25">
      <c r="A218" s="33"/>
      <c r="B218" s="33"/>
      <c r="C218" s="33"/>
      <c r="D218" s="33"/>
      <c r="G218" s="37"/>
    </row>
    <row r="219" spans="1:7" ht="12.5" x14ac:dyDescent="0.25">
      <c r="A219" s="33"/>
      <c r="B219" s="33"/>
      <c r="C219" s="33"/>
      <c r="D219" s="33"/>
      <c r="G219" s="37"/>
    </row>
    <row r="220" spans="1:7" ht="12.5" x14ac:dyDescent="0.25">
      <c r="A220" s="33"/>
      <c r="B220" s="33"/>
      <c r="C220" s="33"/>
      <c r="D220" s="33"/>
      <c r="G220" s="37"/>
    </row>
    <row r="221" spans="1:7" ht="12.5" x14ac:dyDescent="0.25">
      <c r="A221" s="33"/>
      <c r="B221" s="33"/>
      <c r="C221" s="33"/>
      <c r="D221" s="33"/>
      <c r="G221" s="37"/>
    </row>
    <row r="222" spans="1:7" ht="12.5" x14ac:dyDescent="0.25">
      <c r="A222" s="33"/>
      <c r="B222" s="33"/>
      <c r="C222" s="33"/>
      <c r="D222" s="33"/>
      <c r="G222" s="37"/>
    </row>
    <row r="223" spans="1:7" ht="12.5" x14ac:dyDescent="0.25">
      <c r="A223" s="33"/>
      <c r="B223" s="33"/>
      <c r="C223" s="33"/>
      <c r="D223" s="33"/>
      <c r="G223" s="37"/>
    </row>
    <row r="224" spans="1:7" ht="12.5" x14ac:dyDescent="0.25">
      <c r="A224" s="33"/>
      <c r="B224" s="33"/>
      <c r="C224" s="33"/>
      <c r="D224" s="33"/>
      <c r="G224" s="37"/>
    </row>
    <row r="225" spans="1:7" ht="12.5" x14ac:dyDescent="0.25">
      <c r="A225" s="33"/>
      <c r="B225" s="33"/>
      <c r="C225" s="33"/>
      <c r="D225" s="33"/>
      <c r="G225" s="37"/>
    </row>
    <row r="226" spans="1:7" ht="12.5" x14ac:dyDescent="0.25">
      <c r="A226" s="33"/>
      <c r="B226" s="33"/>
      <c r="C226" s="33"/>
      <c r="D226" s="33"/>
      <c r="G226" s="37"/>
    </row>
    <row r="227" spans="1:7" ht="12.5" x14ac:dyDescent="0.25">
      <c r="A227" s="33"/>
      <c r="B227" s="33"/>
      <c r="C227" s="33"/>
      <c r="D227" s="33"/>
      <c r="G227" s="37"/>
    </row>
    <row r="228" spans="1:7" ht="12.5" x14ac:dyDescent="0.25">
      <c r="A228" s="33"/>
      <c r="B228" s="33"/>
      <c r="C228" s="33"/>
      <c r="D228" s="33"/>
      <c r="G228" s="37"/>
    </row>
    <row r="229" spans="1:7" ht="12.5" x14ac:dyDescent="0.25">
      <c r="A229" s="33"/>
      <c r="B229" s="33"/>
      <c r="C229" s="33"/>
      <c r="D229" s="33"/>
      <c r="G229" s="37"/>
    </row>
    <row r="230" spans="1:7" ht="12.5" x14ac:dyDescent="0.25">
      <c r="A230" s="33"/>
      <c r="B230" s="33"/>
      <c r="C230" s="33"/>
      <c r="D230" s="33"/>
      <c r="G230" s="37"/>
    </row>
    <row r="231" spans="1:7" ht="12.5" x14ac:dyDescent="0.25">
      <c r="A231" s="33"/>
      <c r="B231" s="33"/>
      <c r="C231" s="33"/>
      <c r="D231" s="33"/>
      <c r="G231" s="37"/>
    </row>
    <row r="232" spans="1:7" ht="12.5" x14ac:dyDescent="0.25">
      <c r="A232" s="33"/>
      <c r="B232" s="33"/>
      <c r="C232" s="33"/>
      <c r="D232" s="33"/>
      <c r="G232" s="37"/>
    </row>
    <row r="233" spans="1:7" ht="12.5" x14ac:dyDescent="0.25">
      <c r="A233" s="33"/>
      <c r="B233" s="33"/>
      <c r="C233" s="33"/>
      <c r="D233" s="33"/>
      <c r="G233" s="37"/>
    </row>
    <row r="234" spans="1:7" ht="12.5" x14ac:dyDescent="0.25">
      <c r="A234" s="33"/>
      <c r="B234" s="33"/>
      <c r="C234" s="33"/>
      <c r="D234" s="33"/>
      <c r="G234" s="37"/>
    </row>
    <row r="235" spans="1:7" ht="12.5" x14ac:dyDescent="0.25">
      <c r="A235" s="33"/>
      <c r="B235" s="33"/>
      <c r="C235" s="33"/>
      <c r="D235" s="33"/>
      <c r="G235" s="37"/>
    </row>
    <row r="236" spans="1:7" ht="12.5" x14ac:dyDescent="0.25">
      <c r="A236" s="33"/>
      <c r="B236" s="33"/>
      <c r="C236" s="33"/>
      <c r="D236" s="33"/>
      <c r="G236" s="37"/>
    </row>
    <row r="237" spans="1:7" ht="12.5" x14ac:dyDescent="0.25">
      <c r="A237" s="33"/>
      <c r="B237" s="33"/>
      <c r="C237" s="33"/>
      <c r="D237" s="33"/>
      <c r="G237" s="37"/>
    </row>
    <row r="238" spans="1:7" ht="12.5" x14ac:dyDescent="0.25">
      <c r="A238" s="33"/>
      <c r="B238" s="33"/>
      <c r="C238" s="33"/>
      <c r="D238" s="33"/>
      <c r="G238" s="37"/>
    </row>
    <row r="239" spans="1:7" ht="12.5" x14ac:dyDescent="0.25">
      <c r="A239" s="33"/>
      <c r="B239" s="33"/>
      <c r="C239" s="33"/>
      <c r="D239" s="33"/>
      <c r="G239" s="37"/>
    </row>
    <row r="240" spans="1:7" ht="12.5" x14ac:dyDescent="0.25">
      <c r="A240" s="33"/>
      <c r="B240" s="33"/>
      <c r="C240" s="33"/>
      <c r="D240" s="33"/>
      <c r="G240" s="37"/>
    </row>
    <row r="241" spans="1:7" ht="12.5" x14ac:dyDescent="0.25">
      <c r="A241" s="33"/>
      <c r="B241" s="33"/>
      <c r="C241" s="33"/>
      <c r="D241" s="33"/>
      <c r="G241" s="37"/>
    </row>
    <row r="242" spans="1:7" ht="12.5" x14ac:dyDescent="0.25">
      <c r="A242" s="33"/>
      <c r="B242" s="33"/>
      <c r="C242" s="33"/>
      <c r="D242" s="33"/>
      <c r="G242" s="37"/>
    </row>
    <row r="243" spans="1:7" ht="12.5" x14ac:dyDescent="0.25">
      <c r="A243" s="33"/>
      <c r="B243" s="33"/>
      <c r="C243" s="33"/>
      <c r="D243" s="33"/>
      <c r="G243" s="37"/>
    </row>
    <row r="244" spans="1:7" ht="12.5" x14ac:dyDescent="0.25">
      <c r="A244" s="33"/>
      <c r="B244" s="33"/>
      <c r="C244" s="33"/>
      <c r="D244" s="33"/>
      <c r="G244" s="37"/>
    </row>
    <row r="245" spans="1:7" ht="12.5" x14ac:dyDescent="0.25">
      <c r="A245" s="33"/>
      <c r="B245" s="33"/>
      <c r="C245" s="33"/>
      <c r="D245" s="33"/>
      <c r="G245" s="37"/>
    </row>
    <row r="246" spans="1:7" ht="12.5" x14ac:dyDescent="0.25">
      <c r="A246" s="33"/>
      <c r="B246" s="33"/>
      <c r="C246" s="33"/>
      <c r="D246" s="33"/>
      <c r="G246" s="37"/>
    </row>
    <row r="247" spans="1:7" ht="12.5" x14ac:dyDescent="0.25">
      <c r="A247" s="33"/>
      <c r="B247" s="33"/>
      <c r="C247" s="33"/>
      <c r="D247" s="33"/>
      <c r="G247" s="37"/>
    </row>
    <row r="248" spans="1:7" ht="12.5" x14ac:dyDescent="0.25">
      <c r="A248" s="33"/>
      <c r="B248" s="33"/>
      <c r="C248" s="33"/>
      <c r="D248" s="33"/>
      <c r="G248" s="37"/>
    </row>
    <row r="249" spans="1:7" ht="12.5" x14ac:dyDescent="0.25">
      <c r="A249" s="33"/>
      <c r="B249" s="33"/>
      <c r="C249" s="33"/>
      <c r="D249" s="33"/>
      <c r="G249" s="37"/>
    </row>
    <row r="250" spans="1:7" ht="12.5" x14ac:dyDescent="0.25">
      <c r="A250" s="33"/>
      <c r="B250" s="33"/>
      <c r="C250" s="33"/>
      <c r="D250" s="33"/>
      <c r="G250" s="37"/>
    </row>
    <row r="251" spans="1:7" ht="12.5" x14ac:dyDescent="0.25">
      <c r="A251" s="33"/>
      <c r="B251" s="33"/>
      <c r="C251" s="33"/>
      <c r="D251" s="33"/>
      <c r="G251" s="37"/>
    </row>
    <row r="252" spans="1:7" ht="12.5" x14ac:dyDescent="0.25">
      <c r="A252" s="33"/>
      <c r="B252" s="33"/>
      <c r="C252" s="33"/>
      <c r="D252" s="33"/>
      <c r="G252" s="37"/>
    </row>
    <row r="253" spans="1:7" ht="12.5" x14ac:dyDescent="0.25">
      <c r="A253" s="33"/>
      <c r="B253" s="33"/>
      <c r="C253" s="33"/>
      <c r="D253" s="33"/>
      <c r="G253" s="37"/>
    </row>
    <row r="254" spans="1:7" ht="12.5" x14ac:dyDescent="0.25">
      <c r="A254" s="33"/>
      <c r="B254" s="33"/>
      <c r="C254" s="33"/>
      <c r="D254" s="33"/>
      <c r="G254" s="37"/>
    </row>
    <row r="255" spans="1:7" ht="12.5" x14ac:dyDescent="0.25">
      <c r="A255" s="33"/>
      <c r="B255" s="33"/>
      <c r="C255" s="33"/>
      <c r="D255" s="33"/>
      <c r="G255" s="37"/>
    </row>
    <row r="256" spans="1:7" ht="12.5" x14ac:dyDescent="0.25">
      <c r="A256" s="33"/>
      <c r="B256" s="33"/>
      <c r="C256" s="33"/>
      <c r="D256" s="33"/>
      <c r="G256" s="37"/>
    </row>
    <row r="257" spans="1:7" ht="12.5" x14ac:dyDescent="0.25">
      <c r="A257" s="33"/>
      <c r="B257" s="33"/>
      <c r="C257" s="33"/>
      <c r="D257" s="33"/>
      <c r="G257" s="37"/>
    </row>
    <row r="258" spans="1:7" ht="12.5" x14ac:dyDescent="0.25">
      <c r="A258" s="33"/>
      <c r="B258" s="33"/>
      <c r="C258" s="33"/>
      <c r="D258" s="33"/>
      <c r="G258" s="37"/>
    </row>
    <row r="259" spans="1:7" ht="12.5" x14ac:dyDescent="0.25">
      <c r="A259" s="33"/>
      <c r="B259" s="33"/>
      <c r="C259" s="33"/>
      <c r="D259" s="33"/>
      <c r="G259" s="37"/>
    </row>
    <row r="260" spans="1:7" ht="12.5" x14ac:dyDescent="0.25">
      <c r="A260" s="33"/>
      <c r="B260" s="33"/>
      <c r="C260" s="33"/>
      <c r="D260" s="33"/>
      <c r="G260" s="37"/>
    </row>
    <row r="261" spans="1:7" ht="12.5" x14ac:dyDescent="0.25">
      <c r="A261" s="33"/>
      <c r="B261" s="33"/>
      <c r="C261" s="33"/>
      <c r="D261" s="33"/>
      <c r="G261" s="37"/>
    </row>
    <row r="262" spans="1:7" ht="12.5" x14ac:dyDescent="0.25">
      <c r="A262" s="33"/>
      <c r="B262" s="33"/>
      <c r="C262" s="33"/>
      <c r="D262" s="33"/>
      <c r="G262" s="37"/>
    </row>
    <row r="263" spans="1:7" ht="12.5" x14ac:dyDescent="0.25">
      <c r="A263" s="33"/>
      <c r="B263" s="33"/>
      <c r="C263" s="33"/>
      <c r="D263" s="33"/>
      <c r="G263" s="37"/>
    </row>
    <row r="264" spans="1:7" ht="12.5" x14ac:dyDescent="0.25">
      <c r="A264" s="33"/>
      <c r="B264" s="33"/>
      <c r="C264" s="33"/>
      <c r="D264" s="33"/>
      <c r="G264" s="37"/>
    </row>
    <row r="265" spans="1:7" ht="12.5" x14ac:dyDescent="0.25">
      <c r="A265" s="33"/>
      <c r="B265" s="33"/>
      <c r="C265" s="33"/>
      <c r="D265" s="33"/>
      <c r="G265" s="37"/>
    </row>
    <row r="266" spans="1:7" ht="12.5" x14ac:dyDescent="0.25">
      <c r="A266" s="33"/>
      <c r="B266" s="33"/>
      <c r="C266" s="33"/>
      <c r="D266" s="33"/>
      <c r="G266" s="37"/>
    </row>
    <row r="267" spans="1:7" ht="12.5" x14ac:dyDescent="0.25">
      <c r="A267" s="33"/>
      <c r="B267" s="33"/>
      <c r="C267" s="33"/>
      <c r="D267" s="33"/>
      <c r="G267" s="37"/>
    </row>
    <row r="268" spans="1:7" ht="12.5" x14ac:dyDescent="0.25">
      <c r="A268" s="33"/>
      <c r="B268" s="33"/>
      <c r="C268" s="33"/>
      <c r="D268" s="33"/>
      <c r="G268" s="37"/>
    </row>
    <row r="269" spans="1:7" ht="12.5" x14ac:dyDescent="0.25">
      <c r="A269" s="33"/>
      <c r="B269" s="33"/>
      <c r="C269" s="33"/>
      <c r="D269" s="33"/>
      <c r="G269" s="37"/>
    </row>
    <row r="270" spans="1:7" ht="12.5" x14ac:dyDescent="0.25">
      <c r="A270" s="33"/>
      <c r="B270" s="33"/>
      <c r="C270" s="33"/>
      <c r="D270" s="33"/>
      <c r="G270" s="37"/>
    </row>
    <row r="271" spans="1:7" ht="12.5" x14ac:dyDescent="0.25">
      <c r="A271" s="33"/>
      <c r="B271" s="33"/>
      <c r="C271" s="37" t="str">
        <f ca="1">IFERROR(__xludf.DUMMYFUNCTION("""COMPUTED_VALUE"""),"")</f>
        <v/>
      </c>
      <c r="D271" s="33"/>
      <c r="G271" s="37"/>
    </row>
    <row r="272" spans="1:7" ht="12.5" x14ac:dyDescent="0.25">
      <c r="A272" s="33"/>
      <c r="B272" s="33"/>
      <c r="C272" s="37" t="str">
        <f ca="1">IFERROR(__xludf.DUMMYFUNCTION("""COMPUTED_VALUE"""),"")</f>
        <v/>
      </c>
      <c r="D272" s="33"/>
      <c r="G272" s="37"/>
    </row>
    <row r="273" spans="1:7" ht="12.5" x14ac:dyDescent="0.25">
      <c r="A273" s="33"/>
      <c r="B273" s="33"/>
      <c r="C273" s="37" t="str">
        <f ca="1">IFERROR(__xludf.DUMMYFUNCTION("""COMPUTED_VALUE"""),"")</f>
        <v/>
      </c>
      <c r="D273" s="33"/>
      <c r="G273" s="37"/>
    </row>
    <row r="274" spans="1:7" ht="12.5" x14ac:dyDescent="0.25">
      <c r="A274" s="33"/>
      <c r="B274" s="33"/>
      <c r="C274" s="37" t="str">
        <f ca="1">IFERROR(__xludf.DUMMYFUNCTION("""COMPUTED_VALUE"""),"")</f>
        <v/>
      </c>
      <c r="D274" s="33"/>
      <c r="G274" s="37"/>
    </row>
    <row r="275" spans="1:7" ht="12.5" x14ac:dyDescent="0.25">
      <c r="A275" s="33"/>
      <c r="B275" s="33"/>
      <c r="C275" s="37" t="str">
        <f ca="1">IFERROR(__xludf.DUMMYFUNCTION("""COMPUTED_VALUE"""),"")</f>
        <v/>
      </c>
      <c r="D275" s="33"/>
      <c r="G275" s="37"/>
    </row>
    <row r="276" spans="1:7" ht="12.5" x14ac:dyDescent="0.25">
      <c r="A276" s="33"/>
      <c r="B276" s="33"/>
      <c r="C276" s="37" t="str">
        <f ca="1">IFERROR(__xludf.DUMMYFUNCTION("""COMPUTED_VALUE"""),"")</f>
        <v/>
      </c>
      <c r="D276" s="33"/>
      <c r="G276" s="37"/>
    </row>
    <row r="277" spans="1:7" ht="12.5" x14ac:dyDescent="0.25">
      <c r="A277" s="33"/>
      <c r="B277" s="33"/>
      <c r="C277" s="37" t="str">
        <f ca="1">IFERROR(__xludf.DUMMYFUNCTION("""COMPUTED_VALUE"""),"")</f>
        <v/>
      </c>
      <c r="D277" s="33"/>
      <c r="G277" s="37"/>
    </row>
    <row r="278" spans="1:7" ht="12.5" x14ac:dyDescent="0.25">
      <c r="A278" s="33"/>
      <c r="B278" s="33"/>
      <c r="C278" s="37" t="str">
        <f ca="1">IFERROR(__xludf.DUMMYFUNCTION("""COMPUTED_VALUE"""),"")</f>
        <v/>
      </c>
      <c r="D278" s="33"/>
      <c r="G278" s="37"/>
    </row>
    <row r="279" spans="1:7" ht="12.5" x14ac:dyDescent="0.25">
      <c r="A279" s="33"/>
      <c r="B279" s="33"/>
      <c r="C279" s="37" t="str">
        <f ca="1">IFERROR(__xludf.DUMMYFUNCTION("""COMPUTED_VALUE"""),"")</f>
        <v/>
      </c>
      <c r="D279" s="33"/>
      <c r="G279" s="37"/>
    </row>
    <row r="280" spans="1:7" ht="12.5" x14ac:dyDescent="0.25">
      <c r="A280" s="33"/>
      <c r="B280" s="33"/>
      <c r="C280" s="37" t="str">
        <f ca="1">IFERROR(__xludf.DUMMYFUNCTION("""COMPUTED_VALUE"""),"")</f>
        <v/>
      </c>
      <c r="D280" s="33"/>
      <c r="G280" s="37"/>
    </row>
    <row r="281" spans="1:7" ht="12.5" x14ac:dyDescent="0.25">
      <c r="A281" s="33"/>
      <c r="B281" s="33"/>
      <c r="C281" s="37" t="str">
        <f ca="1">IFERROR(__xludf.DUMMYFUNCTION("""COMPUTED_VALUE"""),"")</f>
        <v/>
      </c>
      <c r="D281" s="33"/>
      <c r="G281" s="37"/>
    </row>
    <row r="282" spans="1:7" ht="12.5" x14ac:dyDescent="0.25">
      <c r="A282" s="33"/>
      <c r="B282" s="33"/>
      <c r="C282" s="37" t="str">
        <f ca="1">IFERROR(__xludf.DUMMYFUNCTION("""COMPUTED_VALUE"""),"")</f>
        <v/>
      </c>
      <c r="D282" s="33"/>
      <c r="G282" s="37"/>
    </row>
    <row r="283" spans="1:7" ht="12.5" x14ac:dyDescent="0.25">
      <c r="A283" s="33"/>
      <c r="B283" s="33"/>
      <c r="C283" s="37" t="str">
        <f ca="1">IFERROR(__xludf.DUMMYFUNCTION("""COMPUTED_VALUE"""),"")</f>
        <v/>
      </c>
      <c r="D283" s="33"/>
      <c r="G283" s="37"/>
    </row>
    <row r="284" spans="1:7" ht="12.5" x14ac:dyDescent="0.25">
      <c r="A284" s="33"/>
      <c r="B284" s="33"/>
      <c r="C284" s="37" t="str">
        <f ca="1">IFERROR(__xludf.DUMMYFUNCTION("""COMPUTED_VALUE"""),"")</f>
        <v/>
      </c>
      <c r="D284" s="33"/>
      <c r="G284" s="37"/>
    </row>
    <row r="285" spans="1:7" ht="12.5" x14ac:dyDescent="0.25">
      <c r="A285" s="33"/>
      <c r="B285" s="33"/>
      <c r="C285" s="37" t="str">
        <f ca="1">IFERROR(__xludf.DUMMYFUNCTION("""COMPUTED_VALUE"""),"")</f>
        <v/>
      </c>
      <c r="D285" s="33"/>
      <c r="G285" s="37"/>
    </row>
    <row r="286" spans="1:7" ht="12.5" x14ac:dyDescent="0.25">
      <c r="A286" s="33"/>
      <c r="B286" s="33"/>
      <c r="C286" s="37" t="str">
        <f ca="1">IFERROR(__xludf.DUMMYFUNCTION("""COMPUTED_VALUE"""),"")</f>
        <v/>
      </c>
      <c r="D286" s="33"/>
      <c r="G286" s="37"/>
    </row>
    <row r="287" spans="1:7" ht="12.5" x14ac:dyDescent="0.25">
      <c r="A287" s="33"/>
      <c r="B287" s="33"/>
      <c r="C287" s="37" t="str">
        <f ca="1">IFERROR(__xludf.DUMMYFUNCTION("""COMPUTED_VALUE"""),"")</f>
        <v/>
      </c>
      <c r="D287" s="33"/>
      <c r="G287" s="37"/>
    </row>
    <row r="288" spans="1:7" ht="12.5" x14ac:dyDescent="0.25">
      <c r="A288" s="33"/>
      <c r="B288" s="33"/>
      <c r="C288" s="37" t="str">
        <f ca="1">IFERROR(__xludf.DUMMYFUNCTION("""COMPUTED_VALUE"""),"")</f>
        <v/>
      </c>
      <c r="D288" s="33"/>
      <c r="G288" s="37"/>
    </row>
    <row r="289" spans="1:7" ht="12.5" x14ac:dyDescent="0.25">
      <c r="A289" s="33"/>
      <c r="B289" s="33"/>
      <c r="C289" s="37" t="str">
        <f ca="1">IFERROR(__xludf.DUMMYFUNCTION("""COMPUTED_VALUE"""),"")</f>
        <v/>
      </c>
      <c r="D289" s="33"/>
      <c r="G289" s="37"/>
    </row>
    <row r="290" spans="1:7" ht="12.5" x14ac:dyDescent="0.25">
      <c r="A290" s="33"/>
      <c r="B290" s="33"/>
      <c r="C290" s="37" t="str">
        <f ca="1">IFERROR(__xludf.DUMMYFUNCTION("""COMPUTED_VALUE"""),"")</f>
        <v/>
      </c>
      <c r="D290" s="33"/>
      <c r="G290" s="37"/>
    </row>
    <row r="291" spans="1:7" ht="12.5" x14ac:dyDescent="0.25">
      <c r="A291" s="33"/>
      <c r="B291" s="33"/>
      <c r="C291" s="37" t="str">
        <f ca="1">IFERROR(__xludf.DUMMYFUNCTION("""COMPUTED_VALUE"""),"")</f>
        <v/>
      </c>
      <c r="D291" s="33"/>
      <c r="G291" s="37"/>
    </row>
    <row r="292" spans="1:7" ht="12.5" x14ac:dyDescent="0.25">
      <c r="A292" s="33"/>
      <c r="B292" s="33"/>
      <c r="C292" s="37" t="str">
        <f ca="1">IFERROR(__xludf.DUMMYFUNCTION("""COMPUTED_VALUE"""),"")</f>
        <v/>
      </c>
      <c r="D292" s="33"/>
      <c r="G292" s="37"/>
    </row>
    <row r="293" spans="1:7" ht="12.5" x14ac:dyDescent="0.25">
      <c r="A293" s="33"/>
      <c r="B293" s="33"/>
      <c r="C293" s="37" t="str">
        <f ca="1">IFERROR(__xludf.DUMMYFUNCTION("""COMPUTED_VALUE"""),"")</f>
        <v/>
      </c>
      <c r="D293" s="33"/>
      <c r="G293" s="37"/>
    </row>
    <row r="294" spans="1:7" ht="12.5" x14ac:dyDescent="0.25">
      <c r="A294" s="33"/>
      <c r="B294" s="33"/>
      <c r="C294" s="37" t="str">
        <f ca="1">IFERROR(__xludf.DUMMYFUNCTION("""COMPUTED_VALUE"""),"")</f>
        <v/>
      </c>
      <c r="D294" s="33"/>
      <c r="G294" s="37"/>
    </row>
    <row r="295" spans="1:7" ht="12.5" x14ac:dyDescent="0.25">
      <c r="A295" s="33"/>
      <c r="B295" s="33"/>
      <c r="C295" s="37" t="str">
        <f ca="1">IFERROR(__xludf.DUMMYFUNCTION("""COMPUTED_VALUE"""),"")</f>
        <v/>
      </c>
      <c r="D295" s="33"/>
      <c r="G295" s="37"/>
    </row>
    <row r="296" spans="1:7" ht="12.5" x14ac:dyDescent="0.25">
      <c r="A296" s="33"/>
      <c r="B296" s="33"/>
      <c r="C296" s="37" t="str">
        <f ca="1">IFERROR(__xludf.DUMMYFUNCTION("""COMPUTED_VALUE"""),"")</f>
        <v/>
      </c>
      <c r="D296" s="33"/>
      <c r="G296" s="37"/>
    </row>
    <row r="297" spans="1:7" ht="12.5" x14ac:dyDescent="0.25">
      <c r="A297" s="33"/>
      <c r="B297" s="33"/>
      <c r="C297" s="37" t="str">
        <f ca="1">IFERROR(__xludf.DUMMYFUNCTION("""COMPUTED_VALUE"""),"")</f>
        <v/>
      </c>
      <c r="D297" s="33"/>
      <c r="G297" s="37"/>
    </row>
    <row r="298" spans="1:7" ht="12.5" x14ac:dyDescent="0.25">
      <c r="A298" s="33"/>
      <c r="B298" s="33"/>
      <c r="C298" s="37" t="str">
        <f ca="1">IFERROR(__xludf.DUMMYFUNCTION("""COMPUTED_VALUE"""),"")</f>
        <v/>
      </c>
      <c r="D298" s="33"/>
      <c r="G298" s="37"/>
    </row>
    <row r="299" spans="1:7" ht="12.5" x14ac:dyDescent="0.25">
      <c r="A299" s="33"/>
      <c r="B299" s="33"/>
      <c r="C299" s="37" t="str">
        <f ca="1">IFERROR(__xludf.DUMMYFUNCTION("""COMPUTED_VALUE"""),"")</f>
        <v/>
      </c>
      <c r="D299" s="33"/>
      <c r="G299" s="37"/>
    </row>
    <row r="300" spans="1:7" ht="12.5" x14ac:dyDescent="0.25">
      <c r="A300" s="33"/>
      <c r="B300" s="33"/>
      <c r="C300" s="37" t="str">
        <f ca="1">IFERROR(__xludf.DUMMYFUNCTION("""COMPUTED_VALUE"""),"")</f>
        <v/>
      </c>
      <c r="D300" s="33"/>
      <c r="G300" s="37"/>
    </row>
    <row r="301" spans="1:7" ht="12.5" x14ac:dyDescent="0.25">
      <c r="A301" s="33"/>
      <c r="B301" s="33"/>
      <c r="C301" s="37" t="str">
        <f ca="1">IFERROR(__xludf.DUMMYFUNCTION("""COMPUTED_VALUE"""),"")</f>
        <v/>
      </c>
      <c r="D301" s="33"/>
      <c r="G301" s="37"/>
    </row>
    <row r="302" spans="1:7" ht="12.5" x14ac:dyDescent="0.25">
      <c r="A302" s="33"/>
      <c r="B302" s="33"/>
      <c r="C302" s="37" t="str">
        <f ca="1">IFERROR(__xludf.DUMMYFUNCTION("""COMPUTED_VALUE"""),"")</f>
        <v/>
      </c>
      <c r="D302" s="33"/>
      <c r="G302" s="37"/>
    </row>
    <row r="303" spans="1:7" ht="12.5" x14ac:dyDescent="0.25">
      <c r="A303" s="33"/>
      <c r="B303" s="33"/>
      <c r="C303" s="37" t="str">
        <f ca="1">IFERROR(__xludf.DUMMYFUNCTION("""COMPUTED_VALUE"""),"")</f>
        <v/>
      </c>
      <c r="D303" s="33"/>
      <c r="G303" s="37"/>
    </row>
    <row r="304" spans="1:7" ht="12.5" x14ac:dyDescent="0.25">
      <c r="A304" s="33"/>
      <c r="B304" s="33"/>
      <c r="C304" s="37" t="str">
        <f ca="1">IFERROR(__xludf.DUMMYFUNCTION("""COMPUTED_VALUE"""),"")</f>
        <v/>
      </c>
      <c r="D304" s="33"/>
      <c r="G304" s="37"/>
    </row>
    <row r="305" spans="1:7" ht="12.5" x14ac:dyDescent="0.25">
      <c r="A305" s="33"/>
      <c r="B305" s="33"/>
      <c r="C305" s="37" t="str">
        <f ca="1">IFERROR(__xludf.DUMMYFUNCTION("""COMPUTED_VALUE"""),"")</f>
        <v/>
      </c>
      <c r="D305" s="33"/>
      <c r="G305" s="37"/>
    </row>
    <row r="306" spans="1:7" ht="12.5" x14ac:dyDescent="0.25">
      <c r="A306" s="33"/>
      <c r="B306" s="33"/>
      <c r="C306" s="37" t="str">
        <f ca="1">IFERROR(__xludf.DUMMYFUNCTION("""COMPUTED_VALUE"""),"")</f>
        <v/>
      </c>
      <c r="D306" s="33"/>
      <c r="G306" s="37"/>
    </row>
    <row r="307" spans="1:7" ht="12.5" x14ac:dyDescent="0.25">
      <c r="A307" s="33"/>
      <c r="B307" s="33"/>
      <c r="C307" s="37" t="str">
        <f ca="1">IFERROR(__xludf.DUMMYFUNCTION("""COMPUTED_VALUE"""),"")</f>
        <v/>
      </c>
      <c r="D307" s="33"/>
      <c r="G307" s="37"/>
    </row>
    <row r="308" spans="1:7" ht="12.5" x14ac:dyDescent="0.25">
      <c r="A308" s="33"/>
      <c r="B308" s="33"/>
      <c r="C308" s="37" t="str">
        <f ca="1">IFERROR(__xludf.DUMMYFUNCTION("""COMPUTED_VALUE"""),"")</f>
        <v/>
      </c>
      <c r="D308" s="33"/>
      <c r="G308" s="37"/>
    </row>
    <row r="309" spans="1:7" ht="12.5" x14ac:dyDescent="0.25">
      <c r="A309" s="33"/>
      <c r="B309" s="33"/>
      <c r="C309" s="37" t="str">
        <f ca="1">IFERROR(__xludf.DUMMYFUNCTION("""COMPUTED_VALUE"""),"")</f>
        <v/>
      </c>
      <c r="D309" s="33"/>
      <c r="G309" s="37"/>
    </row>
    <row r="310" spans="1:7" ht="12.5" x14ac:dyDescent="0.25">
      <c r="A310" s="33"/>
      <c r="B310" s="33"/>
      <c r="C310" s="37" t="str">
        <f ca="1">IFERROR(__xludf.DUMMYFUNCTION("""COMPUTED_VALUE"""),"")</f>
        <v/>
      </c>
      <c r="D310" s="33"/>
      <c r="G310" s="37"/>
    </row>
    <row r="311" spans="1:7" ht="12.5" x14ac:dyDescent="0.25">
      <c r="A311" s="33"/>
      <c r="B311" s="33"/>
      <c r="C311" s="37" t="str">
        <f ca="1">IFERROR(__xludf.DUMMYFUNCTION("""COMPUTED_VALUE"""),"")</f>
        <v/>
      </c>
      <c r="D311" s="33"/>
      <c r="G311" s="37"/>
    </row>
    <row r="312" spans="1:7" ht="12.5" x14ac:dyDescent="0.25">
      <c r="A312" s="33"/>
      <c r="B312" s="33"/>
      <c r="C312" s="37" t="str">
        <f ca="1">IFERROR(__xludf.DUMMYFUNCTION("""COMPUTED_VALUE"""),"")</f>
        <v/>
      </c>
      <c r="D312" s="33"/>
      <c r="G312" s="37"/>
    </row>
    <row r="313" spans="1:7" ht="12.5" x14ac:dyDescent="0.25">
      <c r="A313" s="33"/>
      <c r="B313" s="33"/>
      <c r="C313" s="37" t="str">
        <f ca="1">IFERROR(__xludf.DUMMYFUNCTION("""COMPUTED_VALUE"""),"")</f>
        <v/>
      </c>
      <c r="D313" s="33"/>
      <c r="G313" s="37"/>
    </row>
    <row r="314" spans="1:7" ht="12.5" x14ac:dyDescent="0.25">
      <c r="A314" s="33"/>
      <c r="B314" s="33"/>
      <c r="C314" s="37" t="str">
        <f ca="1">IFERROR(__xludf.DUMMYFUNCTION("""COMPUTED_VALUE"""),"")</f>
        <v/>
      </c>
      <c r="D314" s="33"/>
      <c r="G314" s="37"/>
    </row>
    <row r="315" spans="1:7" ht="12.5" x14ac:dyDescent="0.25">
      <c r="A315" s="33"/>
      <c r="B315" s="33"/>
      <c r="C315" s="37" t="str">
        <f ca="1">IFERROR(__xludf.DUMMYFUNCTION("""COMPUTED_VALUE"""),"")</f>
        <v/>
      </c>
      <c r="D315" s="33"/>
      <c r="G315" s="37"/>
    </row>
    <row r="316" spans="1:7" ht="12.5" x14ac:dyDescent="0.25">
      <c r="A316" s="33"/>
      <c r="B316" s="33"/>
      <c r="C316" s="37" t="str">
        <f ca="1">IFERROR(__xludf.DUMMYFUNCTION("""COMPUTED_VALUE"""),"")</f>
        <v/>
      </c>
      <c r="D316" s="33"/>
      <c r="G316" s="37"/>
    </row>
    <row r="317" spans="1:7" ht="12.5" x14ac:dyDescent="0.25">
      <c r="A317" s="33"/>
      <c r="B317" s="33"/>
      <c r="C317" s="37" t="str">
        <f ca="1">IFERROR(__xludf.DUMMYFUNCTION("""COMPUTED_VALUE"""),"")</f>
        <v/>
      </c>
      <c r="D317" s="33"/>
      <c r="G317" s="37"/>
    </row>
    <row r="318" spans="1:7" ht="12.5" x14ac:dyDescent="0.25">
      <c r="A318" s="33"/>
      <c r="B318" s="33"/>
      <c r="C318" s="37" t="str">
        <f ca="1">IFERROR(__xludf.DUMMYFUNCTION("""COMPUTED_VALUE"""),"")</f>
        <v/>
      </c>
      <c r="D318" s="33"/>
      <c r="G318" s="37"/>
    </row>
    <row r="319" spans="1:7" ht="12.5" x14ac:dyDescent="0.25">
      <c r="A319" s="33"/>
      <c r="B319" s="33"/>
      <c r="C319" s="37" t="str">
        <f ca="1">IFERROR(__xludf.DUMMYFUNCTION("""COMPUTED_VALUE"""),"")</f>
        <v/>
      </c>
      <c r="D319" s="33"/>
      <c r="G319" s="37"/>
    </row>
    <row r="320" spans="1:7" ht="12.5" x14ac:dyDescent="0.25">
      <c r="A320" s="33"/>
      <c r="B320" s="33"/>
      <c r="C320" s="37" t="str">
        <f ca="1">IFERROR(__xludf.DUMMYFUNCTION("""COMPUTED_VALUE"""),"")</f>
        <v/>
      </c>
      <c r="D320" s="33"/>
      <c r="G320" s="37"/>
    </row>
    <row r="321" spans="1:7" ht="12.5" x14ac:dyDescent="0.25">
      <c r="A321" s="33"/>
      <c r="B321" s="33"/>
      <c r="C321" s="37" t="str">
        <f ca="1">IFERROR(__xludf.DUMMYFUNCTION("""COMPUTED_VALUE"""),"")</f>
        <v/>
      </c>
      <c r="D321" s="33"/>
      <c r="G321" s="37"/>
    </row>
    <row r="322" spans="1:7" ht="12.5" x14ac:dyDescent="0.25">
      <c r="A322" s="33"/>
      <c r="B322" s="33"/>
      <c r="C322" s="37" t="str">
        <f ca="1">IFERROR(__xludf.DUMMYFUNCTION("""COMPUTED_VALUE"""),"")</f>
        <v/>
      </c>
      <c r="D322" s="33"/>
      <c r="G322" s="37"/>
    </row>
    <row r="323" spans="1:7" ht="12.5" x14ac:dyDescent="0.25">
      <c r="A323" s="33"/>
      <c r="B323" s="33"/>
      <c r="C323" s="37" t="str">
        <f ca="1">IFERROR(__xludf.DUMMYFUNCTION("""COMPUTED_VALUE"""),"")</f>
        <v/>
      </c>
      <c r="D323" s="33"/>
      <c r="G323" s="37"/>
    </row>
    <row r="324" spans="1:7" ht="12.5" x14ac:dyDescent="0.25">
      <c r="A324" s="33"/>
      <c r="B324" s="33"/>
      <c r="C324" s="37" t="str">
        <f ca="1">IFERROR(__xludf.DUMMYFUNCTION("""COMPUTED_VALUE"""),"")</f>
        <v/>
      </c>
      <c r="D324" s="33"/>
      <c r="G324" s="37"/>
    </row>
    <row r="325" spans="1:7" ht="12.5" x14ac:dyDescent="0.25">
      <c r="A325" s="33"/>
      <c r="B325" s="33"/>
      <c r="C325" s="37" t="str">
        <f ca="1">IFERROR(__xludf.DUMMYFUNCTION("""COMPUTED_VALUE"""),"")</f>
        <v/>
      </c>
      <c r="D325" s="33"/>
      <c r="G325" s="37"/>
    </row>
    <row r="326" spans="1:7" ht="12.5" x14ac:dyDescent="0.25">
      <c r="A326" s="33"/>
      <c r="B326" s="33"/>
      <c r="C326" s="37" t="str">
        <f ca="1">IFERROR(__xludf.DUMMYFUNCTION("""COMPUTED_VALUE"""),"")</f>
        <v/>
      </c>
      <c r="D326" s="33"/>
      <c r="G326" s="37"/>
    </row>
    <row r="327" spans="1:7" ht="12.5" x14ac:dyDescent="0.25">
      <c r="A327" s="33"/>
      <c r="B327" s="33"/>
      <c r="C327" s="37" t="str">
        <f ca="1">IFERROR(__xludf.DUMMYFUNCTION("""COMPUTED_VALUE"""),"")</f>
        <v/>
      </c>
      <c r="D327" s="33"/>
      <c r="G327" s="37"/>
    </row>
    <row r="328" spans="1:7" ht="12.5" x14ac:dyDescent="0.25">
      <c r="A328" s="33"/>
      <c r="B328" s="33"/>
      <c r="C328" s="37" t="str">
        <f ca="1">IFERROR(__xludf.DUMMYFUNCTION("""COMPUTED_VALUE"""),"")</f>
        <v/>
      </c>
      <c r="D328" s="33"/>
      <c r="G328" s="37"/>
    </row>
    <row r="329" spans="1:7" ht="12.5" x14ac:dyDescent="0.25">
      <c r="A329" s="33"/>
      <c r="B329" s="33"/>
      <c r="C329" s="37" t="str">
        <f ca="1">IFERROR(__xludf.DUMMYFUNCTION("""COMPUTED_VALUE"""),"")</f>
        <v/>
      </c>
      <c r="D329" s="33"/>
      <c r="G329" s="37"/>
    </row>
    <row r="330" spans="1:7" ht="12.5" x14ac:dyDescent="0.25">
      <c r="A330" s="33"/>
      <c r="B330" s="33"/>
      <c r="C330" s="37" t="str">
        <f ca="1">IFERROR(__xludf.DUMMYFUNCTION("""COMPUTED_VALUE"""),"")</f>
        <v/>
      </c>
      <c r="D330" s="33"/>
      <c r="G330" s="37"/>
    </row>
    <row r="331" spans="1:7" ht="12.5" x14ac:dyDescent="0.25">
      <c r="A331" s="33"/>
      <c r="B331" s="33"/>
      <c r="C331" s="37" t="str">
        <f ca="1">IFERROR(__xludf.DUMMYFUNCTION("""COMPUTED_VALUE"""),"")</f>
        <v/>
      </c>
      <c r="D331" s="33"/>
      <c r="G331" s="37"/>
    </row>
    <row r="332" spans="1:7" ht="12.5" x14ac:dyDescent="0.25">
      <c r="A332" s="33"/>
      <c r="B332" s="33"/>
      <c r="C332" s="37" t="str">
        <f ca="1">IFERROR(__xludf.DUMMYFUNCTION("""COMPUTED_VALUE"""),"")</f>
        <v/>
      </c>
      <c r="D332" s="33"/>
      <c r="G332" s="37"/>
    </row>
    <row r="333" spans="1:7" ht="12.5" x14ac:dyDescent="0.25">
      <c r="A333" s="33"/>
      <c r="B333" s="33"/>
      <c r="C333" s="37" t="str">
        <f ca="1">IFERROR(__xludf.DUMMYFUNCTION("""COMPUTED_VALUE"""),"")</f>
        <v/>
      </c>
      <c r="D333" s="33"/>
      <c r="G333" s="37"/>
    </row>
    <row r="334" spans="1:7" ht="12.5" x14ac:dyDescent="0.25">
      <c r="A334" s="33"/>
      <c r="B334" s="33"/>
      <c r="C334" s="37" t="str">
        <f ca="1">IFERROR(__xludf.DUMMYFUNCTION("""COMPUTED_VALUE"""),"")</f>
        <v/>
      </c>
      <c r="D334" s="33"/>
      <c r="G334" s="37"/>
    </row>
    <row r="335" spans="1:7" ht="12.5" x14ac:dyDescent="0.25">
      <c r="A335" s="33"/>
      <c r="B335" s="33"/>
      <c r="C335" s="37" t="str">
        <f ca="1">IFERROR(__xludf.DUMMYFUNCTION("""COMPUTED_VALUE"""),"")</f>
        <v/>
      </c>
      <c r="D335" s="33"/>
      <c r="G335" s="37"/>
    </row>
    <row r="336" spans="1:7" ht="12.5" x14ac:dyDescent="0.25">
      <c r="A336" s="33"/>
      <c r="B336" s="33"/>
      <c r="C336" s="37" t="str">
        <f ca="1">IFERROR(__xludf.DUMMYFUNCTION("""COMPUTED_VALUE"""),"")</f>
        <v/>
      </c>
      <c r="D336" s="33"/>
      <c r="G336" s="37"/>
    </row>
    <row r="337" spans="1:7" ht="12.5" x14ac:dyDescent="0.25">
      <c r="A337" s="33"/>
      <c r="B337" s="33"/>
      <c r="C337" s="37" t="str">
        <f ca="1">IFERROR(__xludf.DUMMYFUNCTION("""COMPUTED_VALUE"""),"")</f>
        <v/>
      </c>
      <c r="D337" s="33"/>
      <c r="G337" s="37"/>
    </row>
    <row r="338" spans="1:7" ht="12.5" x14ac:dyDescent="0.25">
      <c r="A338" s="33"/>
      <c r="B338" s="33"/>
      <c r="C338" s="37" t="str">
        <f ca="1">IFERROR(__xludf.DUMMYFUNCTION("""COMPUTED_VALUE"""),"")</f>
        <v/>
      </c>
      <c r="D338" s="33"/>
      <c r="G338" s="37"/>
    </row>
    <row r="339" spans="1:7" ht="12.5" x14ac:dyDescent="0.25">
      <c r="A339" s="33"/>
      <c r="B339" s="33"/>
      <c r="C339" s="37" t="str">
        <f ca="1">IFERROR(__xludf.DUMMYFUNCTION("""COMPUTED_VALUE"""),"")</f>
        <v/>
      </c>
      <c r="D339" s="33"/>
      <c r="G339" s="37"/>
    </row>
    <row r="340" spans="1:7" ht="12.5" x14ac:dyDescent="0.25">
      <c r="A340" s="33"/>
      <c r="B340" s="33"/>
      <c r="C340" s="37" t="str">
        <f ca="1">IFERROR(__xludf.DUMMYFUNCTION("""COMPUTED_VALUE"""),"")</f>
        <v/>
      </c>
      <c r="D340" s="33"/>
      <c r="G340" s="37"/>
    </row>
    <row r="341" spans="1:7" ht="12.5" x14ac:dyDescent="0.25">
      <c r="A341" s="33"/>
      <c r="B341" s="33"/>
      <c r="C341" s="37" t="str">
        <f ca="1">IFERROR(__xludf.DUMMYFUNCTION("""COMPUTED_VALUE"""),"")</f>
        <v/>
      </c>
      <c r="D341" s="33"/>
      <c r="G341" s="37"/>
    </row>
    <row r="342" spans="1:7" ht="12.5" x14ac:dyDescent="0.25">
      <c r="A342" s="33"/>
      <c r="B342" s="33"/>
      <c r="C342" s="37" t="str">
        <f ca="1">IFERROR(__xludf.DUMMYFUNCTION("""COMPUTED_VALUE"""),"")</f>
        <v/>
      </c>
      <c r="D342" s="33"/>
      <c r="G342" s="37"/>
    </row>
    <row r="343" spans="1:7" ht="12.5" x14ac:dyDescent="0.25">
      <c r="A343" s="33"/>
      <c r="B343" s="33"/>
      <c r="C343" s="37" t="str">
        <f ca="1">IFERROR(__xludf.DUMMYFUNCTION("""COMPUTED_VALUE"""),"")</f>
        <v/>
      </c>
      <c r="D343" s="33"/>
      <c r="G343" s="37"/>
    </row>
    <row r="344" spans="1:7" ht="12.5" x14ac:dyDescent="0.25">
      <c r="A344" s="33"/>
      <c r="B344" s="33"/>
      <c r="C344" s="37" t="str">
        <f ca="1">IFERROR(__xludf.DUMMYFUNCTION("""COMPUTED_VALUE"""),"")</f>
        <v/>
      </c>
      <c r="D344" s="33"/>
      <c r="G344" s="37"/>
    </row>
    <row r="345" spans="1:7" ht="12.5" x14ac:dyDescent="0.25">
      <c r="A345" s="33"/>
      <c r="B345" s="33"/>
      <c r="C345" s="37" t="str">
        <f ca="1">IFERROR(__xludf.DUMMYFUNCTION("""COMPUTED_VALUE"""),"")</f>
        <v/>
      </c>
      <c r="D345" s="33"/>
      <c r="G345" s="37"/>
    </row>
    <row r="346" spans="1:7" ht="12.5" x14ac:dyDescent="0.25">
      <c r="A346" s="33"/>
      <c r="B346" s="33"/>
      <c r="C346" s="37" t="str">
        <f ca="1">IFERROR(__xludf.DUMMYFUNCTION("""COMPUTED_VALUE"""),"")</f>
        <v/>
      </c>
      <c r="D346" s="33"/>
      <c r="G346" s="37"/>
    </row>
    <row r="347" spans="1:7" ht="12.5" x14ac:dyDescent="0.25">
      <c r="A347" s="33"/>
      <c r="B347" s="33"/>
      <c r="C347" s="37" t="str">
        <f ca="1">IFERROR(__xludf.DUMMYFUNCTION("""COMPUTED_VALUE"""),"")</f>
        <v/>
      </c>
      <c r="D347" s="33"/>
      <c r="G347" s="37"/>
    </row>
    <row r="348" spans="1:7" ht="12.5" x14ac:dyDescent="0.25">
      <c r="A348" s="33"/>
      <c r="B348" s="33"/>
      <c r="C348" s="37" t="str">
        <f ca="1">IFERROR(__xludf.DUMMYFUNCTION("""COMPUTED_VALUE"""),"")</f>
        <v/>
      </c>
      <c r="D348" s="33"/>
      <c r="G348" s="37"/>
    </row>
    <row r="349" spans="1:7" ht="12.5" x14ac:dyDescent="0.25">
      <c r="A349" s="33"/>
      <c r="B349" s="33"/>
      <c r="C349" s="37" t="str">
        <f ca="1">IFERROR(__xludf.DUMMYFUNCTION("""COMPUTED_VALUE"""),"")</f>
        <v/>
      </c>
      <c r="D349" s="33"/>
      <c r="G349" s="37"/>
    </row>
    <row r="350" spans="1:7" ht="12.5" x14ac:dyDescent="0.25">
      <c r="A350" s="33"/>
      <c r="B350" s="33"/>
      <c r="C350" s="37" t="str">
        <f ca="1">IFERROR(__xludf.DUMMYFUNCTION("""COMPUTED_VALUE"""),"")</f>
        <v/>
      </c>
      <c r="D350" s="33"/>
      <c r="G350" s="37"/>
    </row>
    <row r="351" spans="1:7" ht="12.5" x14ac:dyDescent="0.25">
      <c r="A351" s="33"/>
      <c r="B351" s="33"/>
      <c r="C351" s="37" t="str">
        <f ca="1">IFERROR(__xludf.DUMMYFUNCTION("""COMPUTED_VALUE"""),"")</f>
        <v/>
      </c>
      <c r="D351" s="33"/>
      <c r="G351" s="37"/>
    </row>
    <row r="352" spans="1:7" ht="12.5" x14ac:dyDescent="0.25">
      <c r="A352" s="33"/>
      <c r="B352" s="33"/>
      <c r="C352" s="37" t="str">
        <f ca="1">IFERROR(__xludf.DUMMYFUNCTION("""COMPUTED_VALUE"""),"")</f>
        <v/>
      </c>
      <c r="D352" s="33"/>
      <c r="G352" s="37"/>
    </row>
    <row r="353" spans="1:7" ht="12.5" x14ac:dyDescent="0.25">
      <c r="A353" s="33"/>
      <c r="B353" s="33"/>
      <c r="C353" s="37" t="str">
        <f ca="1">IFERROR(__xludf.DUMMYFUNCTION("""COMPUTED_VALUE"""),"")</f>
        <v/>
      </c>
      <c r="D353" s="33"/>
      <c r="G353" s="37"/>
    </row>
    <row r="354" spans="1:7" ht="12.5" x14ac:dyDescent="0.25">
      <c r="A354" s="33"/>
      <c r="B354" s="33"/>
      <c r="C354" s="37" t="str">
        <f ca="1">IFERROR(__xludf.DUMMYFUNCTION("""COMPUTED_VALUE"""),"")</f>
        <v/>
      </c>
      <c r="D354" s="33"/>
      <c r="G354" s="37"/>
    </row>
    <row r="355" spans="1:7" ht="12.5" x14ac:dyDescent="0.25">
      <c r="A355" s="33"/>
      <c r="B355" s="33"/>
      <c r="C355" s="37" t="str">
        <f ca="1">IFERROR(__xludf.DUMMYFUNCTION("""COMPUTED_VALUE"""),"")</f>
        <v/>
      </c>
      <c r="D355" s="33"/>
      <c r="G355" s="37"/>
    </row>
    <row r="356" spans="1:7" ht="12.5" x14ac:dyDescent="0.25">
      <c r="A356" s="33"/>
      <c r="B356" s="33"/>
      <c r="C356" s="37" t="str">
        <f ca="1">IFERROR(__xludf.DUMMYFUNCTION("""COMPUTED_VALUE"""),"")</f>
        <v/>
      </c>
      <c r="D356" s="33"/>
      <c r="G356" s="37"/>
    </row>
    <row r="357" spans="1:7" ht="12.5" x14ac:dyDescent="0.25">
      <c r="A357" s="33"/>
      <c r="B357" s="33"/>
      <c r="C357" s="37" t="str">
        <f ca="1">IFERROR(__xludf.DUMMYFUNCTION("""COMPUTED_VALUE"""),"")</f>
        <v/>
      </c>
      <c r="D357" s="33"/>
      <c r="G357" s="37"/>
    </row>
    <row r="358" spans="1:7" ht="12.5" x14ac:dyDescent="0.25">
      <c r="A358" s="33"/>
      <c r="B358" s="33"/>
      <c r="C358" s="37" t="str">
        <f ca="1">IFERROR(__xludf.DUMMYFUNCTION("""COMPUTED_VALUE"""),"")</f>
        <v/>
      </c>
      <c r="D358" s="33"/>
      <c r="G358" s="37"/>
    </row>
    <row r="359" spans="1:7" ht="12.5" x14ac:dyDescent="0.25">
      <c r="A359" s="33"/>
      <c r="B359" s="33"/>
      <c r="C359" s="37" t="str">
        <f ca="1">IFERROR(__xludf.DUMMYFUNCTION("""COMPUTED_VALUE"""),"")</f>
        <v/>
      </c>
      <c r="D359" s="33"/>
      <c r="G359" s="37"/>
    </row>
    <row r="360" spans="1:7" ht="12.5" x14ac:dyDescent="0.25">
      <c r="A360" s="33"/>
      <c r="B360" s="33"/>
      <c r="C360" s="37" t="str">
        <f ca="1">IFERROR(__xludf.DUMMYFUNCTION("""COMPUTED_VALUE"""),"")</f>
        <v/>
      </c>
      <c r="D360" s="33"/>
      <c r="G360" s="37"/>
    </row>
    <row r="361" spans="1:7" ht="12.5" x14ac:dyDescent="0.25">
      <c r="A361" s="33"/>
      <c r="B361" s="33"/>
      <c r="C361" s="37" t="str">
        <f ca="1">IFERROR(__xludf.DUMMYFUNCTION("""COMPUTED_VALUE"""),"")</f>
        <v/>
      </c>
      <c r="D361" s="33"/>
      <c r="G361" s="37"/>
    </row>
    <row r="362" spans="1:7" ht="12.5" x14ac:dyDescent="0.25">
      <c r="A362" s="33"/>
      <c r="B362" s="33"/>
      <c r="C362" s="37" t="str">
        <f ca="1">IFERROR(__xludf.DUMMYFUNCTION("""COMPUTED_VALUE"""),"")</f>
        <v/>
      </c>
      <c r="D362" s="33"/>
      <c r="G362" s="37"/>
    </row>
    <row r="363" spans="1:7" ht="12.5" x14ac:dyDescent="0.25">
      <c r="A363" s="33"/>
      <c r="B363" s="33"/>
      <c r="C363" s="37" t="str">
        <f ca="1">IFERROR(__xludf.DUMMYFUNCTION("""COMPUTED_VALUE"""),"")</f>
        <v/>
      </c>
      <c r="D363" s="33"/>
      <c r="G363" s="37"/>
    </row>
    <row r="364" spans="1:7" ht="12.5" x14ac:dyDescent="0.25">
      <c r="A364" s="33"/>
      <c r="B364" s="33"/>
      <c r="C364" s="37" t="str">
        <f ca="1">IFERROR(__xludf.DUMMYFUNCTION("""COMPUTED_VALUE"""),"")</f>
        <v/>
      </c>
      <c r="D364" s="33"/>
      <c r="G364" s="37"/>
    </row>
    <row r="365" spans="1:7" ht="12.5" x14ac:dyDescent="0.25">
      <c r="A365" s="33"/>
      <c r="B365" s="33"/>
      <c r="C365" s="37" t="str">
        <f ca="1">IFERROR(__xludf.DUMMYFUNCTION("""COMPUTED_VALUE"""),"")</f>
        <v/>
      </c>
      <c r="D365" s="33"/>
      <c r="G365" s="37"/>
    </row>
    <row r="366" spans="1:7" ht="12.5" x14ac:dyDescent="0.25">
      <c r="A366" s="33"/>
      <c r="B366" s="33"/>
      <c r="C366" s="37" t="str">
        <f ca="1">IFERROR(__xludf.DUMMYFUNCTION("""COMPUTED_VALUE"""),"")</f>
        <v/>
      </c>
      <c r="D366" s="33"/>
      <c r="G366" s="37"/>
    </row>
    <row r="367" spans="1:7" ht="12.5" x14ac:dyDescent="0.25">
      <c r="A367" s="33"/>
      <c r="B367" s="33"/>
      <c r="C367" s="37" t="str">
        <f ca="1">IFERROR(__xludf.DUMMYFUNCTION("""COMPUTED_VALUE"""),"")</f>
        <v/>
      </c>
      <c r="D367" s="33"/>
      <c r="G367" s="37"/>
    </row>
    <row r="368" spans="1:7" ht="12.5" x14ac:dyDescent="0.25">
      <c r="A368" s="33"/>
      <c r="B368" s="33"/>
      <c r="C368" s="37" t="str">
        <f ca="1">IFERROR(__xludf.DUMMYFUNCTION("""COMPUTED_VALUE"""),"")</f>
        <v/>
      </c>
      <c r="D368" s="33"/>
      <c r="G368" s="37"/>
    </row>
    <row r="369" spans="1:7" ht="12.5" x14ac:dyDescent="0.25">
      <c r="A369" s="33"/>
      <c r="B369" s="33"/>
      <c r="C369" s="37" t="str">
        <f ca="1">IFERROR(__xludf.DUMMYFUNCTION("""COMPUTED_VALUE"""),"")</f>
        <v/>
      </c>
      <c r="D369" s="33"/>
      <c r="G369" s="37"/>
    </row>
    <row r="370" spans="1:7" ht="12.5" x14ac:dyDescent="0.25">
      <c r="A370" s="33"/>
      <c r="B370" s="33"/>
      <c r="C370" s="37" t="str">
        <f ca="1">IFERROR(__xludf.DUMMYFUNCTION("""COMPUTED_VALUE"""),"")</f>
        <v/>
      </c>
      <c r="D370" s="33"/>
      <c r="G370" s="37"/>
    </row>
    <row r="371" spans="1:7" ht="12.5" x14ac:dyDescent="0.25">
      <c r="A371" s="33"/>
      <c r="B371" s="33"/>
      <c r="C371" s="37" t="str">
        <f ca="1">IFERROR(__xludf.DUMMYFUNCTION("""COMPUTED_VALUE"""),"")</f>
        <v/>
      </c>
      <c r="D371" s="33"/>
      <c r="G371" s="37"/>
    </row>
    <row r="372" spans="1:7" ht="12.5" x14ac:dyDescent="0.25">
      <c r="A372" s="33"/>
      <c r="B372" s="33"/>
      <c r="C372" s="37" t="str">
        <f ca="1">IFERROR(__xludf.DUMMYFUNCTION("""COMPUTED_VALUE"""),"")</f>
        <v/>
      </c>
      <c r="D372" s="33"/>
      <c r="G372" s="37"/>
    </row>
    <row r="373" spans="1:7" ht="12.5" x14ac:dyDescent="0.25">
      <c r="A373" s="33"/>
      <c r="B373" s="33"/>
      <c r="C373" s="37" t="str">
        <f ca="1">IFERROR(__xludf.DUMMYFUNCTION("""COMPUTED_VALUE"""),"")</f>
        <v/>
      </c>
      <c r="D373" s="33"/>
      <c r="G373" s="37"/>
    </row>
    <row r="374" spans="1:7" ht="12.5" x14ac:dyDescent="0.25">
      <c r="A374" s="33"/>
      <c r="B374" s="33"/>
      <c r="C374" s="37" t="str">
        <f ca="1">IFERROR(__xludf.DUMMYFUNCTION("""COMPUTED_VALUE"""),"")</f>
        <v/>
      </c>
      <c r="D374" s="33"/>
      <c r="G374" s="37"/>
    </row>
    <row r="375" spans="1:7" ht="12.5" x14ac:dyDescent="0.25">
      <c r="A375" s="33"/>
      <c r="B375" s="33"/>
      <c r="C375" s="37" t="str">
        <f ca="1">IFERROR(__xludf.DUMMYFUNCTION("""COMPUTED_VALUE"""),"")</f>
        <v/>
      </c>
      <c r="D375" s="33"/>
      <c r="G375" s="37"/>
    </row>
    <row r="376" spans="1:7" ht="12.5" x14ac:dyDescent="0.25">
      <c r="A376" s="33"/>
      <c r="B376" s="33"/>
      <c r="C376" s="37" t="str">
        <f ca="1">IFERROR(__xludf.DUMMYFUNCTION("""COMPUTED_VALUE"""),"")</f>
        <v/>
      </c>
      <c r="D376" s="33"/>
      <c r="G376" s="37"/>
    </row>
    <row r="377" spans="1:7" ht="12.5" x14ac:dyDescent="0.25">
      <c r="A377" s="33"/>
      <c r="B377" s="33"/>
      <c r="C377" s="37" t="str">
        <f ca="1">IFERROR(__xludf.DUMMYFUNCTION("""COMPUTED_VALUE"""),"")</f>
        <v/>
      </c>
      <c r="D377" s="33"/>
      <c r="G377" s="37"/>
    </row>
    <row r="378" spans="1:7" ht="12.5" x14ac:dyDescent="0.25">
      <c r="A378" s="33"/>
      <c r="B378" s="33"/>
      <c r="C378" s="37" t="str">
        <f ca="1">IFERROR(__xludf.DUMMYFUNCTION("""COMPUTED_VALUE"""),"")</f>
        <v/>
      </c>
      <c r="D378" s="33"/>
      <c r="G378" s="37"/>
    </row>
    <row r="379" spans="1:7" ht="12.5" x14ac:dyDescent="0.25">
      <c r="A379" s="33"/>
      <c r="B379" s="33"/>
      <c r="C379" s="37" t="str">
        <f ca="1">IFERROR(__xludf.DUMMYFUNCTION("""COMPUTED_VALUE"""),"")</f>
        <v/>
      </c>
      <c r="D379" s="33"/>
      <c r="G379" s="37"/>
    </row>
    <row r="380" spans="1:7" ht="12.5" x14ac:dyDescent="0.25">
      <c r="A380" s="33"/>
      <c r="B380" s="33"/>
      <c r="C380" s="37" t="str">
        <f ca="1">IFERROR(__xludf.DUMMYFUNCTION("""COMPUTED_VALUE"""),"")</f>
        <v/>
      </c>
      <c r="D380" s="33"/>
      <c r="G380" s="37"/>
    </row>
    <row r="381" spans="1:7" ht="12.5" x14ac:dyDescent="0.25">
      <c r="A381" s="33"/>
      <c r="B381" s="33"/>
      <c r="C381" s="37" t="str">
        <f ca="1">IFERROR(__xludf.DUMMYFUNCTION("""COMPUTED_VALUE"""),"")</f>
        <v/>
      </c>
      <c r="D381" s="33"/>
      <c r="G381" s="37"/>
    </row>
    <row r="382" spans="1:7" ht="12.5" x14ac:dyDescent="0.25">
      <c r="A382" s="33"/>
      <c r="B382" s="33"/>
      <c r="C382" s="37" t="str">
        <f ca="1">IFERROR(__xludf.DUMMYFUNCTION("""COMPUTED_VALUE"""),"")</f>
        <v/>
      </c>
      <c r="D382" s="33"/>
      <c r="G382" s="37"/>
    </row>
    <row r="383" spans="1:7" ht="12.5" x14ac:dyDescent="0.25">
      <c r="A383" s="33"/>
      <c r="B383" s="33"/>
      <c r="C383" s="37" t="str">
        <f ca="1">IFERROR(__xludf.DUMMYFUNCTION("""COMPUTED_VALUE"""),"")</f>
        <v/>
      </c>
      <c r="D383" s="33"/>
      <c r="G383" s="37"/>
    </row>
    <row r="384" spans="1:7" ht="12.5" x14ac:dyDescent="0.25">
      <c r="A384" s="33"/>
      <c r="B384" s="33"/>
      <c r="C384" s="37" t="str">
        <f ca="1">IFERROR(__xludf.DUMMYFUNCTION("""COMPUTED_VALUE"""),"")</f>
        <v/>
      </c>
      <c r="D384" s="33"/>
      <c r="G384" s="37"/>
    </row>
    <row r="385" spans="1:7" ht="12.5" x14ac:dyDescent="0.25">
      <c r="A385" s="33"/>
      <c r="B385" s="33"/>
      <c r="C385" s="37" t="str">
        <f ca="1">IFERROR(__xludf.DUMMYFUNCTION("""COMPUTED_VALUE"""),"")</f>
        <v/>
      </c>
      <c r="D385" s="33"/>
      <c r="G385" s="37"/>
    </row>
    <row r="386" spans="1:7" ht="12.5" x14ac:dyDescent="0.25">
      <c r="A386" s="33"/>
      <c r="B386" s="33"/>
      <c r="C386" s="37" t="str">
        <f ca="1">IFERROR(__xludf.DUMMYFUNCTION("""COMPUTED_VALUE"""),"")</f>
        <v/>
      </c>
      <c r="D386" s="33"/>
      <c r="G386" s="37"/>
    </row>
    <row r="387" spans="1:7" ht="12.5" x14ac:dyDescent="0.25">
      <c r="A387" s="33"/>
      <c r="B387" s="33"/>
      <c r="C387" s="37" t="str">
        <f ca="1">IFERROR(__xludf.DUMMYFUNCTION("""COMPUTED_VALUE"""),"")</f>
        <v/>
      </c>
      <c r="D387" s="33"/>
      <c r="G387" s="37"/>
    </row>
    <row r="388" spans="1:7" ht="12.5" x14ac:dyDescent="0.25">
      <c r="A388" s="33"/>
      <c r="B388" s="33"/>
      <c r="C388" s="37" t="str">
        <f ca="1">IFERROR(__xludf.DUMMYFUNCTION("""COMPUTED_VALUE"""),"")</f>
        <v/>
      </c>
      <c r="D388" s="33"/>
      <c r="G388" s="37"/>
    </row>
    <row r="389" spans="1:7" ht="12.5" x14ac:dyDescent="0.25">
      <c r="A389" s="33"/>
      <c r="B389" s="33"/>
      <c r="C389" s="37" t="str">
        <f ca="1">IFERROR(__xludf.DUMMYFUNCTION("""COMPUTED_VALUE"""),"")</f>
        <v/>
      </c>
      <c r="D389" s="33"/>
      <c r="G389" s="37"/>
    </row>
    <row r="390" spans="1:7" ht="12.5" x14ac:dyDescent="0.25">
      <c r="A390" s="33"/>
      <c r="B390" s="33"/>
      <c r="C390" s="37" t="str">
        <f ca="1">IFERROR(__xludf.DUMMYFUNCTION("""COMPUTED_VALUE"""),"")</f>
        <v/>
      </c>
      <c r="D390" s="33"/>
      <c r="G390" s="37"/>
    </row>
    <row r="391" spans="1:7" ht="12.5" x14ac:dyDescent="0.25">
      <c r="A391" s="33"/>
      <c r="B391" s="33"/>
      <c r="C391" s="37" t="str">
        <f ca="1">IFERROR(__xludf.DUMMYFUNCTION("""COMPUTED_VALUE"""),"")</f>
        <v/>
      </c>
      <c r="D391" s="33"/>
      <c r="G391" s="37"/>
    </row>
    <row r="392" spans="1:7" ht="12.5" x14ac:dyDescent="0.25">
      <c r="A392" s="33"/>
      <c r="B392" s="33"/>
      <c r="C392" s="37" t="str">
        <f ca="1">IFERROR(__xludf.DUMMYFUNCTION("""COMPUTED_VALUE"""),"")</f>
        <v/>
      </c>
      <c r="D392" s="33"/>
      <c r="G392" s="37"/>
    </row>
    <row r="393" spans="1:7" ht="12.5" x14ac:dyDescent="0.25">
      <c r="A393" s="33"/>
      <c r="B393" s="33"/>
      <c r="C393" s="37" t="str">
        <f ca="1">IFERROR(__xludf.DUMMYFUNCTION("""COMPUTED_VALUE"""),"")</f>
        <v/>
      </c>
      <c r="D393" s="33"/>
      <c r="G393" s="37"/>
    </row>
    <row r="394" spans="1:7" ht="12.5" x14ac:dyDescent="0.25">
      <c r="A394" s="33"/>
      <c r="B394" s="33"/>
      <c r="C394" s="37" t="str">
        <f ca="1">IFERROR(__xludf.DUMMYFUNCTION("""COMPUTED_VALUE"""),"")</f>
        <v/>
      </c>
      <c r="D394" s="33"/>
      <c r="G394" s="37"/>
    </row>
    <row r="395" spans="1:7" ht="12.5" x14ac:dyDescent="0.25">
      <c r="A395" s="33"/>
      <c r="B395" s="33"/>
      <c r="C395" s="37" t="str">
        <f ca="1">IFERROR(__xludf.DUMMYFUNCTION("""COMPUTED_VALUE"""),"")</f>
        <v/>
      </c>
      <c r="D395" s="33"/>
      <c r="G395" s="37"/>
    </row>
    <row r="396" spans="1:7" ht="12.5" x14ac:dyDescent="0.25">
      <c r="A396" s="33"/>
      <c r="B396" s="33"/>
      <c r="C396" s="37" t="str">
        <f ca="1">IFERROR(__xludf.DUMMYFUNCTION("""COMPUTED_VALUE"""),"")</f>
        <v/>
      </c>
      <c r="D396" s="33"/>
      <c r="G396" s="37"/>
    </row>
    <row r="397" spans="1:7" ht="12.5" x14ac:dyDescent="0.25">
      <c r="A397" s="33"/>
      <c r="B397" s="33"/>
      <c r="C397" s="37" t="str">
        <f ca="1">IFERROR(__xludf.DUMMYFUNCTION("""COMPUTED_VALUE"""),"")</f>
        <v/>
      </c>
      <c r="D397" s="33"/>
      <c r="G397" s="37"/>
    </row>
    <row r="398" spans="1:7" ht="12.5" x14ac:dyDescent="0.25">
      <c r="A398" s="33"/>
      <c r="B398" s="33"/>
      <c r="C398" s="37" t="str">
        <f ca="1">IFERROR(__xludf.DUMMYFUNCTION("""COMPUTED_VALUE"""),"")</f>
        <v/>
      </c>
      <c r="D398" s="33"/>
      <c r="G398" s="37"/>
    </row>
    <row r="399" spans="1:7" ht="12.5" x14ac:dyDescent="0.25">
      <c r="A399" s="33"/>
      <c r="B399" s="33"/>
      <c r="C399" s="37" t="str">
        <f ca="1">IFERROR(__xludf.DUMMYFUNCTION("""COMPUTED_VALUE"""),"")</f>
        <v/>
      </c>
      <c r="D399" s="33"/>
      <c r="G399" s="37"/>
    </row>
    <row r="400" spans="1:7" ht="12.5" x14ac:dyDescent="0.25">
      <c r="A400" s="33"/>
      <c r="B400" s="33"/>
      <c r="C400" s="37" t="str">
        <f ca="1">IFERROR(__xludf.DUMMYFUNCTION("""COMPUTED_VALUE"""),"")</f>
        <v/>
      </c>
      <c r="D400" s="33"/>
      <c r="G400" s="37"/>
    </row>
    <row r="401" spans="1:7" ht="12.5" x14ac:dyDescent="0.25">
      <c r="A401" s="33"/>
      <c r="B401" s="33"/>
      <c r="C401" s="37" t="str">
        <f ca="1">IFERROR(__xludf.DUMMYFUNCTION("""COMPUTED_VALUE"""),"")</f>
        <v/>
      </c>
      <c r="D401" s="33"/>
      <c r="G401" s="37"/>
    </row>
    <row r="402" spans="1:7" ht="12.5" x14ac:dyDescent="0.25">
      <c r="A402" s="33"/>
      <c r="B402" s="33"/>
      <c r="C402" s="37" t="str">
        <f ca="1">IFERROR(__xludf.DUMMYFUNCTION("""COMPUTED_VALUE"""),"")</f>
        <v/>
      </c>
      <c r="D402" s="33"/>
      <c r="G402" s="37"/>
    </row>
    <row r="403" spans="1:7" ht="12.5" x14ac:dyDescent="0.25">
      <c r="A403" s="33"/>
      <c r="B403" s="33"/>
      <c r="C403" s="37" t="str">
        <f ca="1">IFERROR(__xludf.DUMMYFUNCTION("""COMPUTED_VALUE"""),"")</f>
        <v/>
      </c>
      <c r="D403" s="33"/>
      <c r="G403" s="37"/>
    </row>
    <row r="404" spans="1:7" ht="12.5" x14ac:dyDescent="0.25">
      <c r="A404" s="33"/>
      <c r="B404" s="33"/>
      <c r="C404" s="37" t="str">
        <f ca="1">IFERROR(__xludf.DUMMYFUNCTION("""COMPUTED_VALUE"""),"")</f>
        <v/>
      </c>
      <c r="D404" s="33"/>
      <c r="G404" s="37"/>
    </row>
    <row r="405" spans="1:7" ht="12.5" x14ac:dyDescent="0.25">
      <c r="A405" s="33"/>
      <c r="B405" s="33"/>
      <c r="C405" s="37" t="str">
        <f ca="1">IFERROR(__xludf.DUMMYFUNCTION("""COMPUTED_VALUE"""),"")</f>
        <v/>
      </c>
      <c r="D405" s="33"/>
      <c r="G405" s="37"/>
    </row>
    <row r="406" spans="1:7" ht="12.5" x14ac:dyDescent="0.25">
      <c r="A406" s="33"/>
      <c r="B406" s="33"/>
      <c r="C406" s="37" t="str">
        <f ca="1">IFERROR(__xludf.DUMMYFUNCTION("""COMPUTED_VALUE"""),"")</f>
        <v/>
      </c>
      <c r="D406" s="33"/>
      <c r="G406" s="37"/>
    </row>
    <row r="407" spans="1:7" ht="12.5" x14ac:dyDescent="0.25">
      <c r="A407" s="33"/>
      <c r="B407" s="33"/>
      <c r="C407" s="37" t="str">
        <f ca="1">IFERROR(__xludf.DUMMYFUNCTION("""COMPUTED_VALUE"""),"")</f>
        <v/>
      </c>
      <c r="D407" s="33"/>
      <c r="G407" s="37"/>
    </row>
    <row r="408" spans="1:7" ht="12.5" x14ac:dyDescent="0.25">
      <c r="A408" s="33"/>
      <c r="B408" s="33"/>
      <c r="C408" s="37" t="str">
        <f ca="1">IFERROR(__xludf.DUMMYFUNCTION("""COMPUTED_VALUE"""),"")</f>
        <v/>
      </c>
      <c r="D408" s="33"/>
      <c r="G408" s="37"/>
    </row>
    <row r="409" spans="1:7" ht="12.5" x14ac:dyDescent="0.25">
      <c r="A409" s="33"/>
      <c r="B409" s="33"/>
      <c r="C409" s="37" t="str">
        <f ca="1">IFERROR(__xludf.DUMMYFUNCTION("""COMPUTED_VALUE"""),"")</f>
        <v/>
      </c>
      <c r="D409" s="33"/>
      <c r="G409" s="37"/>
    </row>
    <row r="410" spans="1:7" ht="12.5" x14ac:dyDescent="0.25">
      <c r="A410" s="33"/>
      <c r="B410" s="33"/>
      <c r="C410" s="37" t="str">
        <f ca="1">IFERROR(__xludf.DUMMYFUNCTION("""COMPUTED_VALUE"""),"")</f>
        <v/>
      </c>
      <c r="D410" s="33"/>
      <c r="G410" s="37"/>
    </row>
    <row r="411" spans="1:7" ht="12.5" x14ac:dyDescent="0.25">
      <c r="A411" s="33"/>
      <c r="B411" s="33"/>
      <c r="C411" s="37" t="str">
        <f ca="1">IFERROR(__xludf.DUMMYFUNCTION("""COMPUTED_VALUE"""),"")</f>
        <v/>
      </c>
      <c r="D411" s="33"/>
      <c r="G411" s="37"/>
    </row>
    <row r="412" spans="1:7" ht="12.5" x14ac:dyDescent="0.25">
      <c r="A412" s="33"/>
      <c r="B412" s="33"/>
      <c r="C412" s="37" t="str">
        <f ca="1">IFERROR(__xludf.DUMMYFUNCTION("""COMPUTED_VALUE"""),"")</f>
        <v/>
      </c>
      <c r="D412" s="33"/>
      <c r="G412" s="37"/>
    </row>
    <row r="413" spans="1:7" ht="12.5" x14ac:dyDescent="0.25">
      <c r="A413" s="33"/>
      <c r="B413" s="33"/>
      <c r="C413" s="37" t="str">
        <f ca="1">IFERROR(__xludf.DUMMYFUNCTION("""COMPUTED_VALUE"""),"")</f>
        <v/>
      </c>
      <c r="D413" s="33"/>
      <c r="G413" s="37"/>
    </row>
    <row r="414" spans="1:7" ht="12.5" x14ac:dyDescent="0.25">
      <c r="A414" s="33"/>
      <c r="B414" s="33"/>
      <c r="C414" s="37" t="str">
        <f ca="1">IFERROR(__xludf.DUMMYFUNCTION("""COMPUTED_VALUE"""),"")</f>
        <v/>
      </c>
      <c r="D414" s="33"/>
      <c r="G414" s="37"/>
    </row>
    <row r="415" spans="1:7" ht="12.5" x14ac:dyDescent="0.25">
      <c r="A415" s="33"/>
      <c r="B415" s="33"/>
      <c r="C415" s="37" t="str">
        <f ca="1">IFERROR(__xludf.DUMMYFUNCTION("""COMPUTED_VALUE"""),"")</f>
        <v/>
      </c>
      <c r="D415" s="33"/>
      <c r="G415" s="37"/>
    </row>
    <row r="416" spans="1:7" ht="12.5" x14ac:dyDescent="0.25">
      <c r="A416" s="33"/>
      <c r="B416" s="33"/>
      <c r="C416" s="37" t="str">
        <f ca="1">IFERROR(__xludf.DUMMYFUNCTION("""COMPUTED_VALUE"""),"")</f>
        <v/>
      </c>
      <c r="D416" s="33"/>
      <c r="G416" s="37"/>
    </row>
    <row r="417" spans="1:7" ht="12.5" x14ac:dyDescent="0.25">
      <c r="A417" s="33"/>
      <c r="B417" s="33"/>
      <c r="C417" s="37" t="str">
        <f ca="1">IFERROR(__xludf.DUMMYFUNCTION("""COMPUTED_VALUE"""),"")</f>
        <v/>
      </c>
      <c r="D417" s="33"/>
      <c r="G417" s="37"/>
    </row>
    <row r="418" spans="1:7" ht="12.5" x14ac:dyDescent="0.25">
      <c r="A418" s="33"/>
      <c r="B418" s="33"/>
      <c r="C418" s="37" t="str">
        <f ca="1">IFERROR(__xludf.DUMMYFUNCTION("""COMPUTED_VALUE"""),"")</f>
        <v/>
      </c>
      <c r="D418" s="33"/>
      <c r="G418" s="37"/>
    </row>
    <row r="419" spans="1:7" ht="12.5" x14ac:dyDescent="0.25">
      <c r="A419" s="33"/>
      <c r="B419" s="33"/>
      <c r="C419" s="37" t="str">
        <f ca="1">IFERROR(__xludf.DUMMYFUNCTION("""COMPUTED_VALUE"""),"")</f>
        <v/>
      </c>
      <c r="D419" s="33"/>
      <c r="G419" s="37"/>
    </row>
    <row r="420" spans="1:7" ht="12.5" x14ac:dyDescent="0.25">
      <c r="A420" s="33"/>
      <c r="B420" s="33"/>
      <c r="C420" s="37" t="str">
        <f ca="1">IFERROR(__xludf.DUMMYFUNCTION("""COMPUTED_VALUE"""),"")</f>
        <v/>
      </c>
      <c r="D420" s="33"/>
      <c r="G420" s="37"/>
    </row>
    <row r="421" spans="1:7" ht="12.5" x14ac:dyDescent="0.25">
      <c r="A421" s="33"/>
      <c r="B421" s="33"/>
      <c r="C421" s="37" t="str">
        <f ca="1">IFERROR(__xludf.DUMMYFUNCTION("""COMPUTED_VALUE"""),"")</f>
        <v/>
      </c>
      <c r="D421" s="33"/>
      <c r="G421" s="37"/>
    </row>
    <row r="422" spans="1:7" ht="12.5" x14ac:dyDescent="0.25">
      <c r="A422" s="33"/>
      <c r="B422" s="33"/>
      <c r="C422" s="37" t="str">
        <f ca="1">IFERROR(__xludf.DUMMYFUNCTION("""COMPUTED_VALUE"""),"")</f>
        <v/>
      </c>
      <c r="D422" s="33"/>
      <c r="G422" s="37"/>
    </row>
    <row r="423" spans="1:7" ht="12.5" x14ac:dyDescent="0.25">
      <c r="A423" s="33"/>
      <c r="B423" s="33"/>
      <c r="C423" s="37" t="str">
        <f ca="1">IFERROR(__xludf.DUMMYFUNCTION("""COMPUTED_VALUE"""),"")</f>
        <v/>
      </c>
      <c r="D423" s="33"/>
      <c r="G423" s="37"/>
    </row>
    <row r="424" spans="1:7" ht="12.5" x14ac:dyDescent="0.25">
      <c r="A424" s="33"/>
      <c r="B424" s="33"/>
      <c r="C424" s="37" t="str">
        <f ca="1">IFERROR(__xludf.DUMMYFUNCTION("""COMPUTED_VALUE"""),"")</f>
        <v/>
      </c>
      <c r="D424" s="33"/>
      <c r="G424" s="37"/>
    </row>
    <row r="425" spans="1:7" ht="12.5" x14ac:dyDescent="0.25">
      <c r="A425" s="33"/>
      <c r="B425" s="33"/>
      <c r="C425" s="37" t="str">
        <f ca="1">IFERROR(__xludf.DUMMYFUNCTION("""COMPUTED_VALUE"""),"")</f>
        <v/>
      </c>
      <c r="D425" s="33"/>
      <c r="G425" s="37"/>
    </row>
    <row r="426" spans="1:7" ht="12.5" x14ac:dyDescent="0.25">
      <c r="A426" s="33"/>
      <c r="B426" s="33"/>
      <c r="C426" s="37" t="str">
        <f ca="1">IFERROR(__xludf.DUMMYFUNCTION("""COMPUTED_VALUE"""),"")</f>
        <v/>
      </c>
      <c r="D426" s="33"/>
      <c r="G426" s="37"/>
    </row>
    <row r="427" spans="1:7" ht="12.5" x14ac:dyDescent="0.25">
      <c r="A427" s="33"/>
      <c r="B427" s="33"/>
      <c r="C427" s="37" t="str">
        <f ca="1">IFERROR(__xludf.DUMMYFUNCTION("""COMPUTED_VALUE"""),"")</f>
        <v/>
      </c>
      <c r="D427" s="33"/>
      <c r="G427" s="37"/>
    </row>
    <row r="428" spans="1:7" ht="12.5" x14ac:dyDescent="0.25">
      <c r="A428" s="33"/>
      <c r="B428" s="33"/>
      <c r="C428" s="37" t="str">
        <f ca="1">IFERROR(__xludf.DUMMYFUNCTION("""COMPUTED_VALUE"""),"")</f>
        <v/>
      </c>
      <c r="D428" s="33"/>
      <c r="G428" s="37"/>
    </row>
    <row r="429" spans="1:7" ht="12.5" x14ac:dyDescent="0.25">
      <c r="A429" s="33"/>
      <c r="B429" s="33"/>
      <c r="C429" s="37" t="str">
        <f ca="1">IFERROR(__xludf.DUMMYFUNCTION("""COMPUTED_VALUE"""),"")</f>
        <v/>
      </c>
      <c r="D429" s="33"/>
      <c r="G429" s="37"/>
    </row>
    <row r="430" spans="1:7" ht="12.5" x14ac:dyDescent="0.25">
      <c r="A430" s="33"/>
      <c r="B430" s="33"/>
      <c r="C430" s="37" t="str">
        <f ca="1">IFERROR(__xludf.DUMMYFUNCTION("""COMPUTED_VALUE"""),"")</f>
        <v/>
      </c>
      <c r="D430" s="33"/>
      <c r="G430" s="37"/>
    </row>
    <row r="431" spans="1:7" ht="12.5" x14ac:dyDescent="0.25">
      <c r="A431" s="33"/>
      <c r="B431" s="33"/>
      <c r="C431" s="37" t="str">
        <f ca="1">IFERROR(__xludf.DUMMYFUNCTION("""COMPUTED_VALUE"""),"")</f>
        <v/>
      </c>
      <c r="D431" s="33"/>
      <c r="G431" s="37"/>
    </row>
    <row r="432" spans="1:7" ht="12.5" x14ac:dyDescent="0.25">
      <c r="A432" s="33"/>
      <c r="B432" s="33"/>
      <c r="C432" s="37" t="str">
        <f ca="1">IFERROR(__xludf.DUMMYFUNCTION("""COMPUTED_VALUE"""),"")</f>
        <v/>
      </c>
      <c r="D432" s="33"/>
      <c r="G432" s="37"/>
    </row>
    <row r="433" spans="1:7" ht="12.5" x14ac:dyDescent="0.25">
      <c r="A433" s="33"/>
      <c r="B433" s="33"/>
      <c r="C433" s="37" t="str">
        <f ca="1">IFERROR(__xludf.DUMMYFUNCTION("""COMPUTED_VALUE"""),"")</f>
        <v/>
      </c>
      <c r="D433" s="33"/>
      <c r="G433" s="37"/>
    </row>
    <row r="434" spans="1:7" ht="12.5" x14ac:dyDescent="0.25">
      <c r="A434" s="33"/>
      <c r="B434" s="33"/>
      <c r="C434" s="37" t="str">
        <f ca="1">IFERROR(__xludf.DUMMYFUNCTION("""COMPUTED_VALUE"""),"")</f>
        <v/>
      </c>
      <c r="D434" s="33"/>
      <c r="G434" s="37"/>
    </row>
    <row r="435" spans="1:7" ht="12.5" x14ac:dyDescent="0.25">
      <c r="A435" s="33"/>
      <c r="B435" s="33"/>
      <c r="C435" s="37" t="str">
        <f ca="1">IFERROR(__xludf.DUMMYFUNCTION("""COMPUTED_VALUE"""),"")</f>
        <v/>
      </c>
      <c r="D435" s="33"/>
      <c r="G435" s="37"/>
    </row>
    <row r="436" spans="1:7" ht="12.5" x14ac:dyDescent="0.25">
      <c r="A436" s="33"/>
      <c r="B436" s="33"/>
      <c r="C436" s="37" t="str">
        <f ca="1">IFERROR(__xludf.DUMMYFUNCTION("""COMPUTED_VALUE"""),"")</f>
        <v/>
      </c>
      <c r="D436" s="33"/>
      <c r="G436" s="37"/>
    </row>
    <row r="437" spans="1:7" ht="12.5" x14ac:dyDescent="0.25">
      <c r="A437" s="33"/>
      <c r="B437" s="33"/>
      <c r="C437" s="37" t="str">
        <f ca="1">IFERROR(__xludf.DUMMYFUNCTION("""COMPUTED_VALUE"""),"")</f>
        <v/>
      </c>
      <c r="D437" s="33"/>
      <c r="G437" s="37"/>
    </row>
    <row r="438" spans="1:7" ht="12.5" x14ac:dyDescent="0.25">
      <c r="A438" s="33"/>
      <c r="B438" s="33"/>
      <c r="C438" s="37" t="str">
        <f ca="1">IFERROR(__xludf.DUMMYFUNCTION("""COMPUTED_VALUE"""),"")</f>
        <v/>
      </c>
      <c r="D438" s="33"/>
      <c r="G438" s="37"/>
    </row>
    <row r="439" spans="1:7" ht="12.5" x14ac:dyDescent="0.25">
      <c r="A439" s="33"/>
      <c r="B439" s="33"/>
      <c r="C439" s="37" t="str">
        <f ca="1">IFERROR(__xludf.DUMMYFUNCTION("""COMPUTED_VALUE"""),"")</f>
        <v/>
      </c>
      <c r="D439" s="33"/>
      <c r="G439" s="37"/>
    </row>
    <row r="440" spans="1:7" ht="12.5" x14ac:dyDescent="0.25">
      <c r="A440" s="33"/>
      <c r="B440" s="33"/>
      <c r="C440" s="37" t="str">
        <f ca="1">IFERROR(__xludf.DUMMYFUNCTION("""COMPUTED_VALUE"""),"")</f>
        <v/>
      </c>
      <c r="D440" s="33"/>
      <c r="G440" s="37"/>
    </row>
    <row r="441" spans="1:7" ht="12.5" x14ac:dyDescent="0.25">
      <c r="A441" s="33"/>
      <c r="B441" s="33"/>
      <c r="C441" s="37" t="str">
        <f ca="1">IFERROR(__xludf.DUMMYFUNCTION("""COMPUTED_VALUE"""),"")</f>
        <v/>
      </c>
      <c r="D441" s="33"/>
      <c r="G441" s="37"/>
    </row>
    <row r="442" spans="1:7" ht="12.5" x14ac:dyDescent="0.25">
      <c r="A442" s="33"/>
      <c r="B442" s="33"/>
      <c r="C442" s="37" t="str">
        <f ca="1">IFERROR(__xludf.DUMMYFUNCTION("""COMPUTED_VALUE"""),"")</f>
        <v/>
      </c>
      <c r="D442" s="33"/>
      <c r="G442" s="37"/>
    </row>
    <row r="443" spans="1:7" ht="12.5" x14ac:dyDescent="0.25">
      <c r="A443" s="33"/>
      <c r="B443" s="33"/>
      <c r="C443" s="37" t="str">
        <f ca="1">IFERROR(__xludf.DUMMYFUNCTION("""COMPUTED_VALUE"""),"")</f>
        <v/>
      </c>
      <c r="D443" s="33"/>
      <c r="G443" s="37"/>
    </row>
    <row r="444" spans="1:7" ht="12.5" x14ac:dyDescent="0.25">
      <c r="A444" s="33"/>
      <c r="B444" s="33"/>
      <c r="C444" s="37" t="str">
        <f ca="1">IFERROR(__xludf.DUMMYFUNCTION("""COMPUTED_VALUE"""),"")</f>
        <v/>
      </c>
      <c r="D444" s="33"/>
      <c r="G444" s="37"/>
    </row>
    <row r="445" spans="1:7" ht="12.5" x14ac:dyDescent="0.25">
      <c r="A445" s="33"/>
      <c r="B445" s="33"/>
      <c r="C445" s="37" t="str">
        <f ca="1">IFERROR(__xludf.DUMMYFUNCTION("""COMPUTED_VALUE"""),"")</f>
        <v/>
      </c>
      <c r="D445" s="33"/>
      <c r="G445" s="37"/>
    </row>
    <row r="446" spans="1:7" ht="12.5" x14ac:dyDescent="0.25">
      <c r="A446" s="33"/>
      <c r="B446" s="33"/>
      <c r="C446" s="37" t="str">
        <f ca="1">IFERROR(__xludf.DUMMYFUNCTION("""COMPUTED_VALUE"""),"")</f>
        <v/>
      </c>
      <c r="D446" s="33"/>
      <c r="G446" s="37"/>
    </row>
    <row r="447" spans="1:7" ht="12.5" x14ac:dyDescent="0.25">
      <c r="A447" s="33"/>
      <c r="B447" s="33"/>
      <c r="C447" s="37" t="str">
        <f ca="1">IFERROR(__xludf.DUMMYFUNCTION("""COMPUTED_VALUE"""),"")</f>
        <v/>
      </c>
      <c r="D447" s="33"/>
      <c r="G447" s="37"/>
    </row>
    <row r="448" spans="1:7" ht="12.5" x14ac:dyDescent="0.25">
      <c r="A448" s="33"/>
      <c r="B448" s="33"/>
      <c r="C448" s="37" t="str">
        <f ca="1">IFERROR(__xludf.DUMMYFUNCTION("""COMPUTED_VALUE"""),"")</f>
        <v/>
      </c>
      <c r="D448" s="33"/>
      <c r="G448" s="37"/>
    </row>
    <row r="449" spans="1:7" ht="12.5" x14ac:dyDescent="0.25">
      <c r="A449" s="33"/>
      <c r="B449" s="33"/>
      <c r="C449" s="37" t="str">
        <f ca="1">IFERROR(__xludf.DUMMYFUNCTION("""COMPUTED_VALUE"""),"")</f>
        <v/>
      </c>
      <c r="D449" s="33"/>
      <c r="G449" s="37"/>
    </row>
    <row r="450" spans="1:7" ht="12.5" x14ac:dyDescent="0.25">
      <c r="A450" s="33"/>
      <c r="B450" s="33"/>
      <c r="C450" s="37" t="str">
        <f ca="1">IFERROR(__xludf.DUMMYFUNCTION("""COMPUTED_VALUE"""),"")</f>
        <v/>
      </c>
      <c r="D450" s="33"/>
      <c r="G450" s="37"/>
    </row>
    <row r="451" spans="1:7" ht="12.5" x14ac:dyDescent="0.25">
      <c r="A451" s="33"/>
      <c r="B451" s="33"/>
      <c r="C451" s="37" t="str">
        <f ca="1">IFERROR(__xludf.DUMMYFUNCTION("""COMPUTED_VALUE"""),"")</f>
        <v/>
      </c>
      <c r="D451" s="33"/>
      <c r="G451" s="37"/>
    </row>
    <row r="452" spans="1:7" ht="12.5" x14ac:dyDescent="0.25">
      <c r="A452" s="33"/>
      <c r="B452" s="33"/>
      <c r="C452" s="37" t="str">
        <f ca="1">IFERROR(__xludf.DUMMYFUNCTION("""COMPUTED_VALUE"""),"")</f>
        <v/>
      </c>
      <c r="D452" s="33"/>
      <c r="G452" s="37"/>
    </row>
    <row r="453" spans="1:7" ht="12.5" x14ac:dyDescent="0.25">
      <c r="A453" s="33"/>
      <c r="B453" s="33"/>
      <c r="C453" s="37" t="str">
        <f ca="1">IFERROR(__xludf.DUMMYFUNCTION("""COMPUTED_VALUE"""),"")</f>
        <v/>
      </c>
      <c r="D453" s="33"/>
      <c r="G453" s="37"/>
    </row>
    <row r="454" spans="1:7" ht="12.5" x14ac:dyDescent="0.25">
      <c r="A454" s="33"/>
      <c r="B454" s="33"/>
      <c r="C454" s="37" t="str">
        <f ca="1">IFERROR(__xludf.DUMMYFUNCTION("""COMPUTED_VALUE"""),"")</f>
        <v/>
      </c>
      <c r="D454" s="33"/>
      <c r="G454" s="37"/>
    </row>
    <row r="455" spans="1:7" ht="12.5" x14ac:dyDescent="0.25">
      <c r="A455" s="33"/>
      <c r="B455" s="33"/>
      <c r="C455" s="37" t="str">
        <f ca="1">IFERROR(__xludf.DUMMYFUNCTION("""COMPUTED_VALUE"""),"")</f>
        <v/>
      </c>
      <c r="D455" s="33"/>
      <c r="G455" s="37"/>
    </row>
    <row r="456" spans="1:7" ht="12.5" x14ac:dyDescent="0.25">
      <c r="A456" s="33"/>
      <c r="B456" s="33"/>
      <c r="C456" s="37" t="str">
        <f ca="1">IFERROR(__xludf.DUMMYFUNCTION("""COMPUTED_VALUE"""),"")</f>
        <v/>
      </c>
      <c r="D456" s="33"/>
      <c r="G456" s="37"/>
    </row>
    <row r="457" spans="1:7" ht="12.5" x14ac:dyDescent="0.25">
      <c r="A457" s="33"/>
      <c r="B457" s="33"/>
      <c r="C457" s="37" t="str">
        <f ca="1">IFERROR(__xludf.DUMMYFUNCTION("""COMPUTED_VALUE"""),"")</f>
        <v/>
      </c>
      <c r="D457" s="33"/>
      <c r="G457" s="37"/>
    </row>
    <row r="458" spans="1:7" ht="12.5" x14ac:dyDescent="0.25">
      <c r="A458" s="33"/>
      <c r="B458" s="33"/>
      <c r="C458" s="37" t="str">
        <f ca="1">IFERROR(__xludf.DUMMYFUNCTION("""COMPUTED_VALUE"""),"")</f>
        <v/>
      </c>
      <c r="D458" s="33"/>
      <c r="G458" s="37"/>
    </row>
    <row r="459" spans="1:7" ht="12.5" x14ac:dyDescent="0.25">
      <c r="A459" s="33"/>
      <c r="B459" s="33"/>
      <c r="C459" s="37" t="str">
        <f ca="1">IFERROR(__xludf.DUMMYFUNCTION("""COMPUTED_VALUE"""),"")</f>
        <v/>
      </c>
      <c r="D459" s="33"/>
      <c r="G459" s="37"/>
    </row>
    <row r="460" spans="1:7" ht="12.5" x14ac:dyDescent="0.25">
      <c r="A460" s="33"/>
      <c r="B460" s="33"/>
      <c r="C460" s="37" t="str">
        <f ca="1">IFERROR(__xludf.DUMMYFUNCTION("""COMPUTED_VALUE"""),"")</f>
        <v/>
      </c>
      <c r="D460" s="33"/>
      <c r="G460" s="37"/>
    </row>
    <row r="461" spans="1:7" ht="12.5" x14ac:dyDescent="0.25">
      <c r="A461" s="33"/>
      <c r="B461" s="33"/>
      <c r="C461" s="37" t="str">
        <f ca="1">IFERROR(__xludf.DUMMYFUNCTION("""COMPUTED_VALUE"""),"")</f>
        <v/>
      </c>
      <c r="D461" s="33"/>
      <c r="G461" s="37"/>
    </row>
    <row r="462" spans="1:7" ht="12.5" x14ac:dyDescent="0.25">
      <c r="A462" s="33"/>
      <c r="B462" s="33"/>
      <c r="C462" s="37" t="str">
        <f ca="1">IFERROR(__xludf.DUMMYFUNCTION("""COMPUTED_VALUE"""),"")</f>
        <v/>
      </c>
      <c r="D462" s="33"/>
      <c r="G462" s="37"/>
    </row>
    <row r="463" spans="1:7" ht="12.5" x14ac:dyDescent="0.25">
      <c r="A463" s="33"/>
      <c r="B463" s="33"/>
      <c r="C463" s="37" t="str">
        <f ca="1">IFERROR(__xludf.DUMMYFUNCTION("""COMPUTED_VALUE"""),"")</f>
        <v/>
      </c>
      <c r="D463" s="33"/>
      <c r="G463" s="37"/>
    </row>
    <row r="464" spans="1:7" ht="12.5" x14ac:dyDescent="0.25">
      <c r="A464" s="33"/>
      <c r="B464" s="33"/>
      <c r="C464" s="37" t="str">
        <f ca="1">IFERROR(__xludf.DUMMYFUNCTION("""COMPUTED_VALUE"""),"")</f>
        <v/>
      </c>
      <c r="D464" s="33"/>
      <c r="G464" s="37"/>
    </row>
    <row r="465" spans="1:7" ht="12.5" x14ac:dyDescent="0.25">
      <c r="A465" s="33"/>
      <c r="B465" s="33"/>
      <c r="C465" s="37" t="str">
        <f ca="1">IFERROR(__xludf.DUMMYFUNCTION("""COMPUTED_VALUE"""),"")</f>
        <v/>
      </c>
      <c r="D465" s="33"/>
      <c r="G465" s="37"/>
    </row>
    <row r="466" spans="1:7" ht="12.5" x14ac:dyDescent="0.25">
      <c r="A466" s="33"/>
      <c r="B466" s="33"/>
      <c r="C466" s="37" t="str">
        <f ca="1">IFERROR(__xludf.DUMMYFUNCTION("""COMPUTED_VALUE"""),"")</f>
        <v/>
      </c>
      <c r="D466" s="33"/>
      <c r="G466" s="37"/>
    </row>
    <row r="467" spans="1:7" ht="12.5" x14ac:dyDescent="0.25">
      <c r="A467" s="33"/>
      <c r="B467" s="33"/>
      <c r="C467" s="37" t="str">
        <f ca="1">IFERROR(__xludf.DUMMYFUNCTION("""COMPUTED_VALUE"""),"")</f>
        <v/>
      </c>
      <c r="D467" s="33"/>
      <c r="G467" s="37"/>
    </row>
    <row r="468" spans="1:7" ht="12.5" x14ac:dyDescent="0.25">
      <c r="A468" s="33"/>
      <c r="B468" s="33"/>
      <c r="C468" s="37" t="str">
        <f ca="1">IFERROR(__xludf.DUMMYFUNCTION("""COMPUTED_VALUE"""),"")</f>
        <v/>
      </c>
      <c r="D468" s="33"/>
      <c r="G468" s="37"/>
    </row>
    <row r="469" spans="1:7" ht="12.5" x14ac:dyDescent="0.25">
      <c r="A469" s="33"/>
      <c r="B469" s="33"/>
      <c r="C469" s="37" t="str">
        <f ca="1">IFERROR(__xludf.DUMMYFUNCTION("""COMPUTED_VALUE"""),"")</f>
        <v/>
      </c>
      <c r="D469" s="33"/>
      <c r="G469" s="37"/>
    </row>
    <row r="470" spans="1:7" ht="12.5" x14ac:dyDescent="0.25">
      <c r="A470" s="33"/>
      <c r="B470" s="33"/>
      <c r="C470" s="37" t="str">
        <f ca="1">IFERROR(__xludf.DUMMYFUNCTION("""COMPUTED_VALUE"""),"")</f>
        <v/>
      </c>
      <c r="D470" s="33"/>
      <c r="G470" s="37"/>
    </row>
    <row r="471" spans="1:7" ht="12.5" x14ac:dyDescent="0.25">
      <c r="A471" s="33"/>
      <c r="B471" s="33"/>
      <c r="C471" s="37" t="str">
        <f ca="1">IFERROR(__xludf.DUMMYFUNCTION("""COMPUTED_VALUE"""),"")</f>
        <v/>
      </c>
      <c r="D471" s="33"/>
      <c r="G471" s="37"/>
    </row>
    <row r="472" spans="1:7" ht="12.5" x14ac:dyDescent="0.25">
      <c r="A472" s="33"/>
      <c r="B472" s="33"/>
      <c r="C472" s="37" t="str">
        <f ca="1">IFERROR(__xludf.DUMMYFUNCTION("""COMPUTED_VALUE"""),"")</f>
        <v/>
      </c>
      <c r="D472" s="33"/>
      <c r="G472" s="37"/>
    </row>
    <row r="473" spans="1:7" ht="12.5" x14ac:dyDescent="0.25">
      <c r="A473" s="33"/>
      <c r="B473" s="33"/>
      <c r="C473" s="37" t="str">
        <f ca="1">IFERROR(__xludf.DUMMYFUNCTION("""COMPUTED_VALUE"""),"")</f>
        <v/>
      </c>
      <c r="D473" s="33"/>
      <c r="G473" s="37"/>
    </row>
    <row r="474" spans="1:7" ht="12.5" x14ac:dyDescent="0.25">
      <c r="A474" s="33"/>
      <c r="B474" s="33"/>
      <c r="C474" s="37" t="str">
        <f ca="1">IFERROR(__xludf.DUMMYFUNCTION("""COMPUTED_VALUE"""),"")</f>
        <v/>
      </c>
      <c r="D474" s="33"/>
      <c r="G474" s="37"/>
    </row>
    <row r="475" spans="1:7" ht="12.5" x14ac:dyDescent="0.25">
      <c r="A475" s="33"/>
      <c r="B475" s="33"/>
      <c r="C475" s="37" t="str">
        <f ca="1">IFERROR(__xludf.DUMMYFUNCTION("""COMPUTED_VALUE"""),"")</f>
        <v/>
      </c>
      <c r="D475" s="33"/>
      <c r="G475" s="37"/>
    </row>
    <row r="476" spans="1:7" ht="12.5" x14ac:dyDescent="0.25">
      <c r="A476" s="33"/>
      <c r="B476" s="33"/>
      <c r="C476" s="37" t="str">
        <f ca="1">IFERROR(__xludf.DUMMYFUNCTION("""COMPUTED_VALUE"""),"")</f>
        <v/>
      </c>
      <c r="D476" s="33"/>
      <c r="G476" s="37"/>
    </row>
    <row r="477" spans="1:7" ht="12.5" x14ac:dyDescent="0.25">
      <c r="A477" s="33"/>
      <c r="B477" s="33"/>
      <c r="C477" s="37" t="str">
        <f ca="1">IFERROR(__xludf.DUMMYFUNCTION("""COMPUTED_VALUE"""),"")</f>
        <v/>
      </c>
      <c r="D477" s="33"/>
      <c r="G477" s="37"/>
    </row>
    <row r="478" spans="1:7" ht="12.5" x14ac:dyDescent="0.25">
      <c r="A478" s="33"/>
      <c r="B478" s="33"/>
      <c r="C478" s="37" t="str">
        <f ca="1">IFERROR(__xludf.DUMMYFUNCTION("""COMPUTED_VALUE"""),"")</f>
        <v/>
      </c>
      <c r="D478" s="33"/>
      <c r="G478" s="37"/>
    </row>
    <row r="479" spans="1:7" ht="12.5" x14ac:dyDescent="0.25">
      <c r="A479" s="33"/>
      <c r="B479" s="33"/>
      <c r="C479" s="37" t="str">
        <f ca="1">IFERROR(__xludf.DUMMYFUNCTION("""COMPUTED_VALUE"""),"")</f>
        <v/>
      </c>
      <c r="D479" s="33"/>
      <c r="G479" s="37"/>
    </row>
    <row r="480" spans="1:7" ht="12.5" x14ac:dyDescent="0.25">
      <c r="A480" s="33"/>
      <c r="B480" s="33"/>
      <c r="C480" s="37" t="str">
        <f ca="1">IFERROR(__xludf.DUMMYFUNCTION("""COMPUTED_VALUE"""),"")</f>
        <v/>
      </c>
      <c r="D480" s="33"/>
      <c r="G480" s="37"/>
    </row>
    <row r="481" spans="1:7" ht="12.5" x14ac:dyDescent="0.25">
      <c r="A481" s="33"/>
      <c r="B481" s="33"/>
      <c r="C481" s="37" t="str">
        <f ca="1">IFERROR(__xludf.DUMMYFUNCTION("""COMPUTED_VALUE"""),"")</f>
        <v/>
      </c>
      <c r="D481" s="33"/>
      <c r="G481" s="37"/>
    </row>
    <row r="482" spans="1:7" ht="12.5" x14ac:dyDescent="0.25">
      <c r="A482" s="33"/>
      <c r="B482" s="33"/>
      <c r="C482" s="37" t="str">
        <f ca="1">IFERROR(__xludf.DUMMYFUNCTION("""COMPUTED_VALUE"""),"")</f>
        <v/>
      </c>
      <c r="D482" s="33"/>
      <c r="G482" s="37"/>
    </row>
    <row r="483" spans="1:7" ht="12.5" x14ac:dyDescent="0.25">
      <c r="A483" s="33"/>
      <c r="B483" s="33"/>
      <c r="C483" s="37" t="str">
        <f ca="1">IFERROR(__xludf.DUMMYFUNCTION("""COMPUTED_VALUE"""),"")</f>
        <v/>
      </c>
      <c r="D483" s="33"/>
      <c r="G483" s="37"/>
    </row>
    <row r="484" spans="1:7" ht="12.5" x14ac:dyDescent="0.25">
      <c r="A484" s="33"/>
      <c r="B484" s="33"/>
      <c r="C484" s="37" t="str">
        <f ca="1">IFERROR(__xludf.DUMMYFUNCTION("""COMPUTED_VALUE"""),"")</f>
        <v/>
      </c>
      <c r="D484" s="33"/>
      <c r="G484" s="37"/>
    </row>
    <row r="485" spans="1:7" ht="12.5" x14ac:dyDescent="0.25">
      <c r="A485" s="33"/>
      <c r="B485" s="33"/>
      <c r="C485" s="37" t="str">
        <f ca="1">IFERROR(__xludf.DUMMYFUNCTION("""COMPUTED_VALUE"""),"")</f>
        <v/>
      </c>
      <c r="D485" s="33"/>
      <c r="G485" s="37"/>
    </row>
    <row r="486" spans="1:7" ht="12.5" x14ac:dyDescent="0.25">
      <c r="A486" s="33"/>
      <c r="B486" s="33"/>
      <c r="C486" s="37" t="str">
        <f ca="1">IFERROR(__xludf.DUMMYFUNCTION("""COMPUTED_VALUE"""),"")</f>
        <v/>
      </c>
      <c r="D486" s="33"/>
      <c r="G486" s="37"/>
    </row>
    <row r="487" spans="1:7" ht="12.5" x14ac:dyDescent="0.25">
      <c r="A487" s="33"/>
      <c r="B487" s="33"/>
      <c r="C487" s="37" t="str">
        <f ca="1">IFERROR(__xludf.DUMMYFUNCTION("""COMPUTED_VALUE"""),"")</f>
        <v/>
      </c>
      <c r="D487" s="33"/>
      <c r="G487" s="37"/>
    </row>
    <row r="488" spans="1:7" ht="12.5" x14ac:dyDescent="0.25">
      <c r="A488" s="33"/>
      <c r="B488" s="33"/>
      <c r="C488" s="37" t="str">
        <f ca="1">IFERROR(__xludf.DUMMYFUNCTION("""COMPUTED_VALUE"""),"")</f>
        <v/>
      </c>
      <c r="D488" s="33"/>
      <c r="G488" s="37"/>
    </row>
    <row r="489" spans="1:7" ht="12.5" x14ac:dyDescent="0.25">
      <c r="A489" s="33"/>
      <c r="B489" s="33"/>
      <c r="C489" s="37" t="str">
        <f ca="1">IFERROR(__xludf.DUMMYFUNCTION("""COMPUTED_VALUE"""),"")</f>
        <v/>
      </c>
      <c r="D489" s="33"/>
      <c r="G489" s="37"/>
    </row>
    <row r="490" spans="1:7" ht="12.5" x14ac:dyDescent="0.25">
      <c r="A490" s="33"/>
      <c r="B490" s="33"/>
      <c r="C490" s="37" t="str">
        <f ca="1">IFERROR(__xludf.DUMMYFUNCTION("""COMPUTED_VALUE"""),"")</f>
        <v/>
      </c>
      <c r="D490" s="33"/>
      <c r="G490" s="37"/>
    </row>
    <row r="491" spans="1:7" ht="12.5" x14ac:dyDescent="0.25">
      <c r="A491" s="33"/>
      <c r="B491" s="33"/>
      <c r="C491" s="37" t="str">
        <f ca="1">IFERROR(__xludf.DUMMYFUNCTION("""COMPUTED_VALUE"""),"")</f>
        <v/>
      </c>
      <c r="D491" s="33"/>
      <c r="G491" s="37"/>
    </row>
    <row r="492" spans="1:7" ht="12.5" x14ac:dyDescent="0.25">
      <c r="A492" s="33"/>
      <c r="B492" s="33"/>
      <c r="C492" s="37" t="str">
        <f ca="1">IFERROR(__xludf.DUMMYFUNCTION("""COMPUTED_VALUE"""),"")</f>
        <v/>
      </c>
      <c r="D492" s="33"/>
      <c r="G492" s="37"/>
    </row>
    <row r="493" spans="1:7" ht="12.5" x14ac:dyDescent="0.25">
      <c r="A493" s="33"/>
      <c r="B493" s="33"/>
      <c r="C493" s="37" t="str">
        <f ca="1">IFERROR(__xludf.DUMMYFUNCTION("""COMPUTED_VALUE"""),"")</f>
        <v/>
      </c>
      <c r="D493" s="33"/>
      <c r="G493" s="37"/>
    </row>
    <row r="494" spans="1:7" ht="12.5" x14ac:dyDescent="0.25">
      <c r="A494" s="33"/>
      <c r="B494" s="33"/>
      <c r="C494" s="37" t="str">
        <f ca="1">IFERROR(__xludf.DUMMYFUNCTION("""COMPUTED_VALUE"""),"")</f>
        <v/>
      </c>
      <c r="D494" s="33"/>
      <c r="G494" s="37"/>
    </row>
    <row r="495" spans="1:7" ht="12.5" x14ac:dyDescent="0.25">
      <c r="A495" s="33"/>
      <c r="B495" s="33"/>
      <c r="C495" s="37" t="str">
        <f ca="1">IFERROR(__xludf.DUMMYFUNCTION("""COMPUTED_VALUE"""),"")</f>
        <v/>
      </c>
      <c r="D495" s="33"/>
      <c r="G495" s="37"/>
    </row>
    <row r="496" spans="1:7" ht="12.5" x14ac:dyDescent="0.25">
      <c r="A496" s="33"/>
      <c r="B496" s="33"/>
      <c r="C496" s="37" t="str">
        <f ca="1">IFERROR(__xludf.DUMMYFUNCTION("""COMPUTED_VALUE"""),"")</f>
        <v/>
      </c>
      <c r="D496" s="33"/>
      <c r="G496" s="37"/>
    </row>
    <row r="497" spans="1:7" ht="12.5" x14ac:dyDescent="0.25">
      <c r="A497" s="33"/>
      <c r="B497" s="33"/>
      <c r="C497" s="37" t="str">
        <f ca="1">IFERROR(__xludf.DUMMYFUNCTION("""COMPUTED_VALUE"""),"")</f>
        <v/>
      </c>
      <c r="D497" s="33"/>
      <c r="G497" s="37"/>
    </row>
    <row r="498" spans="1:7" ht="12.5" x14ac:dyDescent="0.25">
      <c r="A498" s="33"/>
      <c r="B498" s="33"/>
      <c r="C498" s="37" t="str">
        <f ca="1">IFERROR(__xludf.DUMMYFUNCTION("""COMPUTED_VALUE"""),"")</f>
        <v/>
      </c>
      <c r="D498" s="33"/>
      <c r="G498" s="37"/>
    </row>
    <row r="499" spans="1:7" ht="12.5" x14ac:dyDescent="0.25">
      <c r="A499" s="33"/>
      <c r="B499" s="33"/>
      <c r="C499" s="37" t="str">
        <f ca="1">IFERROR(__xludf.DUMMYFUNCTION("""COMPUTED_VALUE"""),"")</f>
        <v/>
      </c>
      <c r="D499" s="33"/>
      <c r="G499" s="37"/>
    </row>
    <row r="500" spans="1:7" ht="12.5" x14ac:dyDescent="0.25">
      <c r="A500" s="33"/>
      <c r="B500" s="33"/>
      <c r="C500" s="37" t="str">
        <f ca="1">IFERROR(__xludf.DUMMYFUNCTION("""COMPUTED_VALUE"""),"")</f>
        <v/>
      </c>
      <c r="D500" s="33"/>
      <c r="G500" s="37"/>
    </row>
    <row r="501" spans="1:7" ht="12.5" x14ac:dyDescent="0.25">
      <c r="A501" s="33"/>
      <c r="B501" s="33"/>
      <c r="C501" s="37" t="str">
        <f ca="1">IFERROR(__xludf.DUMMYFUNCTION("""COMPUTED_VALUE"""),"")</f>
        <v/>
      </c>
      <c r="D501" s="33"/>
      <c r="G501" s="37"/>
    </row>
    <row r="502" spans="1:7" ht="12.5" x14ac:dyDescent="0.25">
      <c r="A502" s="33"/>
      <c r="B502" s="33"/>
      <c r="C502" s="37" t="str">
        <f ca="1">IFERROR(__xludf.DUMMYFUNCTION("""COMPUTED_VALUE"""),"")</f>
        <v/>
      </c>
      <c r="D502" s="33"/>
      <c r="G502" s="37"/>
    </row>
    <row r="503" spans="1:7" ht="12.5" x14ac:dyDescent="0.25">
      <c r="A503" s="33"/>
      <c r="B503" s="33"/>
      <c r="C503" s="37" t="str">
        <f ca="1">IFERROR(__xludf.DUMMYFUNCTION("""COMPUTED_VALUE"""),"")</f>
        <v/>
      </c>
      <c r="D503" s="33"/>
      <c r="G503" s="37"/>
    </row>
    <row r="504" spans="1:7" ht="12.5" x14ac:dyDescent="0.25">
      <c r="A504" s="33"/>
      <c r="B504" s="33"/>
      <c r="C504" s="37" t="str">
        <f ca="1">IFERROR(__xludf.DUMMYFUNCTION("""COMPUTED_VALUE"""),"")</f>
        <v/>
      </c>
      <c r="D504" s="33"/>
      <c r="G504" s="37"/>
    </row>
    <row r="505" spans="1:7" ht="12.5" x14ac:dyDescent="0.25">
      <c r="A505" s="33"/>
      <c r="B505" s="33"/>
      <c r="C505" s="37" t="str">
        <f ca="1">IFERROR(__xludf.DUMMYFUNCTION("""COMPUTED_VALUE"""),"")</f>
        <v/>
      </c>
      <c r="D505" s="33"/>
      <c r="G505" s="37"/>
    </row>
    <row r="506" spans="1:7" ht="12.5" x14ac:dyDescent="0.25">
      <c r="A506" s="33"/>
      <c r="B506" s="33"/>
      <c r="C506" s="37" t="str">
        <f ca="1">IFERROR(__xludf.DUMMYFUNCTION("""COMPUTED_VALUE"""),"")</f>
        <v/>
      </c>
      <c r="D506" s="33"/>
      <c r="G506" s="37"/>
    </row>
    <row r="507" spans="1:7" ht="12.5" x14ac:dyDescent="0.25">
      <c r="A507" s="33"/>
      <c r="B507" s="33"/>
      <c r="C507" s="37" t="str">
        <f ca="1">IFERROR(__xludf.DUMMYFUNCTION("""COMPUTED_VALUE"""),"")</f>
        <v/>
      </c>
      <c r="D507" s="33"/>
      <c r="G507" s="37"/>
    </row>
    <row r="508" spans="1:7" ht="12.5" x14ac:dyDescent="0.25">
      <c r="A508" s="33"/>
      <c r="B508" s="33"/>
      <c r="C508" s="37" t="str">
        <f ca="1">IFERROR(__xludf.DUMMYFUNCTION("""COMPUTED_VALUE"""),"")</f>
        <v/>
      </c>
      <c r="D508" s="33"/>
      <c r="G508" s="37"/>
    </row>
    <row r="509" spans="1:7" ht="12.5" x14ac:dyDescent="0.25">
      <c r="A509" s="33"/>
      <c r="B509" s="33"/>
      <c r="C509" s="37" t="str">
        <f ca="1">IFERROR(__xludf.DUMMYFUNCTION("""COMPUTED_VALUE"""),"")</f>
        <v/>
      </c>
      <c r="D509" s="33"/>
      <c r="G509" s="37"/>
    </row>
    <row r="510" spans="1:7" ht="12.5" x14ac:dyDescent="0.25">
      <c r="A510" s="33"/>
      <c r="B510" s="33"/>
      <c r="C510" s="37" t="str">
        <f ca="1">IFERROR(__xludf.DUMMYFUNCTION("""COMPUTED_VALUE"""),"")</f>
        <v/>
      </c>
      <c r="D510" s="33"/>
      <c r="G510" s="37"/>
    </row>
    <row r="511" spans="1:7" ht="12.5" x14ac:dyDescent="0.25">
      <c r="A511" s="33"/>
      <c r="B511" s="33"/>
      <c r="C511" s="37" t="str">
        <f ca="1">IFERROR(__xludf.DUMMYFUNCTION("""COMPUTED_VALUE"""),"")</f>
        <v/>
      </c>
      <c r="D511" s="33"/>
      <c r="G511" s="37"/>
    </row>
    <row r="512" spans="1:7" ht="12.5" x14ac:dyDescent="0.25">
      <c r="A512" s="33"/>
      <c r="B512" s="33"/>
      <c r="C512" s="37" t="str">
        <f ca="1">IFERROR(__xludf.DUMMYFUNCTION("""COMPUTED_VALUE"""),"")</f>
        <v/>
      </c>
      <c r="D512" s="33"/>
      <c r="G512" s="37"/>
    </row>
    <row r="513" spans="1:7" ht="12.5" x14ac:dyDescent="0.25">
      <c r="A513" s="33"/>
      <c r="B513" s="33"/>
      <c r="C513" s="37" t="str">
        <f ca="1">IFERROR(__xludf.DUMMYFUNCTION("""COMPUTED_VALUE"""),"")</f>
        <v/>
      </c>
      <c r="D513" s="33"/>
      <c r="G513" s="37"/>
    </row>
    <row r="514" spans="1:7" ht="12.5" x14ac:dyDescent="0.25">
      <c r="A514" s="33"/>
      <c r="B514" s="33"/>
      <c r="C514" s="37" t="str">
        <f ca="1">IFERROR(__xludf.DUMMYFUNCTION("""COMPUTED_VALUE"""),"")</f>
        <v/>
      </c>
      <c r="D514" s="33"/>
      <c r="G514" s="37"/>
    </row>
    <row r="515" spans="1:7" ht="12.5" x14ac:dyDescent="0.25">
      <c r="A515" s="33"/>
      <c r="B515" s="33"/>
      <c r="C515" s="37" t="str">
        <f ca="1">IFERROR(__xludf.DUMMYFUNCTION("""COMPUTED_VALUE"""),"")</f>
        <v/>
      </c>
      <c r="D515" s="33"/>
      <c r="G515" s="37"/>
    </row>
    <row r="516" spans="1:7" ht="12.5" x14ac:dyDescent="0.25">
      <c r="A516" s="33"/>
      <c r="B516" s="33"/>
      <c r="C516" s="37" t="str">
        <f ca="1">IFERROR(__xludf.DUMMYFUNCTION("""COMPUTED_VALUE"""),"")</f>
        <v/>
      </c>
      <c r="D516" s="33"/>
      <c r="G516" s="37"/>
    </row>
    <row r="517" spans="1:7" ht="12.5" x14ac:dyDescent="0.25">
      <c r="A517" s="33"/>
      <c r="B517" s="33"/>
      <c r="C517" s="37" t="str">
        <f ca="1">IFERROR(__xludf.DUMMYFUNCTION("""COMPUTED_VALUE"""),"")</f>
        <v/>
      </c>
      <c r="D517" s="33"/>
      <c r="G517" s="37"/>
    </row>
    <row r="518" spans="1:7" ht="12.5" x14ac:dyDescent="0.25">
      <c r="A518" s="33"/>
      <c r="B518" s="33"/>
      <c r="C518" s="37" t="str">
        <f ca="1">IFERROR(__xludf.DUMMYFUNCTION("""COMPUTED_VALUE"""),"")</f>
        <v/>
      </c>
      <c r="D518" s="33"/>
      <c r="G518" s="37"/>
    </row>
    <row r="519" spans="1:7" ht="12.5" x14ac:dyDescent="0.25">
      <c r="A519" s="33"/>
      <c r="B519" s="33"/>
      <c r="C519" s="37" t="str">
        <f ca="1">IFERROR(__xludf.DUMMYFUNCTION("""COMPUTED_VALUE"""),"")</f>
        <v/>
      </c>
      <c r="D519" s="33"/>
      <c r="G519" s="37"/>
    </row>
    <row r="520" spans="1:7" ht="12.5" x14ac:dyDescent="0.25">
      <c r="A520" s="33"/>
      <c r="B520" s="33"/>
      <c r="C520" s="37" t="str">
        <f ca="1">IFERROR(__xludf.DUMMYFUNCTION("""COMPUTED_VALUE"""),"")</f>
        <v/>
      </c>
      <c r="D520" s="33"/>
      <c r="G520" s="37"/>
    </row>
    <row r="521" spans="1:7" ht="12.5" x14ac:dyDescent="0.25">
      <c r="A521" s="33"/>
      <c r="B521" s="33"/>
      <c r="C521" s="37" t="str">
        <f ca="1">IFERROR(__xludf.DUMMYFUNCTION("""COMPUTED_VALUE"""),"")</f>
        <v/>
      </c>
      <c r="D521" s="33"/>
      <c r="G521" s="37"/>
    </row>
    <row r="522" spans="1:7" ht="12.5" x14ac:dyDescent="0.25">
      <c r="A522" s="33"/>
      <c r="B522" s="33"/>
      <c r="C522" s="37" t="str">
        <f ca="1">IFERROR(__xludf.DUMMYFUNCTION("""COMPUTED_VALUE"""),"")</f>
        <v/>
      </c>
      <c r="D522" s="33"/>
      <c r="G522" s="37"/>
    </row>
    <row r="523" spans="1:7" ht="12.5" x14ac:dyDescent="0.25">
      <c r="A523" s="33"/>
      <c r="B523" s="33"/>
      <c r="C523" s="37" t="str">
        <f ca="1">IFERROR(__xludf.DUMMYFUNCTION("""COMPUTED_VALUE"""),"")</f>
        <v/>
      </c>
      <c r="D523" s="33"/>
      <c r="G523" s="37"/>
    </row>
    <row r="524" spans="1:7" ht="12.5" x14ac:dyDescent="0.25">
      <c r="A524" s="33"/>
      <c r="B524" s="33"/>
      <c r="C524" s="37" t="str">
        <f ca="1">IFERROR(__xludf.DUMMYFUNCTION("""COMPUTED_VALUE"""),"")</f>
        <v/>
      </c>
      <c r="D524" s="33"/>
      <c r="G524" s="37"/>
    </row>
    <row r="525" spans="1:7" ht="12.5" x14ac:dyDescent="0.25">
      <c r="A525" s="33"/>
      <c r="B525" s="33"/>
      <c r="C525" s="37" t="str">
        <f ca="1">IFERROR(__xludf.DUMMYFUNCTION("""COMPUTED_VALUE"""),"")</f>
        <v/>
      </c>
      <c r="D525" s="33"/>
      <c r="G525" s="37"/>
    </row>
    <row r="526" spans="1:7" ht="12.5" x14ac:dyDescent="0.25">
      <c r="A526" s="33"/>
      <c r="B526" s="33"/>
      <c r="C526" s="37" t="str">
        <f ca="1">IFERROR(__xludf.DUMMYFUNCTION("""COMPUTED_VALUE"""),"")</f>
        <v/>
      </c>
      <c r="D526" s="33"/>
      <c r="G526" s="37"/>
    </row>
    <row r="527" spans="1:7" ht="12.5" x14ac:dyDescent="0.25">
      <c r="A527" s="33"/>
      <c r="B527" s="33"/>
      <c r="C527" s="37" t="str">
        <f ca="1">IFERROR(__xludf.DUMMYFUNCTION("""COMPUTED_VALUE"""),"")</f>
        <v/>
      </c>
      <c r="D527" s="33"/>
      <c r="G527" s="37"/>
    </row>
    <row r="528" spans="1:7" ht="12.5" x14ac:dyDescent="0.25">
      <c r="A528" s="33"/>
      <c r="B528" s="33"/>
      <c r="C528" s="37" t="str">
        <f ca="1">IFERROR(__xludf.DUMMYFUNCTION("""COMPUTED_VALUE"""),"")</f>
        <v/>
      </c>
      <c r="D528" s="33"/>
      <c r="G528" s="37"/>
    </row>
    <row r="529" spans="1:7" ht="12.5" x14ac:dyDescent="0.25">
      <c r="A529" s="33"/>
      <c r="B529" s="33"/>
      <c r="C529" s="37" t="str">
        <f ca="1">IFERROR(__xludf.DUMMYFUNCTION("""COMPUTED_VALUE"""),"")</f>
        <v/>
      </c>
      <c r="D529" s="33"/>
      <c r="G529" s="37"/>
    </row>
    <row r="530" spans="1:7" ht="12.5" x14ac:dyDescent="0.25">
      <c r="A530" s="33"/>
      <c r="B530" s="33"/>
      <c r="C530" s="37" t="str">
        <f ca="1">IFERROR(__xludf.DUMMYFUNCTION("""COMPUTED_VALUE"""),"")</f>
        <v/>
      </c>
      <c r="D530" s="33"/>
      <c r="G530" s="37"/>
    </row>
    <row r="531" spans="1:7" ht="12.5" x14ac:dyDescent="0.25">
      <c r="A531" s="33"/>
      <c r="B531" s="33"/>
      <c r="C531" s="37" t="str">
        <f ca="1">IFERROR(__xludf.DUMMYFUNCTION("""COMPUTED_VALUE"""),"")</f>
        <v/>
      </c>
      <c r="D531" s="33"/>
      <c r="G531" s="37"/>
    </row>
    <row r="532" spans="1:7" ht="12.5" x14ac:dyDescent="0.25">
      <c r="A532" s="33"/>
      <c r="B532" s="33"/>
      <c r="C532" s="37" t="str">
        <f ca="1">IFERROR(__xludf.DUMMYFUNCTION("""COMPUTED_VALUE"""),"")</f>
        <v/>
      </c>
      <c r="D532" s="33"/>
      <c r="G532" s="37"/>
    </row>
    <row r="533" spans="1:7" ht="12.5" x14ac:dyDescent="0.25">
      <c r="A533" s="33"/>
      <c r="B533" s="33"/>
      <c r="C533" s="37" t="str">
        <f ca="1">IFERROR(__xludf.DUMMYFUNCTION("""COMPUTED_VALUE"""),"")</f>
        <v/>
      </c>
      <c r="D533" s="33"/>
      <c r="G533" s="37"/>
    </row>
    <row r="534" spans="1:7" ht="12.5" x14ac:dyDescent="0.25">
      <c r="A534" s="33"/>
      <c r="B534" s="33"/>
      <c r="C534" s="37" t="str">
        <f ca="1">IFERROR(__xludf.DUMMYFUNCTION("""COMPUTED_VALUE"""),"")</f>
        <v/>
      </c>
      <c r="D534" s="33"/>
      <c r="G534" s="37"/>
    </row>
    <row r="535" spans="1:7" ht="12.5" x14ac:dyDescent="0.25">
      <c r="A535" s="33"/>
      <c r="B535" s="33"/>
      <c r="C535" s="37" t="str">
        <f ca="1">IFERROR(__xludf.DUMMYFUNCTION("""COMPUTED_VALUE"""),"")</f>
        <v/>
      </c>
      <c r="D535" s="33"/>
      <c r="G535" s="37"/>
    </row>
    <row r="536" spans="1:7" ht="12.5" x14ac:dyDescent="0.25">
      <c r="A536" s="33"/>
      <c r="B536" s="33"/>
      <c r="C536" s="37" t="str">
        <f ca="1">IFERROR(__xludf.DUMMYFUNCTION("""COMPUTED_VALUE"""),"")</f>
        <v/>
      </c>
      <c r="D536" s="33"/>
      <c r="G536" s="37"/>
    </row>
    <row r="537" spans="1:7" ht="12.5" x14ac:dyDescent="0.25">
      <c r="A537" s="33"/>
      <c r="B537" s="33"/>
      <c r="C537" s="37" t="str">
        <f ca="1">IFERROR(__xludf.DUMMYFUNCTION("""COMPUTED_VALUE"""),"")</f>
        <v/>
      </c>
      <c r="D537" s="33"/>
      <c r="G537" s="37"/>
    </row>
    <row r="538" spans="1:7" ht="12.5" x14ac:dyDescent="0.25">
      <c r="A538" s="33"/>
      <c r="B538" s="33"/>
      <c r="C538" s="37" t="str">
        <f ca="1">IFERROR(__xludf.DUMMYFUNCTION("""COMPUTED_VALUE"""),"")</f>
        <v/>
      </c>
      <c r="D538" s="33"/>
      <c r="G538" s="37"/>
    </row>
    <row r="539" spans="1:7" ht="12.5" x14ac:dyDescent="0.25">
      <c r="A539" s="33"/>
      <c r="B539" s="33"/>
      <c r="C539" s="37" t="str">
        <f ca="1">IFERROR(__xludf.DUMMYFUNCTION("""COMPUTED_VALUE"""),"")</f>
        <v/>
      </c>
      <c r="D539" s="33"/>
      <c r="G539" s="37"/>
    </row>
    <row r="540" spans="1:7" ht="12.5" x14ac:dyDescent="0.25">
      <c r="A540" s="33"/>
      <c r="B540" s="33"/>
      <c r="C540" s="37" t="str">
        <f ca="1">IFERROR(__xludf.DUMMYFUNCTION("""COMPUTED_VALUE"""),"")</f>
        <v/>
      </c>
      <c r="D540" s="33"/>
      <c r="G540" s="37"/>
    </row>
    <row r="541" spans="1:7" ht="12.5" x14ac:dyDescent="0.25">
      <c r="A541" s="33"/>
      <c r="B541" s="33"/>
      <c r="C541" s="37" t="str">
        <f ca="1">IFERROR(__xludf.DUMMYFUNCTION("""COMPUTED_VALUE"""),"")</f>
        <v/>
      </c>
      <c r="D541" s="33"/>
      <c r="G541" s="37"/>
    </row>
    <row r="542" spans="1:7" ht="12.5" x14ac:dyDescent="0.25">
      <c r="A542" s="33"/>
      <c r="B542" s="33"/>
      <c r="C542" s="37" t="str">
        <f ca="1">IFERROR(__xludf.DUMMYFUNCTION("""COMPUTED_VALUE"""),"")</f>
        <v/>
      </c>
      <c r="D542" s="33"/>
      <c r="G542" s="37"/>
    </row>
    <row r="543" spans="1:7" ht="12.5" x14ac:dyDescent="0.25">
      <c r="A543" s="33"/>
      <c r="B543" s="33"/>
      <c r="C543" s="37" t="str">
        <f ca="1">IFERROR(__xludf.DUMMYFUNCTION("""COMPUTED_VALUE"""),"")</f>
        <v/>
      </c>
      <c r="D543" s="33"/>
      <c r="G543" s="37"/>
    </row>
    <row r="544" spans="1:7" ht="12.5" x14ac:dyDescent="0.25">
      <c r="A544" s="33"/>
      <c r="B544" s="33"/>
      <c r="C544" s="37" t="str">
        <f ca="1">IFERROR(__xludf.DUMMYFUNCTION("""COMPUTED_VALUE"""),"")</f>
        <v/>
      </c>
      <c r="D544" s="33"/>
      <c r="G544" s="37"/>
    </row>
    <row r="545" spans="1:7" ht="12.5" x14ac:dyDescent="0.25">
      <c r="A545" s="33"/>
      <c r="B545" s="33"/>
      <c r="C545" s="37" t="str">
        <f ca="1">IFERROR(__xludf.DUMMYFUNCTION("""COMPUTED_VALUE"""),"")</f>
        <v/>
      </c>
      <c r="D545" s="33"/>
      <c r="G545" s="37"/>
    </row>
    <row r="546" spans="1:7" ht="12.5" x14ac:dyDescent="0.25">
      <c r="A546" s="33"/>
      <c r="B546" s="33"/>
      <c r="C546" s="37" t="str">
        <f ca="1">IFERROR(__xludf.DUMMYFUNCTION("""COMPUTED_VALUE"""),"")</f>
        <v/>
      </c>
      <c r="D546" s="33"/>
      <c r="G546" s="37"/>
    </row>
    <row r="547" spans="1:7" ht="12.5" x14ac:dyDescent="0.25">
      <c r="A547" s="33"/>
      <c r="B547" s="33"/>
      <c r="C547" s="37" t="str">
        <f ca="1">IFERROR(__xludf.DUMMYFUNCTION("""COMPUTED_VALUE"""),"")</f>
        <v/>
      </c>
      <c r="D547" s="33"/>
      <c r="G547" s="37"/>
    </row>
    <row r="548" spans="1:7" ht="12.5" x14ac:dyDescent="0.25">
      <c r="A548" s="33"/>
      <c r="B548" s="33"/>
      <c r="C548" s="37" t="str">
        <f ca="1">IFERROR(__xludf.DUMMYFUNCTION("""COMPUTED_VALUE"""),"")</f>
        <v/>
      </c>
      <c r="D548" s="33"/>
      <c r="G548" s="37"/>
    </row>
    <row r="549" spans="1:7" ht="12.5" x14ac:dyDescent="0.25">
      <c r="A549" s="33"/>
      <c r="B549" s="33"/>
      <c r="C549" s="37" t="str">
        <f ca="1">IFERROR(__xludf.DUMMYFUNCTION("""COMPUTED_VALUE"""),"")</f>
        <v/>
      </c>
      <c r="D549" s="33"/>
      <c r="G549" s="37"/>
    </row>
    <row r="550" spans="1:7" ht="12.5" x14ac:dyDescent="0.25">
      <c r="A550" s="33"/>
      <c r="B550" s="33"/>
      <c r="C550" s="37" t="str">
        <f ca="1">IFERROR(__xludf.DUMMYFUNCTION("""COMPUTED_VALUE"""),"")</f>
        <v/>
      </c>
      <c r="D550" s="33"/>
      <c r="G550" s="37"/>
    </row>
    <row r="551" spans="1:7" ht="12.5" x14ac:dyDescent="0.25">
      <c r="A551" s="33"/>
      <c r="B551" s="33"/>
      <c r="C551" s="37" t="str">
        <f ca="1">IFERROR(__xludf.DUMMYFUNCTION("""COMPUTED_VALUE"""),"")</f>
        <v/>
      </c>
      <c r="D551" s="33"/>
      <c r="G551" s="37"/>
    </row>
    <row r="552" spans="1:7" ht="12.5" x14ac:dyDescent="0.25">
      <c r="A552" s="33"/>
      <c r="B552" s="33"/>
      <c r="C552" s="37" t="str">
        <f ca="1">IFERROR(__xludf.DUMMYFUNCTION("""COMPUTED_VALUE"""),"")</f>
        <v/>
      </c>
      <c r="D552" s="33"/>
      <c r="G552" s="37"/>
    </row>
    <row r="553" spans="1:7" ht="12.5" x14ac:dyDescent="0.25">
      <c r="A553" s="33"/>
      <c r="B553" s="33"/>
      <c r="C553" s="37" t="str">
        <f ca="1">IFERROR(__xludf.DUMMYFUNCTION("""COMPUTED_VALUE"""),"")</f>
        <v/>
      </c>
      <c r="D553" s="33"/>
      <c r="G553" s="37"/>
    </row>
    <row r="554" spans="1:7" ht="12.5" x14ac:dyDescent="0.25">
      <c r="A554" s="33"/>
      <c r="B554" s="33"/>
      <c r="C554" s="37" t="str">
        <f ca="1">IFERROR(__xludf.DUMMYFUNCTION("""COMPUTED_VALUE"""),"")</f>
        <v/>
      </c>
      <c r="D554" s="33"/>
      <c r="G554" s="37"/>
    </row>
    <row r="555" spans="1:7" ht="12.5" x14ac:dyDescent="0.25">
      <c r="A555" s="33"/>
      <c r="B555" s="33"/>
      <c r="C555" s="37" t="str">
        <f ca="1">IFERROR(__xludf.DUMMYFUNCTION("""COMPUTED_VALUE"""),"")</f>
        <v/>
      </c>
      <c r="D555" s="33"/>
      <c r="G555" s="37"/>
    </row>
    <row r="556" spans="1:7" ht="12.5" x14ac:dyDescent="0.25">
      <c r="A556" s="33"/>
      <c r="B556" s="33"/>
      <c r="C556" s="37" t="str">
        <f ca="1">IFERROR(__xludf.DUMMYFUNCTION("""COMPUTED_VALUE"""),"")</f>
        <v/>
      </c>
      <c r="D556" s="33"/>
      <c r="G556" s="37"/>
    </row>
    <row r="557" spans="1:7" ht="12.5" x14ac:dyDescent="0.25">
      <c r="A557" s="33"/>
      <c r="B557" s="33"/>
      <c r="C557" s="37" t="str">
        <f ca="1">IFERROR(__xludf.DUMMYFUNCTION("""COMPUTED_VALUE"""),"")</f>
        <v/>
      </c>
      <c r="D557" s="33"/>
      <c r="G557" s="37"/>
    </row>
    <row r="558" spans="1:7" ht="12.5" x14ac:dyDescent="0.25">
      <c r="A558" s="33"/>
      <c r="B558" s="33"/>
      <c r="C558" s="37" t="str">
        <f ca="1">IFERROR(__xludf.DUMMYFUNCTION("""COMPUTED_VALUE"""),"")</f>
        <v/>
      </c>
      <c r="D558" s="33"/>
      <c r="G558" s="37"/>
    </row>
    <row r="559" spans="1:7" ht="12.5" x14ac:dyDescent="0.25">
      <c r="A559" s="33"/>
      <c r="B559" s="33"/>
      <c r="C559" s="37" t="str">
        <f ca="1">IFERROR(__xludf.DUMMYFUNCTION("""COMPUTED_VALUE"""),"")</f>
        <v/>
      </c>
      <c r="D559" s="33"/>
      <c r="G559" s="37"/>
    </row>
    <row r="560" spans="1:7" ht="12.5" x14ac:dyDescent="0.25">
      <c r="A560" s="33"/>
      <c r="B560" s="33"/>
      <c r="C560" s="37" t="str">
        <f ca="1">IFERROR(__xludf.DUMMYFUNCTION("""COMPUTED_VALUE"""),"")</f>
        <v/>
      </c>
      <c r="D560" s="33"/>
      <c r="G560" s="37"/>
    </row>
    <row r="561" spans="1:7" ht="12.5" x14ac:dyDescent="0.25">
      <c r="A561" s="33"/>
      <c r="B561" s="33"/>
      <c r="C561" s="37" t="str">
        <f ca="1">IFERROR(__xludf.DUMMYFUNCTION("""COMPUTED_VALUE"""),"")</f>
        <v/>
      </c>
      <c r="D561" s="33"/>
      <c r="G561" s="37"/>
    </row>
    <row r="562" spans="1:7" ht="12.5" x14ac:dyDescent="0.25">
      <c r="A562" s="33"/>
      <c r="B562" s="33"/>
      <c r="C562" s="37" t="str">
        <f ca="1">IFERROR(__xludf.DUMMYFUNCTION("""COMPUTED_VALUE"""),"")</f>
        <v/>
      </c>
      <c r="D562" s="33"/>
      <c r="G562" s="37"/>
    </row>
    <row r="563" spans="1:7" ht="12.5" x14ac:dyDescent="0.25">
      <c r="A563" s="33"/>
      <c r="B563" s="33"/>
      <c r="C563" s="37" t="str">
        <f ca="1">IFERROR(__xludf.DUMMYFUNCTION("""COMPUTED_VALUE"""),"")</f>
        <v/>
      </c>
      <c r="D563" s="33"/>
      <c r="G563" s="37"/>
    </row>
    <row r="564" spans="1:7" ht="12.5" x14ac:dyDescent="0.25">
      <c r="A564" s="33"/>
      <c r="B564" s="33"/>
      <c r="C564" s="37" t="str">
        <f ca="1">IFERROR(__xludf.DUMMYFUNCTION("""COMPUTED_VALUE"""),"")</f>
        <v/>
      </c>
      <c r="D564" s="33"/>
      <c r="G564" s="37"/>
    </row>
    <row r="565" spans="1:7" ht="12.5" x14ac:dyDescent="0.25">
      <c r="A565" s="33"/>
      <c r="B565" s="33"/>
      <c r="C565" s="37" t="str">
        <f ca="1">IFERROR(__xludf.DUMMYFUNCTION("""COMPUTED_VALUE"""),"")</f>
        <v/>
      </c>
      <c r="D565" s="33"/>
      <c r="G565" s="37"/>
    </row>
    <row r="566" spans="1:7" ht="12.5" x14ac:dyDescent="0.25">
      <c r="A566" s="33"/>
      <c r="B566" s="33"/>
      <c r="C566" s="37" t="str">
        <f ca="1">IFERROR(__xludf.DUMMYFUNCTION("""COMPUTED_VALUE"""),"")</f>
        <v/>
      </c>
      <c r="D566" s="33"/>
      <c r="G566" s="37"/>
    </row>
    <row r="567" spans="1:7" ht="12.5" x14ac:dyDescent="0.25">
      <c r="A567" s="33"/>
      <c r="B567" s="33"/>
      <c r="C567" s="37" t="str">
        <f ca="1">IFERROR(__xludf.DUMMYFUNCTION("""COMPUTED_VALUE"""),"")</f>
        <v/>
      </c>
      <c r="D567" s="33"/>
      <c r="G567" s="37"/>
    </row>
    <row r="568" spans="1:7" ht="12.5" x14ac:dyDescent="0.25">
      <c r="A568" s="33"/>
      <c r="B568" s="33"/>
      <c r="C568" s="37" t="str">
        <f ca="1">IFERROR(__xludf.DUMMYFUNCTION("""COMPUTED_VALUE"""),"")</f>
        <v/>
      </c>
      <c r="D568" s="33"/>
      <c r="G568" s="37"/>
    </row>
    <row r="569" spans="1:7" ht="12.5" x14ac:dyDescent="0.25">
      <c r="A569" s="33"/>
      <c r="B569" s="33"/>
      <c r="C569" s="37" t="str">
        <f ca="1">IFERROR(__xludf.DUMMYFUNCTION("""COMPUTED_VALUE"""),"")</f>
        <v/>
      </c>
      <c r="D569" s="33"/>
      <c r="G569" s="37"/>
    </row>
    <row r="570" spans="1:7" ht="12.5" x14ac:dyDescent="0.25">
      <c r="A570" s="33"/>
      <c r="B570" s="33"/>
      <c r="C570" s="37" t="str">
        <f ca="1">IFERROR(__xludf.DUMMYFUNCTION("""COMPUTED_VALUE"""),"")</f>
        <v/>
      </c>
      <c r="D570" s="33"/>
      <c r="G570" s="37"/>
    </row>
    <row r="571" spans="1:7" ht="12.5" x14ac:dyDescent="0.25">
      <c r="A571" s="33"/>
      <c r="B571" s="33"/>
      <c r="C571" s="37" t="str">
        <f ca="1">IFERROR(__xludf.DUMMYFUNCTION("""COMPUTED_VALUE"""),"")</f>
        <v/>
      </c>
      <c r="D571" s="33"/>
      <c r="G571" s="37"/>
    </row>
    <row r="572" spans="1:7" ht="12.5" x14ac:dyDescent="0.25">
      <c r="A572" s="33"/>
      <c r="B572" s="33"/>
      <c r="C572" s="37" t="str">
        <f ca="1">IFERROR(__xludf.DUMMYFUNCTION("""COMPUTED_VALUE"""),"")</f>
        <v/>
      </c>
      <c r="D572" s="33"/>
      <c r="G572" s="37"/>
    </row>
    <row r="573" spans="1:7" ht="12.5" x14ac:dyDescent="0.25">
      <c r="A573" s="33"/>
      <c r="B573" s="33"/>
      <c r="C573" s="37" t="str">
        <f ca="1">IFERROR(__xludf.DUMMYFUNCTION("""COMPUTED_VALUE"""),"")</f>
        <v/>
      </c>
      <c r="D573" s="33"/>
      <c r="G573" s="37"/>
    </row>
    <row r="574" spans="1:7" ht="12.5" x14ac:dyDescent="0.25">
      <c r="A574" s="33"/>
      <c r="B574" s="33"/>
      <c r="C574" s="37" t="str">
        <f ca="1">IFERROR(__xludf.DUMMYFUNCTION("""COMPUTED_VALUE"""),"")</f>
        <v/>
      </c>
      <c r="D574" s="33"/>
      <c r="G574" s="37"/>
    </row>
    <row r="575" spans="1:7" ht="12.5" x14ac:dyDescent="0.25">
      <c r="A575" s="33"/>
      <c r="B575" s="33"/>
      <c r="C575" s="37" t="str">
        <f ca="1">IFERROR(__xludf.DUMMYFUNCTION("""COMPUTED_VALUE"""),"")</f>
        <v/>
      </c>
      <c r="D575" s="33"/>
      <c r="G575" s="37"/>
    </row>
    <row r="576" spans="1:7" ht="12.5" x14ac:dyDescent="0.25">
      <c r="A576" s="33"/>
      <c r="B576" s="33"/>
      <c r="C576" s="37" t="str">
        <f ca="1">IFERROR(__xludf.DUMMYFUNCTION("""COMPUTED_VALUE"""),"")</f>
        <v/>
      </c>
      <c r="D576" s="33"/>
      <c r="G576" s="37"/>
    </row>
    <row r="577" spans="1:7" ht="12.5" x14ac:dyDescent="0.25">
      <c r="A577" s="33"/>
      <c r="B577" s="33"/>
      <c r="C577" s="37" t="str">
        <f ca="1">IFERROR(__xludf.DUMMYFUNCTION("""COMPUTED_VALUE"""),"")</f>
        <v/>
      </c>
      <c r="D577" s="33"/>
      <c r="G577" s="37"/>
    </row>
    <row r="578" spans="1:7" ht="12.5" x14ac:dyDescent="0.25">
      <c r="A578" s="33"/>
      <c r="B578" s="33"/>
      <c r="C578" s="37" t="str">
        <f ca="1">IFERROR(__xludf.DUMMYFUNCTION("""COMPUTED_VALUE"""),"")</f>
        <v/>
      </c>
      <c r="D578" s="33"/>
      <c r="G578" s="37"/>
    </row>
    <row r="579" spans="1:7" ht="12.5" x14ac:dyDescent="0.25">
      <c r="A579" s="33"/>
      <c r="B579" s="33"/>
      <c r="C579" s="37" t="str">
        <f ca="1">IFERROR(__xludf.DUMMYFUNCTION("""COMPUTED_VALUE"""),"")</f>
        <v/>
      </c>
      <c r="D579" s="33"/>
      <c r="G579" s="37"/>
    </row>
    <row r="580" spans="1:7" ht="12.5" x14ac:dyDescent="0.25">
      <c r="A580" s="33"/>
      <c r="B580" s="33"/>
      <c r="C580" s="37" t="str">
        <f ca="1">IFERROR(__xludf.DUMMYFUNCTION("""COMPUTED_VALUE"""),"")</f>
        <v/>
      </c>
      <c r="D580" s="33"/>
      <c r="G580" s="37"/>
    </row>
    <row r="581" spans="1:7" ht="12.5" x14ac:dyDescent="0.25">
      <c r="A581" s="33"/>
      <c r="B581" s="33"/>
      <c r="C581" s="37" t="str">
        <f ca="1">IFERROR(__xludf.DUMMYFUNCTION("""COMPUTED_VALUE"""),"")</f>
        <v/>
      </c>
      <c r="D581" s="33"/>
      <c r="G581" s="37"/>
    </row>
    <row r="582" spans="1:7" ht="12.5" x14ac:dyDescent="0.25">
      <c r="A582" s="33"/>
      <c r="B582" s="33"/>
      <c r="C582" s="37" t="str">
        <f ca="1">IFERROR(__xludf.DUMMYFUNCTION("""COMPUTED_VALUE"""),"")</f>
        <v/>
      </c>
      <c r="D582" s="33"/>
      <c r="G582" s="37"/>
    </row>
    <row r="583" spans="1:7" ht="12.5" x14ac:dyDescent="0.25">
      <c r="A583" s="33"/>
      <c r="B583" s="33"/>
      <c r="C583" s="37" t="str">
        <f ca="1">IFERROR(__xludf.DUMMYFUNCTION("""COMPUTED_VALUE"""),"")</f>
        <v/>
      </c>
      <c r="D583" s="33"/>
      <c r="G583" s="37"/>
    </row>
    <row r="584" spans="1:7" ht="12.5" x14ac:dyDescent="0.25">
      <c r="A584" s="33"/>
      <c r="B584" s="33"/>
      <c r="C584" s="37" t="str">
        <f ca="1">IFERROR(__xludf.DUMMYFUNCTION("""COMPUTED_VALUE"""),"")</f>
        <v/>
      </c>
      <c r="D584" s="33"/>
      <c r="G584" s="37"/>
    </row>
    <row r="585" spans="1:7" ht="12.5" x14ac:dyDescent="0.25">
      <c r="A585" s="33"/>
      <c r="B585" s="33"/>
      <c r="C585" s="37" t="str">
        <f ca="1">IFERROR(__xludf.DUMMYFUNCTION("""COMPUTED_VALUE"""),"")</f>
        <v/>
      </c>
      <c r="D585" s="33"/>
      <c r="G585" s="37"/>
    </row>
    <row r="586" spans="1:7" ht="12.5" x14ac:dyDescent="0.25">
      <c r="A586" s="33"/>
      <c r="B586" s="33"/>
      <c r="C586" s="37" t="str">
        <f ca="1">IFERROR(__xludf.DUMMYFUNCTION("""COMPUTED_VALUE"""),"")</f>
        <v/>
      </c>
      <c r="D586" s="33"/>
      <c r="G586" s="37"/>
    </row>
    <row r="587" spans="1:7" ht="12.5" x14ac:dyDescent="0.25">
      <c r="A587" s="33"/>
      <c r="B587" s="33"/>
      <c r="C587" s="37" t="str">
        <f ca="1">IFERROR(__xludf.DUMMYFUNCTION("""COMPUTED_VALUE"""),"")</f>
        <v/>
      </c>
      <c r="D587" s="33"/>
      <c r="G587" s="37"/>
    </row>
    <row r="588" spans="1:7" ht="12.5" x14ac:dyDescent="0.25">
      <c r="A588" s="33"/>
      <c r="B588" s="33"/>
      <c r="C588" s="37" t="str">
        <f ca="1">IFERROR(__xludf.DUMMYFUNCTION("""COMPUTED_VALUE"""),"")</f>
        <v/>
      </c>
      <c r="D588" s="33"/>
      <c r="G588" s="37"/>
    </row>
    <row r="589" spans="1:7" ht="12.5" x14ac:dyDescent="0.25">
      <c r="A589" s="33"/>
      <c r="B589" s="33"/>
      <c r="C589" s="37" t="str">
        <f ca="1">IFERROR(__xludf.DUMMYFUNCTION("""COMPUTED_VALUE"""),"")</f>
        <v/>
      </c>
      <c r="D589" s="33"/>
      <c r="G589" s="37"/>
    </row>
    <row r="590" spans="1:7" ht="12.5" x14ac:dyDescent="0.25">
      <c r="A590" s="33"/>
      <c r="B590" s="33"/>
      <c r="C590" s="37" t="str">
        <f ca="1">IFERROR(__xludf.DUMMYFUNCTION("""COMPUTED_VALUE"""),"")</f>
        <v/>
      </c>
      <c r="D590" s="33"/>
      <c r="G590" s="37"/>
    </row>
    <row r="591" spans="1:7" ht="12.5" x14ac:dyDescent="0.25">
      <c r="A591" s="33"/>
      <c r="B591" s="33"/>
      <c r="C591" s="37" t="str">
        <f ca="1">IFERROR(__xludf.DUMMYFUNCTION("""COMPUTED_VALUE"""),"")</f>
        <v/>
      </c>
      <c r="D591" s="33"/>
      <c r="G591" s="37"/>
    </row>
    <row r="592" spans="1:7" ht="12.5" x14ac:dyDescent="0.25">
      <c r="A592" s="33"/>
      <c r="B592" s="33"/>
      <c r="C592" s="37" t="str">
        <f ca="1">IFERROR(__xludf.DUMMYFUNCTION("""COMPUTED_VALUE"""),"")</f>
        <v/>
      </c>
      <c r="D592" s="33"/>
      <c r="G592" s="37"/>
    </row>
    <row r="593" spans="1:7" ht="12.5" x14ac:dyDescent="0.25">
      <c r="A593" s="33"/>
      <c r="B593" s="33"/>
      <c r="C593" s="37" t="str">
        <f ca="1">IFERROR(__xludf.DUMMYFUNCTION("""COMPUTED_VALUE"""),"")</f>
        <v/>
      </c>
      <c r="D593" s="33"/>
      <c r="G593" s="37"/>
    </row>
    <row r="594" spans="1:7" ht="12.5" x14ac:dyDescent="0.25">
      <c r="A594" s="33"/>
      <c r="B594" s="33"/>
      <c r="C594" s="37" t="str">
        <f ca="1">IFERROR(__xludf.DUMMYFUNCTION("""COMPUTED_VALUE"""),"")</f>
        <v/>
      </c>
      <c r="D594" s="33"/>
      <c r="G594" s="37"/>
    </row>
    <row r="595" spans="1:7" ht="12.5" x14ac:dyDescent="0.25">
      <c r="A595" s="33"/>
      <c r="B595" s="33"/>
      <c r="C595" s="37" t="str">
        <f ca="1">IFERROR(__xludf.DUMMYFUNCTION("""COMPUTED_VALUE"""),"")</f>
        <v/>
      </c>
      <c r="D595" s="33"/>
      <c r="G595" s="37"/>
    </row>
    <row r="596" spans="1:7" ht="12.5" x14ac:dyDescent="0.25">
      <c r="A596" s="33"/>
      <c r="B596" s="33"/>
      <c r="C596" s="37" t="str">
        <f ca="1">IFERROR(__xludf.DUMMYFUNCTION("""COMPUTED_VALUE"""),"")</f>
        <v/>
      </c>
      <c r="D596" s="33"/>
      <c r="G596" s="37"/>
    </row>
    <row r="597" spans="1:7" ht="12.5" x14ac:dyDescent="0.25">
      <c r="A597" s="33"/>
      <c r="B597" s="33"/>
      <c r="C597" s="37" t="str">
        <f ca="1">IFERROR(__xludf.DUMMYFUNCTION("""COMPUTED_VALUE"""),"")</f>
        <v/>
      </c>
      <c r="D597" s="33"/>
      <c r="G597" s="37"/>
    </row>
    <row r="598" spans="1:7" ht="12.5" x14ac:dyDescent="0.25">
      <c r="A598" s="33"/>
      <c r="B598" s="33"/>
      <c r="C598" s="37" t="str">
        <f ca="1">IFERROR(__xludf.DUMMYFUNCTION("""COMPUTED_VALUE"""),"")</f>
        <v/>
      </c>
      <c r="D598" s="33"/>
      <c r="G598" s="37"/>
    </row>
    <row r="599" spans="1:7" ht="12.5" x14ac:dyDescent="0.25">
      <c r="A599" s="33"/>
      <c r="B599" s="33"/>
      <c r="C599" s="37" t="str">
        <f ca="1">IFERROR(__xludf.DUMMYFUNCTION("""COMPUTED_VALUE"""),"")</f>
        <v/>
      </c>
      <c r="D599" s="33"/>
      <c r="G599" s="37"/>
    </row>
    <row r="600" spans="1:7" ht="12.5" x14ac:dyDescent="0.25">
      <c r="A600" s="33"/>
      <c r="B600" s="33"/>
      <c r="C600" s="37" t="str">
        <f ca="1">IFERROR(__xludf.DUMMYFUNCTION("""COMPUTED_VALUE"""),"")</f>
        <v/>
      </c>
      <c r="D600" s="33"/>
      <c r="G600" s="37"/>
    </row>
    <row r="601" spans="1:7" ht="12.5" x14ac:dyDescent="0.25">
      <c r="A601" s="33"/>
      <c r="B601" s="33"/>
      <c r="C601" s="37" t="str">
        <f ca="1">IFERROR(__xludf.DUMMYFUNCTION("""COMPUTED_VALUE"""),"")</f>
        <v/>
      </c>
      <c r="D601" s="33"/>
      <c r="G601" s="37"/>
    </row>
    <row r="602" spans="1:7" ht="12.5" x14ac:dyDescent="0.25">
      <c r="A602" s="33"/>
      <c r="B602" s="33"/>
      <c r="C602" s="37" t="str">
        <f ca="1">IFERROR(__xludf.DUMMYFUNCTION("""COMPUTED_VALUE"""),"")</f>
        <v/>
      </c>
      <c r="D602" s="33"/>
      <c r="G602" s="37"/>
    </row>
    <row r="603" spans="1:7" ht="12.5" x14ac:dyDescent="0.25">
      <c r="A603" s="33"/>
      <c r="B603" s="33"/>
      <c r="C603" s="37" t="str">
        <f ca="1">IFERROR(__xludf.DUMMYFUNCTION("""COMPUTED_VALUE"""),"")</f>
        <v/>
      </c>
      <c r="D603" s="33"/>
      <c r="G603" s="37"/>
    </row>
    <row r="604" spans="1:7" ht="12.5" x14ac:dyDescent="0.25">
      <c r="A604" s="33"/>
      <c r="B604" s="33"/>
      <c r="C604" s="37" t="str">
        <f ca="1">IFERROR(__xludf.DUMMYFUNCTION("""COMPUTED_VALUE"""),"")</f>
        <v/>
      </c>
      <c r="D604" s="33"/>
      <c r="G604" s="37"/>
    </row>
    <row r="605" spans="1:7" ht="12.5" x14ac:dyDescent="0.25">
      <c r="A605" s="33"/>
      <c r="B605" s="33"/>
      <c r="C605" s="37" t="str">
        <f ca="1">IFERROR(__xludf.DUMMYFUNCTION("""COMPUTED_VALUE"""),"")</f>
        <v/>
      </c>
      <c r="D605" s="33"/>
      <c r="G605" s="37"/>
    </row>
    <row r="606" spans="1:7" ht="12.5" x14ac:dyDescent="0.25">
      <c r="A606" s="33"/>
      <c r="B606" s="33"/>
      <c r="C606" s="37" t="str">
        <f ca="1">IFERROR(__xludf.DUMMYFUNCTION("""COMPUTED_VALUE"""),"")</f>
        <v/>
      </c>
      <c r="D606" s="33"/>
      <c r="G606" s="37"/>
    </row>
    <row r="607" spans="1:7" ht="12.5" x14ac:dyDescent="0.25">
      <c r="A607" s="33"/>
      <c r="B607" s="33"/>
      <c r="C607" s="37" t="str">
        <f ca="1">IFERROR(__xludf.DUMMYFUNCTION("""COMPUTED_VALUE"""),"")</f>
        <v/>
      </c>
      <c r="D607" s="33"/>
      <c r="G607" s="37"/>
    </row>
    <row r="608" spans="1:7" ht="12.5" x14ac:dyDescent="0.25">
      <c r="A608" s="33"/>
      <c r="B608" s="33"/>
      <c r="C608" s="37" t="str">
        <f ca="1">IFERROR(__xludf.DUMMYFUNCTION("""COMPUTED_VALUE"""),"")</f>
        <v/>
      </c>
      <c r="D608" s="33"/>
      <c r="G608" s="37"/>
    </row>
    <row r="609" spans="1:7" ht="12.5" x14ac:dyDescent="0.25">
      <c r="A609" s="33"/>
      <c r="B609" s="33"/>
      <c r="C609" s="37" t="str">
        <f ca="1">IFERROR(__xludf.DUMMYFUNCTION("""COMPUTED_VALUE"""),"")</f>
        <v/>
      </c>
      <c r="D609" s="33"/>
      <c r="G609" s="37"/>
    </row>
    <row r="610" spans="1:7" ht="12.5" x14ac:dyDescent="0.25">
      <c r="A610" s="33"/>
      <c r="B610" s="33"/>
      <c r="C610" s="37" t="str">
        <f ca="1">IFERROR(__xludf.DUMMYFUNCTION("""COMPUTED_VALUE"""),"")</f>
        <v/>
      </c>
      <c r="D610" s="33"/>
      <c r="G610" s="37"/>
    </row>
    <row r="611" spans="1:7" ht="12.5" x14ac:dyDescent="0.25">
      <c r="A611" s="33"/>
      <c r="B611" s="33"/>
      <c r="C611" s="37" t="str">
        <f ca="1">IFERROR(__xludf.DUMMYFUNCTION("""COMPUTED_VALUE"""),"")</f>
        <v/>
      </c>
      <c r="D611" s="33"/>
      <c r="G611" s="37"/>
    </row>
    <row r="612" spans="1:7" ht="12.5" x14ac:dyDescent="0.25">
      <c r="A612" s="33"/>
      <c r="B612" s="33"/>
      <c r="C612" s="37" t="str">
        <f ca="1">IFERROR(__xludf.DUMMYFUNCTION("""COMPUTED_VALUE"""),"")</f>
        <v/>
      </c>
      <c r="D612" s="33"/>
      <c r="G612" s="37"/>
    </row>
    <row r="613" spans="1:7" ht="12.5" x14ac:dyDescent="0.25">
      <c r="A613" s="33"/>
      <c r="B613" s="33"/>
      <c r="C613" s="37" t="str">
        <f ca="1">IFERROR(__xludf.DUMMYFUNCTION("""COMPUTED_VALUE"""),"")</f>
        <v/>
      </c>
      <c r="D613" s="33"/>
      <c r="G613" s="37"/>
    </row>
    <row r="614" spans="1:7" ht="12.5" x14ac:dyDescent="0.25">
      <c r="A614" s="33"/>
      <c r="B614" s="33"/>
      <c r="C614" s="37" t="str">
        <f ca="1">IFERROR(__xludf.DUMMYFUNCTION("""COMPUTED_VALUE"""),"")</f>
        <v/>
      </c>
      <c r="D614" s="33"/>
      <c r="G614" s="37"/>
    </row>
    <row r="615" spans="1:7" ht="12.5" x14ac:dyDescent="0.25">
      <c r="A615" s="33"/>
      <c r="B615" s="33"/>
      <c r="C615" s="37" t="str">
        <f ca="1">IFERROR(__xludf.DUMMYFUNCTION("""COMPUTED_VALUE"""),"")</f>
        <v/>
      </c>
      <c r="D615" s="33"/>
      <c r="G615" s="37"/>
    </row>
    <row r="616" spans="1:7" ht="12.5" x14ac:dyDescent="0.25">
      <c r="A616" s="33"/>
      <c r="B616" s="33"/>
      <c r="C616" s="37" t="str">
        <f ca="1">IFERROR(__xludf.DUMMYFUNCTION("""COMPUTED_VALUE"""),"")</f>
        <v/>
      </c>
      <c r="D616" s="33"/>
      <c r="G616" s="37"/>
    </row>
    <row r="617" spans="1:7" ht="12.5" x14ac:dyDescent="0.25">
      <c r="A617" s="33"/>
      <c r="B617" s="33"/>
      <c r="C617" s="37" t="str">
        <f ca="1">IFERROR(__xludf.DUMMYFUNCTION("""COMPUTED_VALUE"""),"")</f>
        <v/>
      </c>
      <c r="D617" s="33"/>
      <c r="G617" s="37"/>
    </row>
    <row r="618" spans="1:7" ht="12.5" x14ac:dyDescent="0.25">
      <c r="A618" s="33"/>
      <c r="B618" s="33"/>
      <c r="C618" s="37" t="str">
        <f ca="1">IFERROR(__xludf.DUMMYFUNCTION("""COMPUTED_VALUE"""),"")</f>
        <v/>
      </c>
      <c r="D618" s="33"/>
      <c r="G618" s="37"/>
    </row>
    <row r="619" spans="1:7" ht="12.5" x14ac:dyDescent="0.25">
      <c r="A619" s="33"/>
      <c r="B619" s="33"/>
      <c r="C619" s="37" t="str">
        <f ca="1">IFERROR(__xludf.DUMMYFUNCTION("""COMPUTED_VALUE"""),"")</f>
        <v/>
      </c>
      <c r="D619" s="33"/>
      <c r="G619" s="37"/>
    </row>
    <row r="620" spans="1:7" ht="12.5" x14ac:dyDescent="0.25">
      <c r="A620" s="33"/>
      <c r="B620" s="33"/>
      <c r="C620" s="37" t="str">
        <f ca="1">IFERROR(__xludf.DUMMYFUNCTION("""COMPUTED_VALUE"""),"")</f>
        <v/>
      </c>
      <c r="D620" s="33"/>
      <c r="G620" s="37"/>
    </row>
    <row r="621" spans="1:7" ht="12.5" x14ac:dyDescent="0.25">
      <c r="A621" s="33"/>
      <c r="B621" s="33"/>
      <c r="C621" s="37" t="str">
        <f ca="1">IFERROR(__xludf.DUMMYFUNCTION("""COMPUTED_VALUE"""),"")</f>
        <v/>
      </c>
      <c r="D621" s="33"/>
      <c r="G621" s="37"/>
    </row>
    <row r="622" spans="1:7" ht="12.5" x14ac:dyDescent="0.25">
      <c r="A622" s="33"/>
      <c r="B622" s="33"/>
      <c r="C622" s="37" t="str">
        <f ca="1">IFERROR(__xludf.DUMMYFUNCTION("""COMPUTED_VALUE"""),"")</f>
        <v/>
      </c>
      <c r="D622" s="33"/>
      <c r="G622" s="37"/>
    </row>
    <row r="623" spans="1:7" ht="12.5" x14ac:dyDescent="0.25">
      <c r="A623" s="33"/>
      <c r="B623" s="33"/>
      <c r="C623" s="37" t="str">
        <f ca="1">IFERROR(__xludf.DUMMYFUNCTION("""COMPUTED_VALUE"""),"")</f>
        <v/>
      </c>
      <c r="D623" s="33"/>
      <c r="G623" s="37"/>
    </row>
    <row r="624" spans="1:7" ht="12.5" x14ac:dyDescent="0.25">
      <c r="A624" s="33"/>
      <c r="B624" s="33"/>
      <c r="C624" s="37" t="str">
        <f ca="1">IFERROR(__xludf.DUMMYFUNCTION("""COMPUTED_VALUE"""),"")</f>
        <v/>
      </c>
      <c r="D624" s="33"/>
      <c r="G624" s="37"/>
    </row>
    <row r="625" spans="1:7" ht="12.5" x14ac:dyDescent="0.25">
      <c r="A625" s="33"/>
      <c r="B625" s="33"/>
      <c r="C625" s="37" t="str">
        <f ca="1">IFERROR(__xludf.DUMMYFUNCTION("""COMPUTED_VALUE"""),"")</f>
        <v/>
      </c>
      <c r="D625" s="33"/>
      <c r="G625" s="37"/>
    </row>
    <row r="626" spans="1:7" ht="12.5" x14ac:dyDescent="0.25">
      <c r="A626" s="33"/>
      <c r="B626" s="33"/>
      <c r="C626" s="37" t="str">
        <f ca="1">IFERROR(__xludf.DUMMYFUNCTION("""COMPUTED_VALUE"""),"")</f>
        <v/>
      </c>
      <c r="D626" s="33"/>
      <c r="G626" s="37"/>
    </row>
    <row r="627" spans="1:7" ht="12.5" x14ac:dyDescent="0.25">
      <c r="A627" s="33"/>
      <c r="B627" s="33"/>
      <c r="C627" s="37" t="str">
        <f ca="1">IFERROR(__xludf.DUMMYFUNCTION("""COMPUTED_VALUE"""),"")</f>
        <v/>
      </c>
      <c r="D627" s="33"/>
      <c r="G627" s="37"/>
    </row>
    <row r="628" spans="1:7" ht="12.5" x14ac:dyDescent="0.25">
      <c r="A628" s="33"/>
      <c r="B628" s="33"/>
      <c r="C628" s="37" t="str">
        <f ca="1">IFERROR(__xludf.DUMMYFUNCTION("""COMPUTED_VALUE"""),"")</f>
        <v/>
      </c>
      <c r="D628" s="33"/>
      <c r="G628" s="37"/>
    </row>
    <row r="629" spans="1:7" ht="12.5" x14ac:dyDescent="0.25">
      <c r="A629" s="33"/>
      <c r="B629" s="33"/>
      <c r="C629" s="37" t="str">
        <f ca="1">IFERROR(__xludf.DUMMYFUNCTION("""COMPUTED_VALUE"""),"")</f>
        <v/>
      </c>
      <c r="D629" s="33"/>
      <c r="G629" s="37"/>
    </row>
    <row r="630" spans="1:7" ht="12.5" x14ac:dyDescent="0.25">
      <c r="A630" s="33"/>
      <c r="B630" s="33"/>
      <c r="C630" s="37" t="str">
        <f ca="1">IFERROR(__xludf.DUMMYFUNCTION("""COMPUTED_VALUE"""),"")</f>
        <v/>
      </c>
      <c r="D630" s="33"/>
      <c r="G630" s="37"/>
    </row>
    <row r="631" spans="1:7" ht="12.5" x14ac:dyDescent="0.25">
      <c r="A631" s="33"/>
      <c r="B631" s="33"/>
      <c r="C631" s="37" t="str">
        <f ca="1">IFERROR(__xludf.DUMMYFUNCTION("""COMPUTED_VALUE"""),"")</f>
        <v/>
      </c>
      <c r="D631" s="33"/>
      <c r="G631" s="37"/>
    </row>
    <row r="632" spans="1:7" ht="12.5" x14ac:dyDescent="0.25">
      <c r="A632" s="33"/>
      <c r="B632" s="33"/>
      <c r="C632" s="37" t="str">
        <f ca="1">IFERROR(__xludf.DUMMYFUNCTION("""COMPUTED_VALUE"""),"")</f>
        <v/>
      </c>
      <c r="D632" s="33"/>
      <c r="G632" s="37"/>
    </row>
    <row r="633" spans="1:7" ht="12.5" x14ac:dyDescent="0.25">
      <c r="A633" s="33"/>
      <c r="B633" s="33"/>
      <c r="C633" s="37" t="str">
        <f ca="1">IFERROR(__xludf.DUMMYFUNCTION("""COMPUTED_VALUE"""),"")</f>
        <v/>
      </c>
      <c r="D633" s="33"/>
      <c r="G633" s="37"/>
    </row>
    <row r="634" spans="1:7" ht="12.5" x14ac:dyDescent="0.25">
      <c r="A634" s="33"/>
      <c r="B634" s="33"/>
      <c r="C634" s="37" t="str">
        <f ca="1">IFERROR(__xludf.DUMMYFUNCTION("""COMPUTED_VALUE"""),"")</f>
        <v/>
      </c>
      <c r="D634" s="33"/>
      <c r="G634" s="37"/>
    </row>
    <row r="635" spans="1:7" ht="12.5" x14ac:dyDescent="0.25">
      <c r="A635" s="33"/>
      <c r="B635" s="33"/>
      <c r="C635" s="37" t="str">
        <f ca="1">IFERROR(__xludf.DUMMYFUNCTION("""COMPUTED_VALUE"""),"")</f>
        <v/>
      </c>
      <c r="D635" s="33"/>
      <c r="G635" s="37"/>
    </row>
    <row r="636" spans="1:7" ht="12.5" x14ac:dyDescent="0.25">
      <c r="A636" s="33"/>
      <c r="B636" s="33"/>
      <c r="C636" s="37" t="str">
        <f ca="1">IFERROR(__xludf.DUMMYFUNCTION("""COMPUTED_VALUE"""),"")</f>
        <v/>
      </c>
      <c r="D636" s="33"/>
      <c r="G636" s="37"/>
    </row>
    <row r="637" spans="1:7" ht="12.5" x14ac:dyDescent="0.25">
      <c r="A637" s="33"/>
      <c r="B637" s="33"/>
      <c r="C637" s="37" t="str">
        <f ca="1">IFERROR(__xludf.DUMMYFUNCTION("""COMPUTED_VALUE"""),"")</f>
        <v/>
      </c>
      <c r="D637" s="33"/>
      <c r="G637" s="37"/>
    </row>
    <row r="638" spans="1:7" ht="12.5" x14ac:dyDescent="0.25">
      <c r="A638" s="33"/>
      <c r="B638" s="33"/>
      <c r="C638" s="37" t="str">
        <f ca="1">IFERROR(__xludf.DUMMYFUNCTION("""COMPUTED_VALUE"""),"")</f>
        <v/>
      </c>
      <c r="D638" s="33"/>
      <c r="G638" s="37"/>
    </row>
    <row r="639" spans="1:7" ht="12.5" x14ac:dyDescent="0.25">
      <c r="A639" s="33"/>
      <c r="B639" s="33"/>
      <c r="C639" s="37" t="str">
        <f ca="1">IFERROR(__xludf.DUMMYFUNCTION("""COMPUTED_VALUE"""),"")</f>
        <v/>
      </c>
      <c r="D639" s="33"/>
      <c r="G639" s="37"/>
    </row>
    <row r="640" spans="1:7" ht="12.5" x14ac:dyDescent="0.25">
      <c r="A640" s="33"/>
      <c r="B640" s="33"/>
      <c r="C640" s="37" t="str">
        <f ca="1">IFERROR(__xludf.DUMMYFUNCTION("""COMPUTED_VALUE"""),"")</f>
        <v/>
      </c>
      <c r="D640" s="33"/>
      <c r="G640" s="37"/>
    </row>
    <row r="641" spans="1:7" ht="12.5" x14ac:dyDescent="0.25">
      <c r="A641" s="33"/>
      <c r="B641" s="33"/>
      <c r="C641" s="37" t="str">
        <f ca="1">IFERROR(__xludf.DUMMYFUNCTION("""COMPUTED_VALUE"""),"")</f>
        <v/>
      </c>
      <c r="D641" s="33"/>
      <c r="G641" s="37"/>
    </row>
    <row r="642" spans="1:7" ht="12.5" x14ac:dyDescent="0.25">
      <c r="A642" s="33"/>
      <c r="B642" s="33"/>
      <c r="C642" s="37" t="str">
        <f ca="1">IFERROR(__xludf.DUMMYFUNCTION("""COMPUTED_VALUE"""),"")</f>
        <v/>
      </c>
      <c r="D642" s="33"/>
      <c r="G642" s="37"/>
    </row>
    <row r="643" spans="1:7" ht="12.5" x14ac:dyDescent="0.25">
      <c r="A643" s="33"/>
      <c r="B643" s="33"/>
      <c r="C643" s="37" t="str">
        <f ca="1">IFERROR(__xludf.DUMMYFUNCTION("""COMPUTED_VALUE"""),"")</f>
        <v/>
      </c>
      <c r="D643" s="33"/>
      <c r="G643" s="37"/>
    </row>
    <row r="644" spans="1:7" ht="12.5" x14ac:dyDescent="0.25">
      <c r="A644" s="33"/>
      <c r="B644" s="33"/>
      <c r="C644" s="37" t="str">
        <f ca="1">IFERROR(__xludf.DUMMYFUNCTION("""COMPUTED_VALUE"""),"")</f>
        <v/>
      </c>
      <c r="D644" s="33"/>
      <c r="G644" s="37"/>
    </row>
    <row r="645" spans="1:7" ht="12.5" x14ac:dyDescent="0.25">
      <c r="A645" s="33"/>
      <c r="B645" s="33"/>
      <c r="C645" s="37" t="str">
        <f ca="1">IFERROR(__xludf.DUMMYFUNCTION("""COMPUTED_VALUE"""),"")</f>
        <v/>
      </c>
      <c r="D645" s="33"/>
      <c r="G645" s="37"/>
    </row>
    <row r="646" spans="1:7" ht="12.5" x14ac:dyDescent="0.25">
      <c r="A646" s="33"/>
      <c r="B646" s="33"/>
      <c r="C646" s="37" t="str">
        <f ca="1">IFERROR(__xludf.DUMMYFUNCTION("""COMPUTED_VALUE"""),"")</f>
        <v/>
      </c>
      <c r="D646" s="33"/>
      <c r="G646" s="37"/>
    </row>
    <row r="647" spans="1:7" ht="12.5" x14ac:dyDescent="0.25">
      <c r="A647" s="33"/>
      <c r="B647" s="33"/>
      <c r="C647" s="37" t="str">
        <f ca="1">IFERROR(__xludf.DUMMYFUNCTION("""COMPUTED_VALUE"""),"")</f>
        <v/>
      </c>
      <c r="D647" s="33"/>
      <c r="G647" s="37"/>
    </row>
    <row r="648" spans="1:7" ht="12.5" x14ac:dyDescent="0.25">
      <c r="A648" s="33"/>
      <c r="B648" s="33"/>
      <c r="C648" s="37" t="str">
        <f ca="1">IFERROR(__xludf.DUMMYFUNCTION("""COMPUTED_VALUE"""),"")</f>
        <v/>
      </c>
      <c r="D648" s="33"/>
      <c r="G648" s="37"/>
    </row>
    <row r="649" spans="1:7" ht="12.5" x14ac:dyDescent="0.25">
      <c r="A649" s="33"/>
      <c r="B649" s="33"/>
      <c r="C649" s="37" t="str">
        <f ca="1">IFERROR(__xludf.DUMMYFUNCTION("""COMPUTED_VALUE"""),"")</f>
        <v/>
      </c>
      <c r="D649" s="33"/>
      <c r="G649" s="37"/>
    </row>
    <row r="650" spans="1:7" ht="12.5" x14ac:dyDescent="0.25">
      <c r="A650" s="33"/>
      <c r="B650" s="33"/>
      <c r="C650" s="37" t="str">
        <f ca="1">IFERROR(__xludf.DUMMYFUNCTION("""COMPUTED_VALUE"""),"")</f>
        <v/>
      </c>
      <c r="D650" s="33"/>
      <c r="G650" s="37"/>
    </row>
    <row r="651" spans="1:7" ht="12.5" x14ac:dyDescent="0.25">
      <c r="A651" s="33"/>
      <c r="B651" s="33"/>
      <c r="C651" s="37" t="str">
        <f ca="1">IFERROR(__xludf.DUMMYFUNCTION("""COMPUTED_VALUE"""),"")</f>
        <v/>
      </c>
      <c r="D651" s="33"/>
      <c r="G651" s="37"/>
    </row>
    <row r="652" spans="1:7" ht="12.5" x14ac:dyDescent="0.25">
      <c r="A652" s="33"/>
      <c r="B652" s="33"/>
      <c r="C652" s="37" t="str">
        <f ca="1">IFERROR(__xludf.DUMMYFUNCTION("""COMPUTED_VALUE"""),"")</f>
        <v/>
      </c>
      <c r="D652" s="33"/>
      <c r="G652" s="37"/>
    </row>
    <row r="653" spans="1:7" ht="12.5" x14ac:dyDescent="0.25">
      <c r="A653" s="33"/>
      <c r="B653" s="33"/>
      <c r="C653" s="37" t="str">
        <f ca="1">IFERROR(__xludf.DUMMYFUNCTION("""COMPUTED_VALUE"""),"")</f>
        <v/>
      </c>
      <c r="D653" s="33"/>
      <c r="G653" s="37"/>
    </row>
    <row r="654" spans="1:7" ht="12.5" x14ac:dyDescent="0.25">
      <c r="A654" s="33"/>
      <c r="B654" s="33"/>
      <c r="C654" s="37" t="str">
        <f ca="1">IFERROR(__xludf.DUMMYFUNCTION("""COMPUTED_VALUE"""),"")</f>
        <v/>
      </c>
      <c r="D654" s="33"/>
      <c r="G654" s="37"/>
    </row>
    <row r="655" spans="1:7" ht="12.5" x14ac:dyDescent="0.25">
      <c r="A655" s="33"/>
      <c r="B655" s="33"/>
      <c r="C655" s="37" t="str">
        <f ca="1">IFERROR(__xludf.DUMMYFUNCTION("""COMPUTED_VALUE"""),"")</f>
        <v/>
      </c>
      <c r="D655" s="33"/>
      <c r="G655" s="37"/>
    </row>
    <row r="656" spans="1:7" ht="12.5" x14ac:dyDescent="0.25">
      <c r="A656" s="33"/>
      <c r="B656" s="33"/>
      <c r="C656" s="37" t="str">
        <f ca="1">IFERROR(__xludf.DUMMYFUNCTION("""COMPUTED_VALUE"""),"")</f>
        <v/>
      </c>
      <c r="D656" s="33"/>
      <c r="G656" s="37"/>
    </row>
    <row r="657" spans="1:7" ht="12.5" x14ac:dyDescent="0.25">
      <c r="A657" s="33"/>
      <c r="B657" s="33"/>
      <c r="C657" s="37" t="str">
        <f ca="1">IFERROR(__xludf.DUMMYFUNCTION("""COMPUTED_VALUE"""),"")</f>
        <v/>
      </c>
      <c r="D657" s="33"/>
      <c r="G657" s="37"/>
    </row>
    <row r="658" spans="1:7" ht="12.5" x14ac:dyDescent="0.25">
      <c r="A658" s="33"/>
      <c r="B658" s="33"/>
      <c r="C658" s="37" t="str">
        <f ca="1">IFERROR(__xludf.DUMMYFUNCTION("""COMPUTED_VALUE"""),"")</f>
        <v/>
      </c>
      <c r="D658" s="33"/>
      <c r="G658" s="37"/>
    </row>
    <row r="659" spans="1:7" ht="12.5" x14ac:dyDescent="0.25">
      <c r="A659" s="33"/>
      <c r="B659" s="33"/>
      <c r="C659" s="37" t="str">
        <f ca="1">IFERROR(__xludf.DUMMYFUNCTION("""COMPUTED_VALUE"""),"")</f>
        <v/>
      </c>
      <c r="D659" s="33"/>
      <c r="G659" s="37"/>
    </row>
    <row r="660" spans="1:7" ht="12.5" x14ac:dyDescent="0.25">
      <c r="A660" s="33"/>
      <c r="B660" s="33"/>
      <c r="C660" s="37" t="str">
        <f ca="1">IFERROR(__xludf.DUMMYFUNCTION("""COMPUTED_VALUE"""),"")</f>
        <v/>
      </c>
      <c r="D660" s="33"/>
      <c r="G660" s="37"/>
    </row>
    <row r="661" spans="1:7" ht="12.5" x14ac:dyDescent="0.25">
      <c r="A661" s="33"/>
      <c r="B661" s="33"/>
      <c r="C661" s="37" t="str">
        <f ca="1">IFERROR(__xludf.DUMMYFUNCTION("""COMPUTED_VALUE"""),"")</f>
        <v/>
      </c>
      <c r="D661" s="33"/>
      <c r="G661" s="37"/>
    </row>
    <row r="662" spans="1:7" ht="12.5" x14ac:dyDescent="0.25">
      <c r="A662" s="33"/>
      <c r="B662" s="33"/>
      <c r="C662" s="37" t="str">
        <f ca="1">IFERROR(__xludf.DUMMYFUNCTION("""COMPUTED_VALUE"""),"")</f>
        <v/>
      </c>
      <c r="D662" s="33"/>
      <c r="G662" s="37"/>
    </row>
    <row r="663" spans="1:7" ht="12.5" x14ac:dyDescent="0.25">
      <c r="A663" s="33"/>
      <c r="B663" s="33"/>
      <c r="C663" s="37" t="str">
        <f ca="1">IFERROR(__xludf.DUMMYFUNCTION("""COMPUTED_VALUE"""),"")</f>
        <v/>
      </c>
      <c r="D663" s="33"/>
      <c r="G663" s="37"/>
    </row>
    <row r="664" spans="1:7" ht="12.5" x14ac:dyDescent="0.25">
      <c r="A664" s="33"/>
      <c r="B664" s="33"/>
      <c r="C664" s="37" t="str">
        <f ca="1">IFERROR(__xludf.DUMMYFUNCTION("""COMPUTED_VALUE"""),"")</f>
        <v/>
      </c>
      <c r="D664" s="33"/>
      <c r="G664" s="37"/>
    </row>
    <row r="665" spans="1:7" ht="12.5" x14ac:dyDescent="0.25">
      <c r="A665" s="33"/>
      <c r="B665" s="33"/>
      <c r="C665" s="37" t="str">
        <f ca="1">IFERROR(__xludf.DUMMYFUNCTION("""COMPUTED_VALUE"""),"")</f>
        <v/>
      </c>
      <c r="D665" s="33"/>
      <c r="G665" s="37"/>
    </row>
    <row r="666" spans="1:7" ht="12.5" x14ac:dyDescent="0.25">
      <c r="A666" s="33"/>
      <c r="B666" s="33"/>
      <c r="C666" s="37" t="str">
        <f ca="1">IFERROR(__xludf.DUMMYFUNCTION("""COMPUTED_VALUE"""),"")</f>
        <v/>
      </c>
      <c r="D666" s="33"/>
      <c r="G666" s="37"/>
    </row>
    <row r="667" spans="1:7" ht="12.5" x14ac:dyDescent="0.25">
      <c r="A667" s="33"/>
      <c r="B667" s="33"/>
      <c r="C667" s="37" t="str">
        <f ca="1">IFERROR(__xludf.DUMMYFUNCTION("""COMPUTED_VALUE"""),"")</f>
        <v/>
      </c>
      <c r="D667" s="33"/>
      <c r="G667" s="37"/>
    </row>
    <row r="668" spans="1:7" ht="12.5" x14ac:dyDescent="0.25">
      <c r="A668" s="33"/>
      <c r="B668" s="33"/>
      <c r="C668" s="37" t="str">
        <f ca="1">IFERROR(__xludf.DUMMYFUNCTION("""COMPUTED_VALUE"""),"")</f>
        <v/>
      </c>
      <c r="D668" s="33"/>
      <c r="G668" s="37"/>
    </row>
    <row r="669" spans="1:7" ht="12.5" x14ac:dyDescent="0.25">
      <c r="A669" s="33"/>
      <c r="B669" s="33"/>
      <c r="C669" s="37" t="str">
        <f ca="1">IFERROR(__xludf.DUMMYFUNCTION("""COMPUTED_VALUE"""),"")</f>
        <v/>
      </c>
      <c r="D669" s="33"/>
      <c r="G669" s="37"/>
    </row>
    <row r="670" spans="1:7" ht="12.5" x14ac:dyDescent="0.25">
      <c r="A670" s="33"/>
      <c r="B670" s="33"/>
      <c r="C670" s="37" t="str">
        <f ca="1">IFERROR(__xludf.DUMMYFUNCTION("""COMPUTED_VALUE"""),"")</f>
        <v/>
      </c>
      <c r="D670" s="33"/>
      <c r="G670" s="37"/>
    </row>
    <row r="671" spans="1:7" ht="12.5" x14ac:dyDescent="0.25">
      <c r="A671" s="33"/>
      <c r="B671" s="33"/>
      <c r="C671" s="37" t="str">
        <f ca="1">IFERROR(__xludf.DUMMYFUNCTION("""COMPUTED_VALUE"""),"")</f>
        <v/>
      </c>
      <c r="D671" s="33"/>
      <c r="G671" s="37"/>
    </row>
    <row r="672" spans="1:7" ht="12.5" x14ac:dyDescent="0.25">
      <c r="A672" s="33"/>
      <c r="B672" s="33"/>
      <c r="C672" s="37" t="str">
        <f ca="1">IFERROR(__xludf.DUMMYFUNCTION("""COMPUTED_VALUE"""),"")</f>
        <v/>
      </c>
      <c r="D672" s="33"/>
      <c r="G672" s="37"/>
    </row>
    <row r="673" spans="1:7" ht="12.5" x14ac:dyDescent="0.25">
      <c r="A673" s="33"/>
      <c r="B673" s="33"/>
      <c r="C673" s="37" t="str">
        <f ca="1">IFERROR(__xludf.DUMMYFUNCTION("""COMPUTED_VALUE"""),"")</f>
        <v/>
      </c>
      <c r="D673" s="33"/>
      <c r="G673" s="37"/>
    </row>
    <row r="674" spans="1:7" ht="12.5" x14ac:dyDescent="0.25">
      <c r="A674" s="33"/>
      <c r="B674" s="33"/>
      <c r="C674" s="37" t="str">
        <f ca="1">IFERROR(__xludf.DUMMYFUNCTION("""COMPUTED_VALUE"""),"")</f>
        <v/>
      </c>
      <c r="D674" s="33"/>
      <c r="G674" s="37"/>
    </row>
    <row r="675" spans="1:7" ht="12.5" x14ac:dyDescent="0.25">
      <c r="A675" s="33"/>
      <c r="B675" s="33"/>
      <c r="C675" s="37" t="str">
        <f ca="1">IFERROR(__xludf.DUMMYFUNCTION("""COMPUTED_VALUE"""),"")</f>
        <v/>
      </c>
      <c r="D675" s="33"/>
      <c r="G675" s="37"/>
    </row>
    <row r="676" spans="1:7" ht="12.5" x14ac:dyDescent="0.25">
      <c r="A676" s="33"/>
      <c r="B676" s="33"/>
      <c r="C676" s="37" t="str">
        <f ca="1">IFERROR(__xludf.DUMMYFUNCTION("""COMPUTED_VALUE"""),"")</f>
        <v/>
      </c>
      <c r="D676" s="33"/>
      <c r="G676" s="37"/>
    </row>
    <row r="677" spans="1:7" ht="12.5" x14ac:dyDescent="0.25">
      <c r="A677" s="33"/>
      <c r="B677" s="33"/>
      <c r="C677" s="37" t="str">
        <f ca="1">IFERROR(__xludf.DUMMYFUNCTION("""COMPUTED_VALUE"""),"")</f>
        <v/>
      </c>
      <c r="D677" s="33"/>
      <c r="G677" s="37"/>
    </row>
    <row r="678" spans="1:7" ht="12.5" x14ac:dyDescent="0.25">
      <c r="A678" s="33"/>
      <c r="B678" s="33"/>
      <c r="C678" s="37" t="str">
        <f ca="1">IFERROR(__xludf.DUMMYFUNCTION("""COMPUTED_VALUE"""),"")</f>
        <v/>
      </c>
      <c r="D678" s="33"/>
      <c r="G678" s="37"/>
    </row>
    <row r="679" spans="1:7" ht="12.5" x14ac:dyDescent="0.25">
      <c r="A679" s="33"/>
      <c r="B679" s="33"/>
      <c r="C679" s="37" t="str">
        <f ca="1">IFERROR(__xludf.DUMMYFUNCTION("""COMPUTED_VALUE"""),"")</f>
        <v/>
      </c>
      <c r="D679" s="33"/>
      <c r="G679" s="37"/>
    </row>
    <row r="680" spans="1:7" ht="12.5" x14ac:dyDescent="0.25">
      <c r="A680" s="33"/>
      <c r="B680" s="33"/>
      <c r="C680" s="37" t="str">
        <f ca="1">IFERROR(__xludf.DUMMYFUNCTION("""COMPUTED_VALUE"""),"")</f>
        <v/>
      </c>
      <c r="D680" s="33"/>
      <c r="G680" s="37"/>
    </row>
    <row r="681" spans="1:7" ht="12.5" x14ac:dyDescent="0.25">
      <c r="A681" s="33"/>
      <c r="B681" s="33"/>
      <c r="C681" s="37" t="str">
        <f ca="1">IFERROR(__xludf.DUMMYFUNCTION("""COMPUTED_VALUE"""),"")</f>
        <v/>
      </c>
      <c r="D681" s="33"/>
      <c r="G681" s="37"/>
    </row>
    <row r="682" spans="1:7" ht="12.5" x14ac:dyDescent="0.25">
      <c r="A682" s="33"/>
      <c r="B682" s="33"/>
      <c r="C682" s="37" t="str">
        <f ca="1">IFERROR(__xludf.DUMMYFUNCTION("""COMPUTED_VALUE"""),"")</f>
        <v/>
      </c>
      <c r="D682" s="33"/>
      <c r="G682" s="37"/>
    </row>
    <row r="683" spans="1:7" ht="12.5" x14ac:dyDescent="0.25">
      <c r="A683" s="33"/>
      <c r="B683" s="33"/>
      <c r="C683" s="37" t="str">
        <f ca="1">IFERROR(__xludf.DUMMYFUNCTION("""COMPUTED_VALUE"""),"")</f>
        <v/>
      </c>
      <c r="D683" s="33"/>
      <c r="G683" s="37"/>
    </row>
    <row r="684" spans="1:7" ht="12.5" x14ac:dyDescent="0.25">
      <c r="A684" s="33"/>
      <c r="B684" s="33"/>
      <c r="C684" s="37" t="str">
        <f ca="1">IFERROR(__xludf.DUMMYFUNCTION("""COMPUTED_VALUE"""),"")</f>
        <v/>
      </c>
      <c r="D684" s="33"/>
      <c r="G684" s="37"/>
    </row>
    <row r="685" spans="1:7" ht="12.5" x14ac:dyDescent="0.25">
      <c r="A685" s="33"/>
      <c r="B685" s="33"/>
      <c r="C685" s="37" t="str">
        <f ca="1">IFERROR(__xludf.DUMMYFUNCTION("""COMPUTED_VALUE"""),"")</f>
        <v/>
      </c>
      <c r="D685" s="33"/>
      <c r="G685" s="37"/>
    </row>
    <row r="686" spans="1:7" ht="12.5" x14ac:dyDescent="0.25">
      <c r="A686" s="33"/>
      <c r="B686" s="33"/>
      <c r="C686" s="37" t="str">
        <f ca="1">IFERROR(__xludf.DUMMYFUNCTION("""COMPUTED_VALUE"""),"")</f>
        <v/>
      </c>
      <c r="D686" s="33"/>
      <c r="G686" s="37"/>
    </row>
    <row r="687" spans="1:7" ht="12.5" x14ac:dyDescent="0.25">
      <c r="A687" s="33"/>
      <c r="B687" s="33"/>
      <c r="C687" s="37" t="str">
        <f ca="1">IFERROR(__xludf.DUMMYFUNCTION("""COMPUTED_VALUE"""),"")</f>
        <v/>
      </c>
      <c r="D687" s="33"/>
      <c r="G687" s="37"/>
    </row>
    <row r="688" spans="1:7" ht="12.5" x14ac:dyDescent="0.25">
      <c r="A688" s="33"/>
      <c r="B688" s="33"/>
      <c r="C688" s="37" t="str">
        <f ca="1">IFERROR(__xludf.DUMMYFUNCTION("""COMPUTED_VALUE"""),"")</f>
        <v/>
      </c>
      <c r="D688" s="33"/>
      <c r="G688" s="37"/>
    </row>
    <row r="689" spans="1:7" ht="12.5" x14ac:dyDescent="0.25">
      <c r="A689" s="33"/>
      <c r="B689" s="33"/>
      <c r="C689" s="37" t="str">
        <f ca="1">IFERROR(__xludf.DUMMYFUNCTION("""COMPUTED_VALUE"""),"")</f>
        <v/>
      </c>
      <c r="D689" s="33"/>
      <c r="G689" s="37"/>
    </row>
    <row r="690" spans="1:7" ht="12.5" x14ac:dyDescent="0.25">
      <c r="A690" s="33"/>
      <c r="B690" s="33"/>
      <c r="C690" s="37" t="str">
        <f ca="1">IFERROR(__xludf.DUMMYFUNCTION("""COMPUTED_VALUE"""),"")</f>
        <v/>
      </c>
      <c r="D690" s="33"/>
      <c r="G690" s="37"/>
    </row>
    <row r="691" spans="1:7" ht="12.5" x14ac:dyDescent="0.25">
      <c r="A691" s="33"/>
      <c r="B691" s="33"/>
      <c r="C691" s="37" t="str">
        <f ca="1">IFERROR(__xludf.DUMMYFUNCTION("""COMPUTED_VALUE"""),"")</f>
        <v/>
      </c>
      <c r="D691" s="33"/>
      <c r="G691" s="37"/>
    </row>
    <row r="692" spans="1:7" ht="12.5" x14ac:dyDescent="0.25">
      <c r="A692" s="33"/>
      <c r="B692" s="33"/>
      <c r="C692" s="37" t="str">
        <f ca="1">IFERROR(__xludf.DUMMYFUNCTION("""COMPUTED_VALUE"""),"")</f>
        <v/>
      </c>
      <c r="D692" s="33"/>
      <c r="G692" s="37"/>
    </row>
    <row r="693" spans="1:7" ht="12.5" x14ac:dyDescent="0.25">
      <c r="A693" s="33"/>
      <c r="B693" s="33"/>
      <c r="C693" s="37" t="str">
        <f ca="1">IFERROR(__xludf.DUMMYFUNCTION("""COMPUTED_VALUE"""),"")</f>
        <v/>
      </c>
      <c r="D693" s="33"/>
      <c r="G693" s="37"/>
    </row>
    <row r="694" spans="1:7" ht="12.5" x14ac:dyDescent="0.25">
      <c r="A694" s="33"/>
      <c r="B694" s="33"/>
      <c r="C694" s="37" t="str">
        <f ca="1">IFERROR(__xludf.DUMMYFUNCTION("""COMPUTED_VALUE"""),"")</f>
        <v/>
      </c>
      <c r="D694" s="33"/>
      <c r="G694" s="37"/>
    </row>
    <row r="695" spans="1:7" ht="12.5" x14ac:dyDescent="0.25">
      <c r="A695" s="33"/>
      <c r="B695" s="33"/>
      <c r="C695" s="37" t="str">
        <f ca="1">IFERROR(__xludf.DUMMYFUNCTION("""COMPUTED_VALUE"""),"")</f>
        <v/>
      </c>
      <c r="D695" s="33"/>
      <c r="G695" s="37"/>
    </row>
    <row r="696" spans="1:7" ht="12.5" x14ac:dyDescent="0.25">
      <c r="A696" s="33"/>
      <c r="B696" s="33"/>
      <c r="C696" s="37" t="str">
        <f ca="1">IFERROR(__xludf.DUMMYFUNCTION("""COMPUTED_VALUE"""),"")</f>
        <v/>
      </c>
      <c r="D696" s="33"/>
      <c r="G696" s="37"/>
    </row>
    <row r="697" spans="1:7" ht="12.5" x14ac:dyDescent="0.25">
      <c r="A697" s="33"/>
      <c r="B697" s="33"/>
      <c r="C697" s="37" t="str">
        <f ca="1">IFERROR(__xludf.DUMMYFUNCTION("""COMPUTED_VALUE"""),"")</f>
        <v/>
      </c>
      <c r="D697" s="33"/>
      <c r="G697" s="37"/>
    </row>
    <row r="698" spans="1:7" ht="12.5" x14ac:dyDescent="0.25">
      <c r="A698" s="33"/>
      <c r="B698" s="33"/>
      <c r="C698" s="37" t="str">
        <f ca="1">IFERROR(__xludf.DUMMYFUNCTION("""COMPUTED_VALUE"""),"")</f>
        <v/>
      </c>
      <c r="D698" s="33"/>
      <c r="G698" s="37"/>
    </row>
    <row r="699" spans="1:7" ht="12.5" x14ac:dyDescent="0.25">
      <c r="A699" s="33"/>
      <c r="B699" s="33"/>
      <c r="C699" s="37" t="str">
        <f ca="1">IFERROR(__xludf.DUMMYFUNCTION("""COMPUTED_VALUE"""),"")</f>
        <v/>
      </c>
      <c r="D699" s="33"/>
      <c r="G699" s="37"/>
    </row>
    <row r="700" spans="1:7" ht="12.5" x14ac:dyDescent="0.25">
      <c r="A700" s="33"/>
      <c r="B700" s="33"/>
      <c r="C700" s="37" t="str">
        <f ca="1">IFERROR(__xludf.DUMMYFUNCTION("""COMPUTED_VALUE"""),"")</f>
        <v/>
      </c>
      <c r="D700" s="33"/>
      <c r="G700" s="37"/>
    </row>
    <row r="701" spans="1:7" ht="12.5" x14ac:dyDescent="0.25">
      <c r="A701" s="33"/>
      <c r="B701" s="33"/>
      <c r="C701" s="37" t="str">
        <f ca="1">IFERROR(__xludf.DUMMYFUNCTION("""COMPUTED_VALUE"""),"")</f>
        <v/>
      </c>
      <c r="D701" s="33"/>
      <c r="G701" s="37"/>
    </row>
    <row r="702" spans="1:7" ht="12.5" x14ac:dyDescent="0.25">
      <c r="A702" s="33"/>
      <c r="B702" s="33"/>
      <c r="C702" s="37" t="str">
        <f ca="1">IFERROR(__xludf.DUMMYFUNCTION("""COMPUTED_VALUE"""),"")</f>
        <v/>
      </c>
      <c r="D702" s="33"/>
      <c r="G702" s="37"/>
    </row>
    <row r="703" spans="1:7" ht="12.5" x14ac:dyDescent="0.25">
      <c r="A703" s="33"/>
      <c r="B703" s="33"/>
      <c r="C703" s="37" t="str">
        <f ca="1">IFERROR(__xludf.DUMMYFUNCTION("""COMPUTED_VALUE"""),"")</f>
        <v/>
      </c>
      <c r="D703" s="33"/>
      <c r="G703" s="37"/>
    </row>
    <row r="704" spans="1:7" ht="12.5" x14ac:dyDescent="0.25">
      <c r="A704" s="33"/>
      <c r="B704" s="33"/>
      <c r="C704" s="37" t="str">
        <f ca="1">IFERROR(__xludf.DUMMYFUNCTION("""COMPUTED_VALUE"""),"")</f>
        <v/>
      </c>
      <c r="D704" s="33"/>
      <c r="G704" s="37"/>
    </row>
    <row r="705" spans="1:7" ht="12.5" x14ac:dyDescent="0.25">
      <c r="A705" s="33"/>
      <c r="B705" s="33"/>
      <c r="C705" s="37" t="str">
        <f ca="1">IFERROR(__xludf.DUMMYFUNCTION("""COMPUTED_VALUE"""),"")</f>
        <v/>
      </c>
      <c r="D705" s="33"/>
      <c r="G705" s="37"/>
    </row>
    <row r="706" spans="1:7" ht="12.5" x14ac:dyDescent="0.25">
      <c r="A706" s="33"/>
      <c r="B706" s="33"/>
      <c r="C706" s="37" t="str">
        <f ca="1">IFERROR(__xludf.DUMMYFUNCTION("""COMPUTED_VALUE"""),"")</f>
        <v/>
      </c>
      <c r="D706" s="33"/>
      <c r="G706" s="37"/>
    </row>
    <row r="707" spans="1:7" ht="12.5" x14ac:dyDescent="0.25">
      <c r="A707" s="33"/>
      <c r="B707" s="33"/>
      <c r="C707" s="37" t="str">
        <f ca="1">IFERROR(__xludf.DUMMYFUNCTION("""COMPUTED_VALUE"""),"")</f>
        <v/>
      </c>
      <c r="D707" s="33"/>
      <c r="G707" s="37"/>
    </row>
    <row r="708" spans="1:7" ht="12.5" x14ac:dyDescent="0.25">
      <c r="A708" s="33"/>
      <c r="B708" s="33"/>
      <c r="C708" s="37" t="str">
        <f ca="1">IFERROR(__xludf.DUMMYFUNCTION("""COMPUTED_VALUE"""),"")</f>
        <v/>
      </c>
      <c r="D708" s="33"/>
      <c r="G708" s="37"/>
    </row>
    <row r="709" spans="1:7" ht="12.5" x14ac:dyDescent="0.25">
      <c r="A709" s="33"/>
      <c r="B709" s="33"/>
      <c r="C709" s="37" t="str">
        <f ca="1">IFERROR(__xludf.DUMMYFUNCTION("""COMPUTED_VALUE"""),"")</f>
        <v/>
      </c>
      <c r="D709" s="33"/>
      <c r="G709" s="37"/>
    </row>
    <row r="710" spans="1:7" ht="12.5" x14ac:dyDescent="0.25">
      <c r="A710" s="33"/>
      <c r="B710" s="33"/>
      <c r="C710" s="37" t="str">
        <f ca="1">IFERROR(__xludf.DUMMYFUNCTION("""COMPUTED_VALUE"""),"")</f>
        <v/>
      </c>
      <c r="D710" s="33"/>
      <c r="G710" s="37"/>
    </row>
    <row r="711" spans="1:7" ht="12.5" x14ac:dyDescent="0.25">
      <c r="A711" s="33"/>
      <c r="B711" s="33"/>
      <c r="C711" s="37" t="str">
        <f ca="1">IFERROR(__xludf.DUMMYFUNCTION("""COMPUTED_VALUE"""),"")</f>
        <v/>
      </c>
      <c r="D711" s="33"/>
      <c r="G711" s="37"/>
    </row>
    <row r="712" spans="1:7" ht="12.5" x14ac:dyDescent="0.25">
      <c r="A712" s="33"/>
      <c r="B712" s="33"/>
      <c r="C712" s="37" t="str">
        <f ca="1">IFERROR(__xludf.DUMMYFUNCTION("""COMPUTED_VALUE"""),"")</f>
        <v/>
      </c>
      <c r="D712" s="33"/>
      <c r="G712" s="37"/>
    </row>
    <row r="713" spans="1:7" ht="12.5" x14ac:dyDescent="0.25">
      <c r="A713" s="33"/>
      <c r="B713" s="33"/>
      <c r="C713" s="37" t="str">
        <f ca="1">IFERROR(__xludf.DUMMYFUNCTION("""COMPUTED_VALUE"""),"")</f>
        <v/>
      </c>
      <c r="D713" s="33"/>
      <c r="G713" s="37"/>
    </row>
    <row r="714" spans="1:7" ht="12.5" x14ac:dyDescent="0.25">
      <c r="A714" s="33"/>
      <c r="B714" s="33"/>
      <c r="C714" s="37" t="str">
        <f ca="1">IFERROR(__xludf.DUMMYFUNCTION("""COMPUTED_VALUE"""),"")</f>
        <v/>
      </c>
      <c r="D714" s="33"/>
      <c r="G714" s="37"/>
    </row>
    <row r="715" spans="1:7" ht="12.5" x14ac:dyDescent="0.25">
      <c r="A715" s="33"/>
      <c r="B715" s="33"/>
      <c r="C715" s="37" t="str">
        <f ca="1">IFERROR(__xludf.DUMMYFUNCTION("""COMPUTED_VALUE"""),"")</f>
        <v/>
      </c>
      <c r="D715" s="33"/>
      <c r="G715" s="37"/>
    </row>
    <row r="716" spans="1:7" ht="12.5" x14ac:dyDescent="0.25">
      <c r="A716" s="33"/>
      <c r="B716" s="33"/>
      <c r="C716" s="37" t="str">
        <f ca="1">IFERROR(__xludf.DUMMYFUNCTION("""COMPUTED_VALUE"""),"")</f>
        <v/>
      </c>
      <c r="D716" s="33"/>
      <c r="G716" s="37"/>
    </row>
    <row r="717" spans="1:7" ht="12.5" x14ac:dyDescent="0.25">
      <c r="A717" s="33"/>
      <c r="B717" s="33"/>
      <c r="C717" s="37" t="str">
        <f ca="1">IFERROR(__xludf.DUMMYFUNCTION("""COMPUTED_VALUE"""),"")</f>
        <v/>
      </c>
      <c r="D717" s="33"/>
      <c r="G717" s="37"/>
    </row>
    <row r="718" spans="1:7" ht="12.5" x14ac:dyDescent="0.25">
      <c r="A718" s="33"/>
      <c r="B718" s="33"/>
      <c r="C718" s="37" t="str">
        <f ca="1">IFERROR(__xludf.DUMMYFUNCTION("""COMPUTED_VALUE"""),"")</f>
        <v/>
      </c>
      <c r="D718" s="33"/>
      <c r="G718" s="37"/>
    </row>
    <row r="719" spans="1:7" ht="12.5" x14ac:dyDescent="0.25">
      <c r="A719" s="33"/>
      <c r="B719" s="33"/>
      <c r="C719" s="37" t="str">
        <f ca="1">IFERROR(__xludf.DUMMYFUNCTION("""COMPUTED_VALUE"""),"")</f>
        <v/>
      </c>
      <c r="D719" s="33"/>
      <c r="G719" s="37"/>
    </row>
    <row r="720" spans="1:7" ht="12.5" x14ac:dyDescent="0.25">
      <c r="A720" s="33"/>
      <c r="B720" s="33"/>
      <c r="C720" s="37" t="str">
        <f ca="1">IFERROR(__xludf.DUMMYFUNCTION("""COMPUTED_VALUE"""),"")</f>
        <v/>
      </c>
      <c r="D720" s="33"/>
      <c r="G720" s="37"/>
    </row>
    <row r="721" spans="1:7" ht="12.5" x14ac:dyDescent="0.25">
      <c r="A721" s="33"/>
      <c r="B721" s="33"/>
      <c r="C721" s="37" t="str">
        <f ca="1">IFERROR(__xludf.DUMMYFUNCTION("""COMPUTED_VALUE"""),"")</f>
        <v/>
      </c>
      <c r="D721" s="33"/>
      <c r="G721" s="37"/>
    </row>
    <row r="722" spans="1:7" ht="12.5" x14ac:dyDescent="0.25">
      <c r="A722" s="33"/>
      <c r="B722" s="33"/>
      <c r="C722" s="37" t="str">
        <f ca="1">IFERROR(__xludf.DUMMYFUNCTION("""COMPUTED_VALUE"""),"")</f>
        <v/>
      </c>
      <c r="D722" s="33"/>
      <c r="G722" s="37"/>
    </row>
    <row r="723" spans="1:7" ht="12.5" x14ac:dyDescent="0.25">
      <c r="A723" s="33"/>
      <c r="B723" s="33"/>
      <c r="C723" s="37" t="str">
        <f ca="1">IFERROR(__xludf.DUMMYFUNCTION("""COMPUTED_VALUE"""),"")</f>
        <v/>
      </c>
      <c r="D723" s="33"/>
      <c r="G723" s="37"/>
    </row>
    <row r="724" spans="1:7" ht="12.5" x14ac:dyDescent="0.25">
      <c r="A724" s="33"/>
      <c r="B724" s="33"/>
      <c r="C724" s="37" t="str">
        <f ca="1">IFERROR(__xludf.DUMMYFUNCTION("""COMPUTED_VALUE"""),"")</f>
        <v/>
      </c>
      <c r="D724" s="33"/>
      <c r="G724" s="37"/>
    </row>
    <row r="725" spans="1:7" ht="12.5" x14ac:dyDescent="0.25">
      <c r="A725" s="33"/>
      <c r="B725" s="33"/>
      <c r="C725" s="37" t="str">
        <f ca="1">IFERROR(__xludf.DUMMYFUNCTION("""COMPUTED_VALUE"""),"")</f>
        <v/>
      </c>
      <c r="D725" s="33"/>
      <c r="G725" s="37"/>
    </row>
    <row r="726" spans="1:7" ht="12.5" x14ac:dyDescent="0.25">
      <c r="A726" s="33"/>
      <c r="B726" s="33"/>
      <c r="C726" s="37" t="str">
        <f ca="1">IFERROR(__xludf.DUMMYFUNCTION("""COMPUTED_VALUE"""),"")</f>
        <v/>
      </c>
      <c r="D726" s="33"/>
      <c r="G726" s="37"/>
    </row>
    <row r="727" spans="1:7" ht="12.5" x14ac:dyDescent="0.25">
      <c r="A727" s="33"/>
      <c r="B727" s="33"/>
      <c r="C727" s="37" t="str">
        <f ca="1">IFERROR(__xludf.DUMMYFUNCTION("""COMPUTED_VALUE"""),"")</f>
        <v/>
      </c>
      <c r="D727" s="33"/>
      <c r="G727" s="37"/>
    </row>
    <row r="728" spans="1:7" ht="12.5" x14ac:dyDescent="0.25">
      <c r="A728" s="33"/>
      <c r="B728" s="33"/>
      <c r="C728" s="37" t="str">
        <f ca="1">IFERROR(__xludf.DUMMYFUNCTION("""COMPUTED_VALUE"""),"")</f>
        <v/>
      </c>
      <c r="D728" s="33"/>
      <c r="G728" s="37"/>
    </row>
    <row r="729" spans="1:7" ht="12.5" x14ac:dyDescent="0.25">
      <c r="A729" s="33"/>
      <c r="B729" s="33"/>
      <c r="C729" s="37" t="str">
        <f ca="1">IFERROR(__xludf.DUMMYFUNCTION("""COMPUTED_VALUE"""),"")</f>
        <v/>
      </c>
      <c r="D729" s="33"/>
      <c r="G729" s="37"/>
    </row>
    <row r="730" spans="1:7" ht="12.5" x14ac:dyDescent="0.25">
      <c r="A730" s="33"/>
      <c r="B730" s="33"/>
      <c r="C730" s="37" t="str">
        <f ca="1">IFERROR(__xludf.DUMMYFUNCTION("""COMPUTED_VALUE"""),"")</f>
        <v/>
      </c>
      <c r="D730" s="33"/>
      <c r="G730" s="37"/>
    </row>
    <row r="731" spans="1:7" ht="12.5" x14ac:dyDescent="0.25">
      <c r="A731" s="33"/>
      <c r="B731" s="33"/>
      <c r="C731" s="37" t="str">
        <f ca="1">IFERROR(__xludf.DUMMYFUNCTION("""COMPUTED_VALUE"""),"")</f>
        <v/>
      </c>
      <c r="D731" s="33"/>
      <c r="G731" s="37"/>
    </row>
    <row r="732" spans="1:7" ht="12.5" x14ac:dyDescent="0.25">
      <c r="A732" s="33"/>
      <c r="B732" s="33"/>
      <c r="C732" s="37" t="str">
        <f ca="1">IFERROR(__xludf.DUMMYFUNCTION("""COMPUTED_VALUE"""),"")</f>
        <v/>
      </c>
      <c r="D732" s="33"/>
      <c r="G732" s="37"/>
    </row>
    <row r="733" spans="1:7" ht="12.5" x14ac:dyDescent="0.25">
      <c r="A733" s="33"/>
      <c r="B733" s="33"/>
      <c r="C733" s="37" t="str">
        <f ca="1">IFERROR(__xludf.DUMMYFUNCTION("""COMPUTED_VALUE"""),"")</f>
        <v/>
      </c>
      <c r="D733" s="33"/>
      <c r="G733" s="37"/>
    </row>
    <row r="734" spans="1:7" ht="12.5" x14ac:dyDescent="0.25">
      <c r="A734" s="33"/>
      <c r="B734" s="33"/>
      <c r="C734" s="37" t="str">
        <f ca="1">IFERROR(__xludf.DUMMYFUNCTION("""COMPUTED_VALUE"""),"")</f>
        <v/>
      </c>
      <c r="D734" s="33"/>
      <c r="G734" s="37"/>
    </row>
    <row r="735" spans="1:7" ht="12.5" x14ac:dyDescent="0.25">
      <c r="A735" s="33"/>
      <c r="B735" s="33"/>
      <c r="C735" s="37" t="str">
        <f ca="1">IFERROR(__xludf.DUMMYFUNCTION("""COMPUTED_VALUE"""),"")</f>
        <v/>
      </c>
      <c r="D735" s="33"/>
      <c r="G735" s="37"/>
    </row>
    <row r="736" spans="1:7" ht="12.5" x14ac:dyDescent="0.25">
      <c r="A736" s="33"/>
      <c r="B736" s="33"/>
      <c r="C736" s="37" t="str">
        <f ca="1">IFERROR(__xludf.DUMMYFUNCTION("""COMPUTED_VALUE"""),"")</f>
        <v/>
      </c>
      <c r="D736" s="33"/>
      <c r="G736" s="37"/>
    </row>
    <row r="737" spans="1:7" ht="12.5" x14ac:dyDescent="0.25">
      <c r="A737" s="33"/>
      <c r="B737" s="33"/>
      <c r="C737" s="37" t="str">
        <f ca="1">IFERROR(__xludf.DUMMYFUNCTION("""COMPUTED_VALUE"""),"")</f>
        <v/>
      </c>
      <c r="D737" s="33"/>
      <c r="G737" s="37"/>
    </row>
    <row r="738" spans="1:7" ht="12.5" x14ac:dyDescent="0.25">
      <c r="A738" s="33"/>
      <c r="B738" s="33"/>
      <c r="C738" s="37" t="str">
        <f ca="1">IFERROR(__xludf.DUMMYFUNCTION("""COMPUTED_VALUE"""),"")</f>
        <v/>
      </c>
      <c r="D738" s="33"/>
      <c r="G738" s="37"/>
    </row>
    <row r="739" spans="1:7" ht="12.5" x14ac:dyDescent="0.25">
      <c r="A739" s="33"/>
      <c r="B739" s="33"/>
      <c r="C739" s="37" t="str">
        <f ca="1">IFERROR(__xludf.DUMMYFUNCTION("""COMPUTED_VALUE"""),"")</f>
        <v/>
      </c>
      <c r="D739" s="33"/>
      <c r="G739" s="37"/>
    </row>
    <row r="740" spans="1:7" ht="12.5" x14ac:dyDescent="0.25">
      <c r="A740" s="33"/>
      <c r="B740" s="33"/>
      <c r="C740" s="37" t="str">
        <f ca="1">IFERROR(__xludf.DUMMYFUNCTION("""COMPUTED_VALUE"""),"")</f>
        <v/>
      </c>
      <c r="D740" s="33"/>
      <c r="G740" s="37"/>
    </row>
    <row r="741" spans="1:7" ht="12.5" x14ac:dyDescent="0.25">
      <c r="A741" s="33"/>
      <c r="B741" s="33"/>
      <c r="C741" s="37" t="str">
        <f ca="1">IFERROR(__xludf.DUMMYFUNCTION("""COMPUTED_VALUE"""),"")</f>
        <v/>
      </c>
      <c r="D741" s="33"/>
      <c r="G741" s="37"/>
    </row>
    <row r="742" spans="1:7" ht="12.5" x14ac:dyDescent="0.25">
      <c r="A742" s="33"/>
      <c r="B742" s="33"/>
      <c r="C742" s="37" t="str">
        <f ca="1">IFERROR(__xludf.DUMMYFUNCTION("""COMPUTED_VALUE"""),"")</f>
        <v/>
      </c>
      <c r="D742" s="33"/>
      <c r="G742" s="37"/>
    </row>
    <row r="743" spans="1:7" ht="12.5" x14ac:dyDescent="0.25">
      <c r="A743" s="33"/>
      <c r="B743" s="33"/>
      <c r="C743" s="37" t="str">
        <f ca="1">IFERROR(__xludf.DUMMYFUNCTION("""COMPUTED_VALUE"""),"")</f>
        <v/>
      </c>
      <c r="D743" s="33"/>
      <c r="G743" s="37"/>
    </row>
    <row r="744" spans="1:7" ht="12.5" x14ac:dyDescent="0.25">
      <c r="A744" s="33"/>
      <c r="B744" s="33"/>
      <c r="C744" s="37" t="str">
        <f ca="1">IFERROR(__xludf.DUMMYFUNCTION("""COMPUTED_VALUE"""),"")</f>
        <v/>
      </c>
      <c r="D744" s="33"/>
      <c r="G744" s="37"/>
    </row>
    <row r="745" spans="1:7" ht="12.5" x14ac:dyDescent="0.25">
      <c r="A745" s="33"/>
      <c r="B745" s="33"/>
      <c r="C745" s="37" t="str">
        <f ca="1">IFERROR(__xludf.DUMMYFUNCTION("""COMPUTED_VALUE"""),"")</f>
        <v/>
      </c>
      <c r="D745" s="33"/>
      <c r="G745" s="37"/>
    </row>
    <row r="746" spans="1:7" ht="12.5" x14ac:dyDescent="0.25">
      <c r="A746" s="33"/>
      <c r="B746" s="33"/>
      <c r="C746" s="37" t="str">
        <f ca="1">IFERROR(__xludf.DUMMYFUNCTION("""COMPUTED_VALUE"""),"")</f>
        <v/>
      </c>
      <c r="D746" s="33"/>
      <c r="G746" s="37"/>
    </row>
    <row r="747" spans="1:7" ht="12.5" x14ac:dyDescent="0.25">
      <c r="A747" s="33"/>
      <c r="B747" s="33"/>
      <c r="C747" s="37" t="str">
        <f ca="1">IFERROR(__xludf.DUMMYFUNCTION("""COMPUTED_VALUE"""),"")</f>
        <v/>
      </c>
      <c r="D747" s="33"/>
      <c r="G747" s="37"/>
    </row>
    <row r="748" spans="1:7" ht="12.5" x14ac:dyDescent="0.25">
      <c r="A748" s="33"/>
      <c r="B748" s="33"/>
      <c r="C748" s="37" t="str">
        <f ca="1">IFERROR(__xludf.DUMMYFUNCTION("""COMPUTED_VALUE"""),"")</f>
        <v/>
      </c>
      <c r="D748" s="33"/>
      <c r="G748" s="37"/>
    </row>
    <row r="749" spans="1:7" ht="12.5" x14ac:dyDescent="0.25">
      <c r="A749" s="33"/>
      <c r="B749" s="33"/>
      <c r="C749" s="37" t="str">
        <f ca="1">IFERROR(__xludf.DUMMYFUNCTION("""COMPUTED_VALUE"""),"")</f>
        <v/>
      </c>
      <c r="D749" s="33"/>
      <c r="G749" s="37"/>
    </row>
    <row r="750" spans="1:7" ht="12.5" x14ac:dyDescent="0.25">
      <c r="A750" s="33"/>
      <c r="B750" s="33"/>
      <c r="C750" s="37" t="str">
        <f ca="1">IFERROR(__xludf.DUMMYFUNCTION("""COMPUTED_VALUE"""),"")</f>
        <v/>
      </c>
      <c r="D750" s="33"/>
      <c r="G750" s="37"/>
    </row>
    <row r="751" spans="1:7" ht="12.5" x14ac:dyDescent="0.25">
      <c r="A751" s="33"/>
      <c r="B751" s="33"/>
      <c r="C751" s="37" t="str">
        <f ca="1">IFERROR(__xludf.DUMMYFUNCTION("""COMPUTED_VALUE"""),"")</f>
        <v/>
      </c>
      <c r="D751" s="33"/>
      <c r="G751" s="37"/>
    </row>
    <row r="752" spans="1:7" ht="12.5" x14ac:dyDescent="0.25">
      <c r="A752" s="33"/>
      <c r="B752" s="33"/>
      <c r="C752" s="37" t="str">
        <f ca="1">IFERROR(__xludf.DUMMYFUNCTION("""COMPUTED_VALUE"""),"")</f>
        <v/>
      </c>
      <c r="D752" s="33"/>
      <c r="G752" s="37"/>
    </row>
    <row r="753" spans="1:7" ht="12.5" x14ac:dyDescent="0.25">
      <c r="A753" s="33"/>
      <c r="B753" s="33"/>
      <c r="C753" s="37" t="str">
        <f ca="1">IFERROR(__xludf.DUMMYFUNCTION("""COMPUTED_VALUE"""),"")</f>
        <v/>
      </c>
      <c r="D753" s="33"/>
      <c r="G753" s="37"/>
    </row>
    <row r="754" spans="1:7" ht="12.5" x14ac:dyDescent="0.25">
      <c r="A754" s="33"/>
      <c r="B754" s="33"/>
      <c r="C754" s="37" t="str">
        <f ca="1">IFERROR(__xludf.DUMMYFUNCTION("""COMPUTED_VALUE"""),"")</f>
        <v/>
      </c>
      <c r="D754" s="33"/>
      <c r="G754" s="37"/>
    </row>
    <row r="755" spans="1:7" ht="12.5" x14ac:dyDescent="0.25">
      <c r="A755" s="33"/>
      <c r="B755" s="33"/>
      <c r="C755" s="37" t="str">
        <f ca="1">IFERROR(__xludf.DUMMYFUNCTION("""COMPUTED_VALUE"""),"")</f>
        <v/>
      </c>
      <c r="D755" s="33"/>
      <c r="G755" s="37"/>
    </row>
    <row r="756" spans="1:7" ht="12.5" x14ac:dyDescent="0.25">
      <c r="A756" s="33"/>
      <c r="B756" s="33"/>
      <c r="C756" s="37" t="str">
        <f ca="1">IFERROR(__xludf.DUMMYFUNCTION("""COMPUTED_VALUE"""),"")</f>
        <v/>
      </c>
      <c r="D756" s="33"/>
      <c r="G756" s="37"/>
    </row>
    <row r="757" spans="1:7" ht="12.5" x14ac:dyDescent="0.25">
      <c r="A757" s="33"/>
      <c r="B757" s="33"/>
      <c r="C757" s="37" t="str">
        <f ca="1">IFERROR(__xludf.DUMMYFUNCTION("""COMPUTED_VALUE"""),"")</f>
        <v/>
      </c>
      <c r="D757" s="33"/>
      <c r="G757" s="37"/>
    </row>
    <row r="758" spans="1:7" ht="12.5" x14ac:dyDescent="0.25">
      <c r="A758" s="33"/>
      <c r="B758" s="33"/>
      <c r="C758" s="37" t="str">
        <f ca="1">IFERROR(__xludf.DUMMYFUNCTION("""COMPUTED_VALUE"""),"")</f>
        <v/>
      </c>
      <c r="D758" s="33"/>
      <c r="G758" s="37"/>
    </row>
    <row r="759" spans="1:7" ht="12.5" x14ac:dyDescent="0.25">
      <c r="A759" s="33"/>
      <c r="B759" s="33"/>
      <c r="C759" s="37" t="str">
        <f ca="1">IFERROR(__xludf.DUMMYFUNCTION("""COMPUTED_VALUE"""),"")</f>
        <v/>
      </c>
      <c r="D759" s="33"/>
      <c r="G759" s="37"/>
    </row>
    <row r="760" spans="1:7" ht="12.5" x14ac:dyDescent="0.25">
      <c r="A760" s="33"/>
      <c r="B760" s="33"/>
      <c r="C760" s="37" t="str">
        <f ca="1">IFERROR(__xludf.DUMMYFUNCTION("""COMPUTED_VALUE"""),"")</f>
        <v/>
      </c>
      <c r="D760" s="33"/>
      <c r="G760" s="37"/>
    </row>
    <row r="761" spans="1:7" ht="12.5" x14ac:dyDescent="0.25">
      <c r="A761" s="33"/>
      <c r="B761" s="33"/>
      <c r="C761" s="37" t="str">
        <f ca="1">IFERROR(__xludf.DUMMYFUNCTION("""COMPUTED_VALUE"""),"")</f>
        <v/>
      </c>
      <c r="D761" s="33"/>
      <c r="G761" s="37"/>
    </row>
    <row r="762" spans="1:7" ht="12.5" x14ac:dyDescent="0.25">
      <c r="A762" s="33"/>
      <c r="B762" s="33"/>
      <c r="C762" s="37" t="str">
        <f ca="1">IFERROR(__xludf.DUMMYFUNCTION("""COMPUTED_VALUE"""),"")</f>
        <v/>
      </c>
      <c r="D762" s="33"/>
      <c r="G762" s="37"/>
    </row>
    <row r="763" spans="1:7" ht="12.5" x14ac:dyDescent="0.25">
      <c r="A763" s="33"/>
      <c r="B763" s="33"/>
      <c r="C763" s="37" t="str">
        <f ca="1">IFERROR(__xludf.DUMMYFUNCTION("""COMPUTED_VALUE"""),"")</f>
        <v/>
      </c>
      <c r="D763" s="33"/>
      <c r="G763" s="37"/>
    </row>
    <row r="764" spans="1:7" ht="12.5" x14ac:dyDescent="0.25">
      <c r="A764" s="33"/>
      <c r="B764" s="33"/>
      <c r="C764" s="37" t="str">
        <f ca="1">IFERROR(__xludf.DUMMYFUNCTION("""COMPUTED_VALUE"""),"")</f>
        <v/>
      </c>
      <c r="D764" s="33"/>
      <c r="G764" s="37"/>
    </row>
    <row r="765" spans="1:7" ht="12.5" x14ac:dyDescent="0.25">
      <c r="A765" s="33"/>
      <c r="B765" s="33"/>
      <c r="C765" s="37" t="str">
        <f ca="1">IFERROR(__xludf.DUMMYFUNCTION("""COMPUTED_VALUE"""),"")</f>
        <v/>
      </c>
      <c r="D765" s="33"/>
      <c r="G765" s="37"/>
    </row>
    <row r="766" spans="1:7" ht="12.5" x14ac:dyDescent="0.25">
      <c r="A766" s="33"/>
      <c r="B766" s="33"/>
      <c r="C766" s="37" t="str">
        <f ca="1">IFERROR(__xludf.DUMMYFUNCTION("""COMPUTED_VALUE"""),"")</f>
        <v/>
      </c>
      <c r="D766" s="33"/>
      <c r="G766" s="37"/>
    </row>
    <row r="767" spans="1:7" ht="12.5" x14ac:dyDescent="0.25">
      <c r="A767" s="33"/>
      <c r="B767" s="33"/>
      <c r="C767" s="37" t="str">
        <f ca="1">IFERROR(__xludf.DUMMYFUNCTION("""COMPUTED_VALUE"""),"")</f>
        <v/>
      </c>
      <c r="D767" s="33"/>
      <c r="G767" s="37"/>
    </row>
    <row r="768" spans="1:7" ht="12.5" x14ac:dyDescent="0.25">
      <c r="A768" s="33"/>
      <c r="B768" s="33"/>
      <c r="C768" s="37" t="str">
        <f ca="1">IFERROR(__xludf.DUMMYFUNCTION("""COMPUTED_VALUE"""),"")</f>
        <v/>
      </c>
      <c r="D768" s="33"/>
      <c r="G768" s="37"/>
    </row>
    <row r="769" spans="1:7" ht="12.5" x14ac:dyDescent="0.25">
      <c r="A769" s="33"/>
      <c r="B769" s="33"/>
      <c r="C769" s="37" t="str">
        <f ca="1">IFERROR(__xludf.DUMMYFUNCTION("""COMPUTED_VALUE"""),"")</f>
        <v/>
      </c>
      <c r="D769" s="33"/>
      <c r="G769" s="37"/>
    </row>
    <row r="770" spans="1:7" ht="12.5" x14ac:dyDescent="0.25">
      <c r="A770" s="33"/>
      <c r="B770" s="33"/>
      <c r="C770" s="37" t="str">
        <f ca="1">IFERROR(__xludf.DUMMYFUNCTION("""COMPUTED_VALUE"""),"")</f>
        <v/>
      </c>
      <c r="D770" s="33"/>
      <c r="G770" s="37"/>
    </row>
    <row r="771" spans="1:7" ht="12.5" x14ac:dyDescent="0.25">
      <c r="A771" s="33"/>
      <c r="B771" s="33"/>
      <c r="C771" s="37" t="str">
        <f ca="1">IFERROR(__xludf.DUMMYFUNCTION("""COMPUTED_VALUE"""),"")</f>
        <v/>
      </c>
      <c r="D771" s="33"/>
      <c r="G771" s="37"/>
    </row>
    <row r="772" spans="1:7" ht="12.5" x14ac:dyDescent="0.25">
      <c r="A772" s="33"/>
      <c r="B772" s="33"/>
      <c r="C772" s="37" t="str">
        <f ca="1">IFERROR(__xludf.DUMMYFUNCTION("""COMPUTED_VALUE"""),"")</f>
        <v/>
      </c>
      <c r="D772" s="33"/>
      <c r="G772" s="37"/>
    </row>
    <row r="773" spans="1:7" ht="12.5" x14ac:dyDescent="0.25">
      <c r="A773" s="33"/>
      <c r="B773" s="33"/>
      <c r="C773" s="37" t="str">
        <f ca="1">IFERROR(__xludf.DUMMYFUNCTION("""COMPUTED_VALUE"""),"")</f>
        <v/>
      </c>
      <c r="D773" s="33"/>
      <c r="G773" s="37"/>
    </row>
    <row r="774" spans="1:7" ht="12.5" x14ac:dyDescent="0.25">
      <c r="A774" s="33"/>
      <c r="B774" s="33"/>
      <c r="C774" s="37" t="str">
        <f ca="1">IFERROR(__xludf.DUMMYFUNCTION("""COMPUTED_VALUE"""),"")</f>
        <v/>
      </c>
      <c r="D774" s="33"/>
      <c r="G774" s="37"/>
    </row>
    <row r="775" spans="1:7" ht="12.5" x14ac:dyDescent="0.25">
      <c r="A775" s="33"/>
      <c r="B775" s="33"/>
      <c r="C775" s="37" t="str">
        <f ca="1">IFERROR(__xludf.DUMMYFUNCTION("""COMPUTED_VALUE"""),"")</f>
        <v/>
      </c>
      <c r="D775" s="33"/>
      <c r="G775" s="37"/>
    </row>
    <row r="776" spans="1:7" ht="12.5" x14ac:dyDescent="0.25">
      <c r="A776" s="33"/>
      <c r="B776" s="33"/>
      <c r="C776" s="37" t="str">
        <f ca="1">IFERROR(__xludf.DUMMYFUNCTION("""COMPUTED_VALUE"""),"")</f>
        <v/>
      </c>
      <c r="D776" s="33"/>
      <c r="G776" s="37"/>
    </row>
    <row r="777" spans="1:7" ht="12.5" x14ac:dyDescent="0.25">
      <c r="A777" s="33"/>
      <c r="B777" s="33"/>
      <c r="C777" s="37" t="str">
        <f ca="1">IFERROR(__xludf.DUMMYFUNCTION("""COMPUTED_VALUE"""),"")</f>
        <v/>
      </c>
      <c r="D777" s="33"/>
      <c r="G777" s="37"/>
    </row>
    <row r="778" spans="1:7" ht="12.5" x14ac:dyDescent="0.25">
      <c r="A778" s="33"/>
      <c r="B778" s="33"/>
      <c r="C778" s="37" t="str">
        <f ca="1">IFERROR(__xludf.DUMMYFUNCTION("""COMPUTED_VALUE"""),"")</f>
        <v/>
      </c>
      <c r="D778" s="33"/>
      <c r="G778" s="37"/>
    </row>
    <row r="779" spans="1:7" ht="12.5" x14ac:dyDescent="0.25">
      <c r="A779" s="33"/>
      <c r="B779" s="33"/>
      <c r="C779" s="37" t="str">
        <f ca="1">IFERROR(__xludf.DUMMYFUNCTION("""COMPUTED_VALUE"""),"")</f>
        <v/>
      </c>
      <c r="D779" s="33"/>
      <c r="G779" s="37"/>
    </row>
    <row r="780" spans="1:7" ht="12.5" x14ac:dyDescent="0.25">
      <c r="A780" s="33"/>
      <c r="B780" s="33"/>
      <c r="C780" s="37" t="str">
        <f ca="1">IFERROR(__xludf.DUMMYFUNCTION("""COMPUTED_VALUE"""),"")</f>
        <v/>
      </c>
      <c r="D780" s="33"/>
      <c r="G780" s="37"/>
    </row>
    <row r="781" spans="1:7" ht="12.5" x14ac:dyDescent="0.25">
      <c r="A781" s="33"/>
      <c r="B781" s="33"/>
      <c r="C781" s="37" t="str">
        <f ca="1">IFERROR(__xludf.DUMMYFUNCTION("""COMPUTED_VALUE"""),"")</f>
        <v/>
      </c>
      <c r="D781" s="33"/>
      <c r="G781" s="37"/>
    </row>
    <row r="782" spans="1:7" ht="12.5" x14ac:dyDescent="0.25">
      <c r="A782" s="33"/>
      <c r="B782" s="33"/>
      <c r="C782" s="37" t="str">
        <f ca="1">IFERROR(__xludf.DUMMYFUNCTION("""COMPUTED_VALUE"""),"")</f>
        <v/>
      </c>
      <c r="D782" s="33"/>
      <c r="G782" s="37"/>
    </row>
    <row r="783" spans="1:7" ht="12.5" x14ac:dyDescent="0.25">
      <c r="A783" s="33"/>
      <c r="B783" s="33"/>
      <c r="C783" s="37" t="str">
        <f ca="1">IFERROR(__xludf.DUMMYFUNCTION("""COMPUTED_VALUE"""),"")</f>
        <v/>
      </c>
      <c r="D783" s="33"/>
      <c r="G783" s="37"/>
    </row>
    <row r="784" spans="1:7" ht="12.5" x14ac:dyDescent="0.25">
      <c r="A784" s="33"/>
      <c r="B784" s="33"/>
      <c r="C784" s="37" t="str">
        <f ca="1">IFERROR(__xludf.DUMMYFUNCTION("""COMPUTED_VALUE"""),"")</f>
        <v/>
      </c>
      <c r="D784" s="33"/>
      <c r="G784" s="37"/>
    </row>
    <row r="785" spans="1:7" ht="12.5" x14ac:dyDescent="0.25">
      <c r="A785" s="33"/>
      <c r="B785" s="33"/>
      <c r="C785" s="37" t="str">
        <f ca="1">IFERROR(__xludf.DUMMYFUNCTION("""COMPUTED_VALUE"""),"")</f>
        <v/>
      </c>
      <c r="D785" s="33"/>
      <c r="G785" s="37"/>
    </row>
    <row r="786" spans="1:7" ht="12.5" x14ac:dyDescent="0.25">
      <c r="A786" s="33"/>
      <c r="B786" s="33"/>
      <c r="C786" s="37" t="str">
        <f ca="1">IFERROR(__xludf.DUMMYFUNCTION("""COMPUTED_VALUE"""),"")</f>
        <v/>
      </c>
      <c r="D786" s="33"/>
      <c r="G786" s="37"/>
    </row>
    <row r="787" spans="1:7" ht="12.5" x14ac:dyDescent="0.25">
      <c r="A787" s="33"/>
      <c r="B787" s="33"/>
      <c r="C787" s="37" t="str">
        <f ca="1">IFERROR(__xludf.DUMMYFUNCTION("""COMPUTED_VALUE"""),"")</f>
        <v/>
      </c>
      <c r="D787" s="33"/>
      <c r="G787" s="37"/>
    </row>
    <row r="788" spans="1:7" ht="12.5" x14ac:dyDescent="0.25">
      <c r="A788" s="33"/>
      <c r="B788" s="33"/>
      <c r="C788" s="37" t="str">
        <f ca="1">IFERROR(__xludf.DUMMYFUNCTION("""COMPUTED_VALUE"""),"")</f>
        <v/>
      </c>
      <c r="D788" s="33"/>
      <c r="G788" s="37"/>
    </row>
    <row r="789" spans="1:7" ht="12.5" x14ac:dyDescent="0.25">
      <c r="A789" s="33"/>
      <c r="B789" s="33"/>
      <c r="C789" s="37" t="str">
        <f ca="1">IFERROR(__xludf.DUMMYFUNCTION("""COMPUTED_VALUE"""),"")</f>
        <v/>
      </c>
      <c r="D789" s="33"/>
      <c r="G789" s="37"/>
    </row>
    <row r="790" spans="1:7" ht="12.5" x14ac:dyDescent="0.25">
      <c r="A790" s="33"/>
      <c r="B790" s="33"/>
      <c r="C790" s="37" t="str">
        <f ca="1">IFERROR(__xludf.DUMMYFUNCTION("""COMPUTED_VALUE"""),"")</f>
        <v/>
      </c>
      <c r="D790" s="33"/>
      <c r="G790" s="37"/>
    </row>
    <row r="791" spans="1:7" ht="12.5" x14ac:dyDescent="0.25">
      <c r="A791" s="33"/>
      <c r="B791" s="33"/>
      <c r="C791" s="37" t="str">
        <f ca="1">IFERROR(__xludf.DUMMYFUNCTION("""COMPUTED_VALUE"""),"")</f>
        <v/>
      </c>
      <c r="D791" s="33"/>
      <c r="G791" s="37"/>
    </row>
    <row r="792" spans="1:7" ht="12.5" x14ac:dyDescent="0.25">
      <c r="A792" s="33"/>
      <c r="B792" s="33"/>
      <c r="C792" s="37" t="str">
        <f ca="1">IFERROR(__xludf.DUMMYFUNCTION("""COMPUTED_VALUE"""),"")</f>
        <v/>
      </c>
      <c r="D792" s="33"/>
      <c r="G792" s="37"/>
    </row>
    <row r="793" spans="1:7" ht="12.5" x14ac:dyDescent="0.25">
      <c r="A793" s="33"/>
      <c r="B793" s="33"/>
      <c r="C793" s="37" t="str">
        <f ca="1">IFERROR(__xludf.DUMMYFUNCTION("""COMPUTED_VALUE"""),"")</f>
        <v/>
      </c>
      <c r="D793" s="33"/>
      <c r="G793" s="37"/>
    </row>
    <row r="794" spans="1:7" ht="12.5" x14ac:dyDescent="0.25">
      <c r="A794" s="33"/>
      <c r="B794" s="33"/>
      <c r="C794" s="37" t="str">
        <f ca="1">IFERROR(__xludf.DUMMYFUNCTION("""COMPUTED_VALUE"""),"")</f>
        <v/>
      </c>
      <c r="D794" s="33"/>
      <c r="G794" s="37"/>
    </row>
    <row r="795" spans="1:7" ht="12.5" x14ac:dyDescent="0.25">
      <c r="A795" s="33"/>
      <c r="B795" s="33"/>
      <c r="C795" s="37" t="str">
        <f ca="1">IFERROR(__xludf.DUMMYFUNCTION("""COMPUTED_VALUE"""),"")</f>
        <v/>
      </c>
      <c r="D795" s="33"/>
      <c r="G795" s="37"/>
    </row>
    <row r="796" spans="1:7" ht="12.5" x14ac:dyDescent="0.25">
      <c r="A796" s="33"/>
      <c r="B796" s="33"/>
      <c r="C796" s="37" t="str">
        <f ca="1">IFERROR(__xludf.DUMMYFUNCTION("""COMPUTED_VALUE"""),"")</f>
        <v/>
      </c>
      <c r="D796" s="33"/>
      <c r="G796" s="37"/>
    </row>
    <row r="797" spans="1:7" ht="12.5" x14ac:dyDescent="0.25">
      <c r="A797" s="33"/>
      <c r="B797" s="33"/>
      <c r="C797" s="37" t="str">
        <f ca="1">IFERROR(__xludf.DUMMYFUNCTION("""COMPUTED_VALUE"""),"")</f>
        <v/>
      </c>
      <c r="D797" s="33"/>
      <c r="G797" s="37"/>
    </row>
    <row r="798" spans="1:7" ht="12.5" x14ac:dyDescent="0.25">
      <c r="A798" s="33"/>
      <c r="B798" s="33"/>
      <c r="C798" s="37" t="str">
        <f ca="1">IFERROR(__xludf.DUMMYFUNCTION("""COMPUTED_VALUE"""),"")</f>
        <v/>
      </c>
      <c r="D798" s="33"/>
      <c r="G798" s="37"/>
    </row>
    <row r="799" spans="1:7" ht="12.5" x14ac:dyDescent="0.25">
      <c r="A799" s="33"/>
      <c r="B799" s="33"/>
      <c r="C799" s="37" t="str">
        <f ca="1">IFERROR(__xludf.DUMMYFUNCTION("""COMPUTED_VALUE"""),"")</f>
        <v/>
      </c>
      <c r="D799" s="33"/>
      <c r="G799" s="37"/>
    </row>
    <row r="800" spans="1:7" ht="12.5" x14ac:dyDescent="0.25">
      <c r="A800" s="33"/>
      <c r="B800" s="33"/>
      <c r="C800" s="37" t="str">
        <f ca="1">IFERROR(__xludf.DUMMYFUNCTION("""COMPUTED_VALUE"""),"")</f>
        <v/>
      </c>
      <c r="D800" s="33"/>
      <c r="G800" s="37"/>
    </row>
    <row r="801" spans="1:7" ht="12.5" x14ac:dyDescent="0.25">
      <c r="A801" s="33"/>
      <c r="B801" s="33"/>
      <c r="C801" s="37" t="str">
        <f ca="1">IFERROR(__xludf.DUMMYFUNCTION("""COMPUTED_VALUE"""),"")</f>
        <v/>
      </c>
      <c r="D801" s="33"/>
      <c r="G801" s="37"/>
    </row>
    <row r="802" spans="1:7" ht="12.5" x14ac:dyDescent="0.25">
      <c r="A802" s="33"/>
      <c r="B802" s="33"/>
      <c r="C802" s="37" t="str">
        <f ca="1">IFERROR(__xludf.DUMMYFUNCTION("""COMPUTED_VALUE"""),"")</f>
        <v/>
      </c>
      <c r="D802" s="33"/>
      <c r="G802" s="37"/>
    </row>
    <row r="803" spans="1:7" ht="12.5" x14ac:dyDescent="0.25">
      <c r="A803" s="33"/>
      <c r="B803" s="33"/>
      <c r="C803" s="37" t="str">
        <f ca="1">IFERROR(__xludf.DUMMYFUNCTION("""COMPUTED_VALUE"""),"")</f>
        <v/>
      </c>
      <c r="D803" s="33"/>
      <c r="G803" s="37"/>
    </row>
    <row r="804" spans="1:7" ht="12.5" x14ac:dyDescent="0.25">
      <c r="A804" s="33"/>
      <c r="B804" s="33"/>
      <c r="C804" s="37" t="str">
        <f ca="1">IFERROR(__xludf.DUMMYFUNCTION("""COMPUTED_VALUE"""),"")</f>
        <v/>
      </c>
      <c r="D804" s="33"/>
      <c r="G804" s="37"/>
    </row>
    <row r="805" spans="1:7" ht="12.5" x14ac:dyDescent="0.25">
      <c r="A805" s="33"/>
      <c r="B805" s="33"/>
      <c r="C805" s="37" t="str">
        <f ca="1">IFERROR(__xludf.DUMMYFUNCTION("""COMPUTED_VALUE"""),"")</f>
        <v/>
      </c>
      <c r="D805" s="33"/>
      <c r="G805" s="37"/>
    </row>
    <row r="806" spans="1:7" ht="12.5" x14ac:dyDescent="0.25">
      <c r="A806" s="33"/>
      <c r="B806" s="33"/>
      <c r="C806" s="37" t="str">
        <f ca="1">IFERROR(__xludf.DUMMYFUNCTION("""COMPUTED_VALUE"""),"")</f>
        <v/>
      </c>
      <c r="D806" s="33"/>
      <c r="G806" s="37"/>
    </row>
    <row r="807" spans="1:7" ht="12.5" x14ac:dyDescent="0.25">
      <c r="A807" s="33"/>
      <c r="B807" s="33"/>
      <c r="C807" s="37" t="str">
        <f ca="1">IFERROR(__xludf.DUMMYFUNCTION("""COMPUTED_VALUE"""),"")</f>
        <v/>
      </c>
      <c r="D807" s="33"/>
      <c r="G807" s="37"/>
    </row>
    <row r="808" spans="1:7" ht="12.5" x14ac:dyDescent="0.25">
      <c r="A808" s="33"/>
      <c r="B808" s="33"/>
      <c r="C808" s="37" t="str">
        <f ca="1">IFERROR(__xludf.DUMMYFUNCTION("""COMPUTED_VALUE"""),"")</f>
        <v/>
      </c>
      <c r="D808" s="33"/>
      <c r="G808" s="37"/>
    </row>
    <row r="809" spans="1:7" ht="12.5" x14ac:dyDescent="0.25">
      <c r="A809" s="33"/>
      <c r="B809" s="33"/>
      <c r="C809" s="37" t="str">
        <f ca="1">IFERROR(__xludf.DUMMYFUNCTION("""COMPUTED_VALUE"""),"")</f>
        <v/>
      </c>
      <c r="D809" s="33"/>
      <c r="G809" s="37"/>
    </row>
    <row r="810" spans="1:7" ht="12.5" x14ac:dyDescent="0.25">
      <c r="A810" s="33"/>
      <c r="B810" s="33"/>
      <c r="C810" s="37" t="str">
        <f ca="1">IFERROR(__xludf.DUMMYFUNCTION("""COMPUTED_VALUE"""),"")</f>
        <v/>
      </c>
      <c r="D810" s="33"/>
      <c r="G810" s="37"/>
    </row>
    <row r="811" spans="1:7" ht="12.5" x14ac:dyDescent="0.25">
      <c r="A811" s="33"/>
      <c r="B811" s="33"/>
      <c r="C811" s="37" t="str">
        <f ca="1">IFERROR(__xludf.DUMMYFUNCTION("""COMPUTED_VALUE"""),"")</f>
        <v/>
      </c>
      <c r="D811" s="33"/>
      <c r="G811" s="37"/>
    </row>
    <row r="812" spans="1:7" ht="12.5" x14ac:dyDescent="0.25">
      <c r="A812" s="33"/>
      <c r="B812" s="33"/>
      <c r="C812" s="37" t="str">
        <f ca="1">IFERROR(__xludf.DUMMYFUNCTION("""COMPUTED_VALUE"""),"")</f>
        <v/>
      </c>
      <c r="D812" s="33"/>
      <c r="G812" s="37"/>
    </row>
    <row r="813" spans="1:7" ht="12.5" x14ac:dyDescent="0.25">
      <c r="A813" s="33"/>
      <c r="B813" s="33"/>
      <c r="C813" s="37" t="str">
        <f ca="1">IFERROR(__xludf.DUMMYFUNCTION("""COMPUTED_VALUE"""),"")</f>
        <v/>
      </c>
      <c r="D813" s="33"/>
      <c r="G813" s="37"/>
    </row>
    <row r="814" spans="1:7" ht="12.5" x14ac:dyDescent="0.25">
      <c r="A814" s="33"/>
      <c r="B814" s="33"/>
      <c r="C814" s="37" t="str">
        <f ca="1">IFERROR(__xludf.DUMMYFUNCTION("""COMPUTED_VALUE"""),"")</f>
        <v/>
      </c>
      <c r="D814" s="33"/>
      <c r="G814" s="37"/>
    </row>
    <row r="815" spans="1:7" ht="12.5" x14ac:dyDescent="0.25">
      <c r="A815" s="33"/>
      <c r="B815" s="33"/>
      <c r="C815" s="37" t="str">
        <f ca="1">IFERROR(__xludf.DUMMYFUNCTION("""COMPUTED_VALUE"""),"")</f>
        <v/>
      </c>
      <c r="D815" s="33"/>
      <c r="G815" s="37"/>
    </row>
    <row r="816" spans="1:7" ht="12.5" x14ac:dyDescent="0.25">
      <c r="A816" s="33"/>
      <c r="B816" s="33"/>
      <c r="C816" s="37" t="str">
        <f ca="1">IFERROR(__xludf.DUMMYFUNCTION("""COMPUTED_VALUE"""),"")</f>
        <v/>
      </c>
      <c r="D816" s="33"/>
      <c r="G816" s="37"/>
    </row>
    <row r="817" spans="1:7" ht="12.5" x14ac:dyDescent="0.25">
      <c r="A817" s="33"/>
      <c r="B817" s="33"/>
      <c r="C817" s="37" t="str">
        <f ca="1">IFERROR(__xludf.DUMMYFUNCTION("""COMPUTED_VALUE"""),"")</f>
        <v/>
      </c>
      <c r="D817" s="33"/>
      <c r="G817" s="37"/>
    </row>
    <row r="818" spans="1:7" ht="12.5" x14ac:dyDescent="0.25">
      <c r="A818" s="33"/>
      <c r="B818" s="33"/>
      <c r="C818" s="37" t="str">
        <f ca="1">IFERROR(__xludf.DUMMYFUNCTION("""COMPUTED_VALUE"""),"")</f>
        <v/>
      </c>
      <c r="D818" s="33"/>
      <c r="G818" s="37"/>
    </row>
    <row r="819" spans="1:7" ht="12.5" x14ac:dyDescent="0.25">
      <c r="A819" s="33"/>
      <c r="B819" s="33"/>
      <c r="C819" s="37" t="str">
        <f ca="1">IFERROR(__xludf.DUMMYFUNCTION("""COMPUTED_VALUE"""),"")</f>
        <v/>
      </c>
      <c r="D819" s="33"/>
      <c r="G819" s="37"/>
    </row>
    <row r="820" spans="1:7" ht="12.5" x14ac:dyDescent="0.25">
      <c r="A820" s="33"/>
      <c r="B820" s="33"/>
      <c r="C820" s="37" t="str">
        <f ca="1">IFERROR(__xludf.DUMMYFUNCTION("""COMPUTED_VALUE"""),"")</f>
        <v/>
      </c>
      <c r="D820" s="33"/>
      <c r="G820" s="37"/>
    </row>
    <row r="821" spans="1:7" ht="12.5" x14ac:dyDescent="0.25">
      <c r="A821" s="33"/>
      <c r="B821" s="33"/>
      <c r="C821" s="37" t="str">
        <f ca="1">IFERROR(__xludf.DUMMYFUNCTION("""COMPUTED_VALUE"""),"")</f>
        <v/>
      </c>
      <c r="D821" s="33"/>
      <c r="G821" s="37"/>
    </row>
    <row r="822" spans="1:7" ht="12.5" x14ac:dyDescent="0.25">
      <c r="A822" s="33"/>
      <c r="B822" s="33"/>
      <c r="C822" s="37" t="str">
        <f ca="1">IFERROR(__xludf.DUMMYFUNCTION("""COMPUTED_VALUE"""),"")</f>
        <v/>
      </c>
      <c r="D822" s="33"/>
      <c r="G822" s="37"/>
    </row>
    <row r="823" spans="1:7" ht="12.5" x14ac:dyDescent="0.25">
      <c r="A823" s="33"/>
      <c r="B823" s="33"/>
      <c r="C823" s="37" t="str">
        <f ca="1">IFERROR(__xludf.DUMMYFUNCTION("""COMPUTED_VALUE"""),"")</f>
        <v/>
      </c>
      <c r="D823" s="33"/>
      <c r="G823" s="37"/>
    </row>
    <row r="824" spans="1:7" ht="12.5" x14ac:dyDescent="0.25">
      <c r="A824" s="33"/>
      <c r="B824" s="33"/>
      <c r="C824" s="37" t="str">
        <f ca="1">IFERROR(__xludf.DUMMYFUNCTION("""COMPUTED_VALUE"""),"")</f>
        <v/>
      </c>
      <c r="D824" s="33"/>
      <c r="G824" s="37"/>
    </row>
    <row r="825" spans="1:7" ht="12.5" x14ac:dyDescent="0.25">
      <c r="A825" s="33"/>
      <c r="B825" s="33"/>
      <c r="C825" s="37" t="str">
        <f ca="1">IFERROR(__xludf.DUMMYFUNCTION("""COMPUTED_VALUE"""),"")</f>
        <v/>
      </c>
      <c r="D825" s="33"/>
      <c r="G825" s="37"/>
    </row>
    <row r="826" spans="1:7" ht="12.5" x14ac:dyDescent="0.25">
      <c r="A826" s="33"/>
      <c r="B826" s="33"/>
      <c r="C826" s="37" t="str">
        <f ca="1">IFERROR(__xludf.DUMMYFUNCTION("""COMPUTED_VALUE"""),"")</f>
        <v/>
      </c>
      <c r="D826" s="33"/>
      <c r="G826" s="37"/>
    </row>
    <row r="827" spans="1:7" ht="12.5" x14ac:dyDescent="0.25">
      <c r="A827" s="33"/>
      <c r="B827" s="33"/>
      <c r="C827" s="37" t="str">
        <f ca="1">IFERROR(__xludf.DUMMYFUNCTION("""COMPUTED_VALUE"""),"")</f>
        <v/>
      </c>
      <c r="D827" s="33"/>
      <c r="G827" s="37"/>
    </row>
    <row r="828" spans="1:7" ht="12.5" x14ac:dyDescent="0.25">
      <c r="A828" s="33"/>
      <c r="B828" s="33"/>
      <c r="C828" s="37" t="str">
        <f ca="1">IFERROR(__xludf.DUMMYFUNCTION("""COMPUTED_VALUE"""),"")</f>
        <v/>
      </c>
      <c r="D828" s="33"/>
      <c r="G828" s="37"/>
    </row>
    <row r="829" spans="1:7" ht="12.5" x14ac:dyDescent="0.25">
      <c r="A829" s="33"/>
      <c r="B829" s="33"/>
      <c r="C829" s="37" t="str">
        <f ca="1">IFERROR(__xludf.DUMMYFUNCTION("""COMPUTED_VALUE"""),"")</f>
        <v/>
      </c>
      <c r="D829" s="33"/>
      <c r="G829" s="37"/>
    </row>
    <row r="830" spans="1:7" ht="12.5" x14ac:dyDescent="0.25">
      <c r="A830" s="33"/>
      <c r="B830" s="33"/>
      <c r="C830" s="37" t="str">
        <f ca="1">IFERROR(__xludf.DUMMYFUNCTION("""COMPUTED_VALUE"""),"")</f>
        <v/>
      </c>
      <c r="D830" s="33"/>
      <c r="G830" s="37"/>
    </row>
    <row r="831" spans="1:7" ht="12.5" x14ac:dyDescent="0.25">
      <c r="A831" s="33"/>
      <c r="B831" s="33"/>
      <c r="C831" s="37" t="str">
        <f ca="1">IFERROR(__xludf.DUMMYFUNCTION("""COMPUTED_VALUE"""),"")</f>
        <v/>
      </c>
      <c r="D831" s="33"/>
      <c r="G831" s="37"/>
    </row>
    <row r="832" spans="1:7" ht="12.5" x14ac:dyDescent="0.25">
      <c r="A832" s="33"/>
      <c r="B832" s="33"/>
      <c r="C832" s="37" t="str">
        <f ca="1">IFERROR(__xludf.DUMMYFUNCTION("""COMPUTED_VALUE"""),"")</f>
        <v/>
      </c>
      <c r="D832" s="33"/>
      <c r="G832" s="37"/>
    </row>
    <row r="833" spans="1:7" ht="12.5" x14ac:dyDescent="0.25">
      <c r="A833" s="33"/>
      <c r="B833" s="33"/>
      <c r="C833" s="37" t="str">
        <f ca="1">IFERROR(__xludf.DUMMYFUNCTION("""COMPUTED_VALUE"""),"")</f>
        <v/>
      </c>
      <c r="D833" s="33"/>
      <c r="G833" s="37"/>
    </row>
    <row r="834" spans="1:7" ht="12.5" x14ac:dyDescent="0.25">
      <c r="A834" s="33"/>
      <c r="B834" s="33"/>
      <c r="C834" s="37" t="str">
        <f ca="1">IFERROR(__xludf.DUMMYFUNCTION("""COMPUTED_VALUE"""),"")</f>
        <v/>
      </c>
      <c r="D834" s="33"/>
      <c r="G834" s="37"/>
    </row>
    <row r="835" spans="1:7" ht="12.5" x14ac:dyDescent="0.25">
      <c r="A835" s="33"/>
      <c r="B835" s="33"/>
      <c r="C835" s="37" t="str">
        <f ca="1">IFERROR(__xludf.DUMMYFUNCTION("""COMPUTED_VALUE"""),"")</f>
        <v/>
      </c>
      <c r="D835" s="33"/>
      <c r="G835" s="37"/>
    </row>
    <row r="836" spans="1:7" ht="12.5" x14ac:dyDescent="0.25">
      <c r="A836" s="33"/>
      <c r="B836" s="33"/>
      <c r="C836" s="37" t="str">
        <f ca="1">IFERROR(__xludf.DUMMYFUNCTION("""COMPUTED_VALUE"""),"")</f>
        <v/>
      </c>
      <c r="D836" s="33"/>
      <c r="G836" s="37"/>
    </row>
    <row r="837" spans="1:7" ht="12.5" x14ac:dyDescent="0.25">
      <c r="A837" s="33"/>
      <c r="B837" s="33"/>
      <c r="C837" s="37" t="str">
        <f ca="1">IFERROR(__xludf.DUMMYFUNCTION("""COMPUTED_VALUE"""),"")</f>
        <v/>
      </c>
      <c r="D837" s="33"/>
      <c r="G837" s="37"/>
    </row>
    <row r="838" spans="1:7" ht="12.5" x14ac:dyDescent="0.25">
      <c r="A838" s="33"/>
      <c r="B838" s="33"/>
      <c r="C838" s="37" t="str">
        <f ca="1">IFERROR(__xludf.DUMMYFUNCTION("""COMPUTED_VALUE"""),"")</f>
        <v/>
      </c>
      <c r="D838" s="33"/>
      <c r="G838" s="37"/>
    </row>
    <row r="839" spans="1:7" ht="12.5" x14ac:dyDescent="0.25">
      <c r="A839" s="33"/>
      <c r="B839" s="33"/>
      <c r="C839" s="37" t="str">
        <f ca="1">IFERROR(__xludf.DUMMYFUNCTION("""COMPUTED_VALUE"""),"")</f>
        <v/>
      </c>
      <c r="D839" s="33"/>
      <c r="G839" s="37"/>
    </row>
    <row r="840" spans="1:7" ht="12.5" x14ac:dyDescent="0.25">
      <c r="A840" s="33"/>
      <c r="B840" s="33"/>
      <c r="C840" s="37" t="str">
        <f ca="1">IFERROR(__xludf.DUMMYFUNCTION("""COMPUTED_VALUE"""),"")</f>
        <v/>
      </c>
      <c r="D840" s="33"/>
      <c r="G840" s="37"/>
    </row>
    <row r="841" spans="1:7" ht="12.5" x14ac:dyDescent="0.25">
      <c r="A841" s="33"/>
      <c r="B841" s="33"/>
      <c r="C841" s="37" t="str">
        <f ca="1">IFERROR(__xludf.DUMMYFUNCTION("""COMPUTED_VALUE"""),"")</f>
        <v/>
      </c>
      <c r="D841" s="33"/>
      <c r="G841" s="37"/>
    </row>
    <row r="842" spans="1:7" ht="12.5" x14ac:dyDescent="0.25">
      <c r="A842" s="33"/>
      <c r="B842" s="33"/>
      <c r="C842" s="37" t="str">
        <f ca="1">IFERROR(__xludf.DUMMYFUNCTION("""COMPUTED_VALUE"""),"")</f>
        <v/>
      </c>
      <c r="D842" s="33"/>
      <c r="G842" s="37"/>
    </row>
    <row r="843" spans="1:7" ht="12.5" x14ac:dyDescent="0.25">
      <c r="A843" s="33"/>
      <c r="B843" s="33"/>
      <c r="C843" s="37" t="str">
        <f ca="1">IFERROR(__xludf.DUMMYFUNCTION("""COMPUTED_VALUE"""),"")</f>
        <v/>
      </c>
      <c r="D843" s="33"/>
      <c r="G843" s="37"/>
    </row>
    <row r="844" spans="1:7" ht="12.5" x14ac:dyDescent="0.25">
      <c r="A844" s="33"/>
      <c r="B844" s="33"/>
      <c r="C844" s="37" t="str">
        <f ca="1">IFERROR(__xludf.DUMMYFUNCTION("""COMPUTED_VALUE"""),"")</f>
        <v/>
      </c>
      <c r="D844" s="33"/>
      <c r="G844" s="37"/>
    </row>
    <row r="845" spans="1:7" ht="12.5" x14ac:dyDescent="0.25">
      <c r="A845" s="33"/>
      <c r="B845" s="33"/>
      <c r="C845" s="37" t="str">
        <f ca="1">IFERROR(__xludf.DUMMYFUNCTION("""COMPUTED_VALUE"""),"")</f>
        <v/>
      </c>
      <c r="D845" s="33"/>
      <c r="G845" s="37"/>
    </row>
    <row r="846" spans="1:7" ht="12.5" x14ac:dyDescent="0.25">
      <c r="A846" s="33"/>
      <c r="B846" s="33"/>
      <c r="C846" s="37" t="str">
        <f ca="1">IFERROR(__xludf.DUMMYFUNCTION("""COMPUTED_VALUE"""),"")</f>
        <v/>
      </c>
      <c r="D846" s="33"/>
      <c r="G846" s="37"/>
    </row>
    <row r="847" spans="1:7" ht="12.5" x14ac:dyDescent="0.25">
      <c r="A847" s="33"/>
      <c r="B847" s="33"/>
      <c r="C847" s="37" t="str">
        <f ca="1">IFERROR(__xludf.DUMMYFUNCTION("""COMPUTED_VALUE"""),"")</f>
        <v/>
      </c>
      <c r="D847" s="33"/>
      <c r="G847" s="37"/>
    </row>
    <row r="848" spans="1:7" ht="12.5" x14ac:dyDescent="0.25">
      <c r="A848" s="33"/>
      <c r="B848" s="33"/>
      <c r="C848" s="37" t="str">
        <f ca="1">IFERROR(__xludf.DUMMYFUNCTION("""COMPUTED_VALUE"""),"")</f>
        <v/>
      </c>
      <c r="D848" s="33"/>
      <c r="G848" s="37"/>
    </row>
    <row r="849" spans="1:7" ht="12.5" x14ac:dyDescent="0.25">
      <c r="A849" s="33"/>
      <c r="B849" s="33"/>
      <c r="C849" s="37" t="str">
        <f ca="1">IFERROR(__xludf.DUMMYFUNCTION("""COMPUTED_VALUE"""),"")</f>
        <v/>
      </c>
      <c r="D849" s="33"/>
      <c r="G849" s="37"/>
    </row>
    <row r="850" spans="1:7" ht="12.5" x14ac:dyDescent="0.25">
      <c r="A850" s="33"/>
      <c r="B850" s="33"/>
      <c r="C850" s="37" t="str">
        <f ca="1">IFERROR(__xludf.DUMMYFUNCTION("""COMPUTED_VALUE"""),"")</f>
        <v/>
      </c>
      <c r="D850" s="33"/>
      <c r="G850" s="37"/>
    </row>
    <row r="851" spans="1:7" ht="12.5" x14ac:dyDescent="0.25">
      <c r="A851" s="33"/>
      <c r="B851" s="33"/>
      <c r="C851" s="37" t="str">
        <f ca="1">IFERROR(__xludf.DUMMYFUNCTION("""COMPUTED_VALUE"""),"")</f>
        <v/>
      </c>
      <c r="D851" s="33"/>
      <c r="G851" s="37"/>
    </row>
    <row r="852" spans="1:7" ht="12.5" x14ac:dyDescent="0.25">
      <c r="A852" s="33"/>
      <c r="B852" s="33"/>
      <c r="C852" s="37" t="str">
        <f ca="1">IFERROR(__xludf.DUMMYFUNCTION("""COMPUTED_VALUE"""),"")</f>
        <v/>
      </c>
      <c r="D852" s="33"/>
      <c r="G852" s="37"/>
    </row>
    <row r="853" spans="1:7" ht="12.5" x14ac:dyDescent="0.25">
      <c r="A853" s="33"/>
      <c r="B853" s="33"/>
      <c r="C853" s="37" t="str">
        <f ca="1">IFERROR(__xludf.DUMMYFUNCTION("""COMPUTED_VALUE"""),"")</f>
        <v/>
      </c>
      <c r="D853" s="33"/>
      <c r="G853" s="37"/>
    </row>
    <row r="854" spans="1:7" ht="12.5" x14ac:dyDescent="0.25">
      <c r="A854" s="33"/>
      <c r="B854" s="33"/>
      <c r="C854" s="37" t="str">
        <f ca="1">IFERROR(__xludf.DUMMYFUNCTION("""COMPUTED_VALUE"""),"")</f>
        <v/>
      </c>
      <c r="D854" s="33"/>
      <c r="G854" s="37"/>
    </row>
    <row r="855" spans="1:7" ht="12.5" x14ac:dyDescent="0.25">
      <c r="A855" s="33"/>
      <c r="B855" s="33"/>
      <c r="C855" s="37" t="str">
        <f ca="1">IFERROR(__xludf.DUMMYFUNCTION("""COMPUTED_VALUE"""),"")</f>
        <v/>
      </c>
      <c r="D855" s="33"/>
      <c r="G855" s="37"/>
    </row>
    <row r="856" spans="1:7" ht="12.5" x14ac:dyDescent="0.25">
      <c r="A856" s="33"/>
      <c r="B856" s="33"/>
      <c r="C856" s="37" t="str">
        <f ca="1">IFERROR(__xludf.DUMMYFUNCTION("""COMPUTED_VALUE"""),"")</f>
        <v/>
      </c>
      <c r="D856" s="33"/>
      <c r="G856" s="37"/>
    </row>
    <row r="857" spans="1:7" ht="12.5" x14ac:dyDescent="0.25">
      <c r="A857" s="33"/>
      <c r="B857" s="33"/>
      <c r="C857" s="37" t="str">
        <f ca="1">IFERROR(__xludf.DUMMYFUNCTION("""COMPUTED_VALUE"""),"")</f>
        <v/>
      </c>
      <c r="D857" s="33"/>
      <c r="G857" s="37"/>
    </row>
    <row r="858" spans="1:7" ht="12.5" x14ac:dyDescent="0.25">
      <c r="A858" s="33"/>
      <c r="B858" s="33"/>
      <c r="C858" s="37" t="str">
        <f ca="1">IFERROR(__xludf.DUMMYFUNCTION("""COMPUTED_VALUE"""),"")</f>
        <v/>
      </c>
      <c r="D858" s="33"/>
      <c r="G858" s="37"/>
    </row>
    <row r="859" spans="1:7" ht="12.5" x14ac:dyDescent="0.25">
      <c r="A859" s="33"/>
      <c r="B859" s="33"/>
      <c r="C859" s="37" t="str">
        <f ca="1">IFERROR(__xludf.DUMMYFUNCTION("""COMPUTED_VALUE"""),"")</f>
        <v/>
      </c>
      <c r="D859" s="33"/>
      <c r="G859" s="37"/>
    </row>
    <row r="860" spans="1:7" ht="12.5" x14ac:dyDescent="0.25">
      <c r="A860" s="33"/>
      <c r="B860" s="33"/>
      <c r="C860" s="37" t="str">
        <f ca="1">IFERROR(__xludf.DUMMYFUNCTION("""COMPUTED_VALUE"""),"")</f>
        <v/>
      </c>
      <c r="D860" s="33"/>
      <c r="G860" s="37"/>
    </row>
    <row r="861" spans="1:7" ht="12.5" x14ac:dyDescent="0.25">
      <c r="A861" s="33"/>
      <c r="B861" s="33"/>
      <c r="C861" s="37" t="str">
        <f ca="1">IFERROR(__xludf.DUMMYFUNCTION("""COMPUTED_VALUE"""),"")</f>
        <v/>
      </c>
      <c r="D861" s="33"/>
      <c r="G861" s="37"/>
    </row>
    <row r="862" spans="1:7" ht="12.5" x14ac:dyDescent="0.25">
      <c r="A862" s="33"/>
      <c r="B862" s="33"/>
      <c r="C862" s="37" t="str">
        <f ca="1">IFERROR(__xludf.DUMMYFUNCTION("""COMPUTED_VALUE"""),"")</f>
        <v/>
      </c>
      <c r="D862" s="33"/>
      <c r="G862" s="37"/>
    </row>
    <row r="863" spans="1:7" ht="12.5" x14ac:dyDescent="0.25">
      <c r="A863" s="33"/>
      <c r="B863" s="33"/>
      <c r="C863" s="37" t="str">
        <f ca="1">IFERROR(__xludf.DUMMYFUNCTION("""COMPUTED_VALUE"""),"")</f>
        <v/>
      </c>
      <c r="D863" s="33"/>
      <c r="G863" s="37"/>
    </row>
    <row r="864" spans="1:7" ht="12.5" x14ac:dyDescent="0.25">
      <c r="A864" s="33"/>
      <c r="B864" s="33"/>
      <c r="C864" s="37" t="str">
        <f ca="1">IFERROR(__xludf.DUMMYFUNCTION("""COMPUTED_VALUE"""),"")</f>
        <v/>
      </c>
      <c r="D864" s="33"/>
      <c r="G864" s="37"/>
    </row>
    <row r="865" spans="1:7" ht="12.5" x14ac:dyDescent="0.25">
      <c r="A865" s="33"/>
      <c r="B865" s="33"/>
      <c r="C865" s="37" t="str">
        <f ca="1">IFERROR(__xludf.DUMMYFUNCTION("""COMPUTED_VALUE"""),"")</f>
        <v/>
      </c>
      <c r="D865" s="33"/>
      <c r="G865" s="37"/>
    </row>
    <row r="866" spans="1:7" ht="12.5" x14ac:dyDescent="0.25">
      <c r="A866" s="33"/>
      <c r="B866" s="33"/>
      <c r="C866" s="37" t="str">
        <f ca="1">IFERROR(__xludf.DUMMYFUNCTION("""COMPUTED_VALUE"""),"")</f>
        <v/>
      </c>
      <c r="D866" s="33"/>
      <c r="G866" s="37"/>
    </row>
    <row r="867" spans="1:7" ht="12.5" x14ac:dyDescent="0.25">
      <c r="A867" s="33"/>
      <c r="B867" s="33"/>
      <c r="C867" s="37" t="str">
        <f ca="1">IFERROR(__xludf.DUMMYFUNCTION("""COMPUTED_VALUE"""),"")</f>
        <v/>
      </c>
      <c r="D867" s="33"/>
      <c r="G867" s="37"/>
    </row>
    <row r="868" spans="1:7" ht="12.5" x14ac:dyDescent="0.25">
      <c r="A868" s="33"/>
      <c r="B868" s="33"/>
      <c r="C868" s="37" t="str">
        <f ca="1">IFERROR(__xludf.DUMMYFUNCTION("""COMPUTED_VALUE"""),"")</f>
        <v/>
      </c>
      <c r="D868" s="33"/>
      <c r="G868" s="37"/>
    </row>
    <row r="869" spans="1:7" ht="12.5" x14ac:dyDescent="0.25">
      <c r="A869" s="33"/>
      <c r="B869" s="33"/>
      <c r="C869" s="37" t="str">
        <f ca="1">IFERROR(__xludf.DUMMYFUNCTION("""COMPUTED_VALUE"""),"")</f>
        <v/>
      </c>
      <c r="D869" s="33"/>
      <c r="G869" s="37"/>
    </row>
    <row r="870" spans="1:7" ht="12.5" x14ac:dyDescent="0.25">
      <c r="A870" s="33"/>
      <c r="B870" s="33"/>
      <c r="C870" s="37" t="str">
        <f ca="1">IFERROR(__xludf.DUMMYFUNCTION("""COMPUTED_VALUE"""),"")</f>
        <v/>
      </c>
      <c r="D870" s="33"/>
      <c r="G870" s="37"/>
    </row>
    <row r="871" spans="1:7" ht="12.5" x14ac:dyDescent="0.25">
      <c r="A871" s="33"/>
      <c r="B871" s="33"/>
      <c r="C871" s="37" t="str">
        <f ca="1">IFERROR(__xludf.DUMMYFUNCTION("""COMPUTED_VALUE"""),"")</f>
        <v/>
      </c>
      <c r="D871" s="33"/>
      <c r="G871" s="37"/>
    </row>
    <row r="872" spans="1:7" ht="12.5" x14ac:dyDescent="0.25">
      <c r="A872" s="33"/>
      <c r="B872" s="33"/>
      <c r="C872" s="37" t="str">
        <f ca="1">IFERROR(__xludf.DUMMYFUNCTION("""COMPUTED_VALUE"""),"")</f>
        <v/>
      </c>
      <c r="D872" s="33"/>
      <c r="G872" s="37"/>
    </row>
    <row r="873" spans="1:7" ht="12.5" x14ac:dyDescent="0.25">
      <c r="A873" s="33"/>
      <c r="B873" s="33"/>
      <c r="C873" s="37" t="str">
        <f ca="1">IFERROR(__xludf.DUMMYFUNCTION("""COMPUTED_VALUE"""),"")</f>
        <v/>
      </c>
      <c r="D873" s="33"/>
      <c r="G873" s="37"/>
    </row>
    <row r="874" spans="1:7" ht="12.5" x14ac:dyDescent="0.25">
      <c r="A874" s="33"/>
      <c r="B874" s="33"/>
      <c r="C874" s="37" t="str">
        <f ca="1">IFERROR(__xludf.DUMMYFUNCTION("""COMPUTED_VALUE"""),"")</f>
        <v/>
      </c>
      <c r="D874" s="33"/>
      <c r="G874" s="37"/>
    </row>
    <row r="875" spans="1:7" ht="12.5" x14ac:dyDescent="0.25">
      <c r="A875" s="33"/>
      <c r="B875" s="33"/>
      <c r="C875" s="37" t="str">
        <f ca="1">IFERROR(__xludf.DUMMYFUNCTION("""COMPUTED_VALUE"""),"")</f>
        <v/>
      </c>
      <c r="D875" s="33"/>
      <c r="G875" s="37"/>
    </row>
    <row r="876" spans="1:7" ht="12.5" x14ac:dyDescent="0.25">
      <c r="A876" s="33"/>
      <c r="B876" s="33"/>
      <c r="C876" s="37" t="str">
        <f ca="1">IFERROR(__xludf.DUMMYFUNCTION("""COMPUTED_VALUE"""),"")</f>
        <v/>
      </c>
      <c r="D876" s="33"/>
      <c r="G876" s="37"/>
    </row>
    <row r="877" spans="1:7" ht="12.5" x14ac:dyDescent="0.25">
      <c r="A877" s="33"/>
      <c r="B877" s="33"/>
      <c r="C877" s="37" t="str">
        <f ca="1">IFERROR(__xludf.DUMMYFUNCTION("""COMPUTED_VALUE"""),"")</f>
        <v/>
      </c>
      <c r="D877" s="33"/>
      <c r="G877" s="37"/>
    </row>
    <row r="878" spans="1:7" ht="12.5" x14ac:dyDescent="0.25">
      <c r="A878" s="33"/>
      <c r="B878" s="33"/>
      <c r="C878" s="37" t="str">
        <f ca="1">IFERROR(__xludf.DUMMYFUNCTION("""COMPUTED_VALUE"""),"")</f>
        <v/>
      </c>
      <c r="D878" s="33"/>
      <c r="G878" s="37"/>
    </row>
    <row r="879" spans="1:7" ht="12.5" x14ac:dyDescent="0.25">
      <c r="A879" s="33"/>
      <c r="B879" s="33"/>
      <c r="C879" s="37" t="str">
        <f ca="1">IFERROR(__xludf.DUMMYFUNCTION("""COMPUTED_VALUE"""),"")</f>
        <v/>
      </c>
      <c r="D879" s="33"/>
      <c r="G879" s="37"/>
    </row>
    <row r="880" spans="1:7" ht="12.5" x14ac:dyDescent="0.25">
      <c r="A880" s="33"/>
      <c r="B880" s="33"/>
      <c r="C880" s="37" t="str">
        <f ca="1">IFERROR(__xludf.DUMMYFUNCTION("""COMPUTED_VALUE"""),"")</f>
        <v/>
      </c>
      <c r="D880" s="33"/>
      <c r="G880" s="37"/>
    </row>
    <row r="881" spans="1:7" ht="12.5" x14ac:dyDescent="0.25">
      <c r="A881" s="33"/>
      <c r="B881" s="33"/>
      <c r="C881" s="37" t="str">
        <f ca="1">IFERROR(__xludf.DUMMYFUNCTION("""COMPUTED_VALUE"""),"")</f>
        <v/>
      </c>
      <c r="D881" s="33"/>
      <c r="G881" s="37"/>
    </row>
    <row r="882" spans="1:7" ht="12.5" x14ac:dyDescent="0.25">
      <c r="A882" s="33"/>
      <c r="B882" s="33"/>
      <c r="C882" s="37" t="str">
        <f ca="1">IFERROR(__xludf.DUMMYFUNCTION("""COMPUTED_VALUE"""),"")</f>
        <v/>
      </c>
      <c r="D882" s="33"/>
      <c r="G882" s="37"/>
    </row>
    <row r="883" spans="1:7" ht="12.5" x14ac:dyDescent="0.25">
      <c r="A883" s="33"/>
      <c r="B883" s="33"/>
      <c r="C883" s="37" t="str">
        <f ca="1">IFERROR(__xludf.DUMMYFUNCTION("""COMPUTED_VALUE"""),"")</f>
        <v/>
      </c>
      <c r="D883" s="33"/>
      <c r="G883" s="37"/>
    </row>
    <row r="884" spans="1:7" ht="12.5" x14ac:dyDescent="0.25">
      <c r="A884" s="33"/>
      <c r="B884" s="33"/>
      <c r="C884" s="37" t="str">
        <f ca="1">IFERROR(__xludf.DUMMYFUNCTION("""COMPUTED_VALUE"""),"")</f>
        <v/>
      </c>
      <c r="D884" s="33"/>
      <c r="G884" s="37"/>
    </row>
    <row r="885" spans="1:7" ht="12.5" x14ac:dyDescent="0.25">
      <c r="A885" s="33"/>
      <c r="B885" s="33"/>
      <c r="C885" s="37" t="str">
        <f ca="1">IFERROR(__xludf.DUMMYFUNCTION("""COMPUTED_VALUE"""),"")</f>
        <v/>
      </c>
      <c r="D885" s="33"/>
      <c r="G885" s="37"/>
    </row>
    <row r="886" spans="1:7" ht="12.5" x14ac:dyDescent="0.25">
      <c r="A886" s="33"/>
      <c r="B886" s="33"/>
      <c r="C886" s="37" t="str">
        <f ca="1">IFERROR(__xludf.DUMMYFUNCTION("""COMPUTED_VALUE"""),"")</f>
        <v/>
      </c>
      <c r="D886" s="33"/>
      <c r="G886" s="37"/>
    </row>
    <row r="887" spans="1:7" ht="12.5" x14ac:dyDescent="0.25">
      <c r="A887" s="33"/>
      <c r="B887" s="33"/>
      <c r="C887" s="37" t="str">
        <f ca="1">IFERROR(__xludf.DUMMYFUNCTION("""COMPUTED_VALUE"""),"")</f>
        <v/>
      </c>
      <c r="D887" s="33"/>
      <c r="G887" s="37"/>
    </row>
    <row r="888" spans="1:7" ht="12.5" x14ac:dyDescent="0.25">
      <c r="A888" s="33"/>
      <c r="B888" s="33"/>
      <c r="C888" s="37" t="str">
        <f ca="1">IFERROR(__xludf.DUMMYFUNCTION("""COMPUTED_VALUE"""),"")</f>
        <v/>
      </c>
      <c r="D888" s="33"/>
      <c r="G888" s="37"/>
    </row>
    <row r="889" spans="1:7" ht="12.5" x14ac:dyDescent="0.25">
      <c r="A889" s="33"/>
      <c r="B889" s="33"/>
      <c r="C889" s="37" t="str">
        <f ca="1">IFERROR(__xludf.DUMMYFUNCTION("""COMPUTED_VALUE"""),"")</f>
        <v/>
      </c>
      <c r="D889" s="33"/>
      <c r="G889" s="37"/>
    </row>
    <row r="890" spans="1:7" ht="12.5" x14ac:dyDescent="0.25">
      <c r="A890" s="33"/>
      <c r="B890" s="33"/>
      <c r="C890" s="37" t="str">
        <f ca="1">IFERROR(__xludf.DUMMYFUNCTION("""COMPUTED_VALUE"""),"")</f>
        <v/>
      </c>
      <c r="D890" s="33"/>
      <c r="G890" s="37"/>
    </row>
    <row r="891" spans="1:7" ht="12.5" x14ac:dyDescent="0.25">
      <c r="A891" s="33"/>
      <c r="B891" s="33"/>
      <c r="C891" s="37" t="str">
        <f ca="1">IFERROR(__xludf.DUMMYFUNCTION("""COMPUTED_VALUE"""),"")</f>
        <v/>
      </c>
      <c r="D891" s="33"/>
      <c r="G891" s="37"/>
    </row>
    <row r="892" spans="1:7" ht="12.5" x14ac:dyDescent="0.25">
      <c r="A892" s="33"/>
      <c r="B892" s="33"/>
      <c r="C892" s="37" t="str">
        <f ca="1">IFERROR(__xludf.DUMMYFUNCTION("""COMPUTED_VALUE"""),"")</f>
        <v/>
      </c>
      <c r="D892" s="33"/>
      <c r="G892" s="37"/>
    </row>
    <row r="893" spans="1:7" ht="12.5" x14ac:dyDescent="0.25">
      <c r="A893" s="33"/>
      <c r="B893" s="33"/>
      <c r="C893" s="37" t="str">
        <f ca="1">IFERROR(__xludf.DUMMYFUNCTION("""COMPUTED_VALUE"""),"")</f>
        <v/>
      </c>
      <c r="D893" s="33"/>
      <c r="G893" s="37"/>
    </row>
    <row r="894" spans="1:7" ht="12.5" x14ac:dyDescent="0.25">
      <c r="A894" s="33"/>
      <c r="B894" s="33"/>
      <c r="C894" s="37" t="str">
        <f ca="1">IFERROR(__xludf.DUMMYFUNCTION("""COMPUTED_VALUE"""),"")</f>
        <v/>
      </c>
      <c r="D894" s="33"/>
      <c r="G894" s="37"/>
    </row>
    <row r="895" spans="1:7" ht="12.5" x14ac:dyDescent="0.25">
      <c r="A895" s="33"/>
      <c r="B895" s="33"/>
      <c r="C895" s="37" t="str">
        <f ca="1">IFERROR(__xludf.DUMMYFUNCTION("""COMPUTED_VALUE"""),"")</f>
        <v/>
      </c>
      <c r="D895" s="33"/>
      <c r="G895" s="37"/>
    </row>
    <row r="896" spans="1:7" ht="12.5" x14ac:dyDescent="0.25">
      <c r="A896" s="33"/>
      <c r="B896" s="33"/>
      <c r="C896" s="37" t="str">
        <f ca="1">IFERROR(__xludf.DUMMYFUNCTION("""COMPUTED_VALUE"""),"")</f>
        <v/>
      </c>
      <c r="D896" s="33"/>
      <c r="G896" s="37"/>
    </row>
    <row r="897" spans="1:7" ht="12.5" x14ac:dyDescent="0.25">
      <c r="A897" s="33"/>
      <c r="B897" s="33"/>
      <c r="C897" s="37" t="str">
        <f ca="1">IFERROR(__xludf.DUMMYFUNCTION("""COMPUTED_VALUE"""),"")</f>
        <v/>
      </c>
      <c r="D897" s="33"/>
      <c r="G897" s="37"/>
    </row>
    <row r="898" spans="1:7" ht="12.5" x14ac:dyDescent="0.25">
      <c r="A898" s="33"/>
      <c r="B898" s="33"/>
      <c r="C898" s="37" t="str">
        <f ca="1">IFERROR(__xludf.DUMMYFUNCTION("""COMPUTED_VALUE"""),"")</f>
        <v/>
      </c>
      <c r="D898" s="33"/>
      <c r="G898" s="37"/>
    </row>
    <row r="899" spans="1:7" ht="12.5" x14ac:dyDescent="0.25">
      <c r="A899" s="33"/>
      <c r="B899" s="33"/>
      <c r="C899" s="37" t="str">
        <f ca="1">IFERROR(__xludf.DUMMYFUNCTION("""COMPUTED_VALUE"""),"")</f>
        <v/>
      </c>
      <c r="D899" s="33"/>
      <c r="G899" s="37"/>
    </row>
    <row r="900" spans="1:7" ht="12.5" x14ac:dyDescent="0.25">
      <c r="A900" s="33"/>
      <c r="B900" s="33"/>
      <c r="C900" s="37" t="str">
        <f ca="1">IFERROR(__xludf.DUMMYFUNCTION("""COMPUTED_VALUE"""),"")</f>
        <v/>
      </c>
      <c r="D900" s="33"/>
      <c r="G900" s="37"/>
    </row>
    <row r="901" spans="1:7" ht="12.5" x14ac:dyDescent="0.25">
      <c r="A901" s="33"/>
      <c r="B901" s="33"/>
      <c r="C901" s="37" t="str">
        <f ca="1">IFERROR(__xludf.DUMMYFUNCTION("""COMPUTED_VALUE"""),"")</f>
        <v/>
      </c>
      <c r="D901" s="33"/>
      <c r="G901" s="37"/>
    </row>
    <row r="902" spans="1:7" ht="12.5" x14ac:dyDescent="0.25">
      <c r="A902" s="33"/>
      <c r="B902" s="33"/>
      <c r="C902" s="37" t="str">
        <f ca="1">IFERROR(__xludf.DUMMYFUNCTION("""COMPUTED_VALUE"""),"")</f>
        <v/>
      </c>
      <c r="D902" s="33"/>
      <c r="G902" s="37"/>
    </row>
    <row r="903" spans="1:7" ht="12.5" x14ac:dyDescent="0.25">
      <c r="A903" s="33"/>
      <c r="B903" s="33"/>
      <c r="C903" s="37" t="str">
        <f ca="1">IFERROR(__xludf.DUMMYFUNCTION("""COMPUTED_VALUE"""),"")</f>
        <v/>
      </c>
      <c r="D903" s="33"/>
      <c r="G903" s="37"/>
    </row>
    <row r="904" spans="1:7" ht="12.5" x14ac:dyDescent="0.25">
      <c r="A904" s="33"/>
      <c r="B904" s="33"/>
      <c r="C904" s="37" t="str">
        <f ca="1">IFERROR(__xludf.DUMMYFUNCTION("""COMPUTED_VALUE"""),"")</f>
        <v/>
      </c>
      <c r="D904" s="33"/>
      <c r="G904" s="37"/>
    </row>
    <row r="905" spans="1:7" ht="12.5" x14ac:dyDescent="0.25">
      <c r="A905" s="33"/>
      <c r="B905" s="33"/>
      <c r="C905" s="37" t="str">
        <f ca="1">IFERROR(__xludf.DUMMYFUNCTION("""COMPUTED_VALUE"""),"")</f>
        <v/>
      </c>
      <c r="D905" s="33"/>
      <c r="G905" s="37"/>
    </row>
    <row r="906" spans="1:7" ht="12.5" x14ac:dyDescent="0.25">
      <c r="A906" s="33"/>
      <c r="B906" s="33"/>
      <c r="C906" s="37" t="str">
        <f ca="1">IFERROR(__xludf.DUMMYFUNCTION("""COMPUTED_VALUE"""),"")</f>
        <v/>
      </c>
      <c r="D906" s="33"/>
      <c r="G906" s="37"/>
    </row>
    <row r="907" spans="1:7" ht="12.5" x14ac:dyDescent="0.25">
      <c r="A907" s="33"/>
      <c r="B907" s="33"/>
      <c r="C907" s="37" t="str">
        <f ca="1">IFERROR(__xludf.DUMMYFUNCTION("""COMPUTED_VALUE"""),"")</f>
        <v/>
      </c>
      <c r="D907" s="33"/>
      <c r="G907" s="37"/>
    </row>
    <row r="908" spans="1:7" ht="12.5" x14ac:dyDescent="0.25">
      <c r="A908" s="33"/>
      <c r="B908" s="33"/>
      <c r="C908" s="37" t="str">
        <f ca="1">IFERROR(__xludf.DUMMYFUNCTION("""COMPUTED_VALUE"""),"")</f>
        <v/>
      </c>
      <c r="D908" s="33"/>
      <c r="G908" s="37"/>
    </row>
    <row r="909" spans="1:7" ht="12.5" x14ac:dyDescent="0.25">
      <c r="A909" s="33"/>
      <c r="B909" s="33"/>
      <c r="C909" s="37" t="str">
        <f ca="1">IFERROR(__xludf.DUMMYFUNCTION("""COMPUTED_VALUE"""),"")</f>
        <v/>
      </c>
      <c r="D909" s="33"/>
      <c r="G909" s="37"/>
    </row>
    <row r="910" spans="1:7" ht="12.5" x14ac:dyDescent="0.25">
      <c r="A910" s="33"/>
      <c r="B910" s="33"/>
      <c r="C910" s="37" t="str">
        <f ca="1">IFERROR(__xludf.DUMMYFUNCTION("""COMPUTED_VALUE"""),"")</f>
        <v/>
      </c>
      <c r="D910" s="33"/>
      <c r="G910" s="37"/>
    </row>
    <row r="911" spans="1:7" ht="12.5" x14ac:dyDescent="0.25">
      <c r="A911" s="33"/>
      <c r="B911" s="33"/>
      <c r="C911" s="37" t="str">
        <f ca="1">IFERROR(__xludf.DUMMYFUNCTION("""COMPUTED_VALUE"""),"")</f>
        <v/>
      </c>
      <c r="D911" s="33"/>
      <c r="G911" s="37"/>
    </row>
    <row r="912" spans="1:7" ht="12.5" x14ac:dyDescent="0.25">
      <c r="A912" s="33"/>
      <c r="B912" s="33"/>
      <c r="C912" s="37" t="str">
        <f ca="1">IFERROR(__xludf.DUMMYFUNCTION("""COMPUTED_VALUE"""),"")</f>
        <v/>
      </c>
      <c r="D912" s="33"/>
      <c r="G912" s="37"/>
    </row>
    <row r="913" spans="1:7" ht="12.5" x14ac:dyDescent="0.25">
      <c r="A913" s="33"/>
      <c r="B913" s="33"/>
      <c r="C913" s="37" t="str">
        <f ca="1">IFERROR(__xludf.DUMMYFUNCTION("""COMPUTED_VALUE"""),"")</f>
        <v/>
      </c>
      <c r="D913" s="33"/>
      <c r="G913" s="37"/>
    </row>
    <row r="914" spans="1:7" ht="12.5" x14ac:dyDescent="0.25">
      <c r="A914" s="33"/>
      <c r="B914" s="33"/>
      <c r="C914" s="37" t="str">
        <f ca="1">IFERROR(__xludf.DUMMYFUNCTION("""COMPUTED_VALUE"""),"")</f>
        <v/>
      </c>
      <c r="D914" s="33"/>
      <c r="G914" s="37"/>
    </row>
    <row r="915" spans="1:7" ht="12.5" x14ac:dyDescent="0.25">
      <c r="A915" s="33"/>
      <c r="B915" s="33"/>
      <c r="C915" s="37" t="str">
        <f ca="1">IFERROR(__xludf.DUMMYFUNCTION("""COMPUTED_VALUE"""),"")</f>
        <v/>
      </c>
      <c r="D915" s="33"/>
      <c r="G915" s="37"/>
    </row>
    <row r="916" spans="1:7" ht="12.5" x14ac:dyDescent="0.25">
      <c r="A916" s="33"/>
      <c r="B916" s="33"/>
      <c r="C916" s="37" t="str">
        <f ca="1">IFERROR(__xludf.DUMMYFUNCTION("""COMPUTED_VALUE"""),"")</f>
        <v/>
      </c>
      <c r="D916" s="33"/>
      <c r="G916" s="37"/>
    </row>
    <row r="917" spans="1:7" ht="12.5" x14ac:dyDescent="0.25">
      <c r="A917" s="33"/>
      <c r="B917" s="33"/>
      <c r="C917" s="37" t="str">
        <f ca="1">IFERROR(__xludf.DUMMYFUNCTION("""COMPUTED_VALUE"""),"")</f>
        <v/>
      </c>
      <c r="D917" s="33"/>
      <c r="G917" s="37"/>
    </row>
    <row r="918" spans="1:7" ht="12.5" x14ac:dyDescent="0.25">
      <c r="A918" s="33"/>
      <c r="B918" s="33"/>
      <c r="C918" s="37" t="str">
        <f ca="1">IFERROR(__xludf.DUMMYFUNCTION("""COMPUTED_VALUE"""),"")</f>
        <v/>
      </c>
      <c r="D918" s="33"/>
      <c r="G918" s="37"/>
    </row>
    <row r="919" spans="1:7" ht="12.5" x14ac:dyDescent="0.25">
      <c r="A919" s="33"/>
      <c r="B919" s="33"/>
      <c r="C919" s="37" t="str">
        <f ca="1">IFERROR(__xludf.DUMMYFUNCTION("""COMPUTED_VALUE"""),"")</f>
        <v/>
      </c>
      <c r="D919" s="33"/>
      <c r="G919" s="37"/>
    </row>
    <row r="920" spans="1:7" ht="12.5" x14ac:dyDescent="0.25">
      <c r="A920" s="33"/>
      <c r="B920" s="33"/>
      <c r="C920" s="37" t="str">
        <f ca="1">IFERROR(__xludf.DUMMYFUNCTION("""COMPUTED_VALUE"""),"")</f>
        <v/>
      </c>
      <c r="D920" s="33"/>
      <c r="G920" s="37"/>
    </row>
    <row r="921" spans="1:7" ht="12.5" x14ac:dyDescent="0.25">
      <c r="A921" s="33"/>
      <c r="B921" s="33"/>
      <c r="C921" s="37" t="str">
        <f ca="1">IFERROR(__xludf.DUMMYFUNCTION("""COMPUTED_VALUE"""),"")</f>
        <v/>
      </c>
      <c r="D921" s="33"/>
      <c r="G921" s="37"/>
    </row>
    <row r="922" spans="1:7" ht="12.5" x14ac:dyDescent="0.25">
      <c r="A922" s="33"/>
      <c r="B922" s="33"/>
      <c r="C922" s="37" t="str">
        <f ca="1">IFERROR(__xludf.DUMMYFUNCTION("""COMPUTED_VALUE"""),"")</f>
        <v/>
      </c>
      <c r="D922" s="33"/>
      <c r="G922" s="37"/>
    </row>
    <row r="923" spans="1:7" ht="12.5" x14ac:dyDescent="0.25">
      <c r="A923" s="33"/>
      <c r="B923" s="33"/>
      <c r="C923" s="37" t="str">
        <f ca="1">IFERROR(__xludf.DUMMYFUNCTION("""COMPUTED_VALUE"""),"")</f>
        <v/>
      </c>
      <c r="D923" s="33"/>
      <c r="G923" s="37"/>
    </row>
    <row r="924" spans="1:7" ht="12.5" x14ac:dyDescent="0.25">
      <c r="A924" s="33"/>
      <c r="B924" s="33"/>
      <c r="C924" s="37" t="str">
        <f ca="1">IFERROR(__xludf.DUMMYFUNCTION("""COMPUTED_VALUE"""),"")</f>
        <v/>
      </c>
      <c r="D924" s="33"/>
      <c r="G924" s="37"/>
    </row>
    <row r="925" spans="1:7" ht="12.5" x14ac:dyDescent="0.25">
      <c r="A925" s="33"/>
      <c r="B925" s="33"/>
      <c r="C925" s="37" t="str">
        <f ca="1">IFERROR(__xludf.DUMMYFUNCTION("""COMPUTED_VALUE"""),"")</f>
        <v/>
      </c>
      <c r="D925" s="33"/>
      <c r="G925" s="37"/>
    </row>
    <row r="926" spans="1:7" ht="12.5" x14ac:dyDescent="0.25">
      <c r="A926" s="33"/>
      <c r="B926" s="33"/>
      <c r="C926" s="37" t="str">
        <f ca="1">IFERROR(__xludf.DUMMYFUNCTION("""COMPUTED_VALUE"""),"")</f>
        <v/>
      </c>
      <c r="D926" s="33"/>
      <c r="G926" s="37"/>
    </row>
    <row r="927" spans="1:7" ht="12.5" x14ac:dyDescent="0.25">
      <c r="A927" s="33"/>
      <c r="B927" s="33"/>
      <c r="C927" s="37" t="str">
        <f ca="1">IFERROR(__xludf.DUMMYFUNCTION("""COMPUTED_VALUE"""),"")</f>
        <v/>
      </c>
      <c r="D927" s="33"/>
      <c r="G927" s="37"/>
    </row>
    <row r="928" spans="1:7" ht="12.5" x14ac:dyDescent="0.25">
      <c r="A928" s="33"/>
      <c r="B928" s="33"/>
      <c r="C928" s="37" t="str">
        <f ca="1">IFERROR(__xludf.DUMMYFUNCTION("""COMPUTED_VALUE"""),"")</f>
        <v/>
      </c>
      <c r="D928" s="33"/>
      <c r="G928" s="37"/>
    </row>
    <row r="929" spans="1:7" ht="12.5" x14ac:dyDescent="0.25">
      <c r="A929" s="33"/>
      <c r="B929" s="33"/>
      <c r="C929" s="37" t="str">
        <f ca="1">IFERROR(__xludf.DUMMYFUNCTION("""COMPUTED_VALUE"""),"")</f>
        <v/>
      </c>
      <c r="D929" s="33"/>
      <c r="G929" s="37"/>
    </row>
    <row r="930" spans="1:7" ht="12.5" x14ac:dyDescent="0.25">
      <c r="A930" s="33"/>
      <c r="B930" s="33"/>
      <c r="C930" s="37" t="str">
        <f ca="1">IFERROR(__xludf.DUMMYFUNCTION("""COMPUTED_VALUE"""),"")</f>
        <v/>
      </c>
      <c r="D930" s="33"/>
      <c r="G930" s="37"/>
    </row>
    <row r="931" spans="1:7" ht="12.5" x14ac:dyDescent="0.25">
      <c r="A931" s="33"/>
      <c r="B931" s="33"/>
      <c r="C931" s="37" t="str">
        <f ca="1">IFERROR(__xludf.DUMMYFUNCTION("""COMPUTED_VALUE"""),"")</f>
        <v/>
      </c>
      <c r="D931" s="33"/>
      <c r="G931" s="37"/>
    </row>
    <row r="932" spans="1:7" ht="12.5" x14ac:dyDescent="0.25">
      <c r="A932" s="33"/>
      <c r="B932" s="33"/>
      <c r="C932" s="37" t="str">
        <f ca="1">IFERROR(__xludf.DUMMYFUNCTION("""COMPUTED_VALUE"""),"")</f>
        <v/>
      </c>
      <c r="D932" s="33"/>
      <c r="G932" s="37"/>
    </row>
    <row r="933" spans="1:7" ht="12.5" x14ac:dyDescent="0.25">
      <c r="A933" s="33"/>
      <c r="B933" s="33"/>
      <c r="C933" s="37" t="str">
        <f ca="1">IFERROR(__xludf.DUMMYFUNCTION("""COMPUTED_VALUE"""),"")</f>
        <v/>
      </c>
      <c r="D933" s="33"/>
      <c r="G933" s="37"/>
    </row>
    <row r="934" spans="1:7" ht="12.5" x14ac:dyDescent="0.25">
      <c r="A934" s="33"/>
      <c r="B934" s="33"/>
      <c r="C934" s="37" t="str">
        <f ca="1">IFERROR(__xludf.DUMMYFUNCTION("""COMPUTED_VALUE"""),"")</f>
        <v/>
      </c>
      <c r="D934" s="33"/>
      <c r="G934" s="37"/>
    </row>
    <row r="935" spans="1:7" ht="12.5" x14ac:dyDescent="0.25">
      <c r="A935" s="33"/>
      <c r="B935" s="33"/>
      <c r="C935" s="37" t="str">
        <f ca="1">IFERROR(__xludf.DUMMYFUNCTION("""COMPUTED_VALUE"""),"")</f>
        <v/>
      </c>
      <c r="D935" s="33"/>
      <c r="G935" s="37"/>
    </row>
    <row r="936" spans="1:7" ht="12.5" x14ac:dyDescent="0.25">
      <c r="A936" s="33"/>
      <c r="B936" s="33"/>
      <c r="C936" s="37" t="str">
        <f ca="1">IFERROR(__xludf.DUMMYFUNCTION("""COMPUTED_VALUE"""),"")</f>
        <v/>
      </c>
      <c r="D936" s="33"/>
      <c r="G936" s="37"/>
    </row>
    <row r="937" spans="1:7" ht="12.5" x14ac:dyDescent="0.25">
      <c r="A937" s="33"/>
      <c r="B937" s="33"/>
      <c r="C937" s="37" t="str">
        <f ca="1">IFERROR(__xludf.DUMMYFUNCTION("""COMPUTED_VALUE"""),"")</f>
        <v/>
      </c>
      <c r="D937" s="33"/>
      <c r="G937" s="37"/>
    </row>
    <row r="938" spans="1:7" ht="12.5" x14ac:dyDescent="0.25">
      <c r="A938" s="33"/>
      <c r="B938" s="33"/>
      <c r="C938" s="37" t="str">
        <f ca="1">IFERROR(__xludf.DUMMYFUNCTION("""COMPUTED_VALUE"""),"")</f>
        <v/>
      </c>
      <c r="D938" s="33"/>
      <c r="G938" s="37"/>
    </row>
    <row r="939" spans="1:7" ht="12.5" x14ac:dyDescent="0.25">
      <c r="A939" s="33"/>
      <c r="B939" s="33"/>
      <c r="C939" s="37" t="str">
        <f ca="1">IFERROR(__xludf.DUMMYFUNCTION("""COMPUTED_VALUE"""),"")</f>
        <v/>
      </c>
      <c r="D939" s="33"/>
      <c r="G939" s="37"/>
    </row>
    <row r="940" spans="1:7" ht="12.5" x14ac:dyDescent="0.25">
      <c r="A940" s="33"/>
      <c r="B940" s="33"/>
      <c r="C940" s="37" t="str">
        <f ca="1">IFERROR(__xludf.DUMMYFUNCTION("""COMPUTED_VALUE"""),"")</f>
        <v/>
      </c>
      <c r="D940" s="33"/>
      <c r="G940" s="37"/>
    </row>
    <row r="941" spans="1:7" ht="12.5" x14ac:dyDescent="0.25">
      <c r="A941" s="33"/>
      <c r="B941" s="33"/>
      <c r="C941" s="37" t="str">
        <f ca="1">IFERROR(__xludf.DUMMYFUNCTION("""COMPUTED_VALUE"""),"")</f>
        <v/>
      </c>
      <c r="D941" s="33"/>
      <c r="G941" s="37"/>
    </row>
    <row r="942" spans="1:7" ht="12.5" x14ac:dyDescent="0.25">
      <c r="A942" s="33"/>
      <c r="B942" s="33"/>
      <c r="C942" s="37" t="str">
        <f ca="1">IFERROR(__xludf.DUMMYFUNCTION("""COMPUTED_VALUE"""),"")</f>
        <v/>
      </c>
      <c r="D942" s="33"/>
      <c r="G942" s="37"/>
    </row>
    <row r="943" spans="1:7" ht="12.5" x14ac:dyDescent="0.25">
      <c r="A943" s="33"/>
      <c r="B943" s="33"/>
      <c r="C943" s="37" t="str">
        <f ca="1">IFERROR(__xludf.DUMMYFUNCTION("""COMPUTED_VALUE"""),"")</f>
        <v/>
      </c>
      <c r="D943" s="33"/>
      <c r="G943" s="37"/>
    </row>
    <row r="944" spans="1:7" ht="12.5" x14ac:dyDescent="0.25">
      <c r="A944" s="33"/>
      <c r="B944" s="33"/>
      <c r="C944" s="37" t="str">
        <f ca="1">IFERROR(__xludf.DUMMYFUNCTION("""COMPUTED_VALUE"""),"")</f>
        <v/>
      </c>
      <c r="D944" s="33"/>
      <c r="G944" s="37"/>
    </row>
    <row r="945" spans="1:7" ht="12.5" x14ac:dyDescent="0.25">
      <c r="A945" s="33"/>
      <c r="B945" s="33"/>
      <c r="C945" s="37" t="str">
        <f ca="1">IFERROR(__xludf.DUMMYFUNCTION("""COMPUTED_VALUE"""),"")</f>
        <v/>
      </c>
      <c r="D945" s="33"/>
      <c r="G945" s="37"/>
    </row>
    <row r="946" spans="1:7" ht="12.5" x14ac:dyDescent="0.25">
      <c r="A946" s="33"/>
      <c r="B946" s="33"/>
      <c r="C946" s="37" t="str">
        <f ca="1">IFERROR(__xludf.DUMMYFUNCTION("""COMPUTED_VALUE"""),"")</f>
        <v/>
      </c>
      <c r="D946" s="33"/>
      <c r="G946" s="37"/>
    </row>
    <row r="947" spans="1:7" ht="12.5" x14ac:dyDescent="0.25">
      <c r="A947" s="33"/>
      <c r="B947" s="33"/>
      <c r="C947" s="37" t="str">
        <f ca="1">IFERROR(__xludf.DUMMYFUNCTION("""COMPUTED_VALUE"""),"")</f>
        <v/>
      </c>
      <c r="D947" s="33"/>
      <c r="G947" s="37"/>
    </row>
    <row r="948" spans="1:7" ht="12.5" x14ac:dyDescent="0.25">
      <c r="A948" s="33"/>
      <c r="B948" s="33"/>
      <c r="C948" s="37" t="str">
        <f ca="1">IFERROR(__xludf.DUMMYFUNCTION("""COMPUTED_VALUE"""),"")</f>
        <v/>
      </c>
      <c r="D948" s="33"/>
      <c r="G948" s="37"/>
    </row>
    <row r="949" spans="1:7" ht="12.5" x14ac:dyDescent="0.25">
      <c r="A949" s="33"/>
      <c r="B949" s="33"/>
      <c r="C949" s="37" t="str">
        <f ca="1">IFERROR(__xludf.DUMMYFUNCTION("""COMPUTED_VALUE"""),"")</f>
        <v/>
      </c>
      <c r="D949" s="33"/>
      <c r="G949" s="37"/>
    </row>
    <row r="950" spans="1:7" ht="12.5" x14ac:dyDescent="0.25">
      <c r="A950" s="33"/>
      <c r="B950" s="33"/>
      <c r="C950" s="37" t="str">
        <f ca="1">IFERROR(__xludf.DUMMYFUNCTION("""COMPUTED_VALUE"""),"")</f>
        <v/>
      </c>
      <c r="D950" s="33"/>
      <c r="G950" s="37"/>
    </row>
    <row r="951" spans="1:7" ht="12.5" x14ac:dyDescent="0.25">
      <c r="A951" s="33"/>
      <c r="B951" s="33"/>
      <c r="C951" s="37" t="str">
        <f ca="1">IFERROR(__xludf.DUMMYFUNCTION("""COMPUTED_VALUE"""),"")</f>
        <v/>
      </c>
      <c r="D951" s="33"/>
      <c r="G951" s="37"/>
    </row>
    <row r="952" spans="1:7" ht="12.5" x14ac:dyDescent="0.25">
      <c r="A952" s="33"/>
      <c r="B952" s="33"/>
      <c r="C952" s="37" t="str">
        <f ca="1">IFERROR(__xludf.DUMMYFUNCTION("""COMPUTED_VALUE"""),"")</f>
        <v/>
      </c>
      <c r="D952" s="33"/>
      <c r="G952" s="37"/>
    </row>
    <row r="953" spans="1:7" ht="12.5" x14ac:dyDescent="0.25">
      <c r="A953" s="33"/>
      <c r="B953" s="33"/>
      <c r="C953" s="37" t="str">
        <f ca="1">IFERROR(__xludf.DUMMYFUNCTION("""COMPUTED_VALUE"""),"")</f>
        <v/>
      </c>
      <c r="D953" s="33"/>
      <c r="G953" s="37"/>
    </row>
    <row r="954" spans="1:7" ht="12.5" x14ac:dyDescent="0.25">
      <c r="A954" s="33"/>
      <c r="B954" s="33"/>
      <c r="C954" s="37" t="str">
        <f ca="1">IFERROR(__xludf.DUMMYFUNCTION("""COMPUTED_VALUE"""),"")</f>
        <v/>
      </c>
      <c r="D954" s="33"/>
      <c r="G954" s="37"/>
    </row>
    <row r="955" spans="1:7" ht="12.5" x14ac:dyDescent="0.25">
      <c r="A955" s="33"/>
      <c r="B955" s="33"/>
      <c r="C955" s="37" t="str">
        <f ca="1">IFERROR(__xludf.DUMMYFUNCTION("""COMPUTED_VALUE"""),"")</f>
        <v/>
      </c>
      <c r="D955" s="33"/>
      <c r="G955" s="37"/>
    </row>
    <row r="956" spans="1:7" ht="12.5" x14ac:dyDescent="0.25">
      <c r="A956" s="33"/>
      <c r="B956" s="33"/>
      <c r="C956" s="37" t="str">
        <f ca="1">IFERROR(__xludf.DUMMYFUNCTION("""COMPUTED_VALUE"""),"")</f>
        <v/>
      </c>
      <c r="D956" s="33"/>
      <c r="G956" s="37"/>
    </row>
    <row r="957" spans="1:7" ht="12.5" x14ac:dyDescent="0.25">
      <c r="A957" s="33"/>
      <c r="B957" s="33"/>
      <c r="C957" s="37" t="str">
        <f ca="1">IFERROR(__xludf.DUMMYFUNCTION("""COMPUTED_VALUE"""),"")</f>
        <v/>
      </c>
      <c r="D957" s="33"/>
      <c r="G957" s="37"/>
    </row>
    <row r="958" spans="1:7" ht="12.5" x14ac:dyDescent="0.25">
      <c r="A958" s="33"/>
      <c r="B958" s="33"/>
      <c r="C958" s="37" t="str">
        <f ca="1">IFERROR(__xludf.DUMMYFUNCTION("""COMPUTED_VALUE"""),"")</f>
        <v/>
      </c>
      <c r="D958" s="33"/>
      <c r="G958" s="37"/>
    </row>
    <row r="959" spans="1:7" ht="12.5" x14ac:dyDescent="0.25">
      <c r="A959" s="33"/>
      <c r="B959" s="33"/>
      <c r="C959" s="37" t="str">
        <f ca="1">IFERROR(__xludf.DUMMYFUNCTION("""COMPUTED_VALUE"""),"")</f>
        <v/>
      </c>
      <c r="D959" s="33"/>
      <c r="G959" s="37"/>
    </row>
    <row r="960" spans="1:7" ht="12.5" x14ac:dyDescent="0.25">
      <c r="A960" s="33"/>
      <c r="B960" s="33"/>
      <c r="C960" s="37" t="str">
        <f ca="1">IFERROR(__xludf.DUMMYFUNCTION("""COMPUTED_VALUE"""),"")</f>
        <v/>
      </c>
      <c r="D960" s="33"/>
      <c r="G960" s="37"/>
    </row>
    <row r="961" spans="1:7" ht="12.5" x14ac:dyDescent="0.25">
      <c r="A961" s="33"/>
      <c r="B961" s="33"/>
      <c r="C961" s="37" t="str">
        <f ca="1">IFERROR(__xludf.DUMMYFUNCTION("""COMPUTED_VALUE"""),"")</f>
        <v/>
      </c>
      <c r="D961" s="33"/>
      <c r="G961" s="37"/>
    </row>
    <row r="962" spans="1:7" ht="12.5" x14ac:dyDescent="0.25">
      <c r="A962" s="33"/>
      <c r="B962" s="33"/>
      <c r="C962" s="37" t="str">
        <f ca="1">IFERROR(__xludf.DUMMYFUNCTION("""COMPUTED_VALUE"""),"")</f>
        <v/>
      </c>
      <c r="D962" s="33"/>
      <c r="G962" s="37"/>
    </row>
    <row r="963" spans="1:7" ht="12.5" x14ac:dyDescent="0.25">
      <c r="A963" s="33"/>
      <c r="B963" s="33"/>
      <c r="C963" s="37" t="str">
        <f ca="1">IFERROR(__xludf.DUMMYFUNCTION("""COMPUTED_VALUE"""),"")</f>
        <v/>
      </c>
      <c r="D963" s="33"/>
      <c r="G963" s="37"/>
    </row>
    <row r="964" spans="1:7" ht="12.5" x14ac:dyDescent="0.25">
      <c r="A964" s="33"/>
      <c r="B964" s="33"/>
      <c r="C964" s="37" t="str">
        <f ca="1">IFERROR(__xludf.DUMMYFUNCTION("""COMPUTED_VALUE"""),"")</f>
        <v/>
      </c>
      <c r="D964" s="33"/>
      <c r="G964" s="37"/>
    </row>
    <row r="965" spans="1:7" ht="12.5" x14ac:dyDescent="0.25">
      <c r="A965" s="33"/>
      <c r="B965" s="33"/>
      <c r="C965" s="37" t="str">
        <f ca="1">IFERROR(__xludf.DUMMYFUNCTION("""COMPUTED_VALUE"""),"")</f>
        <v/>
      </c>
      <c r="D965" s="33"/>
      <c r="G965" s="37"/>
    </row>
    <row r="966" spans="1:7" ht="12.5" x14ac:dyDescent="0.25">
      <c r="A966" s="33"/>
      <c r="B966" s="33"/>
      <c r="C966" s="37" t="str">
        <f ca="1">IFERROR(__xludf.DUMMYFUNCTION("""COMPUTED_VALUE"""),"")</f>
        <v/>
      </c>
      <c r="D966" s="33"/>
      <c r="G966" s="37"/>
    </row>
    <row r="967" spans="1:7" ht="12.5" x14ac:dyDescent="0.25">
      <c r="A967" s="33"/>
      <c r="B967" s="33"/>
      <c r="C967" s="37" t="str">
        <f ca="1">IFERROR(__xludf.DUMMYFUNCTION("""COMPUTED_VALUE"""),"")</f>
        <v/>
      </c>
      <c r="D967" s="33"/>
      <c r="G967" s="37"/>
    </row>
    <row r="968" spans="1:7" ht="12.5" x14ac:dyDescent="0.25">
      <c r="A968" s="33"/>
      <c r="B968" s="33"/>
      <c r="C968" s="37" t="str">
        <f ca="1">IFERROR(__xludf.DUMMYFUNCTION("""COMPUTED_VALUE"""),"")</f>
        <v/>
      </c>
      <c r="D968" s="33"/>
      <c r="G968" s="37"/>
    </row>
    <row r="969" spans="1:7" ht="12.5" x14ac:dyDescent="0.25">
      <c r="A969" s="33"/>
      <c r="B969" s="33"/>
      <c r="C969" s="37" t="str">
        <f ca="1">IFERROR(__xludf.DUMMYFUNCTION("""COMPUTED_VALUE"""),"")</f>
        <v/>
      </c>
      <c r="D969" s="33"/>
      <c r="G969" s="37"/>
    </row>
    <row r="970" spans="1:7" ht="12.5" x14ac:dyDescent="0.25">
      <c r="A970" s="33"/>
      <c r="B970" s="33"/>
      <c r="C970" s="37" t="str">
        <f ca="1">IFERROR(__xludf.DUMMYFUNCTION("""COMPUTED_VALUE"""),"")</f>
        <v/>
      </c>
      <c r="D970" s="33"/>
      <c r="G970" s="37"/>
    </row>
    <row r="971" spans="1:7" ht="12.5" x14ac:dyDescent="0.25">
      <c r="A971" s="33"/>
      <c r="B971" s="33"/>
      <c r="C971" s="37" t="str">
        <f ca="1">IFERROR(__xludf.DUMMYFUNCTION("""COMPUTED_VALUE"""),"")</f>
        <v/>
      </c>
      <c r="D971" s="33"/>
      <c r="G971" s="37"/>
    </row>
    <row r="972" spans="1:7" ht="12.5" x14ac:dyDescent="0.25">
      <c r="A972" s="33"/>
      <c r="B972" s="33"/>
      <c r="C972" s="37" t="str">
        <f ca="1">IFERROR(__xludf.DUMMYFUNCTION("""COMPUTED_VALUE"""),"")</f>
        <v/>
      </c>
      <c r="D972" s="33"/>
      <c r="G972" s="37"/>
    </row>
    <row r="973" spans="1:7" ht="12.5" x14ac:dyDescent="0.25">
      <c r="A973" s="33"/>
      <c r="B973" s="33"/>
      <c r="C973" s="37" t="str">
        <f ca="1">IFERROR(__xludf.DUMMYFUNCTION("""COMPUTED_VALUE"""),"")</f>
        <v/>
      </c>
      <c r="D973" s="33"/>
      <c r="G973" s="37"/>
    </row>
    <row r="974" spans="1:7" ht="12.5" x14ac:dyDescent="0.25">
      <c r="A974" s="33"/>
      <c r="B974" s="33"/>
      <c r="C974" s="37" t="str">
        <f ca="1">IFERROR(__xludf.DUMMYFUNCTION("""COMPUTED_VALUE"""),"")</f>
        <v/>
      </c>
      <c r="D974" s="33"/>
      <c r="G974" s="37"/>
    </row>
    <row r="975" spans="1:7" ht="12.5" x14ac:dyDescent="0.25">
      <c r="A975" s="33"/>
      <c r="B975" s="33"/>
      <c r="C975" s="37" t="str">
        <f ca="1">IFERROR(__xludf.DUMMYFUNCTION("""COMPUTED_VALUE"""),"")</f>
        <v/>
      </c>
      <c r="D975" s="33"/>
      <c r="G975" s="37"/>
    </row>
    <row r="976" spans="1:7" ht="12.5" x14ac:dyDescent="0.25">
      <c r="A976" s="33"/>
      <c r="B976" s="33"/>
      <c r="C976" s="37" t="str">
        <f ca="1">IFERROR(__xludf.DUMMYFUNCTION("""COMPUTED_VALUE"""),"")</f>
        <v/>
      </c>
      <c r="D976" s="33"/>
      <c r="G976" s="37"/>
    </row>
    <row r="977" spans="1:7" ht="12.5" x14ac:dyDescent="0.25">
      <c r="A977" s="33"/>
      <c r="B977" s="33"/>
      <c r="C977" s="37" t="str">
        <f ca="1">IFERROR(__xludf.DUMMYFUNCTION("""COMPUTED_VALUE"""),"")</f>
        <v/>
      </c>
      <c r="D977" s="33"/>
      <c r="G977" s="37"/>
    </row>
    <row r="978" spans="1:7" ht="12.5" x14ac:dyDescent="0.25">
      <c r="A978" s="33"/>
      <c r="B978" s="33"/>
      <c r="C978" s="37" t="str">
        <f ca="1">IFERROR(__xludf.DUMMYFUNCTION("""COMPUTED_VALUE"""),"")</f>
        <v/>
      </c>
      <c r="D978" s="33"/>
      <c r="G978" s="37"/>
    </row>
    <row r="979" spans="1:7" ht="12.5" x14ac:dyDescent="0.25">
      <c r="A979" s="33"/>
      <c r="B979" s="33"/>
      <c r="C979" s="37" t="str">
        <f ca="1">IFERROR(__xludf.DUMMYFUNCTION("""COMPUTED_VALUE"""),"")</f>
        <v/>
      </c>
      <c r="D979" s="33"/>
      <c r="G979" s="37"/>
    </row>
    <row r="980" spans="1:7" ht="12.5" x14ac:dyDescent="0.25">
      <c r="A980" s="33"/>
      <c r="B980" s="33"/>
      <c r="C980" s="37" t="str">
        <f ca="1">IFERROR(__xludf.DUMMYFUNCTION("""COMPUTED_VALUE"""),"")</f>
        <v/>
      </c>
      <c r="D980" s="33"/>
      <c r="G980" s="37"/>
    </row>
    <row r="981" spans="1:7" ht="12.5" x14ac:dyDescent="0.25">
      <c r="A981" s="33"/>
      <c r="B981" s="33"/>
      <c r="C981" s="37" t="str">
        <f ca="1">IFERROR(__xludf.DUMMYFUNCTION("""COMPUTED_VALUE"""),"")</f>
        <v/>
      </c>
      <c r="D981" s="33"/>
      <c r="G981" s="37"/>
    </row>
    <row r="982" spans="1:7" ht="12.5" x14ac:dyDescent="0.25">
      <c r="A982" s="33"/>
      <c r="B982" s="33"/>
      <c r="C982" s="37" t="str">
        <f ca="1">IFERROR(__xludf.DUMMYFUNCTION("""COMPUTED_VALUE"""),"")</f>
        <v/>
      </c>
      <c r="D982" s="33"/>
      <c r="G982" s="37"/>
    </row>
    <row r="983" spans="1:7" ht="12.5" x14ac:dyDescent="0.25">
      <c r="A983" s="33"/>
      <c r="B983" s="33"/>
      <c r="C983" s="37" t="str">
        <f ca="1">IFERROR(__xludf.DUMMYFUNCTION("""COMPUTED_VALUE"""),"")</f>
        <v/>
      </c>
      <c r="D983" s="33"/>
      <c r="G983" s="37"/>
    </row>
    <row r="984" spans="1:7" ht="12.5" x14ac:dyDescent="0.25">
      <c r="A984" s="33"/>
      <c r="B984" s="33"/>
      <c r="C984" s="37" t="str">
        <f ca="1">IFERROR(__xludf.DUMMYFUNCTION("""COMPUTED_VALUE"""),"")</f>
        <v/>
      </c>
      <c r="D984" s="33"/>
      <c r="G984" s="37"/>
    </row>
    <row r="985" spans="1:7" ht="12.5" x14ac:dyDescent="0.25">
      <c r="A985" s="33"/>
      <c r="B985" s="33"/>
      <c r="C985" s="37" t="str">
        <f ca="1">IFERROR(__xludf.DUMMYFUNCTION("""COMPUTED_VALUE"""),"")</f>
        <v/>
      </c>
      <c r="D985" s="33"/>
      <c r="G985" s="37"/>
    </row>
    <row r="986" spans="1:7" ht="12.5" x14ac:dyDescent="0.25">
      <c r="A986" s="33"/>
      <c r="B986" s="33"/>
      <c r="C986" s="37" t="str">
        <f ca="1">IFERROR(__xludf.DUMMYFUNCTION("""COMPUTED_VALUE"""),"")</f>
        <v/>
      </c>
      <c r="D986" s="33"/>
      <c r="G986" s="37"/>
    </row>
    <row r="987" spans="1:7" ht="12.5" x14ac:dyDescent="0.25">
      <c r="A987" s="33"/>
      <c r="B987" s="33"/>
      <c r="C987" s="37" t="str">
        <f ca="1">IFERROR(__xludf.DUMMYFUNCTION("""COMPUTED_VALUE"""),"")</f>
        <v/>
      </c>
      <c r="D987" s="33"/>
      <c r="G987" s="37"/>
    </row>
    <row r="988" spans="1:7" ht="12.5" x14ac:dyDescent="0.25">
      <c r="A988" s="33"/>
      <c r="B988" s="33"/>
      <c r="C988" s="37" t="str">
        <f ca="1">IFERROR(__xludf.DUMMYFUNCTION("""COMPUTED_VALUE"""),"")</f>
        <v/>
      </c>
      <c r="D988" s="33"/>
      <c r="G988" s="37"/>
    </row>
    <row r="989" spans="1:7" ht="12.5" x14ac:dyDescent="0.25">
      <c r="A989" s="33"/>
      <c r="B989" s="33"/>
      <c r="C989" s="37" t="str">
        <f ca="1">IFERROR(__xludf.DUMMYFUNCTION("""COMPUTED_VALUE"""),"")</f>
        <v/>
      </c>
      <c r="D989" s="33"/>
      <c r="G989" s="37"/>
    </row>
    <row r="990" spans="1:7" ht="12.5" x14ac:dyDescent="0.25">
      <c r="A990" s="33"/>
      <c r="B990" s="33"/>
      <c r="C990" s="37" t="str">
        <f ca="1">IFERROR(__xludf.DUMMYFUNCTION("""COMPUTED_VALUE"""),"")</f>
        <v/>
      </c>
      <c r="D990" s="33"/>
      <c r="G990" s="37"/>
    </row>
    <row r="991" spans="1:7" ht="12.5" x14ac:dyDescent="0.25">
      <c r="A991" s="33"/>
      <c r="B991" s="33"/>
      <c r="C991" s="37" t="str">
        <f ca="1">IFERROR(__xludf.DUMMYFUNCTION("""COMPUTED_VALUE"""),"")</f>
        <v/>
      </c>
      <c r="D991" s="33"/>
      <c r="G991" s="37"/>
    </row>
    <row r="992" spans="1:7" ht="12.5" x14ac:dyDescent="0.25">
      <c r="A992" s="33"/>
      <c r="B992" s="33"/>
      <c r="C992" s="37" t="str">
        <f ca="1">IFERROR(__xludf.DUMMYFUNCTION("""COMPUTED_VALUE"""),"")</f>
        <v/>
      </c>
      <c r="D992" s="33"/>
      <c r="G992" s="37"/>
    </row>
    <row r="993" spans="1:7" ht="12.5" x14ac:dyDescent="0.25">
      <c r="A993" s="33"/>
      <c r="B993" s="33"/>
      <c r="C993" s="37" t="str">
        <f ca="1">IFERROR(__xludf.DUMMYFUNCTION("""COMPUTED_VALUE"""),"")</f>
        <v/>
      </c>
      <c r="D993" s="33"/>
      <c r="G993" s="37"/>
    </row>
    <row r="994" spans="1:7" ht="12.5" x14ac:dyDescent="0.25">
      <c r="A994" s="33"/>
      <c r="B994" s="33"/>
      <c r="C994" s="37" t="str">
        <f ca="1">IFERROR(__xludf.DUMMYFUNCTION("""COMPUTED_VALUE"""),"")</f>
        <v/>
      </c>
      <c r="D994" s="33"/>
      <c r="G994" s="37"/>
    </row>
    <row r="995" spans="1:7" ht="12.5" x14ac:dyDescent="0.25">
      <c r="A995" s="33"/>
      <c r="B995" s="33"/>
      <c r="C995" s="37" t="str">
        <f ca="1">IFERROR(__xludf.DUMMYFUNCTION("""COMPUTED_VALUE"""),"")</f>
        <v/>
      </c>
      <c r="D995" s="33"/>
      <c r="G995" s="37"/>
    </row>
    <row r="996" spans="1:7" ht="12.5" x14ac:dyDescent="0.25">
      <c r="A996" s="33"/>
      <c r="B996" s="33"/>
      <c r="C996" s="37" t="str">
        <f ca="1">IFERROR(__xludf.DUMMYFUNCTION("""COMPUTED_VALUE"""),"")</f>
        <v/>
      </c>
      <c r="D996" s="33"/>
      <c r="G996" s="37"/>
    </row>
    <row r="997" spans="1:7" ht="12.5" x14ac:dyDescent="0.25">
      <c r="A997" s="33"/>
      <c r="B997" s="33"/>
      <c r="C997" s="37" t="str">
        <f ca="1">IFERROR(__xludf.DUMMYFUNCTION("""COMPUTED_VALUE"""),"")</f>
        <v/>
      </c>
      <c r="D997" s="33"/>
      <c r="G997" s="37"/>
    </row>
    <row r="998" spans="1:7" ht="12.5" x14ac:dyDescent="0.25">
      <c r="A998" s="33"/>
      <c r="B998" s="33"/>
      <c r="C998" s="37" t="str">
        <f ca="1">IFERROR(__xludf.DUMMYFUNCTION("""COMPUTED_VALUE"""),"")</f>
        <v/>
      </c>
      <c r="D998" s="33"/>
      <c r="G998" s="37"/>
    </row>
    <row r="999" spans="1:7" ht="12.5" x14ac:dyDescent="0.25">
      <c r="A999" s="33"/>
      <c r="B999" s="33"/>
      <c r="C999" s="37" t="str">
        <f ca="1">IFERROR(__xludf.DUMMYFUNCTION("""COMPUTED_VALUE"""),"")</f>
        <v/>
      </c>
      <c r="D999" s="33"/>
      <c r="G999" s="37"/>
    </row>
    <row r="1000" spans="1:7" ht="12.5" x14ac:dyDescent="0.25">
      <c r="A1000" s="33"/>
      <c r="B1000" s="33"/>
      <c r="C1000" s="37" t="str">
        <f ca="1">IFERROR(__xludf.DUMMYFUNCTION("""COMPUTED_VALUE"""),"")</f>
        <v/>
      </c>
      <c r="D1000" s="33"/>
      <c r="G1000" s="3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6328125" defaultRowHeight="15.75" customHeight="1" x14ac:dyDescent="0.25"/>
  <sheetData>
    <row r="1" spans="1:26" x14ac:dyDescent="0.3">
      <c r="A1" s="36" t="str">
        <f ca="1">IFERROR(__xludf.DUMMYFUNCTION("IMPORTRANGE(""https://docs.google.com/spreadsheets/d/11T3QCvm1KgW6THRDEack4lDxO4QN3BI-8Q0At5dCy7A"",""Juniper!A1:D1000"")"),"Devices")</f>
        <v>Devices</v>
      </c>
      <c r="B1" s="38" t="str">
        <f ca="1">IFERROR(__xludf.DUMMYFUNCTION("""COMPUTED_VALUE"""),"List Price")</f>
        <v>List Price</v>
      </c>
      <c r="C1" s="36" t="str">
        <f ca="1">IFERROR(__xludf.DUMMYFUNCTION("""COMPUTED_VALUE"""),"Giá AM nhập")</f>
        <v>Giá AM nhập</v>
      </c>
      <c r="D1" s="36" t="str">
        <f ca="1">IFERROR(__xludf.DUMMYFUNCTION("""COMPUTED_VALUE"""),"Final Price")</f>
        <v>Final Price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spans="1:26" ht="15.75" customHeight="1" x14ac:dyDescent="0.25">
      <c r="A2" s="33" t="str">
        <f ca="1">IFERROR(__xludf.DUMMYFUNCTION("""COMPUTED_VALUE"""),"EX4200-24T")</f>
        <v>EX4200-24T</v>
      </c>
      <c r="B2" s="37">
        <f ca="1">IFERROR(__xludf.DUMMYFUNCTION("""COMPUTED_VALUE"""),10000)</f>
        <v>10000</v>
      </c>
      <c r="C2" s="37">
        <f ca="1">IFERROR(__xludf.DUMMYFUNCTION("""COMPUTED_VALUE"""),26500)</f>
        <v>26500</v>
      </c>
      <c r="D2" s="37">
        <f ca="1">IFERROR(__xludf.DUMMYFUNCTION("""COMPUTED_VALUE"""),26500)</f>
        <v>26500</v>
      </c>
    </row>
    <row r="3" spans="1:26" ht="15.75" customHeight="1" x14ac:dyDescent="0.25">
      <c r="A3" s="33" t="str">
        <f ca="1">IFERROR(__xludf.DUMMYFUNCTION("""COMPUTED_VALUE"""),"EX4300-48S")</f>
        <v>EX4300-48S</v>
      </c>
      <c r="B3" s="37">
        <f ca="1">IFERROR(__xludf.DUMMYFUNCTION("""COMPUTED_VALUE"""),20000)</f>
        <v>20000</v>
      </c>
      <c r="C3" s="37">
        <f ca="1">IFERROR(__xludf.DUMMYFUNCTION("""COMPUTED_VALUE"""),32500)</f>
        <v>32500</v>
      </c>
      <c r="D3" s="37">
        <f ca="1">IFERROR(__xludf.DUMMYFUNCTION("""COMPUTED_VALUE"""),32500)</f>
        <v>32500</v>
      </c>
    </row>
    <row r="4" spans="1:26" ht="15.75" customHeight="1" x14ac:dyDescent="0.25">
      <c r="A4" s="33" t="str">
        <f ca="1">IFERROR(__xludf.DUMMYFUNCTION("""COMPUTED_VALUE"""),"EX4600")</f>
        <v>EX4600</v>
      </c>
      <c r="B4" s="37">
        <f ca="1">IFERROR(__xludf.DUMMYFUNCTION("""COMPUTED_VALUE"""),30000)</f>
        <v>30000</v>
      </c>
      <c r="C4" s="37">
        <f ca="1">IFERROR(__xludf.DUMMYFUNCTION("""COMPUTED_VALUE"""),192000)</f>
        <v>192000</v>
      </c>
      <c r="D4" s="37">
        <f ca="1">IFERROR(__xludf.DUMMYFUNCTION("""COMPUTED_VALUE"""),192000)</f>
        <v>192000</v>
      </c>
    </row>
    <row r="5" spans="1:26" ht="15.75" customHeight="1" x14ac:dyDescent="0.25">
      <c r="A5" s="33"/>
      <c r="B5" s="33"/>
      <c r="C5" s="33"/>
      <c r="D5" s="33"/>
    </row>
    <row r="6" spans="1:26" ht="15.75" customHeight="1" x14ac:dyDescent="0.25">
      <c r="A6" s="33"/>
      <c r="B6" s="33"/>
      <c r="C6" s="33"/>
      <c r="D6" s="33"/>
    </row>
    <row r="7" spans="1:26" ht="15.75" customHeight="1" x14ac:dyDescent="0.25">
      <c r="A7" s="33"/>
      <c r="B7" s="33"/>
      <c r="C7" s="33"/>
      <c r="D7" s="33"/>
    </row>
    <row r="8" spans="1:26" ht="15.75" customHeight="1" x14ac:dyDescent="0.25">
      <c r="A8" s="33"/>
      <c r="B8" s="33"/>
      <c r="C8" s="33"/>
      <c r="D8" s="33"/>
    </row>
    <row r="9" spans="1:26" ht="15.75" customHeight="1" x14ac:dyDescent="0.25">
      <c r="A9" s="33"/>
      <c r="B9" s="33"/>
      <c r="C9" s="33"/>
      <c r="D9" s="33"/>
    </row>
    <row r="10" spans="1:26" ht="15.75" customHeight="1" x14ac:dyDescent="0.25">
      <c r="A10" s="33"/>
      <c r="B10" s="33"/>
      <c r="C10" s="33"/>
      <c r="D10" s="33"/>
    </row>
    <row r="11" spans="1:26" ht="15.75" customHeight="1" x14ac:dyDescent="0.25">
      <c r="A11" s="33"/>
      <c r="B11" s="33"/>
      <c r="C11" s="33"/>
      <c r="D11" s="33"/>
    </row>
    <row r="12" spans="1:26" ht="15.75" customHeight="1" x14ac:dyDescent="0.25">
      <c r="A12" s="33"/>
      <c r="B12" s="33"/>
      <c r="C12" s="33"/>
      <c r="D12" s="33"/>
    </row>
    <row r="13" spans="1:26" ht="15.75" customHeight="1" x14ac:dyDescent="0.25">
      <c r="A13" s="33"/>
      <c r="B13" s="33"/>
      <c r="C13" s="33"/>
      <c r="D13" s="33"/>
    </row>
    <row r="14" spans="1:26" ht="15.75" customHeight="1" x14ac:dyDescent="0.25">
      <c r="A14" s="33"/>
      <c r="B14" s="33"/>
      <c r="C14" s="33"/>
      <c r="D14" s="33"/>
    </row>
    <row r="15" spans="1:26" ht="15.75" customHeight="1" x14ac:dyDescent="0.25">
      <c r="A15" s="33"/>
      <c r="B15" s="33"/>
      <c r="C15" s="33"/>
      <c r="D15" s="33"/>
    </row>
    <row r="16" spans="1:26" ht="15.75" customHeight="1" x14ac:dyDescent="0.25">
      <c r="A16" s="33"/>
      <c r="B16" s="33"/>
      <c r="C16" s="33"/>
      <c r="D16" s="33"/>
    </row>
    <row r="17" spans="1:4" ht="15.75" customHeight="1" x14ac:dyDescent="0.25">
      <c r="A17" s="33"/>
      <c r="B17" s="33"/>
      <c r="C17" s="33"/>
      <c r="D17" s="33"/>
    </row>
    <row r="18" spans="1:4" ht="15.75" customHeight="1" x14ac:dyDescent="0.25">
      <c r="A18" s="33"/>
      <c r="B18" s="33"/>
      <c r="C18" s="33"/>
      <c r="D18" s="33"/>
    </row>
    <row r="19" spans="1:4" ht="15.75" customHeight="1" x14ac:dyDescent="0.25">
      <c r="A19" s="33"/>
      <c r="B19" s="33"/>
      <c r="C19" s="33"/>
      <c r="D19" s="33"/>
    </row>
    <row r="20" spans="1:4" ht="12.5" x14ac:dyDescent="0.25">
      <c r="A20" s="33"/>
      <c r="B20" s="33"/>
      <c r="C20" s="33"/>
      <c r="D20" s="33"/>
    </row>
    <row r="21" spans="1:4" ht="12.5" x14ac:dyDescent="0.25">
      <c r="A21" s="33"/>
      <c r="B21" s="33"/>
      <c r="C21" s="33"/>
      <c r="D21" s="33"/>
    </row>
    <row r="22" spans="1:4" ht="12.5" x14ac:dyDescent="0.25">
      <c r="A22" s="33"/>
      <c r="B22" s="33"/>
      <c r="C22" s="33"/>
      <c r="D22" s="33"/>
    </row>
    <row r="23" spans="1:4" ht="12.5" x14ac:dyDescent="0.25">
      <c r="A23" s="33"/>
      <c r="B23" s="33"/>
      <c r="C23" s="33"/>
      <c r="D23" s="33"/>
    </row>
    <row r="24" spans="1:4" ht="12.5" x14ac:dyDescent="0.25">
      <c r="A24" s="33"/>
      <c r="B24" s="33"/>
      <c r="C24" s="33"/>
      <c r="D24" s="33"/>
    </row>
    <row r="25" spans="1:4" ht="12.5" x14ac:dyDescent="0.25">
      <c r="A25" s="33"/>
      <c r="B25" s="33"/>
      <c r="C25" s="33"/>
      <c r="D25" s="33"/>
    </row>
    <row r="26" spans="1:4" ht="12.5" x14ac:dyDescent="0.25">
      <c r="A26" s="33"/>
      <c r="B26" s="33"/>
      <c r="C26" s="33"/>
      <c r="D26" s="33"/>
    </row>
    <row r="27" spans="1:4" ht="12.5" x14ac:dyDescent="0.25">
      <c r="A27" s="33"/>
      <c r="B27" s="33"/>
      <c r="C27" s="33"/>
      <c r="D27" s="33"/>
    </row>
    <row r="28" spans="1:4" ht="12.5" x14ac:dyDescent="0.25">
      <c r="A28" s="33"/>
      <c r="B28" s="33"/>
      <c r="C28" s="33"/>
      <c r="D28" s="33"/>
    </row>
    <row r="29" spans="1:4" ht="12.5" x14ac:dyDescent="0.25">
      <c r="A29" s="33"/>
      <c r="B29" s="33"/>
      <c r="C29" s="33"/>
      <c r="D29" s="33"/>
    </row>
    <row r="30" spans="1:4" ht="12.5" x14ac:dyDescent="0.25">
      <c r="A30" s="33"/>
      <c r="B30" s="33"/>
      <c r="C30" s="33"/>
      <c r="D30" s="33"/>
    </row>
    <row r="31" spans="1:4" ht="12.5" x14ac:dyDescent="0.25">
      <c r="A31" s="33"/>
      <c r="B31" s="33"/>
      <c r="C31" s="33"/>
      <c r="D31" s="33"/>
    </row>
    <row r="32" spans="1:4" ht="12.5" x14ac:dyDescent="0.25">
      <c r="A32" s="33"/>
      <c r="B32" s="33"/>
      <c r="C32" s="33"/>
      <c r="D32" s="33"/>
    </row>
    <row r="33" spans="1:4" ht="12.5" x14ac:dyDescent="0.25">
      <c r="A33" s="33"/>
      <c r="B33" s="33"/>
      <c r="C33" s="33"/>
      <c r="D33" s="33"/>
    </row>
    <row r="34" spans="1:4" ht="12.5" x14ac:dyDescent="0.25">
      <c r="A34" s="33"/>
      <c r="B34" s="33"/>
      <c r="C34" s="33"/>
      <c r="D34" s="33"/>
    </row>
    <row r="35" spans="1:4" ht="12.5" x14ac:dyDescent="0.25">
      <c r="A35" s="33"/>
      <c r="B35" s="33"/>
      <c r="C35" s="33"/>
      <c r="D35" s="33"/>
    </row>
    <row r="36" spans="1:4" ht="12.5" x14ac:dyDescent="0.25">
      <c r="A36" s="33"/>
      <c r="B36" s="33"/>
      <c r="C36" s="33"/>
      <c r="D36" s="33"/>
    </row>
    <row r="37" spans="1:4" ht="12.5" x14ac:dyDescent="0.25">
      <c r="A37" s="33"/>
      <c r="B37" s="33"/>
      <c r="C37" s="33"/>
      <c r="D37" s="33"/>
    </row>
    <row r="38" spans="1:4" ht="12.5" x14ac:dyDescent="0.25">
      <c r="A38" s="33"/>
      <c r="B38" s="33"/>
      <c r="C38" s="33"/>
      <c r="D38" s="33"/>
    </row>
    <row r="39" spans="1:4" ht="12.5" x14ac:dyDescent="0.25">
      <c r="A39" s="33"/>
      <c r="B39" s="33"/>
      <c r="C39" s="33"/>
      <c r="D39" s="33"/>
    </row>
    <row r="40" spans="1:4" ht="12.5" x14ac:dyDescent="0.25">
      <c r="A40" s="33"/>
      <c r="B40" s="33"/>
      <c r="C40" s="33"/>
      <c r="D40" s="33"/>
    </row>
    <row r="41" spans="1:4" ht="12.5" x14ac:dyDescent="0.25">
      <c r="A41" s="33"/>
      <c r="B41" s="33"/>
      <c r="C41" s="33"/>
      <c r="D41" s="33"/>
    </row>
    <row r="42" spans="1:4" ht="12.5" x14ac:dyDescent="0.25">
      <c r="A42" s="33"/>
      <c r="B42" s="33"/>
      <c r="C42" s="33"/>
      <c r="D42" s="33"/>
    </row>
    <row r="43" spans="1:4" ht="12.5" x14ac:dyDescent="0.25">
      <c r="A43" s="33"/>
      <c r="B43" s="33"/>
      <c r="C43" s="33"/>
      <c r="D43" s="33"/>
    </row>
    <row r="44" spans="1:4" ht="12.5" x14ac:dyDescent="0.25">
      <c r="A44" s="33"/>
      <c r="B44" s="33"/>
      <c r="C44" s="33"/>
      <c r="D44" s="33"/>
    </row>
    <row r="45" spans="1:4" ht="12.5" x14ac:dyDescent="0.25">
      <c r="A45" s="33"/>
      <c r="B45" s="33"/>
      <c r="C45" s="33"/>
      <c r="D45" s="33"/>
    </row>
    <row r="46" spans="1:4" ht="12.5" x14ac:dyDescent="0.25">
      <c r="A46" s="33"/>
      <c r="B46" s="33"/>
      <c r="C46" s="33"/>
      <c r="D46" s="33"/>
    </row>
    <row r="47" spans="1:4" ht="12.5" x14ac:dyDescent="0.25">
      <c r="A47" s="33"/>
      <c r="B47" s="33"/>
      <c r="C47" s="33"/>
      <c r="D47" s="33"/>
    </row>
    <row r="48" spans="1:4" ht="12.5" x14ac:dyDescent="0.25">
      <c r="A48" s="33"/>
      <c r="B48" s="33"/>
      <c r="C48" s="33"/>
      <c r="D48" s="33"/>
    </row>
    <row r="49" spans="1:4" ht="12.5" x14ac:dyDescent="0.25">
      <c r="A49" s="33"/>
      <c r="B49" s="33"/>
      <c r="C49" s="33"/>
      <c r="D49" s="33"/>
    </row>
    <row r="50" spans="1:4" ht="12.5" x14ac:dyDescent="0.25">
      <c r="A50" s="33"/>
      <c r="B50" s="33"/>
      <c r="C50" s="33"/>
      <c r="D50" s="33"/>
    </row>
    <row r="51" spans="1:4" ht="12.5" x14ac:dyDescent="0.25">
      <c r="A51" s="33"/>
      <c r="B51" s="33"/>
      <c r="C51" s="33"/>
      <c r="D51" s="33"/>
    </row>
    <row r="52" spans="1:4" ht="12.5" x14ac:dyDescent="0.25">
      <c r="A52" s="33"/>
      <c r="B52" s="33"/>
      <c r="C52" s="33"/>
      <c r="D52" s="33"/>
    </row>
    <row r="53" spans="1:4" ht="12.5" x14ac:dyDescent="0.25">
      <c r="A53" s="33"/>
      <c r="B53" s="33"/>
      <c r="C53" s="33"/>
      <c r="D53" s="33"/>
    </row>
    <row r="54" spans="1:4" ht="12.5" x14ac:dyDescent="0.25">
      <c r="A54" s="33"/>
      <c r="B54" s="33"/>
      <c r="C54" s="33"/>
      <c r="D54" s="33"/>
    </row>
    <row r="55" spans="1:4" ht="12.5" x14ac:dyDescent="0.25">
      <c r="A55" s="33"/>
      <c r="B55" s="33"/>
      <c r="C55" s="33"/>
      <c r="D55" s="33"/>
    </row>
    <row r="56" spans="1:4" ht="12.5" x14ac:dyDescent="0.25">
      <c r="A56" s="33"/>
      <c r="B56" s="33"/>
      <c r="C56" s="33"/>
      <c r="D56" s="33"/>
    </row>
    <row r="57" spans="1:4" ht="12.5" x14ac:dyDescent="0.25">
      <c r="A57" s="33"/>
      <c r="B57" s="33"/>
      <c r="C57" s="33"/>
      <c r="D57" s="33"/>
    </row>
    <row r="58" spans="1:4" ht="12.5" x14ac:dyDescent="0.25">
      <c r="A58" s="33"/>
      <c r="B58" s="33"/>
      <c r="C58" s="33"/>
      <c r="D58" s="33"/>
    </row>
    <row r="59" spans="1:4" ht="12.5" x14ac:dyDescent="0.25">
      <c r="A59" s="33"/>
      <c r="B59" s="33"/>
      <c r="C59" s="33"/>
      <c r="D59" s="33"/>
    </row>
    <row r="60" spans="1:4" ht="12.5" x14ac:dyDescent="0.25">
      <c r="A60" s="33"/>
      <c r="B60" s="33"/>
      <c r="C60" s="33"/>
      <c r="D60" s="33"/>
    </row>
    <row r="61" spans="1:4" ht="12.5" x14ac:dyDescent="0.25">
      <c r="A61" s="33"/>
      <c r="B61" s="33"/>
      <c r="C61" s="33"/>
      <c r="D61" s="33"/>
    </row>
    <row r="62" spans="1:4" ht="12.5" x14ac:dyDescent="0.25">
      <c r="A62" s="33"/>
      <c r="B62" s="33"/>
      <c r="C62" s="33"/>
      <c r="D62" s="33"/>
    </row>
    <row r="63" spans="1:4" ht="12.5" x14ac:dyDescent="0.25">
      <c r="A63" s="33"/>
      <c r="B63" s="33"/>
      <c r="C63" s="33"/>
      <c r="D63" s="33"/>
    </row>
    <row r="64" spans="1:4" ht="12.5" x14ac:dyDescent="0.25">
      <c r="A64" s="33"/>
      <c r="B64" s="33"/>
      <c r="C64" s="33"/>
      <c r="D64" s="33"/>
    </row>
    <row r="65" spans="1:4" ht="12.5" x14ac:dyDescent="0.25">
      <c r="A65" s="33"/>
      <c r="B65" s="33"/>
      <c r="C65" s="33"/>
      <c r="D65" s="33"/>
    </row>
    <row r="66" spans="1:4" ht="12.5" x14ac:dyDescent="0.25">
      <c r="A66" s="33"/>
      <c r="B66" s="33"/>
      <c r="C66" s="33"/>
      <c r="D66" s="33"/>
    </row>
    <row r="67" spans="1:4" ht="12.5" x14ac:dyDescent="0.25">
      <c r="A67" s="33"/>
      <c r="B67" s="33"/>
      <c r="C67" s="33"/>
      <c r="D67" s="33"/>
    </row>
    <row r="68" spans="1:4" ht="12.5" x14ac:dyDescent="0.25">
      <c r="A68" s="33"/>
      <c r="B68" s="33"/>
      <c r="C68" s="33"/>
      <c r="D68" s="33"/>
    </row>
    <row r="69" spans="1:4" ht="12.5" x14ac:dyDescent="0.25">
      <c r="A69" s="33"/>
      <c r="B69" s="33"/>
      <c r="C69" s="33"/>
      <c r="D69" s="33"/>
    </row>
    <row r="70" spans="1:4" ht="12.5" x14ac:dyDescent="0.25">
      <c r="A70" s="33"/>
      <c r="B70" s="33"/>
      <c r="C70" s="33"/>
      <c r="D70" s="33"/>
    </row>
    <row r="71" spans="1:4" ht="12.5" x14ac:dyDescent="0.25">
      <c r="A71" s="33"/>
      <c r="B71" s="33"/>
      <c r="C71" s="33"/>
      <c r="D71" s="33"/>
    </row>
    <row r="72" spans="1:4" ht="12.5" x14ac:dyDescent="0.25">
      <c r="A72" s="33"/>
      <c r="B72" s="33"/>
      <c r="C72" s="33"/>
      <c r="D72" s="33"/>
    </row>
    <row r="73" spans="1:4" ht="12.5" x14ac:dyDescent="0.25">
      <c r="A73" s="33"/>
      <c r="B73" s="33"/>
      <c r="C73" s="33"/>
      <c r="D73" s="33"/>
    </row>
    <row r="74" spans="1:4" ht="12.5" x14ac:dyDescent="0.25">
      <c r="A74" s="33"/>
      <c r="B74" s="33"/>
      <c r="C74" s="33"/>
      <c r="D74" s="33"/>
    </row>
    <row r="75" spans="1:4" ht="12.5" x14ac:dyDescent="0.25">
      <c r="A75" s="33"/>
      <c r="B75" s="33"/>
      <c r="C75" s="33"/>
      <c r="D75" s="33"/>
    </row>
    <row r="76" spans="1:4" ht="12.5" x14ac:dyDescent="0.25">
      <c r="A76" s="33"/>
      <c r="B76" s="33"/>
      <c r="C76" s="33"/>
      <c r="D76" s="33"/>
    </row>
    <row r="77" spans="1:4" ht="12.5" x14ac:dyDescent="0.25">
      <c r="A77" s="33"/>
      <c r="B77" s="33"/>
      <c r="C77" s="33"/>
      <c r="D77" s="33"/>
    </row>
    <row r="78" spans="1:4" ht="12.5" x14ac:dyDescent="0.25">
      <c r="A78" s="33"/>
      <c r="B78" s="33"/>
      <c r="C78" s="33"/>
      <c r="D78" s="33"/>
    </row>
    <row r="79" spans="1:4" ht="12.5" x14ac:dyDescent="0.25">
      <c r="A79" s="33"/>
      <c r="B79" s="33"/>
      <c r="C79" s="33"/>
      <c r="D79" s="33"/>
    </row>
    <row r="80" spans="1:4" ht="12.5" x14ac:dyDescent="0.25">
      <c r="A80" s="33"/>
      <c r="B80" s="33"/>
      <c r="C80" s="33"/>
      <c r="D80" s="33"/>
    </row>
    <row r="81" spans="1:4" ht="12.5" x14ac:dyDescent="0.25">
      <c r="A81" s="33"/>
      <c r="B81" s="33"/>
      <c r="C81" s="33"/>
      <c r="D81" s="33"/>
    </row>
    <row r="82" spans="1:4" ht="12.5" x14ac:dyDescent="0.25">
      <c r="A82" s="33"/>
      <c r="B82" s="33"/>
      <c r="C82" s="33"/>
      <c r="D82" s="33"/>
    </row>
    <row r="83" spans="1:4" ht="12.5" x14ac:dyDescent="0.25">
      <c r="A83" s="33"/>
      <c r="B83" s="33"/>
      <c r="C83" s="33"/>
      <c r="D83" s="33"/>
    </row>
    <row r="84" spans="1:4" ht="12.5" x14ac:dyDescent="0.25">
      <c r="A84" s="33"/>
      <c r="B84" s="33"/>
      <c r="C84" s="33"/>
      <c r="D84" s="33"/>
    </row>
    <row r="85" spans="1:4" ht="12.5" x14ac:dyDescent="0.25">
      <c r="A85" s="33"/>
      <c r="B85" s="33"/>
      <c r="C85" s="33"/>
      <c r="D85" s="33"/>
    </row>
    <row r="86" spans="1:4" ht="12.5" x14ac:dyDescent="0.25">
      <c r="A86" s="33"/>
      <c r="B86" s="33"/>
      <c r="C86" s="33"/>
      <c r="D86" s="33"/>
    </row>
    <row r="87" spans="1:4" ht="12.5" x14ac:dyDescent="0.25">
      <c r="A87" s="33"/>
      <c r="B87" s="33"/>
      <c r="C87" s="33"/>
      <c r="D87" s="33"/>
    </row>
    <row r="88" spans="1:4" ht="12.5" x14ac:dyDescent="0.25">
      <c r="A88" s="33"/>
      <c r="B88" s="33"/>
      <c r="C88" s="33"/>
      <c r="D88" s="33"/>
    </row>
    <row r="89" spans="1:4" ht="12.5" x14ac:dyDescent="0.25">
      <c r="A89" s="33"/>
      <c r="B89" s="33"/>
      <c r="C89" s="33"/>
      <c r="D89" s="33"/>
    </row>
    <row r="90" spans="1:4" ht="12.5" x14ac:dyDescent="0.25">
      <c r="A90" s="33"/>
      <c r="B90" s="33"/>
      <c r="C90" s="33"/>
      <c r="D90" s="33"/>
    </row>
    <row r="91" spans="1:4" ht="12.5" x14ac:dyDescent="0.25">
      <c r="A91" s="33"/>
      <c r="B91" s="33"/>
      <c r="C91" s="33"/>
      <c r="D91" s="33"/>
    </row>
    <row r="92" spans="1:4" ht="12.5" x14ac:dyDescent="0.25">
      <c r="A92" s="33"/>
      <c r="B92" s="33"/>
      <c r="C92" s="33"/>
      <c r="D92" s="33"/>
    </row>
    <row r="93" spans="1:4" ht="12.5" x14ac:dyDescent="0.25">
      <c r="A93" s="33"/>
      <c r="B93" s="33"/>
      <c r="C93" s="33"/>
      <c r="D93" s="33"/>
    </row>
    <row r="94" spans="1:4" ht="12.5" x14ac:dyDescent="0.25">
      <c r="A94" s="33"/>
      <c r="B94" s="33"/>
      <c r="C94" s="33"/>
      <c r="D94" s="33"/>
    </row>
    <row r="95" spans="1:4" ht="12.5" x14ac:dyDescent="0.25">
      <c r="A95" s="33"/>
      <c r="B95" s="33"/>
      <c r="C95" s="33"/>
      <c r="D95" s="33"/>
    </row>
    <row r="96" spans="1:4" ht="12.5" x14ac:dyDescent="0.25">
      <c r="A96" s="33"/>
      <c r="B96" s="33"/>
      <c r="C96" s="33"/>
      <c r="D96" s="33"/>
    </row>
    <row r="97" spans="1:4" ht="12.5" x14ac:dyDescent="0.25">
      <c r="A97" s="33"/>
      <c r="B97" s="33"/>
      <c r="C97" s="33"/>
      <c r="D97" s="33"/>
    </row>
    <row r="98" spans="1:4" ht="12.5" x14ac:dyDescent="0.25">
      <c r="A98" s="33"/>
      <c r="B98" s="33"/>
      <c r="C98" s="33"/>
      <c r="D98" s="33"/>
    </row>
    <row r="99" spans="1:4" ht="12.5" x14ac:dyDescent="0.25">
      <c r="A99" s="33"/>
      <c r="B99" s="33"/>
      <c r="C99" s="33"/>
      <c r="D99" s="33"/>
    </row>
    <row r="100" spans="1:4" ht="12.5" x14ac:dyDescent="0.25">
      <c r="A100" s="33"/>
      <c r="B100" s="33"/>
      <c r="C100" s="33"/>
      <c r="D100" s="33"/>
    </row>
    <row r="101" spans="1:4" ht="12.5" x14ac:dyDescent="0.25">
      <c r="A101" s="33"/>
      <c r="B101" s="33"/>
      <c r="C101" s="33"/>
      <c r="D101" s="33"/>
    </row>
    <row r="102" spans="1:4" ht="12.5" x14ac:dyDescent="0.25">
      <c r="A102" s="33"/>
      <c r="B102" s="33"/>
      <c r="C102" s="33"/>
      <c r="D102" s="33"/>
    </row>
    <row r="103" spans="1:4" ht="12.5" x14ac:dyDescent="0.25">
      <c r="A103" s="33"/>
      <c r="B103" s="33"/>
      <c r="C103" s="33"/>
      <c r="D103" s="33"/>
    </row>
    <row r="104" spans="1:4" ht="12.5" x14ac:dyDescent="0.25">
      <c r="A104" s="33"/>
      <c r="B104" s="33"/>
      <c r="C104" s="33"/>
      <c r="D104" s="33"/>
    </row>
    <row r="105" spans="1:4" ht="12.5" x14ac:dyDescent="0.25">
      <c r="A105" s="33"/>
      <c r="B105" s="33"/>
      <c r="C105" s="33"/>
      <c r="D105" s="33"/>
    </row>
    <row r="106" spans="1:4" ht="12.5" x14ac:dyDescent="0.25">
      <c r="A106" s="33"/>
      <c r="B106" s="33"/>
      <c r="C106" s="33"/>
      <c r="D106" s="33"/>
    </row>
    <row r="107" spans="1:4" ht="12.5" x14ac:dyDescent="0.25">
      <c r="A107" s="33"/>
      <c r="B107" s="33"/>
      <c r="C107" s="33"/>
      <c r="D107" s="33"/>
    </row>
    <row r="108" spans="1:4" ht="12.5" x14ac:dyDescent="0.25">
      <c r="A108" s="33"/>
      <c r="B108" s="33"/>
      <c r="C108" s="33"/>
      <c r="D108" s="33"/>
    </row>
    <row r="109" spans="1:4" ht="12.5" x14ac:dyDescent="0.25">
      <c r="A109" s="33"/>
      <c r="B109" s="33"/>
      <c r="C109" s="33"/>
      <c r="D109" s="33"/>
    </row>
    <row r="110" spans="1:4" ht="12.5" x14ac:dyDescent="0.25">
      <c r="A110" s="33"/>
      <c r="B110" s="33"/>
      <c r="C110" s="33"/>
      <c r="D110" s="33"/>
    </row>
    <row r="111" spans="1:4" ht="12.5" x14ac:dyDescent="0.25">
      <c r="A111" s="33"/>
      <c r="B111" s="33"/>
      <c r="C111" s="33"/>
      <c r="D111" s="33"/>
    </row>
    <row r="112" spans="1:4" ht="12.5" x14ac:dyDescent="0.25">
      <c r="A112" s="33"/>
      <c r="B112" s="33"/>
      <c r="C112" s="33"/>
      <c r="D112" s="33"/>
    </row>
    <row r="113" spans="1:4" ht="12.5" x14ac:dyDescent="0.25">
      <c r="A113" s="33"/>
      <c r="B113" s="33"/>
      <c r="C113" s="33"/>
      <c r="D113" s="33"/>
    </row>
    <row r="114" spans="1:4" ht="12.5" x14ac:dyDescent="0.25">
      <c r="A114" s="33"/>
      <c r="B114" s="33"/>
      <c r="C114" s="33"/>
      <c r="D114" s="33"/>
    </row>
    <row r="115" spans="1:4" ht="12.5" x14ac:dyDescent="0.25">
      <c r="A115" s="33"/>
      <c r="B115" s="33"/>
      <c r="C115" s="33"/>
      <c r="D115" s="33"/>
    </row>
    <row r="116" spans="1:4" ht="12.5" x14ac:dyDescent="0.25">
      <c r="A116" s="33"/>
      <c r="B116" s="33"/>
      <c r="C116" s="33"/>
      <c r="D116" s="33"/>
    </row>
    <row r="117" spans="1:4" ht="12.5" x14ac:dyDescent="0.25">
      <c r="A117" s="33"/>
      <c r="B117" s="33"/>
      <c r="C117" s="33"/>
      <c r="D117" s="33"/>
    </row>
    <row r="118" spans="1:4" ht="12.5" x14ac:dyDescent="0.25">
      <c r="A118" s="33"/>
      <c r="B118" s="33"/>
      <c r="C118" s="33"/>
      <c r="D118" s="33"/>
    </row>
    <row r="119" spans="1:4" ht="12.5" x14ac:dyDescent="0.25">
      <c r="A119" s="33"/>
      <c r="B119" s="33"/>
      <c r="C119" s="33"/>
      <c r="D119" s="33"/>
    </row>
    <row r="120" spans="1:4" ht="12.5" x14ac:dyDescent="0.25">
      <c r="A120" s="33"/>
      <c r="B120" s="33"/>
      <c r="C120" s="33"/>
      <c r="D120" s="33"/>
    </row>
    <row r="121" spans="1:4" ht="12.5" x14ac:dyDescent="0.25">
      <c r="A121" s="33"/>
      <c r="B121" s="33"/>
      <c r="C121" s="33"/>
      <c r="D121" s="33"/>
    </row>
    <row r="122" spans="1:4" ht="12.5" x14ac:dyDescent="0.25">
      <c r="A122" s="33"/>
      <c r="B122" s="33"/>
      <c r="C122" s="33"/>
      <c r="D122" s="33"/>
    </row>
    <row r="123" spans="1:4" ht="12.5" x14ac:dyDescent="0.25">
      <c r="A123" s="33"/>
      <c r="B123" s="33"/>
      <c r="C123" s="33"/>
      <c r="D123" s="33"/>
    </row>
    <row r="124" spans="1:4" ht="12.5" x14ac:dyDescent="0.25">
      <c r="A124" s="33"/>
      <c r="B124" s="33"/>
      <c r="C124" s="33"/>
      <c r="D124" s="33"/>
    </row>
    <row r="125" spans="1:4" ht="12.5" x14ac:dyDescent="0.25">
      <c r="A125" s="33"/>
      <c r="B125" s="33"/>
      <c r="C125" s="33"/>
      <c r="D125" s="33"/>
    </row>
    <row r="126" spans="1:4" ht="12.5" x14ac:dyDescent="0.25">
      <c r="A126" s="33"/>
      <c r="B126" s="33"/>
      <c r="C126" s="33"/>
      <c r="D126" s="33"/>
    </row>
    <row r="127" spans="1:4" ht="12.5" x14ac:dyDescent="0.25">
      <c r="A127" s="33"/>
      <c r="B127" s="33"/>
      <c r="C127" s="33"/>
      <c r="D127" s="33"/>
    </row>
    <row r="128" spans="1:4" ht="12.5" x14ac:dyDescent="0.25">
      <c r="A128" s="33"/>
      <c r="B128" s="33"/>
      <c r="C128" s="33"/>
      <c r="D128" s="33"/>
    </row>
    <row r="129" spans="1:4" ht="12.5" x14ac:dyDescent="0.25">
      <c r="A129" s="33"/>
      <c r="B129" s="33"/>
      <c r="C129" s="33"/>
      <c r="D129" s="33"/>
    </row>
    <row r="130" spans="1:4" ht="12.5" x14ac:dyDescent="0.25">
      <c r="A130" s="33"/>
      <c r="B130" s="33"/>
      <c r="C130" s="33"/>
      <c r="D130" s="33"/>
    </row>
    <row r="131" spans="1:4" ht="12.5" x14ac:dyDescent="0.25">
      <c r="A131" s="33"/>
      <c r="B131" s="33"/>
      <c r="C131" s="33"/>
      <c r="D131" s="33"/>
    </row>
    <row r="132" spans="1:4" ht="12.5" x14ac:dyDescent="0.25">
      <c r="A132" s="33"/>
      <c r="B132" s="33"/>
      <c r="C132" s="33"/>
      <c r="D132" s="33"/>
    </row>
    <row r="133" spans="1:4" ht="12.5" x14ac:dyDescent="0.25">
      <c r="A133" s="33"/>
      <c r="B133" s="33"/>
      <c r="C133" s="33"/>
      <c r="D133" s="33"/>
    </row>
    <row r="134" spans="1:4" ht="12.5" x14ac:dyDescent="0.25">
      <c r="A134" s="33"/>
      <c r="B134" s="33"/>
      <c r="C134" s="33"/>
      <c r="D134" s="33"/>
    </row>
    <row r="135" spans="1:4" ht="12.5" x14ac:dyDescent="0.25">
      <c r="A135" s="33"/>
      <c r="B135" s="33"/>
      <c r="C135" s="33"/>
      <c r="D135" s="33"/>
    </row>
    <row r="136" spans="1:4" ht="12.5" x14ac:dyDescent="0.25">
      <c r="A136" s="33"/>
      <c r="B136" s="33"/>
      <c r="C136" s="33"/>
      <c r="D136" s="33"/>
    </row>
    <row r="137" spans="1:4" ht="12.5" x14ac:dyDescent="0.25">
      <c r="A137" s="33"/>
      <c r="B137" s="33"/>
      <c r="C137" s="33"/>
      <c r="D137" s="33"/>
    </row>
    <row r="138" spans="1:4" ht="12.5" x14ac:dyDescent="0.25">
      <c r="A138" s="33"/>
      <c r="B138" s="33"/>
      <c r="C138" s="33"/>
      <c r="D138" s="33"/>
    </row>
    <row r="139" spans="1:4" ht="12.5" x14ac:dyDescent="0.25">
      <c r="A139" s="33"/>
      <c r="B139" s="33"/>
      <c r="C139" s="33"/>
      <c r="D139" s="33"/>
    </row>
    <row r="140" spans="1:4" ht="12.5" x14ac:dyDescent="0.25">
      <c r="A140" s="33"/>
      <c r="B140" s="33"/>
      <c r="C140" s="33"/>
      <c r="D140" s="33"/>
    </row>
    <row r="141" spans="1:4" ht="12.5" x14ac:dyDescent="0.25">
      <c r="A141" s="33"/>
      <c r="B141" s="33"/>
      <c r="C141" s="33"/>
      <c r="D141" s="33"/>
    </row>
    <row r="142" spans="1:4" ht="12.5" x14ac:dyDescent="0.25">
      <c r="A142" s="33"/>
      <c r="B142" s="33"/>
      <c r="C142" s="33"/>
      <c r="D142" s="33"/>
    </row>
    <row r="143" spans="1:4" ht="12.5" x14ac:dyDescent="0.25">
      <c r="A143" s="33"/>
      <c r="B143" s="33"/>
      <c r="C143" s="33"/>
      <c r="D143" s="33"/>
    </row>
    <row r="144" spans="1:4" ht="12.5" x14ac:dyDescent="0.25">
      <c r="A144" s="33"/>
      <c r="B144" s="33"/>
      <c r="C144" s="33"/>
      <c r="D144" s="33"/>
    </row>
    <row r="145" spans="1:4" ht="12.5" x14ac:dyDescent="0.25">
      <c r="A145" s="33"/>
      <c r="B145" s="33"/>
      <c r="C145" s="33"/>
      <c r="D145" s="33"/>
    </row>
    <row r="146" spans="1:4" ht="12.5" x14ac:dyDescent="0.25">
      <c r="A146" s="33"/>
      <c r="B146" s="33"/>
      <c r="C146" s="33"/>
      <c r="D146" s="33"/>
    </row>
    <row r="147" spans="1:4" ht="12.5" x14ac:dyDescent="0.25">
      <c r="A147" s="33"/>
      <c r="B147" s="33"/>
      <c r="C147" s="33"/>
      <c r="D147" s="33"/>
    </row>
    <row r="148" spans="1:4" ht="12.5" x14ac:dyDescent="0.25">
      <c r="A148" s="33"/>
      <c r="B148" s="33"/>
      <c r="C148" s="33"/>
      <c r="D148" s="33"/>
    </row>
    <row r="149" spans="1:4" ht="12.5" x14ac:dyDescent="0.25">
      <c r="A149" s="33"/>
      <c r="B149" s="33"/>
      <c r="C149" s="33"/>
      <c r="D149" s="33"/>
    </row>
    <row r="150" spans="1:4" ht="12.5" x14ac:dyDescent="0.25">
      <c r="A150" s="33"/>
      <c r="B150" s="33"/>
      <c r="C150" s="33"/>
      <c r="D150" s="33"/>
    </row>
    <row r="151" spans="1:4" ht="12.5" x14ac:dyDescent="0.25">
      <c r="A151" s="33"/>
      <c r="B151" s="33"/>
      <c r="C151" s="33"/>
      <c r="D151" s="33"/>
    </row>
    <row r="152" spans="1:4" ht="12.5" x14ac:dyDescent="0.25">
      <c r="A152" s="33"/>
      <c r="B152" s="33"/>
      <c r="C152" s="33"/>
      <c r="D152" s="33"/>
    </row>
    <row r="153" spans="1:4" ht="12.5" x14ac:dyDescent="0.25">
      <c r="A153" s="33"/>
      <c r="B153" s="33"/>
      <c r="C153" s="33"/>
      <c r="D153" s="33"/>
    </row>
    <row r="154" spans="1:4" ht="12.5" x14ac:dyDescent="0.25">
      <c r="A154" s="33"/>
      <c r="B154" s="33"/>
      <c r="C154" s="33"/>
      <c r="D154" s="33"/>
    </row>
    <row r="155" spans="1:4" ht="12.5" x14ac:dyDescent="0.25">
      <c r="A155" s="33"/>
      <c r="B155" s="33"/>
      <c r="C155" s="33"/>
      <c r="D155" s="33"/>
    </row>
    <row r="156" spans="1:4" ht="12.5" x14ac:dyDescent="0.25">
      <c r="A156" s="33"/>
      <c r="B156" s="33"/>
      <c r="C156" s="33"/>
      <c r="D156" s="33"/>
    </row>
    <row r="157" spans="1:4" ht="12.5" x14ac:dyDescent="0.25">
      <c r="A157" s="33"/>
      <c r="B157" s="33"/>
      <c r="C157" s="33"/>
      <c r="D157" s="33"/>
    </row>
    <row r="158" spans="1:4" ht="12.5" x14ac:dyDescent="0.25">
      <c r="A158" s="33"/>
      <c r="B158" s="33"/>
      <c r="C158" s="33"/>
      <c r="D158" s="33"/>
    </row>
    <row r="159" spans="1:4" ht="12.5" x14ac:dyDescent="0.25">
      <c r="A159" s="33"/>
      <c r="B159" s="33"/>
      <c r="C159" s="33"/>
      <c r="D159" s="33"/>
    </row>
    <row r="160" spans="1:4" ht="12.5" x14ac:dyDescent="0.25">
      <c r="A160" s="33"/>
      <c r="B160" s="33"/>
      <c r="C160" s="33"/>
      <c r="D160" s="33"/>
    </row>
    <row r="161" spans="1:4" ht="12.5" x14ac:dyDescent="0.25">
      <c r="A161" s="33"/>
      <c r="B161" s="33"/>
      <c r="C161" s="33"/>
      <c r="D161" s="33"/>
    </row>
    <row r="162" spans="1:4" ht="12.5" x14ac:dyDescent="0.25">
      <c r="A162" s="33"/>
      <c r="B162" s="33"/>
      <c r="C162" s="33"/>
      <c r="D162" s="33"/>
    </row>
    <row r="163" spans="1:4" ht="12.5" x14ac:dyDescent="0.25">
      <c r="A163" s="33"/>
      <c r="B163" s="33"/>
      <c r="C163" s="33"/>
      <c r="D163" s="33"/>
    </row>
    <row r="164" spans="1:4" ht="12.5" x14ac:dyDescent="0.25">
      <c r="A164" s="33"/>
      <c r="B164" s="33"/>
      <c r="C164" s="33"/>
      <c r="D164" s="33"/>
    </row>
    <row r="165" spans="1:4" ht="12.5" x14ac:dyDescent="0.25">
      <c r="A165" s="33"/>
      <c r="B165" s="33"/>
      <c r="C165" s="33"/>
      <c r="D165" s="33"/>
    </row>
    <row r="166" spans="1:4" ht="12.5" x14ac:dyDescent="0.25">
      <c r="A166" s="33"/>
      <c r="B166" s="33"/>
      <c r="C166" s="33"/>
      <c r="D166" s="33"/>
    </row>
    <row r="167" spans="1:4" ht="12.5" x14ac:dyDescent="0.25">
      <c r="A167" s="33"/>
      <c r="B167" s="33"/>
      <c r="C167" s="33"/>
      <c r="D167" s="33"/>
    </row>
    <row r="168" spans="1:4" ht="12.5" x14ac:dyDescent="0.25">
      <c r="A168" s="33"/>
      <c r="B168" s="33"/>
      <c r="C168" s="33"/>
      <c r="D168" s="33"/>
    </row>
    <row r="169" spans="1:4" ht="12.5" x14ac:dyDescent="0.25">
      <c r="A169" s="33"/>
      <c r="B169" s="33"/>
      <c r="C169" s="33"/>
      <c r="D169" s="33"/>
    </row>
    <row r="170" spans="1:4" ht="12.5" x14ac:dyDescent="0.25">
      <c r="A170" s="33"/>
      <c r="B170" s="33"/>
      <c r="C170" s="33"/>
      <c r="D170" s="33"/>
    </row>
    <row r="171" spans="1:4" ht="12.5" x14ac:dyDescent="0.25">
      <c r="A171" s="33"/>
      <c r="B171" s="33"/>
      <c r="C171" s="33"/>
      <c r="D171" s="33"/>
    </row>
    <row r="172" spans="1:4" ht="12.5" x14ac:dyDescent="0.25">
      <c r="A172" s="33"/>
      <c r="B172" s="33"/>
      <c r="C172" s="33"/>
      <c r="D172" s="33"/>
    </row>
    <row r="173" spans="1:4" ht="12.5" x14ac:dyDescent="0.25">
      <c r="A173" s="33"/>
      <c r="B173" s="33"/>
      <c r="C173" s="33"/>
      <c r="D173" s="33"/>
    </row>
    <row r="174" spans="1:4" ht="12.5" x14ac:dyDescent="0.25">
      <c r="A174" s="33"/>
      <c r="B174" s="33"/>
      <c r="C174" s="33"/>
      <c r="D174" s="33"/>
    </row>
    <row r="175" spans="1:4" ht="12.5" x14ac:dyDescent="0.25">
      <c r="A175" s="33"/>
      <c r="B175" s="33"/>
      <c r="C175" s="33"/>
      <c r="D175" s="33"/>
    </row>
    <row r="176" spans="1:4" ht="12.5" x14ac:dyDescent="0.25">
      <c r="A176" s="33"/>
      <c r="B176" s="33"/>
      <c r="C176" s="33"/>
      <c r="D176" s="33"/>
    </row>
    <row r="177" spans="1:4" ht="12.5" x14ac:dyDescent="0.25">
      <c r="A177" s="33"/>
      <c r="B177" s="33"/>
      <c r="C177" s="33"/>
      <c r="D177" s="33"/>
    </row>
    <row r="178" spans="1:4" ht="12.5" x14ac:dyDescent="0.25">
      <c r="A178" s="33"/>
      <c r="B178" s="33"/>
      <c r="C178" s="33"/>
      <c r="D178" s="33"/>
    </row>
    <row r="179" spans="1:4" ht="12.5" x14ac:dyDescent="0.25">
      <c r="A179" s="33"/>
      <c r="B179" s="33"/>
      <c r="C179" s="33"/>
      <c r="D179" s="33"/>
    </row>
    <row r="180" spans="1:4" ht="12.5" x14ac:dyDescent="0.25">
      <c r="A180" s="33"/>
      <c r="B180" s="33"/>
      <c r="C180" s="33"/>
      <c r="D180" s="33"/>
    </row>
    <row r="181" spans="1:4" ht="12.5" x14ac:dyDescent="0.25">
      <c r="A181" s="33"/>
      <c r="B181" s="33"/>
      <c r="C181" s="33"/>
      <c r="D181" s="33"/>
    </row>
    <row r="182" spans="1:4" ht="12.5" x14ac:dyDescent="0.25">
      <c r="A182" s="33"/>
      <c r="B182" s="33"/>
      <c r="C182" s="33"/>
      <c r="D182" s="33"/>
    </row>
    <row r="183" spans="1:4" ht="12.5" x14ac:dyDescent="0.25">
      <c r="A183" s="33"/>
      <c r="B183" s="33"/>
      <c r="C183" s="33"/>
      <c r="D183" s="33"/>
    </row>
    <row r="184" spans="1:4" ht="12.5" x14ac:dyDescent="0.25">
      <c r="A184" s="33"/>
      <c r="B184" s="33"/>
      <c r="C184" s="33"/>
      <c r="D184" s="33"/>
    </row>
    <row r="185" spans="1:4" ht="12.5" x14ac:dyDescent="0.25">
      <c r="A185" s="33"/>
      <c r="B185" s="33"/>
      <c r="C185" s="33"/>
      <c r="D185" s="33"/>
    </row>
    <row r="186" spans="1:4" ht="12.5" x14ac:dyDescent="0.25">
      <c r="A186" s="33"/>
      <c r="B186" s="33"/>
      <c r="C186" s="33"/>
      <c r="D186" s="33"/>
    </row>
    <row r="187" spans="1:4" ht="12.5" x14ac:dyDescent="0.25">
      <c r="A187" s="33"/>
      <c r="B187" s="33"/>
      <c r="C187" s="33"/>
      <c r="D187" s="33"/>
    </row>
    <row r="188" spans="1:4" ht="12.5" x14ac:dyDescent="0.25">
      <c r="A188" s="33"/>
      <c r="B188" s="33"/>
      <c r="C188" s="33"/>
      <c r="D188" s="33"/>
    </row>
    <row r="189" spans="1:4" ht="12.5" x14ac:dyDescent="0.25">
      <c r="A189" s="33"/>
      <c r="B189" s="33"/>
      <c r="C189" s="33"/>
      <c r="D189" s="33"/>
    </row>
    <row r="190" spans="1:4" ht="12.5" x14ac:dyDescent="0.25">
      <c r="A190" s="33"/>
      <c r="B190" s="33"/>
      <c r="C190" s="33"/>
      <c r="D190" s="33"/>
    </row>
    <row r="191" spans="1:4" ht="12.5" x14ac:dyDescent="0.25">
      <c r="A191" s="33"/>
      <c r="B191" s="33"/>
      <c r="C191" s="33"/>
      <c r="D191" s="33"/>
    </row>
    <row r="192" spans="1:4" ht="12.5" x14ac:dyDescent="0.25">
      <c r="A192" s="33"/>
      <c r="B192" s="33"/>
      <c r="C192" s="33"/>
      <c r="D192" s="33"/>
    </row>
    <row r="193" spans="1:4" ht="12.5" x14ac:dyDescent="0.25">
      <c r="A193" s="33"/>
      <c r="B193" s="33"/>
      <c r="C193" s="33"/>
      <c r="D193" s="33"/>
    </row>
    <row r="194" spans="1:4" ht="12.5" x14ac:dyDescent="0.25">
      <c r="A194" s="33"/>
      <c r="B194" s="33"/>
      <c r="C194" s="33"/>
      <c r="D194" s="33"/>
    </row>
    <row r="195" spans="1:4" ht="12.5" x14ac:dyDescent="0.25">
      <c r="A195" s="33"/>
      <c r="B195" s="33"/>
      <c r="C195" s="33"/>
      <c r="D195" s="33"/>
    </row>
    <row r="196" spans="1:4" ht="12.5" x14ac:dyDescent="0.25">
      <c r="A196" s="33"/>
      <c r="B196" s="33"/>
      <c r="C196" s="33"/>
      <c r="D196" s="33"/>
    </row>
    <row r="197" spans="1:4" ht="12.5" x14ac:dyDescent="0.25">
      <c r="A197" s="33"/>
      <c r="B197" s="33"/>
      <c r="C197" s="33"/>
      <c r="D197" s="33"/>
    </row>
    <row r="198" spans="1:4" ht="12.5" x14ac:dyDescent="0.25">
      <c r="A198" s="33"/>
      <c r="B198" s="33"/>
      <c r="C198" s="33"/>
      <c r="D198" s="33"/>
    </row>
    <row r="199" spans="1:4" ht="12.5" x14ac:dyDescent="0.25">
      <c r="A199" s="33"/>
      <c r="B199" s="33"/>
      <c r="C199" s="33"/>
      <c r="D199" s="33"/>
    </row>
    <row r="200" spans="1:4" ht="12.5" x14ac:dyDescent="0.25">
      <c r="A200" s="33"/>
      <c r="B200" s="33"/>
      <c r="C200" s="33"/>
      <c r="D200" s="33"/>
    </row>
    <row r="201" spans="1:4" ht="12.5" x14ac:dyDescent="0.25">
      <c r="A201" s="33"/>
      <c r="B201" s="33"/>
      <c r="C201" s="33"/>
      <c r="D201" s="33"/>
    </row>
    <row r="202" spans="1:4" ht="12.5" x14ac:dyDescent="0.25">
      <c r="A202" s="33"/>
      <c r="B202" s="33"/>
      <c r="C202" s="33"/>
      <c r="D202" s="33"/>
    </row>
    <row r="203" spans="1:4" ht="12.5" x14ac:dyDescent="0.25">
      <c r="A203" s="33"/>
      <c r="B203" s="33"/>
      <c r="C203" s="33"/>
      <c r="D203" s="33"/>
    </row>
    <row r="204" spans="1:4" ht="12.5" x14ac:dyDescent="0.25">
      <c r="A204" s="33"/>
      <c r="B204" s="33"/>
      <c r="C204" s="33"/>
      <c r="D204" s="33"/>
    </row>
    <row r="205" spans="1:4" ht="12.5" x14ac:dyDescent="0.25">
      <c r="A205" s="33"/>
      <c r="B205" s="33"/>
      <c r="C205" s="33"/>
      <c r="D205" s="33"/>
    </row>
    <row r="206" spans="1:4" ht="12.5" x14ac:dyDescent="0.25">
      <c r="A206" s="33"/>
      <c r="B206" s="33"/>
      <c r="C206" s="33"/>
      <c r="D206" s="33"/>
    </row>
    <row r="207" spans="1:4" ht="12.5" x14ac:dyDescent="0.25">
      <c r="A207" s="33"/>
      <c r="B207" s="33"/>
      <c r="C207" s="33"/>
      <c r="D207" s="33"/>
    </row>
    <row r="208" spans="1:4" ht="12.5" x14ac:dyDescent="0.25">
      <c r="A208" s="33"/>
      <c r="B208" s="33"/>
      <c r="C208" s="33"/>
      <c r="D208" s="33"/>
    </row>
    <row r="209" spans="1:4" ht="12.5" x14ac:dyDescent="0.25">
      <c r="A209" s="33"/>
      <c r="B209" s="33"/>
      <c r="C209" s="33"/>
      <c r="D209" s="33"/>
    </row>
    <row r="210" spans="1:4" ht="12.5" x14ac:dyDescent="0.25">
      <c r="A210" s="33"/>
      <c r="B210" s="33"/>
      <c r="C210" s="33"/>
      <c r="D210" s="33"/>
    </row>
    <row r="211" spans="1:4" ht="12.5" x14ac:dyDescent="0.25">
      <c r="A211" s="33"/>
      <c r="B211" s="33"/>
      <c r="C211" s="33"/>
      <c r="D211" s="33"/>
    </row>
    <row r="212" spans="1:4" ht="12.5" x14ac:dyDescent="0.25">
      <c r="A212" s="33"/>
      <c r="B212" s="33"/>
      <c r="C212" s="33"/>
      <c r="D212" s="33"/>
    </row>
    <row r="213" spans="1:4" ht="12.5" x14ac:dyDescent="0.25">
      <c r="A213" s="33"/>
      <c r="B213" s="33"/>
      <c r="C213" s="33"/>
      <c r="D213" s="33"/>
    </row>
    <row r="214" spans="1:4" ht="12.5" x14ac:dyDescent="0.25">
      <c r="A214" s="33"/>
      <c r="B214" s="33"/>
      <c r="C214" s="33"/>
      <c r="D214" s="33"/>
    </row>
    <row r="215" spans="1:4" ht="12.5" x14ac:dyDescent="0.25">
      <c r="A215" s="33"/>
      <c r="B215" s="33"/>
      <c r="C215" s="33"/>
      <c r="D215" s="33"/>
    </row>
    <row r="216" spans="1:4" ht="12.5" x14ac:dyDescent="0.25">
      <c r="A216" s="33"/>
      <c r="B216" s="33"/>
      <c r="C216" s="33"/>
      <c r="D216" s="33"/>
    </row>
    <row r="217" spans="1:4" ht="12.5" x14ac:dyDescent="0.25">
      <c r="A217" s="33"/>
      <c r="B217" s="33"/>
      <c r="C217" s="33"/>
      <c r="D217" s="33"/>
    </row>
    <row r="218" spans="1:4" ht="12.5" x14ac:dyDescent="0.25">
      <c r="A218" s="33"/>
      <c r="B218" s="33"/>
      <c r="C218" s="33"/>
      <c r="D218" s="33"/>
    </row>
    <row r="219" spans="1:4" ht="12.5" x14ac:dyDescent="0.25">
      <c r="A219" s="33"/>
      <c r="B219" s="33"/>
      <c r="C219" s="33"/>
      <c r="D219" s="33"/>
    </row>
    <row r="220" spans="1:4" ht="12.5" x14ac:dyDescent="0.25">
      <c r="A220" s="33"/>
      <c r="B220" s="33"/>
      <c r="C220" s="33"/>
      <c r="D220" s="33"/>
    </row>
    <row r="221" spans="1:4" ht="12.5" x14ac:dyDescent="0.25">
      <c r="A221" s="33"/>
      <c r="B221" s="33"/>
      <c r="C221" s="33"/>
      <c r="D221" s="33"/>
    </row>
    <row r="222" spans="1:4" ht="12.5" x14ac:dyDescent="0.25">
      <c r="A222" s="33"/>
      <c r="B222" s="33"/>
      <c r="C222" s="33"/>
      <c r="D222" s="33"/>
    </row>
    <row r="223" spans="1:4" ht="12.5" x14ac:dyDescent="0.25">
      <c r="A223" s="33"/>
      <c r="B223" s="33"/>
      <c r="C223" s="33"/>
      <c r="D223" s="33"/>
    </row>
    <row r="224" spans="1:4" ht="12.5" x14ac:dyDescent="0.25">
      <c r="A224" s="33"/>
      <c r="B224" s="33"/>
      <c r="C224" s="33"/>
      <c r="D224" s="33"/>
    </row>
    <row r="225" spans="1:4" ht="12.5" x14ac:dyDescent="0.25">
      <c r="A225" s="33"/>
      <c r="B225" s="33"/>
      <c r="C225" s="33"/>
      <c r="D225" s="33"/>
    </row>
    <row r="226" spans="1:4" ht="12.5" x14ac:dyDescent="0.25">
      <c r="A226" s="33"/>
      <c r="B226" s="33"/>
      <c r="C226" s="33"/>
      <c r="D226" s="33"/>
    </row>
    <row r="227" spans="1:4" ht="12.5" x14ac:dyDescent="0.25">
      <c r="A227" s="33"/>
      <c r="B227" s="33"/>
      <c r="C227" s="33"/>
      <c r="D227" s="33"/>
    </row>
    <row r="228" spans="1:4" ht="12.5" x14ac:dyDescent="0.25">
      <c r="A228" s="33"/>
      <c r="B228" s="33"/>
      <c r="C228" s="33"/>
      <c r="D228" s="33"/>
    </row>
    <row r="229" spans="1:4" ht="12.5" x14ac:dyDescent="0.25">
      <c r="A229" s="33"/>
      <c r="B229" s="33"/>
      <c r="C229" s="33"/>
      <c r="D229" s="33"/>
    </row>
    <row r="230" spans="1:4" ht="12.5" x14ac:dyDescent="0.25">
      <c r="A230" s="33"/>
      <c r="B230" s="33"/>
      <c r="C230" s="33"/>
      <c r="D230" s="33"/>
    </row>
    <row r="231" spans="1:4" ht="12.5" x14ac:dyDescent="0.25">
      <c r="A231" s="33"/>
      <c r="B231" s="33"/>
      <c r="C231" s="33"/>
      <c r="D231" s="33"/>
    </row>
    <row r="232" spans="1:4" ht="12.5" x14ac:dyDescent="0.25">
      <c r="A232" s="33"/>
      <c r="B232" s="33"/>
      <c r="C232" s="33"/>
      <c r="D232" s="33"/>
    </row>
    <row r="233" spans="1:4" ht="12.5" x14ac:dyDescent="0.25">
      <c r="A233" s="33"/>
      <c r="B233" s="33"/>
      <c r="C233" s="33"/>
      <c r="D233" s="33"/>
    </row>
    <row r="234" spans="1:4" ht="12.5" x14ac:dyDescent="0.25">
      <c r="A234" s="33"/>
      <c r="B234" s="33"/>
      <c r="C234" s="33"/>
      <c r="D234" s="33"/>
    </row>
    <row r="235" spans="1:4" ht="12.5" x14ac:dyDescent="0.25">
      <c r="A235" s="33"/>
      <c r="B235" s="33"/>
      <c r="C235" s="33"/>
      <c r="D235" s="33"/>
    </row>
    <row r="236" spans="1:4" ht="12.5" x14ac:dyDescent="0.25">
      <c r="A236" s="33"/>
      <c r="B236" s="33"/>
      <c r="C236" s="33"/>
      <c r="D236" s="33"/>
    </row>
    <row r="237" spans="1:4" ht="12.5" x14ac:dyDescent="0.25">
      <c r="A237" s="33"/>
      <c r="B237" s="33"/>
      <c r="C237" s="33"/>
      <c r="D237" s="33"/>
    </row>
    <row r="238" spans="1:4" ht="12.5" x14ac:dyDescent="0.25">
      <c r="A238" s="33"/>
      <c r="B238" s="33"/>
      <c r="C238" s="33"/>
      <c r="D238" s="33"/>
    </row>
    <row r="239" spans="1:4" ht="12.5" x14ac:dyDescent="0.25">
      <c r="A239" s="33"/>
      <c r="B239" s="33"/>
      <c r="C239" s="33"/>
      <c r="D239" s="33"/>
    </row>
    <row r="240" spans="1:4" ht="12.5" x14ac:dyDescent="0.25">
      <c r="A240" s="33"/>
      <c r="B240" s="33"/>
      <c r="C240" s="33"/>
      <c r="D240" s="33"/>
    </row>
    <row r="241" spans="1:4" ht="12.5" x14ac:dyDescent="0.25">
      <c r="A241" s="33"/>
      <c r="B241" s="33"/>
      <c r="C241" s="33"/>
      <c r="D241" s="33"/>
    </row>
    <row r="242" spans="1:4" ht="12.5" x14ac:dyDescent="0.25">
      <c r="A242" s="33"/>
      <c r="B242" s="33"/>
      <c r="C242" s="33"/>
      <c r="D242" s="33"/>
    </row>
    <row r="243" spans="1:4" ht="12.5" x14ac:dyDescent="0.25">
      <c r="A243" s="33"/>
      <c r="B243" s="33"/>
      <c r="C243" s="33"/>
      <c r="D243" s="33"/>
    </row>
    <row r="244" spans="1:4" ht="12.5" x14ac:dyDescent="0.25">
      <c r="A244" s="33"/>
      <c r="B244" s="33"/>
      <c r="C244" s="33"/>
      <c r="D244" s="33"/>
    </row>
    <row r="245" spans="1:4" ht="12.5" x14ac:dyDescent="0.25">
      <c r="A245" s="33"/>
      <c r="B245" s="33"/>
      <c r="C245" s="33"/>
      <c r="D245" s="33"/>
    </row>
    <row r="246" spans="1:4" ht="12.5" x14ac:dyDescent="0.25">
      <c r="A246" s="33"/>
      <c r="B246" s="33"/>
      <c r="C246" s="33"/>
      <c r="D246" s="33"/>
    </row>
    <row r="247" spans="1:4" ht="12.5" x14ac:dyDescent="0.25">
      <c r="A247" s="33"/>
      <c r="B247" s="33"/>
      <c r="C247" s="33"/>
      <c r="D247" s="33"/>
    </row>
    <row r="248" spans="1:4" ht="12.5" x14ac:dyDescent="0.25">
      <c r="A248" s="33"/>
      <c r="B248" s="33"/>
      <c r="C248" s="33"/>
      <c r="D248" s="33"/>
    </row>
    <row r="249" spans="1:4" ht="12.5" x14ac:dyDescent="0.25">
      <c r="A249" s="33"/>
      <c r="B249" s="33"/>
      <c r="C249" s="33"/>
      <c r="D249" s="33"/>
    </row>
    <row r="250" spans="1:4" ht="12.5" x14ac:dyDescent="0.25">
      <c r="A250" s="33"/>
      <c r="B250" s="33"/>
      <c r="C250" s="33"/>
      <c r="D250" s="33"/>
    </row>
    <row r="251" spans="1:4" ht="12.5" x14ac:dyDescent="0.25">
      <c r="A251" s="33"/>
      <c r="B251" s="33"/>
      <c r="C251" s="33"/>
      <c r="D251" s="33"/>
    </row>
    <row r="252" spans="1:4" ht="12.5" x14ac:dyDescent="0.25">
      <c r="A252" s="33"/>
      <c r="B252" s="33"/>
      <c r="C252" s="33"/>
      <c r="D252" s="33"/>
    </row>
    <row r="253" spans="1:4" ht="12.5" x14ac:dyDescent="0.25">
      <c r="A253" s="33"/>
      <c r="B253" s="33"/>
      <c r="C253" s="33"/>
      <c r="D253" s="33"/>
    </row>
    <row r="254" spans="1:4" ht="12.5" x14ac:dyDescent="0.25">
      <c r="A254" s="33"/>
      <c r="B254" s="33"/>
      <c r="C254" s="33"/>
      <c r="D254" s="33"/>
    </row>
    <row r="255" spans="1:4" ht="12.5" x14ac:dyDescent="0.25">
      <c r="A255" s="33"/>
      <c r="B255" s="33"/>
      <c r="C255" s="33"/>
      <c r="D255" s="33"/>
    </row>
    <row r="256" spans="1:4" ht="12.5" x14ac:dyDescent="0.25">
      <c r="A256" s="33"/>
      <c r="B256" s="33"/>
      <c r="C256" s="33"/>
      <c r="D256" s="33"/>
    </row>
    <row r="257" spans="1:4" ht="12.5" x14ac:dyDescent="0.25">
      <c r="A257" s="33"/>
      <c r="B257" s="33"/>
      <c r="C257" s="33"/>
      <c r="D257" s="33"/>
    </row>
    <row r="258" spans="1:4" ht="12.5" x14ac:dyDescent="0.25">
      <c r="A258" s="33"/>
      <c r="B258" s="33"/>
      <c r="C258" s="33"/>
      <c r="D258" s="33"/>
    </row>
    <row r="259" spans="1:4" ht="12.5" x14ac:dyDescent="0.25">
      <c r="A259" s="33"/>
      <c r="B259" s="33"/>
      <c r="C259" s="33"/>
      <c r="D259" s="33"/>
    </row>
    <row r="260" spans="1:4" ht="12.5" x14ac:dyDescent="0.25">
      <c r="A260" s="33"/>
      <c r="B260" s="33"/>
      <c r="C260" s="33"/>
      <c r="D260" s="33"/>
    </row>
    <row r="261" spans="1:4" ht="12.5" x14ac:dyDescent="0.25">
      <c r="A261" s="33"/>
      <c r="B261" s="33"/>
      <c r="C261" s="33"/>
      <c r="D261" s="33"/>
    </row>
    <row r="262" spans="1:4" ht="12.5" x14ac:dyDescent="0.25">
      <c r="A262" s="33"/>
      <c r="B262" s="33"/>
      <c r="C262" s="33"/>
      <c r="D262" s="33"/>
    </row>
    <row r="263" spans="1:4" ht="12.5" x14ac:dyDescent="0.25">
      <c r="A263" s="33"/>
      <c r="B263" s="33"/>
      <c r="C263" s="33"/>
      <c r="D263" s="33"/>
    </row>
    <row r="264" spans="1:4" ht="12.5" x14ac:dyDescent="0.25">
      <c r="A264" s="33"/>
      <c r="B264" s="33"/>
      <c r="C264" s="33"/>
      <c r="D264" s="33"/>
    </row>
    <row r="265" spans="1:4" ht="12.5" x14ac:dyDescent="0.25">
      <c r="A265" s="33"/>
      <c r="B265" s="33"/>
      <c r="C265" s="33"/>
      <c r="D265" s="33"/>
    </row>
    <row r="266" spans="1:4" ht="12.5" x14ac:dyDescent="0.25">
      <c r="A266" s="33"/>
      <c r="B266" s="33"/>
      <c r="C266" s="33"/>
      <c r="D266" s="33"/>
    </row>
    <row r="267" spans="1:4" ht="12.5" x14ac:dyDescent="0.25">
      <c r="A267" s="33"/>
      <c r="B267" s="33"/>
      <c r="C267" s="33"/>
      <c r="D267" s="33"/>
    </row>
    <row r="268" spans="1:4" ht="12.5" x14ac:dyDescent="0.25">
      <c r="A268" s="33"/>
      <c r="B268" s="33"/>
      <c r="C268" s="33"/>
      <c r="D268" s="33"/>
    </row>
    <row r="269" spans="1:4" ht="12.5" x14ac:dyDescent="0.25">
      <c r="A269" s="33"/>
      <c r="B269" s="33"/>
      <c r="C269" s="33"/>
      <c r="D269" s="33"/>
    </row>
    <row r="270" spans="1:4" ht="12.5" x14ac:dyDescent="0.25">
      <c r="A270" s="33"/>
      <c r="B270" s="33"/>
      <c r="C270" s="33"/>
      <c r="D270" s="33"/>
    </row>
    <row r="271" spans="1:4" ht="12.5" x14ac:dyDescent="0.25">
      <c r="A271" s="33"/>
      <c r="B271" s="33"/>
      <c r="C271" s="33"/>
      <c r="D271" s="33"/>
    </row>
    <row r="272" spans="1:4" ht="12.5" x14ac:dyDescent="0.25">
      <c r="A272" s="33"/>
      <c r="B272" s="33"/>
      <c r="C272" s="33"/>
      <c r="D272" s="33"/>
    </row>
    <row r="273" spans="1:4" ht="12.5" x14ac:dyDescent="0.25">
      <c r="A273" s="33"/>
      <c r="B273" s="33"/>
      <c r="C273" s="33"/>
      <c r="D273" s="33"/>
    </row>
    <row r="274" spans="1:4" ht="12.5" x14ac:dyDescent="0.25">
      <c r="A274" s="33"/>
      <c r="B274" s="33"/>
      <c r="C274" s="33"/>
      <c r="D274" s="33"/>
    </row>
    <row r="275" spans="1:4" ht="12.5" x14ac:dyDescent="0.25">
      <c r="A275" s="33"/>
      <c r="B275" s="33"/>
      <c r="C275" s="33"/>
      <c r="D275" s="33"/>
    </row>
    <row r="276" spans="1:4" ht="12.5" x14ac:dyDescent="0.25">
      <c r="A276" s="33"/>
      <c r="B276" s="33"/>
      <c r="C276" s="33"/>
      <c r="D276" s="33"/>
    </row>
    <row r="277" spans="1:4" ht="12.5" x14ac:dyDescent="0.25">
      <c r="A277" s="33"/>
      <c r="B277" s="33"/>
      <c r="C277" s="33"/>
      <c r="D277" s="33"/>
    </row>
    <row r="278" spans="1:4" ht="12.5" x14ac:dyDescent="0.25">
      <c r="A278" s="33"/>
      <c r="B278" s="33"/>
      <c r="C278" s="33"/>
      <c r="D278" s="33"/>
    </row>
    <row r="279" spans="1:4" ht="12.5" x14ac:dyDescent="0.25">
      <c r="A279" s="33"/>
      <c r="B279" s="33"/>
      <c r="C279" s="33"/>
      <c r="D279" s="33"/>
    </row>
    <row r="280" spans="1:4" ht="12.5" x14ac:dyDescent="0.25">
      <c r="A280" s="33"/>
      <c r="B280" s="33"/>
      <c r="C280" s="33"/>
      <c r="D280" s="33"/>
    </row>
    <row r="281" spans="1:4" ht="12.5" x14ac:dyDescent="0.25">
      <c r="A281" s="33"/>
      <c r="B281" s="33"/>
      <c r="C281" s="33"/>
      <c r="D281" s="33"/>
    </row>
    <row r="282" spans="1:4" ht="12.5" x14ac:dyDescent="0.25">
      <c r="A282" s="33"/>
      <c r="B282" s="33"/>
      <c r="C282" s="33"/>
      <c r="D282" s="33"/>
    </row>
    <row r="283" spans="1:4" ht="12.5" x14ac:dyDescent="0.25">
      <c r="A283" s="33"/>
      <c r="B283" s="33"/>
      <c r="C283" s="33"/>
      <c r="D283" s="33"/>
    </row>
    <row r="284" spans="1:4" ht="12.5" x14ac:dyDescent="0.25">
      <c r="A284" s="33"/>
      <c r="B284" s="33"/>
      <c r="C284" s="33"/>
      <c r="D284" s="33"/>
    </row>
    <row r="285" spans="1:4" ht="12.5" x14ac:dyDescent="0.25">
      <c r="A285" s="33"/>
      <c r="B285" s="33"/>
      <c r="C285" s="33"/>
      <c r="D285" s="33"/>
    </row>
    <row r="286" spans="1:4" ht="12.5" x14ac:dyDescent="0.25">
      <c r="A286" s="33"/>
      <c r="B286" s="33"/>
      <c r="C286" s="33"/>
      <c r="D286" s="33"/>
    </row>
    <row r="287" spans="1:4" ht="12.5" x14ac:dyDescent="0.25">
      <c r="A287" s="33"/>
      <c r="B287" s="33"/>
      <c r="C287" s="33"/>
      <c r="D287" s="33"/>
    </row>
    <row r="288" spans="1:4" ht="12.5" x14ac:dyDescent="0.25">
      <c r="A288" s="33"/>
      <c r="B288" s="33"/>
      <c r="C288" s="33"/>
      <c r="D288" s="33"/>
    </row>
    <row r="289" spans="1:4" ht="12.5" x14ac:dyDescent="0.25">
      <c r="A289" s="33"/>
      <c r="B289" s="33"/>
      <c r="C289" s="33"/>
      <c r="D289" s="33"/>
    </row>
    <row r="290" spans="1:4" ht="12.5" x14ac:dyDescent="0.25">
      <c r="A290" s="33"/>
      <c r="B290" s="33"/>
      <c r="C290" s="33"/>
      <c r="D290" s="33"/>
    </row>
    <row r="291" spans="1:4" ht="12.5" x14ac:dyDescent="0.25">
      <c r="A291" s="33"/>
      <c r="B291" s="33"/>
      <c r="C291" s="33"/>
      <c r="D291" s="33"/>
    </row>
    <row r="292" spans="1:4" ht="12.5" x14ac:dyDescent="0.25">
      <c r="A292" s="33"/>
      <c r="B292" s="33"/>
      <c r="C292" s="33"/>
      <c r="D292" s="33"/>
    </row>
    <row r="293" spans="1:4" ht="12.5" x14ac:dyDescent="0.25">
      <c r="A293" s="33"/>
      <c r="B293" s="33"/>
      <c r="C293" s="33"/>
      <c r="D293" s="33"/>
    </row>
    <row r="294" spans="1:4" ht="12.5" x14ac:dyDescent="0.25">
      <c r="A294" s="33"/>
      <c r="B294" s="33"/>
      <c r="C294" s="33"/>
      <c r="D294" s="33"/>
    </row>
    <row r="295" spans="1:4" ht="12.5" x14ac:dyDescent="0.25">
      <c r="A295" s="33"/>
      <c r="B295" s="33"/>
      <c r="C295" s="33"/>
      <c r="D295" s="33"/>
    </row>
    <row r="296" spans="1:4" ht="12.5" x14ac:dyDescent="0.25">
      <c r="A296" s="33"/>
      <c r="B296" s="33"/>
      <c r="C296" s="33"/>
      <c r="D296" s="33"/>
    </row>
    <row r="297" spans="1:4" ht="12.5" x14ac:dyDescent="0.25">
      <c r="A297" s="33"/>
      <c r="B297" s="33"/>
      <c r="C297" s="33"/>
      <c r="D297" s="33"/>
    </row>
    <row r="298" spans="1:4" ht="12.5" x14ac:dyDescent="0.25">
      <c r="A298" s="33"/>
      <c r="B298" s="33"/>
      <c r="C298" s="33"/>
      <c r="D298" s="33"/>
    </row>
    <row r="299" spans="1:4" ht="12.5" x14ac:dyDescent="0.25">
      <c r="A299" s="33"/>
      <c r="B299" s="33"/>
      <c r="C299" s="33"/>
      <c r="D299" s="33"/>
    </row>
    <row r="300" spans="1:4" ht="12.5" x14ac:dyDescent="0.25">
      <c r="A300" s="33"/>
      <c r="B300" s="33"/>
      <c r="C300" s="33"/>
      <c r="D300" s="33"/>
    </row>
    <row r="301" spans="1:4" ht="12.5" x14ac:dyDescent="0.25">
      <c r="A301" s="33"/>
      <c r="B301" s="33"/>
      <c r="C301" s="33"/>
      <c r="D301" s="33"/>
    </row>
    <row r="302" spans="1:4" ht="12.5" x14ac:dyDescent="0.25">
      <c r="A302" s="33"/>
      <c r="B302" s="33"/>
      <c r="C302" s="33"/>
      <c r="D302" s="33"/>
    </row>
    <row r="303" spans="1:4" ht="12.5" x14ac:dyDescent="0.25">
      <c r="A303" s="33"/>
      <c r="B303" s="33"/>
      <c r="C303" s="33"/>
      <c r="D303" s="33"/>
    </row>
    <row r="304" spans="1:4" ht="12.5" x14ac:dyDescent="0.25">
      <c r="A304" s="33"/>
      <c r="B304" s="33"/>
      <c r="C304" s="33"/>
      <c r="D304" s="33"/>
    </row>
    <row r="305" spans="1:4" ht="12.5" x14ac:dyDescent="0.25">
      <c r="A305" s="33"/>
      <c r="B305" s="33"/>
      <c r="C305" s="33"/>
      <c r="D305" s="33"/>
    </row>
    <row r="306" spans="1:4" ht="12.5" x14ac:dyDescent="0.25">
      <c r="A306" s="33"/>
      <c r="B306" s="33"/>
      <c r="C306" s="33"/>
      <c r="D306" s="33"/>
    </row>
    <row r="307" spans="1:4" ht="12.5" x14ac:dyDescent="0.25">
      <c r="A307" s="33"/>
      <c r="B307" s="33"/>
      <c r="C307" s="33"/>
      <c r="D307" s="33"/>
    </row>
    <row r="308" spans="1:4" ht="12.5" x14ac:dyDescent="0.25">
      <c r="A308" s="33"/>
      <c r="B308" s="33"/>
      <c r="C308" s="33"/>
      <c r="D308" s="33"/>
    </row>
    <row r="309" spans="1:4" ht="12.5" x14ac:dyDescent="0.25">
      <c r="A309" s="33"/>
      <c r="B309" s="33"/>
      <c r="C309" s="33"/>
      <c r="D309" s="33"/>
    </row>
    <row r="310" spans="1:4" ht="12.5" x14ac:dyDescent="0.25">
      <c r="A310" s="33"/>
      <c r="B310" s="33"/>
      <c r="C310" s="33"/>
      <c r="D310" s="33"/>
    </row>
    <row r="311" spans="1:4" ht="12.5" x14ac:dyDescent="0.25">
      <c r="A311" s="33"/>
      <c r="B311" s="33"/>
      <c r="C311" s="33"/>
      <c r="D311" s="33"/>
    </row>
    <row r="312" spans="1:4" ht="12.5" x14ac:dyDescent="0.25">
      <c r="A312" s="33"/>
      <c r="B312" s="33"/>
      <c r="C312" s="33"/>
      <c r="D312" s="33"/>
    </row>
    <row r="313" spans="1:4" ht="12.5" x14ac:dyDescent="0.25">
      <c r="A313" s="33"/>
      <c r="B313" s="33"/>
      <c r="C313" s="33"/>
      <c r="D313" s="33"/>
    </row>
    <row r="314" spans="1:4" ht="12.5" x14ac:dyDescent="0.25">
      <c r="A314" s="33"/>
      <c r="B314" s="33"/>
      <c r="C314" s="33"/>
      <c r="D314" s="33"/>
    </row>
    <row r="315" spans="1:4" ht="12.5" x14ac:dyDescent="0.25">
      <c r="A315" s="33"/>
      <c r="B315" s="33"/>
      <c r="C315" s="33"/>
      <c r="D315" s="33"/>
    </row>
    <row r="316" spans="1:4" ht="12.5" x14ac:dyDescent="0.25">
      <c r="A316" s="33"/>
      <c r="B316" s="33"/>
      <c r="C316" s="33"/>
      <c r="D316" s="33"/>
    </row>
    <row r="317" spans="1:4" ht="12.5" x14ac:dyDescent="0.25">
      <c r="A317" s="33"/>
      <c r="B317" s="33"/>
      <c r="C317" s="33"/>
      <c r="D317" s="33"/>
    </row>
    <row r="318" spans="1:4" ht="12.5" x14ac:dyDescent="0.25">
      <c r="A318" s="33"/>
      <c r="B318" s="33"/>
      <c r="C318" s="33"/>
      <c r="D318" s="33"/>
    </row>
    <row r="319" spans="1:4" ht="12.5" x14ac:dyDescent="0.25">
      <c r="A319" s="33"/>
      <c r="B319" s="33"/>
      <c r="C319" s="33"/>
      <c r="D319" s="33"/>
    </row>
    <row r="320" spans="1:4" ht="12.5" x14ac:dyDescent="0.25">
      <c r="A320" s="33"/>
      <c r="B320" s="33"/>
      <c r="C320" s="33"/>
      <c r="D320" s="33"/>
    </row>
    <row r="321" spans="1:4" ht="12.5" x14ac:dyDescent="0.25">
      <c r="A321" s="33"/>
      <c r="B321" s="33"/>
      <c r="C321" s="33"/>
      <c r="D321" s="33"/>
    </row>
    <row r="322" spans="1:4" ht="12.5" x14ac:dyDescent="0.25">
      <c r="A322" s="33"/>
      <c r="B322" s="33"/>
      <c r="C322" s="33"/>
      <c r="D322" s="33"/>
    </row>
    <row r="323" spans="1:4" ht="12.5" x14ac:dyDescent="0.25">
      <c r="A323" s="33"/>
      <c r="B323" s="33"/>
      <c r="C323" s="33"/>
      <c r="D323" s="33"/>
    </row>
    <row r="324" spans="1:4" ht="12.5" x14ac:dyDescent="0.25">
      <c r="A324" s="33"/>
      <c r="B324" s="33"/>
      <c r="C324" s="33"/>
      <c r="D324" s="33"/>
    </row>
    <row r="325" spans="1:4" ht="12.5" x14ac:dyDescent="0.25">
      <c r="A325" s="33"/>
      <c r="B325" s="33"/>
      <c r="C325" s="33"/>
      <c r="D325" s="33"/>
    </row>
    <row r="326" spans="1:4" ht="12.5" x14ac:dyDescent="0.25">
      <c r="A326" s="33"/>
      <c r="B326" s="33"/>
      <c r="C326" s="33"/>
      <c r="D326" s="33"/>
    </row>
    <row r="327" spans="1:4" ht="12.5" x14ac:dyDescent="0.25">
      <c r="A327" s="33"/>
      <c r="B327" s="33"/>
      <c r="C327" s="33"/>
      <c r="D327" s="33"/>
    </row>
    <row r="328" spans="1:4" ht="12.5" x14ac:dyDescent="0.25">
      <c r="A328" s="33"/>
      <c r="B328" s="33"/>
      <c r="C328" s="33"/>
      <c r="D328" s="33"/>
    </row>
    <row r="329" spans="1:4" ht="12.5" x14ac:dyDescent="0.25">
      <c r="A329" s="33"/>
      <c r="B329" s="33"/>
      <c r="C329" s="33"/>
      <c r="D329" s="33"/>
    </row>
    <row r="330" spans="1:4" ht="12.5" x14ac:dyDescent="0.25">
      <c r="A330" s="33"/>
      <c r="B330" s="33"/>
      <c r="C330" s="33"/>
      <c r="D330" s="33"/>
    </row>
    <row r="331" spans="1:4" ht="12.5" x14ac:dyDescent="0.25">
      <c r="A331" s="33"/>
      <c r="B331" s="33"/>
      <c r="C331" s="33"/>
      <c r="D331" s="33"/>
    </row>
    <row r="332" spans="1:4" ht="12.5" x14ac:dyDescent="0.25">
      <c r="A332" s="33"/>
      <c r="B332" s="33"/>
      <c r="C332" s="33"/>
      <c r="D332" s="33"/>
    </row>
    <row r="333" spans="1:4" ht="12.5" x14ac:dyDescent="0.25">
      <c r="A333" s="33"/>
      <c r="B333" s="33"/>
      <c r="C333" s="33"/>
      <c r="D333" s="33"/>
    </row>
    <row r="334" spans="1:4" ht="12.5" x14ac:dyDescent="0.25">
      <c r="A334" s="33"/>
      <c r="B334" s="33"/>
      <c r="C334" s="33"/>
      <c r="D334" s="33"/>
    </row>
    <row r="335" spans="1:4" ht="12.5" x14ac:dyDescent="0.25">
      <c r="A335" s="33"/>
      <c r="B335" s="33"/>
      <c r="C335" s="33"/>
      <c r="D335" s="33"/>
    </row>
    <row r="336" spans="1:4" ht="12.5" x14ac:dyDescent="0.25">
      <c r="A336" s="33"/>
      <c r="B336" s="33"/>
      <c r="C336" s="33"/>
      <c r="D336" s="33"/>
    </row>
    <row r="337" spans="1:4" ht="12.5" x14ac:dyDescent="0.25">
      <c r="A337" s="33"/>
      <c r="B337" s="33"/>
      <c r="C337" s="33"/>
      <c r="D337" s="33"/>
    </row>
    <row r="338" spans="1:4" ht="12.5" x14ac:dyDescent="0.25">
      <c r="A338" s="33"/>
      <c r="B338" s="33"/>
      <c r="C338" s="33"/>
      <c r="D338" s="33"/>
    </row>
    <row r="339" spans="1:4" ht="12.5" x14ac:dyDescent="0.25">
      <c r="A339" s="33"/>
      <c r="B339" s="33"/>
      <c r="C339" s="33"/>
      <c r="D339" s="33"/>
    </row>
    <row r="340" spans="1:4" ht="12.5" x14ac:dyDescent="0.25">
      <c r="A340" s="33"/>
      <c r="B340" s="33"/>
      <c r="C340" s="33"/>
      <c r="D340" s="33"/>
    </row>
    <row r="341" spans="1:4" ht="12.5" x14ac:dyDescent="0.25">
      <c r="A341" s="33"/>
      <c r="B341" s="33"/>
      <c r="C341" s="33"/>
      <c r="D341" s="33"/>
    </row>
    <row r="342" spans="1:4" ht="12.5" x14ac:dyDescent="0.25">
      <c r="A342" s="33"/>
      <c r="B342" s="33"/>
      <c r="C342" s="33"/>
      <c r="D342" s="33"/>
    </row>
    <row r="343" spans="1:4" ht="12.5" x14ac:dyDescent="0.25">
      <c r="A343" s="33"/>
      <c r="B343" s="33"/>
      <c r="C343" s="33"/>
      <c r="D343" s="33"/>
    </row>
    <row r="344" spans="1:4" ht="12.5" x14ac:dyDescent="0.25">
      <c r="A344" s="33"/>
      <c r="B344" s="33"/>
      <c r="C344" s="33"/>
      <c r="D344" s="33"/>
    </row>
    <row r="345" spans="1:4" ht="12.5" x14ac:dyDescent="0.25">
      <c r="A345" s="33"/>
      <c r="B345" s="33"/>
      <c r="C345" s="33"/>
      <c r="D345" s="33"/>
    </row>
    <row r="346" spans="1:4" ht="12.5" x14ac:dyDescent="0.25">
      <c r="A346" s="33"/>
      <c r="B346" s="33"/>
      <c r="C346" s="33"/>
      <c r="D346" s="33"/>
    </row>
    <row r="347" spans="1:4" ht="12.5" x14ac:dyDescent="0.25">
      <c r="A347" s="33"/>
      <c r="B347" s="33"/>
      <c r="C347" s="33"/>
      <c r="D347" s="33"/>
    </row>
    <row r="348" spans="1:4" ht="12.5" x14ac:dyDescent="0.25">
      <c r="A348" s="33"/>
      <c r="B348" s="33"/>
      <c r="C348" s="33"/>
      <c r="D348" s="33"/>
    </row>
    <row r="349" spans="1:4" ht="12.5" x14ac:dyDescent="0.25">
      <c r="A349" s="33"/>
      <c r="B349" s="33"/>
      <c r="C349" s="33"/>
      <c r="D349" s="33"/>
    </row>
    <row r="350" spans="1:4" ht="12.5" x14ac:dyDescent="0.25">
      <c r="A350" s="33"/>
      <c r="B350" s="33"/>
      <c r="C350" s="33"/>
      <c r="D350" s="33"/>
    </row>
    <row r="351" spans="1:4" ht="12.5" x14ac:dyDescent="0.25">
      <c r="A351" s="33"/>
      <c r="B351" s="33"/>
      <c r="C351" s="33"/>
      <c r="D351" s="33"/>
    </row>
    <row r="352" spans="1:4" ht="12.5" x14ac:dyDescent="0.25">
      <c r="A352" s="33"/>
      <c r="B352" s="33"/>
      <c r="C352" s="33"/>
      <c r="D352" s="33"/>
    </row>
    <row r="353" spans="1:4" ht="12.5" x14ac:dyDescent="0.25">
      <c r="A353" s="33"/>
      <c r="B353" s="33"/>
      <c r="C353" s="33"/>
      <c r="D353" s="33"/>
    </row>
    <row r="354" spans="1:4" ht="12.5" x14ac:dyDescent="0.25">
      <c r="A354" s="33"/>
      <c r="B354" s="33"/>
      <c r="C354" s="33"/>
      <c r="D354" s="33"/>
    </row>
    <row r="355" spans="1:4" ht="12.5" x14ac:dyDescent="0.25">
      <c r="A355" s="33"/>
      <c r="B355" s="33"/>
      <c r="C355" s="33"/>
      <c r="D355" s="33"/>
    </row>
    <row r="356" spans="1:4" ht="12.5" x14ac:dyDescent="0.25">
      <c r="A356" s="33"/>
      <c r="B356" s="33"/>
      <c r="C356" s="33"/>
      <c r="D356" s="33"/>
    </row>
    <row r="357" spans="1:4" ht="12.5" x14ac:dyDescent="0.25">
      <c r="A357" s="33"/>
      <c r="B357" s="33"/>
      <c r="C357" s="33"/>
      <c r="D357" s="33"/>
    </row>
    <row r="358" spans="1:4" ht="12.5" x14ac:dyDescent="0.25">
      <c r="A358" s="33"/>
      <c r="B358" s="33"/>
      <c r="C358" s="33"/>
      <c r="D358" s="33"/>
    </row>
    <row r="359" spans="1:4" ht="12.5" x14ac:dyDescent="0.25">
      <c r="A359" s="33"/>
      <c r="B359" s="33"/>
      <c r="C359" s="33"/>
      <c r="D359" s="33"/>
    </row>
    <row r="360" spans="1:4" ht="12.5" x14ac:dyDescent="0.25">
      <c r="A360" s="33"/>
      <c r="B360" s="33"/>
      <c r="C360" s="33"/>
      <c r="D360" s="33"/>
    </row>
    <row r="361" spans="1:4" ht="12.5" x14ac:dyDescent="0.25">
      <c r="A361" s="33"/>
      <c r="B361" s="33"/>
      <c r="C361" s="33"/>
      <c r="D361" s="33"/>
    </row>
    <row r="362" spans="1:4" ht="12.5" x14ac:dyDescent="0.25">
      <c r="A362" s="33"/>
      <c r="B362" s="33"/>
      <c r="C362" s="33"/>
      <c r="D362" s="33"/>
    </row>
    <row r="363" spans="1:4" ht="12.5" x14ac:dyDescent="0.25">
      <c r="A363" s="33"/>
      <c r="B363" s="33"/>
      <c r="C363" s="33"/>
      <c r="D363" s="33"/>
    </row>
    <row r="364" spans="1:4" ht="12.5" x14ac:dyDescent="0.25">
      <c r="A364" s="33"/>
      <c r="B364" s="33"/>
      <c r="C364" s="33"/>
      <c r="D364" s="33"/>
    </row>
    <row r="365" spans="1:4" ht="12.5" x14ac:dyDescent="0.25">
      <c r="A365" s="33"/>
      <c r="B365" s="33"/>
      <c r="C365" s="33"/>
      <c r="D365" s="33"/>
    </row>
    <row r="366" spans="1:4" ht="12.5" x14ac:dyDescent="0.25">
      <c r="A366" s="33"/>
      <c r="B366" s="33"/>
      <c r="C366" s="33"/>
      <c r="D366" s="33"/>
    </row>
    <row r="367" spans="1:4" ht="12.5" x14ac:dyDescent="0.25">
      <c r="A367" s="33"/>
      <c r="B367" s="33"/>
      <c r="C367" s="33"/>
      <c r="D367" s="33"/>
    </row>
    <row r="368" spans="1:4" ht="12.5" x14ac:dyDescent="0.25">
      <c r="A368" s="33"/>
      <c r="B368" s="33"/>
      <c r="C368" s="33"/>
      <c r="D368" s="33"/>
    </row>
    <row r="369" spans="1:4" ht="12.5" x14ac:dyDescent="0.25">
      <c r="A369" s="33"/>
      <c r="B369" s="33"/>
      <c r="C369" s="33"/>
      <c r="D369" s="33"/>
    </row>
    <row r="370" spans="1:4" ht="12.5" x14ac:dyDescent="0.25">
      <c r="A370" s="33"/>
      <c r="B370" s="33"/>
      <c r="C370" s="33"/>
      <c r="D370" s="33"/>
    </row>
    <row r="371" spans="1:4" ht="12.5" x14ac:dyDescent="0.25">
      <c r="A371" s="33"/>
      <c r="B371" s="33"/>
      <c r="C371" s="33"/>
      <c r="D371" s="33"/>
    </row>
    <row r="372" spans="1:4" ht="12.5" x14ac:dyDescent="0.25">
      <c r="A372" s="33"/>
      <c r="B372" s="33"/>
      <c r="C372" s="33"/>
      <c r="D372" s="33"/>
    </row>
    <row r="373" spans="1:4" ht="12.5" x14ac:dyDescent="0.25">
      <c r="A373" s="33"/>
      <c r="B373" s="33"/>
      <c r="C373" s="33"/>
      <c r="D373" s="33"/>
    </row>
    <row r="374" spans="1:4" ht="12.5" x14ac:dyDescent="0.25">
      <c r="A374" s="33"/>
      <c r="B374" s="33"/>
      <c r="C374" s="33"/>
      <c r="D374" s="33"/>
    </row>
    <row r="375" spans="1:4" ht="12.5" x14ac:dyDescent="0.25">
      <c r="A375" s="33"/>
      <c r="B375" s="33"/>
      <c r="C375" s="33"/>
      <c r="D375" s="33"/>
    </row>
    <row r="376" spans="1:4" ht="12.5" x14ac:dyDescent="0.25">
      <c r="A376" s="33"/>
      <c r="B376" s="33"/>
      <c r="C376" s="33"/>
      <c r="D376" s="33"/>
    </row>
    <row r="377" spans="1:4" ht="12.5" x14ac:dyDescent="0.25">
      <c r="A377" s="33"/>
      <c r="B377" s="33"/>
      <c r="C377" s="33"/>
      <c r="D377" s="33"/>
    </row>
    <row r="378" spans="1:4" ht="12.5" x14ac:dyDescent="0.25">
      <c r="A378" s="33"/>
      <c r="B378" s="33"/>
      <c r="C378" s="33"/>
      <c r="D378" s="33"/>
    </row>
    <row r="379" spans="1:4" ht="12.5" x14ac:dyDescent="0.25">
      <c r="A379" s="33"/>
      <c r="B379" s="33"/>
      <c r="C379" s="33"/>
      <c r="D379" s="33"/>
    </row>
    <row r="380" spans="1:4" ht="12.5" x14ac:dyDescent="0.25">
      <c r="A380" s="33"/>
      <c r="B380" s="33"/>
      <c r="C380" s="33"/>
      <c r="D380" s="33"/>
    </row>
    <row r="381" spans="1:4" ht="12.5" x14ac:dyDescent="0.25">
      <c r="A381" s="33"/>
      <c r="B381" s="33"/>
      <c r="C381" s="33"/>
      <c r="D381" s="33"/>
    </row>
    <row r="382" spans="1:4" ht="12.5" x14ac:dyDescent="0.25">
      <c r="A382" s="33"/>
      <c r="B382" s="33"/>
      <c r="C382" s="33"/>
      <c r="D382" s="33"/>
    </row>
    <row r="383" spans="1:4" ht="12.5" x14ac:dyDescent="0.25">
      <c r="A383" s="33"/>
      <c r="B383" s="33"/>
      <c r="C383" s="33"/>
      <c r="D383" s="33"/>
    </row>
    <row r="384" spans="1:4" ht="12.5" x14ac:dyDescent="0.25">
      <c r="A384" s="33"/>
      <c r="B384" s="33"/>
      <c r="C384" s="33"/>
      <c r="D384" s="33"/>
    </row>
    <row r="385" spans="1:4" ht="12.5" x14ac:dyDescent="0.25">
      <c r="A385" s="33"/>
      <c r="B385" s="33"/>
      <c r="C385" s="33"/>
      <c r="D385" s="33"/>
    </row>
    <row r="386" spans="1:4" ht="12.5" x14ac:dyDescent="0.25">
      <c r="A386" s="33"/>
      <c r="B386" s="33"/>
      <c r="C386" s="33"/>
      <c r="D386" s="33"/>
    </row>
    <row r="387" spans="1:4" ht="12.5" x14ac:dyDescent="0.25">
      <c r="A387" s="33"/>
      <c r="B387" s="33"/>
      <c r="C387" s="33"/>
      <c r="D387" s="33"/>
    </row>
    <row r="388" spans="1:4" ht="12.5" x14ac:dyDescent="0.25">
      <c r="A388" s="33"/>
      <c r="B388" s="33"/>
      <c r="C388" s="33"/>
      <c r="D388" s="33"/>
    </row>
    <row r="389" spans="1:4" ht="12.5" x14ac:dyDescent="0.25">
      <c r="A389" s="33"/>
      <c r="B389" s="33"/>
      <c r="C389" s="33"/>
      <c r="D389" s="33"/>
    </row>
    <row r="390" spans="1:4" ht="12.5" x14ac:dyDescent="0.25">
      <c r="A390" s="33"/>
      <c r="B390" s="33"/>
      <c r="C390" s="33"/>
      <c r="D390" s="33"/>
    </row>
    <row r="391" spans="1:4" ht="12.5" x14ac:dyDescent="0.25">
      <c r="A391" s="33"/>
      <c r="B391" s="33"/>
      <c r="C391" s="33"/>
      <c r="D391" s="33"/>
    </row>
    <row r="392" spans="1:4" ht="12.5" x14ac:dyDescent="0.25">
      <c r="A392" s="33"/>
      <c r="B392" s="33"/>
      <c r="C392" s="33"/>
      <c r="D392" s="33"/>
    </row>
    <row r="393" spans="1:4" ht="12.5" x14ac:dyDescent="0.25">
      <c r="A393" s="33"/>
      <c r="B393" s="33"/>
      <c r="C393" s="33"/>
      <c r="D393" s="33"/>
    </row>
    <row r="394" spans="1:4" ht="12.5" x14ac:dyDescent="0.25">
      <c r="A394" s="33"/>
      <c r="B394" s="33"/>
      <c r="C394" s="33"/>
      <c r="D394" s="33"/>
    </row>
    <row r="395" spans="1:4" ht="12.5" x14ac:dyDescent="0.25">
      <c r="A395" s="33"/>
      <c r="B395" s="33"/>
      <c r="C395" s="33"/>
      <c r="D395" s="33"/>
    </row>
    <row r="396" spans="1:4" ht="12.5" x14ac:dyDescent="0.25">
      <c r="A396" s="33"/>
      <c r="B396" s="33"/>
      <c r="C396" s="33"/>
      <c r="D396" s="33"/>
    </row>
    <row r="397" spans="1:4" ht="12.5" x14ac:dyDescent="0.25">
      <c r="A397" s="33"/>
      <c r="B397" s="33"/>
      <c r="C397" s="33"/>
      <c r="D397" s="33"/>
    </row>
    <row r="398" spans="1:4" ht="12.5" x14ac:dyDescent="0.25">
      <c r="A398" s="33"/>
      <c r="B398" s="33"/>
      <c r="C398" s="33"/>
      <c r="D398" s="33"/>
    </row>
    <row r="399" spans="1:4" ht="12.5" x14ac:dyDescent="0.25">
      <c r="A399" s="33"/>
      <c r="B399" s="33"/>
      <c r="C399" s="33"/>
      <c r="D399" s="33"/>
    </row>
    <row r="400" spans="1:4" ht="12.5" x14ac:dyDescent="0.25">
      <c r="A400" s="33"/>
      <c r="B400" s="33"/>
      <c r="C400" s="33"/>
      <c r="D400" s="33"/>
    </row>
    <row r="401" spans="1:4" ht="12.5" x14ac:dyDescent="0.25">
      <c r="A401" s="33"/>
      <c r="B401" s="33"/>
      <c r="C401" s="33"/>
      <c r="D401" s="33"/>
    </row>
    <row r="402" spans="1:4" ht="12.5" x14ac:dyDescent="0.25">
      <c r="A402" s="33"/>
      <c r="B402" s="33"/>
      <c r="C402" s="33"/>
      <c r="D402" s="33"/>
    </row>
    <row r="403" spans="1:4" ht="12.5" x14ac:dyDescent="0.25">
      <c r="A403" s="33"/>
      <c r="B403" s="33"/>
      <c r="C403" s="33"/>
      <c r="D403" s="33"/>
    </row>
    <row r="404" spans="1:4" ht="12.5" x14ac:dyDescent="0.25">
      <c r="A404" s="33"/>
      <c r="B404" s="33"/>
      <c r="C404" s="33"/>
      <c r="D404" s="33"/>
    </row>
    <row r="405" spans="1:4" ht="12.5" x14ac:dyDescent="0.25">
      <c r="A405" s="33"/>
      <c r="B405" s="33"/>
      <c r="C405" s="33"/>
      <c r="D405" s="33"/>
    </row>
    <row r="406" spans="1:4" ht="12.5" x14ac:dyDescent="0.25">
      <c r="A406" s="33"/>
      <c r="B406" s="33"/>
      <c r="C406" s="33"/>
      <c r="D406" s="33"/>
    </row>
    <row r="407" spans="1:4" ht="12.5" x14ac:dyDescent="0.25">
      <c r="A407" s="33"/>
      <c r="B407" s="33"/>
      <c r="C407" s="33"/>
      <c r="D407" s="33"/>
    </row>
    <row r="408" spans="1:4" ht="12.5" x14ac:dyDescent="0.25">
      <c r="A408" s="33"/>
      <c r="B408" s="33"/>
      <c r="C408" s="33"/>
      <c r="D408" s="33"/>
    </row>
    <row r="409" spans="1:4" ht="12.5" x14ac:dyDescent="0.25">
      <c r="A409" s="33"/>
      <c r="B409" s="33"/>
      <c r="C409" s="33"/>
      <c r="D409" s="33"/>
    </row>
    <row r="410" spans="1:4" ht="12.5" x14ac:dyDescent="0.25">
      <c r="A410" s="33"/>
      <c r="B410" s="33"/>
      <c r="C410" s="33"/>
      <c r="D410" s="33"/>
    </row>
    <row r="411" spans="1:4" ht="12.5" x14ac:dyDescent="0.25">
      <c r="A411" s="33"/>
      <c r="B411" s="33"/>
      <c r="C411" s="33"/>
      <c r="D411" s="33"/>
    </row>
    <row r="412" spans="1:4" ht="12.5" x14ac:dyDescent="0.25">
      <c r="A412" s="33"/>
      <c r="B412" s="33"/>
      <c r="C412" s="33"/>
      <c r="D412" s="33"/>
    </row>
    <row r="413" spans="1:4" ht="12.5" x14ac:dyDescent="0.25">
      <c r="A413" s="33"/>
      <c r="B413" s="33"/>
      <c r="C413" s="33"/>
      <c r="D413" s="33"/>
    </row>
    <row r="414" spans="1:4" ht="12.5" x14ac:dyDescent="0.25">
      <c r="A414" s="33"/>
      <c r="B414" s="33"/>
      <c r="C414" s="33"/>
      <c r="D414" s="33"/>
    </row>
    <row r="415" spans="1:4" ht="12.5" x14ac:dyDescent="0.25">
      <c r="A415" s="33"/>
      <c r="B415" s="33"/>
      <c r="C415" s="33"/>
      <c r="D415" s="33"/>
    </row>
    <row r="416" spans="1:4" ht="12.5" x14ac:dyDescent="0.25">
      <c r="A416" s="33"/>
      <c r="B416" s="33"/>
      <c r="C416" s="33"/>
      <c r="D416" s="33"/>
    </row>
    <row r="417" spans="1:4" ht="12.5" x14ac:dyDescent="0.25">
      <c r="A417" s="33"/>
      <c r="B417" s="33"/>
      <c r="C417" s="33"/>
      <c r="D417" s="33"/>
    </row>
    <row r="418" spans="1:4" ht="12.5" x14ac:dyDescent="0.25">
      <c r="A418" s="33"/>
      <c r="B418" s="33"/>
      <c r="C418" s="33"/>
      <c r="D418" s="33"/>
    </row>
    <row r="419" spans="1:4" ht="12.5" x14ac:dyDescent="0.25">
      <c r="A419" s="33"/>
      <c r="B419" s="33"/>
      <c r="C419" s="33"/>
      <c r="D419" s="33"/>
    </row>
    <row r="420" spans="1:4" ht="12.5" x14ac:dyDescent="0.25">
      <c r="A420" s="33"/>
      <c r="B420" s="33"/>
      <c r="C420" s="33"/>
      <c r="D420" s="33"/>
    </row>
    <row r="421" spans="1:4" ht="12.5" x14ac:dyDescent="0.25">
      <c r="A421" s="33"/>
      <c r="B421" s="33"/>
      <c r="C421" s="33"/>
      <c r="D421" s="33"/>
    </row>
    <row r="422" spans="1:4" ht="12.5" x14ac:dyDescent="0.25">
      <c r="A422" s="33"/>
      <c r="B422" s="33"/>
      <c r="C422" s="33"/>
      <c r="D422" s="33"/>
    </row>
    <row r="423" spans="1:4" ht="12.5" x14ac:dyDescent="0.25">
      <c r="A423" s="33"/>
      <c r="B423" s="33"/>
      <c r="C423" s="33"/>
      <c r="D423" s="33"/>
    </row>
    <row r="424" spans="1:4" ht="12.5" x14ac:dyDescent="0.25">
      <c r="A424" s="33"/>
      <c r="B424" s="33"/>
      <c r="C424" s="33"/>
      <c r="D424" s="33"/>
    </row>
    <row r="425" spans="1:4" ht="12.5" x14ac:dyDescent="0.25">
      <c r="A425" s="33"/>
      <c r="B425" s="33"/>
      <c r="C425" s="33"/>
      <c r="D425" s="33"/>
    </row>
    <row r="426" spans="1:4" ht="12.5" x14ac:dyDescent="0.25">
      <c r="A426" s="33"/>
      <c r="B426" s="33"/>
      <c r="C426" s="33"/>
      <c r="D426" s="33"/>
    </row>
    <row r="427" spans="1:4" ht="12.5" x14ac:dyDescent="0.25">
      <c r="A427" s="33"/>
      <c r="B427" s="33"/>
      <c r="C427" s="33"/>
      <c r="D427" s="33"/>
    </row>
    <row r="428" spans="1:4" ht="12.5" x14ac:dyDescent="0.25">
      <c r="A428" s="33"/>
      <c r="B428" s="33"/>
      <c r="C428" s="33"/>
      <c r="D428" s="33"/>
    </row>
    <row r="429" spans="1:4" ht="12.5" x14ac:dyDescent="0.25">
      <c r="A429" s="33"/>
      <c r="B429" s="33"/>
      <c r="C429" s="33"/>
      <c r="D429" s="33"/>
    </row>
    <row r="430" spans="1:4" ht="12.5" x14ac:dyDescent="0.25">
      <c r="A430" s="33"/>
      <c r="B430" s="33"/>
      <c r="C430" s="33"/>
      <c r="D430" s="33"/>
    </row>
    <row r="431" spans="1:4" ht="12.5" x14ac:dyDescent="0.25">
      <c r="A431" s="33"/>
      <c r="B431" s="33"/>
      <c r="C431" s="33"/>
      <c r="D431" s="33"/>
    </row>
    <row r="432" spans="1:4" ht="12.5" x14ac:dyDescent="0.25">
      <c r="A432" s="33"/>
      <c r="B432" s="33"/>
      <c r="C432" s="33"/>
      <c r="D432" s="33"/>
    </row>
    <row r="433" spans="1:4" ht="12.5" x14ac:dyDescent="0.25">
      <c r="A433" s="33"/>
      <c r="B433" s="33"/>
      <c r="C433" s="33"/>
      <c r="D433" s="33"/>
    </row>
    <row r="434" spans="1:4" ht="12.5" x14ac:dyDescent="0.25">
      <c r="A434" s="33"/>
      <c r="B434" s="33"/>
      <c r="C434" s="33"/>
      <c r="D434" s="33"/>
    </row>
    <row r="435" spans="1:4" ht="12.5" x14ac:dyDescent="0.25">
      <c r="A435" s="33"/>
      <c r="B435" s="33"/>
      <c r="C435" s="33"/>
      <c r="D435" s="33"/>
    </row>
    <row r="436" spans="1:4" ht="12.5" x14ac:dyDescent="0.25">
      <c r="A436" s="33"/>
      <c r="B436" s="33"/>
      <c r="C436" s="33"/>
      <c r="D436" s="33"/>
    </row>
    <row r="437" spans="1:4" ht="12.5" x14ac:dyDescent="0.25">
      <c r="A437" s="33"/>
      <c r="B437" s="33"/>
      <c r="C437" s="33"/>
      <c r="D437" s="33"/>
    </row>
    <row r="438" spans="1:4" ht="12.5" x14ac:dyDescent="0.25">
      <c r="A438" s="33"/>
      <c r="B438" s="33"/>
      <c r="C438" s="33"/>
      <c r="D438" s="33"/>
    </row>
    <row r="439" spans="1:4" ht="12.5" x14ac:dyDescent="0.25">
      <c r="A439" s="33"/>
      <c r="B439" s="33"/>
      <c r="C439" s="33"/>
      <c r="D439" s="33"/>
    </row>
    <row r="440" spans="1:4" ht="12.5" x14ac:dyDescent="0.25">
      <c r="A440" s="33"/>
      <c r="B440" s="33"/>
      <c r="C440" s="33"/>
      <c r="D440" s="33"/>
    </row>
    <row r="441" spans="1:4" ht="12.5" x14ac:dyDescent="0.25">
      <c r="A441" s="33"/>
      <c r="B441" s="33"/>
      <c r="C441" s="33"/>
      <c r="D441" s="33"/>
    </row>
    <row r="442" spans="1:4" ht="12.5" x14ac:dyDescent="0.25">
      <c r="A442" s="33"/>
      <c r="B442" s="33"/>
      <c r="C442" s="33"/>
      <c r="D442" s="33"/>
    </row>
    <row r="443" spans="1:4" ht="12.5" x14ac:dyDescent="0.25">
      <c r="A443" s="33"/>
      <c r="B443" s="33"/>
      <c r="C443" s="33"/>
      <c r="D443" s="33"/>
    </row>
    <row r="444" spans="1:4" ht="12.5" x14ac:dyDescent="0.25">
      <c r="A444" s="33"/>
      <c r="B444" s="33"/>
      <c r="C444" s="33"/>
      <c r="D444" s="33"/>
    </row>
    <row r="445" spans="1:4" ht="12.5" x14ac:dyDescent="0.25">
      <c r="A445" s="33"/>
      <c r="B445" s="33"/>
      <c r="C445" s="33"/>
      <c r="D445" s="33"/>
    </row>
    <row r="446" spans="1:4" ht="12.5" x14ac:dyDescent="0.25">
      <c r="A446" s="33"/>
      <c r="B446" s="33"/>
      <c r="C446" s="33"/>
      <c r="D446" s="33"/>
    </row>
    <row r="447" spans="1:4" ht="12.5" x14ac:dyDescent="0.25">
      <c r="A447" s="33"/>
      <c r="B447" s="33"/>
      <c r="C447" s="33"/>
      <c r="D447" s="33"/>
    </row>
    <row r="448" spans="1:4" ht="12.5" x14ac:dyDescent="0.25">
      <c r="A448" s="33"/>
      <c r="B448" s="33"/>
      <c r="C448" s="33"/>
      <c r="D448" s="33"/>
    </row>
    <row r="449" spans="1:4" ht="12.5" x14ac:dyDescent="0.25">
      <c r="A449" s="33"/>
      <c r="B449" s="33"/>
      <c r="C449" s="33"/>
      <c r="D449" s="33"/>
    </row>
    <row r="450" spans="1:4" ht="12.5" x14ac:dyDescent="0.25">
      <c r="A450" s="33"/>
      <c r="B450" s="33"/>
      <c r="C450" s="33"/>
      <c r="D450" s="33"/>
    </row>
    <row r="451" spans="1:4" ht="12.5" x14ac:dyDescent="0.25">
      <c r="A451" s="33"/>
      <c r="B451" s="33"/>
      <c r="C451" s="33"/>
      <c r="D451" s="33"/>
    </row>
    <row r="452" spans="1:4" ht="12.5" x14ac:dyDescent="0.25">
      <c r="A452" s="33"/>
      <c r="B452" s="33"/>
      <c r="C452" s="33"/>
      <c r="D452" s="33"/>
    </row>
    <row r="453" spans="1:4" ht="12.5" x14ac:dyDescent="0.25">
      <c r="A453" s="33"/>
      <c r="B453" s="33"/>
      <c r="C453" s="33"/>
      <c r="D453" s="33"/>
    </row>
    <row r="454" spans="1:4" ht="12.5" x14ac:dyDescent="0.25">
      <c r="A454" s="33"/>
      <c r="B454" s="33"/>
      <c r="C454" s="33"/>
      <c r="D454" s="33"/>
    </row>
    <row r="455" spans="1:4" ht="12.5" x14ac:dyDescent="0.25">
      <c r="A455" s="33"/>
      <c r="B455" s="33"/>
      <c r="C455" s="33"/>
      <c r="D455" s="33"/>
    </row>
    <row r="456" spans="1:4" ht="12.5" x14ac:dyDescent="0.25">
      <c r="A456" s="33"/>
      <c r="B456" s="33"/>
      <c r="C456" s="33"/>
      <c r="D456" s="33"/>
    </row>
    <row r="457" spans="1:4" ht="12.5" x14ac:dyDescent="0.25">
      <c r="A457" s="33"/>
      <c r="B457" s="33"/>
      <c r="C457" s="33"/>
      <c r="D457" s="33"/>
    </row>
    <row r="458" spans="1:4" ht="12.5" x14ac:dyDescent="0.25">
      <c r="A458" s="33"/>
      <c r="B458" s="33"/>
      <c r="C458" s="33"/>
      <c r="D458" s="33"/>
    </row>
    <row r="459" spans="1:4" ht="12.5" x14ac:dyDescent="0.25">
      <c r="A459" s="33"/>
      <c r="B459" s="33"/>
      <c r="C459" s="33"/>
      <c r="D459" s="33"/>
    </row>
    <row r="460" spans="1:4" ht="12.5" x14ac:dyDescent="0.25">
      <c r="A460" s="33"/>
      <c r="B460" s="33"/>
      <c r="C460" s="33"/>
      <c r="D460" s="33"/>
    </row>
    <row r="461" spans="1:4" ht="12.5" x14ac:dyDescent="0.25">
      <c r="A461" s="33"/>
      <c r="B461" s="33"/>
      <c r="C461" s="33"/>
      <c r="D461" s="33"/>
    </row>
    <row r="462" spans="1:4" ht="12.5" x14ac:dyDescent="0.25">
      <c r="A462" s="33"/>
      <c r="B462" s="33"/>
      <c r="C462" s="33"/>
      <c r="D462" s="33"/>
    </row>
    <row r="463" spans="1:4" ht="12.5" x14ac:dyDescent="0.25">
      <c r="A463" s="33"/>
      <c r="B463" s="33"/>
      <c r="C463" s="33"/>
      <c r="D463" s="33"/>
    </row>
    <row r="464" spans="1:4" ht="12.5" x14ac:dyDescent="0.25">
      <c r="A464" s="33"/>
      <c r="B464" s="33"/>
      <c r="C464" s="33"/>
      <c r="D464" s="33"/>
    </row>
    <row r="465" spans="1:4" ht="12.5" x14ac:dyDescent="0.25">
      <c r="A465" s="33"/>
      <c r="B465" s="33"/>
      <c r="C465" s="33"/>
      <c r="D465" s="33"/>
    </row>
    <row r="466" spans="1:4" ht="12.5" x14ac:dyDescent="0.25">
      <c r="A466" s="33"/>
      <c r="B466" s="33"/>
      <c r="C466" s="33"/>
      <c r="D466" s="33"/>
    </row>
    <row r="467" spans="1:4" ht="12.5" x14ac:dyDescent="0.25">
      <c r="A467" s="33"/>
      <c r="B467" s="33"/>
      <c r="C467" s="33"/>
      <c r="D467" s="33"/>
    </row>
    <row r="468" spans="1:4" ht="12.5" x14ac:dyDescent="0.25">
      <c r="A468" s="33"/>
      <c r="B468" s="33"/>
      <c r="C468" s="33"/>
      <c r="D468" s="33"/>
    </row>
    <row r="469" spans="1:4" ht="12.5" x14ac:dyDescent="0.25">
      <c r="A469" s="33"/>
      <c r="B469" s="33"/>
      <c r="C469" s="33"/>
      <c r="D469" s="33"/>
    </row>
    <row r="470" spans="1:4" ht="12.5" x14ac:dyDescent="0.25">
      <c r="A470" s="33"/>
      <c r="B470" s="33"/>
      <c r="C470" s="33"/>
      <c r="D470" s="33"/>
    </row>
    <row r="471" spans="1:4" ht="12.5" x14ac:dyDescent="0.25">
      <c r="A471" s="33"/>
      <c r="B471" s="33"/>
      <c r="C471" s="33"/>
      <c r="D471" s="33"/>
    </row>
    <row r="472" spans="1:4" ht="12.5" x14ac:dyDescent="0.25">
      <c r="A472" s="33"/>
      <c r="B472" s="33"/>
      <c r="C472" s="33"/>
      <c r="D472" s="33"/>
    </row>
    <row r="473" spans="1:4" ht="12.5" x14ac:dyDescent="0.25">
      <c r="A473" s="33"/>
      <c r="B473" s="33"/>
      <c r="C473" s="33"/>
      <c r="D473" s="33"/>
    </row>
    <row r="474" spans="1:4" ht="12.5" x14ac:dyDescent="0.25">
      <c r="A474" s="33"/>
      <c r="B474" s="33"/>
      <c r="C474" s="33"/>
      <c r="D474" s="33"/>
    </row>
    <row r="475" spans="1:4" ht="12.5" x14ac:dyDescent="0.25">
      <c r="A475" s="33"/>
      <c r="B475" s="33"/>
      <c r="C475" s="33"/>
      <c r="D475" s="33"/>
    </row>
    <row r="476" spans="1:4" ht="12.5" x14ac:dyDescent="0.25">
      <c r="A476" s="33"/>
      <c r="B476" s="33"/>
      <c r="C476" s="33"/>
      <c r="D476" s="33"/>
    </row>
    <row r="477" spans="1:4" ht="12.5" x14ac:dyDescent="0.25">
      <c r="A477" s="33"/>
      <c r="B477" s="33"/>
      <c r="C477" s="33"/>
      <c r="D477" s="33"/>
    </row>
    <row r="478" spans="1:4" ht="12.5" x14ac:dyDescent="0.25">
      <c r="A478" s="33"/>
      <c r="B478" s="33"/>
      <c r="C478" s="33"/>
      <c r="D478" s="33"/>
    </row>
    <row r="479" spans="1:4" ht="12.5" x14ac:dyDescent="0.25">
      <c r="A479" s="33"/>
      <c r="B479" s="33"/>
      <c r="C479" s="33"/>
      <c r="D479" s="33"/>
    </row>
    <row r="480" spans="1:4" ht="12.5" x14ac:dyDescent="0.25">
      <c r="A480" s="33"/>
      <c r="B480" s="33"/>
      <c r="C480" s="33"/>
      <c r="D480" s="33"/>
    </row>
    <row r="481" spans="1:4" ht="12.5" x14ac:dyDescent="0.25">
      <c r="A481" s="33"/>
      <c r="B481" s="33"/>
      <c r="C481" s="33"/>
      <c r="D481" s="33"/>
    </row>
    <row r="482" spans="1:4" ht="12.5" x14ac:dyDescent="0.25">
      <c r="A482" s="33"/>
      <c r="B482" s="33"/>
      <c r="C482" s="33"/>
      <c r="D482" s="33"/>
    </row>
    <row r="483" spans="1:4" ht="12.5" x14ac:dyDescent="0.25">
      <c r="A483" s="33"/>
      <c r="B483" s="33"/>
      <c r="C483" s="33"/>
      <c r="D483" s="33"/>
    </row>
    <row r="484" spans="1:4" ht="12.5" x14ac:dyDescent="0.25">
      <c r="A484" s="33"/>
      <c r="B484" s="33"/>
      <c r="C484" s="33"/>
      <c r="D484" s="33"/>
    </row>
    <row r="485" spans="1:4" ht="12.5" x14ac:dyDescent="0.25">
      <c r="A485" s="33"/>
      <c r="B485" s="33"/>
      <c r="C485" s="33"/>
      <c r="D485" s="33"/>
    </row>
    <row r="486" spans="1:4" ht="12.5" x14ac:dyDescent="0.25">
      <c r="A486" s="33"/>
      <c r="B486" s="33"/>
      <c r="C486" s="33"/>
      <c r="D486" s="33"/>
    </row>
    <row r="487" spans="1:4" ht="12.5" x14ac:dyDescent="0.25">
      <c r="A487" s="33"/>
      <c r="B487" s="33"/>
      <c r="C487" s="33"/>
      <c r="D487" s="33"/>
    </row>
    <row r="488" spans="1:4" ht="12.5" x14ac:dyDescent="0.25">
      <c r="A488" s="33"/>
      <c r="B488" s="33"/>
      <c r="C488" s="33"/>
      <c r="D488" s="33"/>
    </row>
    <row r="489" spans="1:4" ht="12.5" x14ac:dyDescent="0.25">
      <c r="A489" s="33"/>
      <c r="B489" s="33"/>
      <c r="C489" s="33"/>
      <c r="D489" s="33"/>
    </row>
    <row r="490" spans="1:4" ht="12.5" x14ac:dyDescent="0.25">
      <c r="A490" s="33"/>
      <c r="B490" s="33"/>
      <c r="C490" s="33"/>
      <c r="D490" s="33"/>
    </row>
    <row r="491" spans="1:4" ht="12.5" x14ac:dyDescent="0.25">
      <c r="A491" s="33"/>
      <c r="B491" s="33"/>
      <c r="C491" s="33"/>
      <c r="D491" s="33"/>
    </row>
    <row r="492" spans="1:4" ht="12.5" x14ac:dyDescent="0.25">
      <c r="A492" s="33"/>
      <c r="B492" s="33"/>
      <c r="C492" s="33"/>
      <c r="D492" s="33"/>
    </row>
    <row r="493" spans="1:4" ht="12.5" x14ac:dyDescent="0.25">
      <c r="A493" s="33"/>
      <c r="B493" s="33"/>
      <c r="C493" s="33"/>
      <c r="D493" s="33"/>
    </row>
    <row r="494" spans="1:4" ht="12.5" x14ac:dyDescent="0.25">
      <c r="A494" s="33"/>
      <c r="B494" s="33"/>
      <c r="C494" s="33"/>
      <c r="D494" s="33"/>
    </row>
    <row r="495" spans="1:4" ht="12.5" x14ac:dyDescent="0.25">
      <c r="A495" s="33"/>
      <c r="B495" s="33"/>
      <c r="C495" s="33"/>
      <c r="D495" s="33"/>
    </row>
    <row r="496" spans="1:4" ht="12.5" x14ac:dyDescent="0.25">
      <c r="A496" s="33"/>
      <c r="B496" s="33"/>
      <c r="C496" s="33"/>
      <c r="D496" s="33"/>
    </row>
    <row r="497" spans="1:4" ht="12.5" x14ac:dyDescent="0.25">
      <c r="A497" s="33"/>
      <c r="B497" s="33"/>
      <c r="C497" s="33"/>
      <c r="D497" s="33"/>
    </row>
    <row r="498" spans="1:4" ht="12.5" x14ac:dyDescent="0.25">
      <c r="A498" s="33"/>
      <c r="B498" s="33"/>
      <c r="C498" s="33"/>
      <c r="D498" s="33"/>
    </row>
    <row r="499" spans="1:4" ht="12.5" x14ac:dyDescent="0.25">
      <c r="A499" s="33"/>
      <c r="B499" s="33"/>
      <c r="C499" s="33"/>
      <c r="D499" s="33"/>
    </row>
    <row r="500" spans="1:4" ht="12.5" x14ac:dyDescent="0.25">
      <c r="A500" s="33"/>
      <c r="B500" s="33"/>
      <c r="C500" s="33"/>
      <c r="D500" s="33"/>
    </row>
    <row r="501" spans="1:4" ht="12.5" x14ac:dyDescent="0.25">
      <c r="A501" s="33"/>
      <c r="B501" s="33"/>
      <c r="C501" s="33"/>
      <c r="D501" s="33"/>
    </row>
    <row r="502" spans="1:4" ht="12.5" x14ac:dyDescent="0.25">
      <c r="A502" s="33"/>
      <c r="B502" s="33"/>
      <c r="C502" s="33"/>
      <c r="D502" s="33"/>
    </row>
    <row r="503" spans="1:4" ht="12.5" x14ac:dyDescent="0.25">
      <c r="A503" s="33"/>
      <c r="B503" s="33"/>
      <c r="C503" s="33"/>
      <c r="D503" s="33"/>
    </row>
    <row r="504" spans="1:4" ht="12.5" x14ac:dyDescent="0.25">
      <c r="A504" s="33"/>
      <c r="B504" s="33"/>
      <c r="C504" s="33"/>
      <c r="D504" s="33"/>
    </row>
    <row r="505" spans="1:4" ht="12.5" x14ac:dyDescent="0.25">
      <c r="A505" s="33"/>
      <c r="B505" s="33"/>
      <c r="C505" s="33"/>
      <c r="D505" s="33"/>
    </row>
    <row r="506" spans="1:4" ht="12.5" x14ac:dyDescent="0.25">
      <c r="A506" s="33"/>
      <c r="B506" s="33"/>
      <c r="C506" s="33"/>
      <c r="D506" s="33"/>
    </row>
    <row r="507" spans="1:4" ht="12.5" x14ac:dyDescent="0.25">
      <c r="A507" s="33"/>
      <c r="B507" s="33"/>
      <c r="C507" s="33"/>
      <c r="D507" s="33"/>
    </row>
    <row r="508" spans="1:4" ht="12.5" x14ac:dyDescent="0.25">
      <c r="A508" s="33"/>
      <c r="B508" s="33"/>
      <c r="C508" s="33"/>
      <c r="D508" s="33"/>
    </row>
    <row r="509" spans="1:4" ht="12.5" x14ac:dyDescent="0.25">
      <c r="A509" s="33"/>
      <c r="B509" s="33"/>
      <c r="C509" s="33"/>
      <c r="D509" s="33"/>
    </row>
    <row r="510" spans="1:4" ht="12.5" x14ac:dyDescent="0.25">
      <c r="A510" s="33"/>
      <c r="B510" s="33"/>
      <c r="C510" s="33"/>
      <c r="D510" s="33"/>
    </row>
    <row r="511" spans="1:4" ht="12.5" x14ac:dyDescent="0.25">
      <c r="A511" s="33"/>
      <c r="B511" s="33"/>
      <c r="C511" s="33"/>
      <c r="D511" s="33"/>
    </row>
    <row r="512" spans="1:4" ht="12.5" x14ac:dyDescent="0.25">
      <c r="A512" s="33"/>
      <c r="B512" s="33"/>
      <c r="C512" s="33"/>
      <c r="D512" s="33"/>
    </row>
    <row r="513" spans="1:4" ht="12.5" x14ac:dyDescent="0.25">
      <c r="A513" s="33"/>
      <c r="B513" s="33"/>
      <c r="C513" s="33"/>
      <c r="D513" s="33"/>
    </row>
    <row r="514" spans="1:4" ht="12.5" x14ac:dyDescent="0.25">
      <c r="A514" s="33"/>
      <c r="B514" s="33"/>
      <c r="C514" s="33"/>
      <c r="D514" s="33"/>
    </row>
    <row r="515" spans="1:4" ht="12.5" x14ac:dyDescent="0.25">
      <c r="A515" s="33"/>
      <c r="B515" s="33"/>
      <c r="C515" s="33"/>
      <c r="D515" s="33"/>
    </row>
    <row r="516" spans="1:4" ht="12.5" x14ac:dyDescent="0.25">
      <c r="A516" s="33"/>
      <c r="B516" s="33"/>
      <c r="C516" s="33"/>
      <c r="D516" s="33"/>
    </row>
    <row r="517" spans="1:4" ht="12.5" x14ac:dyDescent="0.25">
      <c r="A517" s="33"/>
      <c r="B517" s="33"/>
      <c r="C517" s="33"/>
      <c r="D517" s="33"/>
    </row>
    <row r="518" spans="1:4" ht="12.5" x14ac:dyDescent="0.25">
      <c r="A518" s="33"/>
      <c r="B518" s="33"/>
      <c r="C518" s="33"/>
      <c r="D518" s="33"/>
    </row>
    <row r="519" spans="1:4" ht="12.5" x14ac:dyDescent="0.25">
      <c r="A519" s="33"/>
      <c r="B519" s="33"/>
      <c r="C519" s="33"/>
      <c r="D519" s="33"/>
    </row>
    <row r="520" spans="1:4" ht="12.5" x14ac:dyDescent="0.25">
      <c r="A520" s="33"/>
      <c r="B520" s="33"/>
      <c r="C520" s="33"/>
      <c r="D520" s="33"/>
    </row>
    <row r="521" spans="1:4" ht="12.5" x14ac:dyDescent="0.25">
      <c r="A521" s="33"/>
      <c r="B521" s="33"/>
      <c r="C521" s="33"/>
      <c r="D521" s="33"/>
    </row>
    <row r="522" spans="1:4" ht="12.5" x14ac:dyDescent="0.25">
      <c r="A522" s="33"/>
      <c r="B522" s="33"/>
      <c r="C522" s="33"/>
      <c r="D522" s="33"/>
    </row>
    <row r="523" spans="1:4" ht="12.5" x14ac:dyDescent="0.25">
      <c r="A523" s="33"/>
      <c r="B523" s="33"/>
      <c r="C523" s="33"/>
      <c r="D523" s="33"/>
    </row>
    <row r="524" spans="1:4" ht="12.5" x14ac:dyDescent="0.25">
      <c r="A524" s="33"/>
      <c r="B524" s="33"/>
      <c r="C524" s="33"/>
      <c r="D524" s="33"/>
    </row>
    <row r="525" spans="1:4" ht="12.5" x14ac:dyDescent="0.25">
      <c r="A525" s="33"/>
      <c r="B525" s="33"/>
      <c r="C525" s="33"/>
      <c r="D525" s="33"/>
    </row>
    <row r="526" spans="1:4" ht="12.5" x14ac:dyDescent="0.25">
      <c r="A526" s="33"/>
      <c r="B526" s="33"/>
      <c r="C526" s="33"/>
      <c r="D526" s="33"/>
    </row>
    <row r="527" spans="1:4" ht="12.5" x14ac:dyDescent="0.25">
      <c r="A527" s="33"/>
      <c r="B527" s="33"/>
      <c r="C527" s="33"/>
      <c r="D527" s="33"/>
    </row>
    <row r="528" spans="1:4" ht="12.5" x14ac:dyDescent="0.25">
      <c r="A528" s="33"/>
      <c r="B528" s="33"/>
      <c r="C528" s="33"/>
      <c r="D528" s="33"/>
    </row>
    <row r="529" spans="1:4" ht="12.5" x14ac:dyDescent="0.25">
      <c r="A529" s="33"/>
      <c r="B529" s="33"/>
      <c r="C529" s="33"/>
      <c r="D529" s="33"/>
    </row>
    <row r="530" spans="1:4" ht="12.5" x14ac:dyDescent="0.25">
      <c r="A530" s="33"/>
      <c r="B530" s="33"/>
      <c r="C530" s="33"/>
      <c r="D530" s="33"/>
    </row>
    <row r="531" spans="1:4" ht="12.5" x14ac:dyDescent="0.25">
      <c r="A531" s="33"/>
      <c r="B531" s="33"/>
      <c r="C531" s="33"/>
      <c r="D531" s="33"/>
    </row>
    <row r="532" spans="1:4" ht="12.5" x14ac:dyDescent="0.25">
      <c r="A532" s="33"/>
      <c r="B532" s="33"/>
      <c r="C532" s="33"/>
      <c r="D532" s="33"/>
    </row>
    <row r="533" spans="1:4" ht="12.5" x14ac:dyDescent="0.25">
      <c r="A533" s="33"/>
      <c r="B533" s="33"/>
      <c r="C533" s="33"/>
      <c r="D533" s="33"/>
    </row>
    <row r="534" spans="1:4" ht="12.5" x14ac:dyDescent="0.25">
      <c r="A534" s="33"/>
      <c r="B534" s="33"/>
      <c r="C534" s="33"/>
      <c r="D534" s="33"/>
    </row>
    <row r="535" spans="1:4" ht="12.5" x14ac:dyDescent="0.25">
      <c r="A535" s="33"/>
      <c r="B535" s="33"/>
      <c r="C535" s="33"/>
      <c r="D535" s="33"/>
    </row>
    <row r="536" spans="1:4" ht="12.5" x14ac:dyDescent="0.25">
      <c r="A536" s="33"/>
      <c r="B536" s="33"/>
      <c r="C536" s="33"/>
      <c r="D536" s="33"/>
    </row>
    <row r="537" spans="1:4" ht="12.5" x14ac:dyDescent="0.25">
      <c r="A537" s="33"/>
      <c r="B537" s="33"/>
      <c r="C537" s="33"/>
      <c r="D537" s="33"/>
    </row>
    <row r="538" spans="1:4" ht="12.5" x14ac:dyDescent="0.25">
      <c r="A538" s="33"/>
      <c r="B538" s="33"/>
      <c r="C538" s="33"/>
      <c r="D538" s="33"/>
    </row>
    <row r="539" spans="1:4" ht="12.5" x14ac:dyDescent="0.25">
      <c r="A539" s="33"/>
      <c r="B539" s="33"/>
      <c r="C539" s="33"/>
      <c r="D539" s="33"/>
    </row>
    <row r="540" spans="1:4" ht="12.5" x14ac:dyDescent="0.25">
      <c r="A540" s="33"/>
      <c r="B540" s="33"/>
      <c r="C540" s="33"/>
      <c r="D540" s="33"/>
    </row>
    <row r="541" spans="1:4" ht="12.5" x14ac:dyDescent="0.25">
      <c r="A541" s="33"/>
      <c r="B541" s="33"/>
      <c r="C541" s="33"/>
      <c r="D541" s="33"/>
    </row>
    <row r="542" spans="1:4" ht="12.5" x14ac:dyDescent="0.25">
      <c r="A542" s="33"/>
      <c r="B542" s="33"/>
      <c r="C542" s="33"/>
      <c r="D542" s="33"/>
    </row>
    <row r="543" spans="1:4" ht="12.5" x14ac:dyDescent="0.25">
      <c r="A543" s="33"/>
      <c r="B543" s="33"/>
      <c r="C543" s="33"/>
      <c r="D543" s="33"/>
    </row>
    <row r="544" spans="1:4" ht="12.5" x14ac:dyDescent="0.25">
      <c r="A544" s="33"/>
      <c r="B544" s="33"/>
      <c r="C544" s="33"/>
      <c r="D544" s="33"/>
    </row>
    <row r="545" spans="1:4" ht="12.5" x14ac:dyDescent="0.25">
      <c r="A545" s="33"/>
      <c r="B545" s="33"/>
      <c r="C545" s="33"/>
      <c r="D545" s="33"/>
    </row>
    <row r="546" spans="1:4" ht="12.5" x14ac:dyDescent="0.25">
      <c r="A546" s="33"/>
      <c r="B546" s="33"/>
      <c r="C546" s="33"/>
      <c r="D546" s="33"/>
    </row>
    <row r="547" spans="1:4" ht="12.5" x14ac:dyDescent="0.25">
      <c r="A547" s="33"/>
      <c r="B547" s="33"/>
      <c r="C547" s="33"/>
      <c r="D547" s="33"/>
    </row>
    <row r="548" spans="1:4" ht="12.5" x14ac:dyDescent="0.25">
      <c r="A548" s="33"/>
      <c r="B548" s="33"/>
      <c r="C548" s="33"/>
      <c r="D548" s="33"/>
    </row>
    <row r="549" spans="1:4" ht="12.5" x14ac:dyDescent="0.25">
      <c r="A549" s="33"/>
      <c r="B549" s="33"/>
      <c r="C549" s="33"/>
      <c r="D549" s="33"/>
    </row>
    <row r="550" spans="1:4" ht="12.5" x14ac:dyDescent="0.25">
      <c r="A550" s="33"/>
      <c r="B550" s="33"/>
      <c r="C550" s="33"/>
      <c r="D550" s="33"/>
    </row>
    <row r="551" spans="1:4" ht="12.5" x14ac:dyDescent="0.25">
      <c r="A551" s="33"/>
      <c r="B551" s="33"/>
      <c r="C551" s="33"/>
      <c r="D551" s="33"/>
    </row>
    <row r="552" spans="1:4" ht="12.5" x14ac:dyDescent="0.25">
      <c r="A552" s="33"/>
      <c r="B552" s="33"/>
      <c r="C552" s="33"/>
      <c r="D552" s="33"/>
    </row>
    <row r="553" spans="1:4" ht="12.5" x14ac:dyDescent="0.25">
      <c r="A553" s="33"/>
      <c r="B553" s="33"/>
      <c r="C553" s="33"/>
      <c r="D553" s="33"/>
    </row>
    <row r="554" spans="1:4" ht="12.5" x14ac:dyDescent="0.25">
      <c r="A554" s="33"/>
      <c r="B554" s="33"/>
      <c r="C554" s="33"/>
      <c r="D554" s="33"/>
    </row>
    <row r="555" spans="1:4" ht="12.5" x14ac:dyDescent="0.25">
      <c r="A555" s="33"/>
      <c r="B555" s="33"/>
      <c r="C555" s="33"/>
      <c r="D555" s="33"/>
    </row>
    <row r="556" spans="1:4" ht="12.5" x14ac:dyDescent="0.25">
      <c r="A556" s="33"/>
      <c r="B556" s="33"/>
      <c r="C556" s="33"/>
      <c r="D556" s="33"/>
    </row>
    <row r="557" spans="1:4" ht="12.5" x14ac:dyDescent="0.25">
      <c r="A557" s="33"/>
      <c r="B557" s="33"/>
      <c r="C557" s="33"/>
      <c r="D557" s="33"/>
    </row>
    <row r="558" spans="1:4" ht="12.5" x14ac:dyDescent="0.25">
      <c r="A558" s="33"/>
      <c r="B558" s="33"/>
      <c r="C558" s="33"/>
      <c r="D558" s="33"/>
    </row>
    <row r="559" spans="1:4" ht="12.5" x14ac:dyDescent="0.25">
      <c r="A559" s="33"/>
      <c r="B559" s="33"/>
      <c r="C559" s="33"/>
      <c r="D559" s="33"/>
    </row>
    <row r="560" spans="1:4" ht="12.5" x14ac:dyDescent="0.25">
      <c r="A560" s="33"/>
      <c r="B560" s="33"/>
      <c r="C560" s="33"/>
      <c r="D560" s="33"/>
    </row>
    <row r="561" spans="1:4" ht="12.5" x14ac:dyDescent="0.25">
      <c r="A561" s="33"/>
      <c r="B561" s="33"/>
      <c r="C561" s="33"/>
      <c r="D561" s="33"/>
    </row>
    <row r="562" spans="1:4" ht="12.5" x14ac:dyDescent="0.25">
      <c r="A562" s="33"/>
      <c r="B562" s="33"/>
      <c r="C562" s="33"/>
      <c r="D562" s="33"/>
    </row>
    <row r="563" spans="1:4" ht="12.5" x14ac:dyDescent="0.25">
      <c r="A563" s="33"/>
      <c r="B563" s="33"/>
      <c r="C563" s="33"/>
      <c r="D563" s="33"/>
    </row>
    <row r="564" spans="1:4" ht="12.5" x14ac:dyDescent="0.25">
      <c r="A564" s="33"/>
      <c r="B564" s="33"/>
      <c r="C564" s="33"/>
      <c r="D564" s="33"/>
    </row>
    <row r="565" spans="1:4" ht="12.5" x14ac:dyDescent="0.25">
      <c r="A565" s="33"/>
      <c r="B565" s="33"/>
      <c r="C565" s="33"/>
      <c r="D565" s="33"/>
    </row>
    <row r="566" spans="1:4" ht="12.5" x14ac:dyDescent="0.25">
      <c r="A566" s="33"/>
      <c r="B566" s="33"/>
      <c r="C566" s="33"/>
      <c r="D566" s="33"/>
    </row>
    <row r="567" spans="1:4" ht="12.5" x14ac:dyDescent="0.25">
      <c r="A567" s="33"/>
      <c r="B567" s="33"/>
      <c r="C567" s="33"/>
      <c r="D567" s="33"/>
    </row>
    <row r="568" spans="1:4" ht="12.5" x14ac:dyDescent="0.25">
      <c r="A568" s="33"/>
      <c r="B568" s="33"/>
      <c r="C568" s="33"/>
      <c r="D568" s="33"/>
    </row>
    <row r="569" spans="1:4" ht="12.5" x14ac:dyDescent="0.25">
      <c r="A569" s="33"/>
      <c r="B569" s="33"/>
      <c r="C569" s="33"/>
      <c r="D569" s="33"/>
    </row>
    <row r="570" spans="1:4" ht="12.5" x14ac:dyDescent="0.25">
      <c r="A570" s="33"/>
      <c r="B570" s="33"/>
      <c r="C570" s="33"/>
      <c r="D570" s="33"/>
    </row>
    <row r="571" spans="1:4" ht="12.5" x14ac:dyDescent="0.25">
      <c r="A571" s="33"/>
      <c r="B571" s="33"/>
      <c r="C571" s="33"/>
      <c r="D571" s="33"/>
    </row>
    <row r="572" spans="1:4" ht="12.5" x14ac:dyDescent="0.25">
      <c r="A572" s="33"/>
      <c r="B572" s="33"/>
      <c r="C572" s="33"/>
      <c r="D572" s="33"/>
    </row>
    <row r="573" spans="1:4" ht="12.5" x14ac:dyDescent="0.25">
      <c r="A573" s="33"/>
      <c r="B573" s="33"/>
      <c r="C573" s="33"/>
      <c r="D573" s="33"/>
    </row>
    <row r="574" spans="1:4" ht="12.5" x14ac:dyDescent="0.25">
      <c r="A574" s="33"/>
      <c r="B574" s="33"/>
      <c r="C574" s="33"/>
      <c r="D574" s="33"/>
    </row>
    <row r="575" spans="1:4" ht="12.5" x14ac:dyDescent="0.25">
      <c r="A575" s="33"/>
      <c r="B575" s="33"/>
      <c r="C575" s="33"/>
      <c r="D575" s="33"/>
    </row>
    <row r="576" spans="1:4" ht="12.5" x14ac:dyDescent="0.25">
      <c r="A576" s="33"/>
      <c r="B576" s="33"/>
      <c r="C576" s="33"/>
      <c r="D576" s="33"/>
    </row>
    <row r="577" spans="1:4" ht="12.5" x14ac:dyDescent="0.25">
      <c r="A577" s="33"/>
      <c r="B577" s="33"/>
      <c r="C577" s="33"/>
      <c r="D577" s="33"/>
    </row>
    <row r="578" spans="1:4" ht="12.5" x14ac:dyDescent="0.25">
      <c r="A578" s="33"/>
      <c r="B578" s="33"/>
      <c r="C578" s="33"/>
      <c r="D578" s="33"/>
    </row>
    <row r="579" spans="1:4" ht="12.5" x14ac:dyDescent="0.25">
      <c r="A579" s="33"/>
      <c r="B579" s="33"/>
      <c r="C579" s="33"/>
      <c r="D579" s="33"/>
    </row>
    <row r="580" spans="1:4" ht="12.5" x14ac:dyDescent="0.25">
      <c r="A580" s="33"/>
      <c r="B580" s="33"/>
      <c r="C580" s="33"/>
      <c r="D580" s="33"/>
    </row>
    <row r="581" spans="1:4" ht="12.5" x14ac:dyDescent="0.25">
      <c r="A581" s="33"/>
      <c r="B581" s="33"/>
      <c r="C581" s="33"/>
      <c r="D581" s="33"/>
    </row>
    <row r="582" spans="1:4" ht="12.5" x14ac:dyDescent="0.25">
      <c r="A582" s="33"/>
      <c r="B582" s="33"/>
      <c r="C582" s="33"/>
      <c r="D582" s="33"/>
    </row>
    <row r="583" spans="1:4" ht="12.5" x14ac:dyDescent="0.25">
      <c r="A583" s="33"/>
      <c r="B583" s="33"/>
      <c r="C583" s="33"/>
      <c r="D583" s="33"/>
    </row>
    <row r="584" spans="1:4" ht="12.5" x14ac:dyDescent="0.25">
      <c r="A584" s="33"/>
      <c r="B584" s="33"/>
      <c r="C584" s="33"/>
      <c r="D584" s="33"/>
    </row>
    <row r="585" spans="1:4" ht="12.5" x14ac:dyDescent="0.25">
      <c r="A585" s="33"/>
      <c r="B585" s="33"/>
      <c r="C585" s="33"/>
      <c r="D585" s="33"/>
    </row>
    <row r="586" spans="1:4" ht="12.5" x14ac:dyDescent="0.25">
      <c r="A586" s="33"/>
      <c r="B586" s="33"/>
      <c r="C586" s="33"/>
      <c r="D586" s="33"/>
    </row>
    <row r="587" spans="1:4" ht="12.5" x14ac:dyDescent="0.25">
      <c r="A587" s="33"/>
      <c r="B587" s="33"/>
      <c r="C587" s="33"/>
      <c r="D587" s="33"/>
    </row>
    <row r="588" spans="1:4" ht="12.5" x14ac:dyDescent="0.25">
      <c r="A588" s="33"/>
      <c r="B588" s="33"/>
      <c r="C588" s="33"/>
      <c r="D588" s="33"/>
    </row>
    <row r="589" spans="1:4" ht="12.5" x14ac:dyDescent="0.25">
      <c r="A589" s="33"/>
      <c r="B589" s="33"/>
      <c r="C589" s="33"/>
      <c r="D589" s="33"/>
    </row>
    <row r="590" spans="1:4" ht="12.5" x14ac:dyDescent="0.25">
      <c r="A590" s="33"/>
      <c r="B590" s="33"/>
      <c r="C590" s="33"/>
      <c r="D590" s="33"/>
    </row>
    <row r="591" spans="1:4" ht="12.5" x14ac:dyDescent="0.25">
      <c r="A591" s="33"/>
      <c r="B591" s="33"/>
      <c r="C591" s="33"/>
      <c r="D591" s="33"/>
    </row>
    <row r="592" spans="1:4" ht="12.5" x14ac:dyDescent="0.25">
      <c r="A592" s="33"/>
      <c r="B592" s="33"/>
      <c r="C592" s="33"/>
      <c r="D592" s="33"/>
    </row>
    <row r="593" spans="1:4" ht="12.5" x14ac:dyDescent="0.25">
      <c r="A593" s="33"/>
      <c r="B593" s="33"/>
      <c r="C593" s="33"/>
      <c r="D593" s="33"/>
    </row>
    <row r="594" spans="1:4" ht="12.5" x14ac:dyDescent="0.25">
      <c r="A594" s="33"/>
      <c r="B594" s="33"/>
      <c r="C594" s="33"/>
      <c r="D594" s="33"/>
    </row>
    <row r="595" spans="1:4" ht="12.5" x14ac:dyDescent="0.25">
      <c r="A595" s="33"/>
      <c r="B595" s="33"/>
      <c r="C595" s="33"/>
      <c r="D595" s="33"/>
    </row>
    <row r="596" spans="1:4" ht="12.5" x14ac:dyDescent="0.25">
      <c r="A596" s="33"/>
      <c r="B596" s="33"/>
      <c r="C596" s="33"/>
      <c r="D596" s="33"/>
    </row>
    <row r="597" spans="1:4" ht="12.5" x14ac:dyDescent="0.25">
      <c r="A597" s="33"/>
      <c r="B597" s="33"/>
      <c r="C597" s="33"/>
      <c r="D597" s="33"/>
    </row>
    <row r="598" spans="1:4" ht="12.5" x14ac:dyDescent="0.25">
      <c r="A598" s="33"/>
      <c r="B598" s="33"/>
      <c r="C598" s="33"/>
      <c r="D598" s="33"/>
    </row>
    <row r="599" spans="1:4" ht="12.5" x14ac:dyDescent="0.25">
      <c r="A599" s="33"/>
      <c r="B599" s="33"/>
      <c r="C599" s="33"/>
      <c r="D599" s="33"/>
    </row>
    <row r="600" spans="1:4" ht="12.5" x14ac:dyDescent="0.25">
      <c r="A600" s="33"/>
      <c r="B600" s="33"/>
      <c r="C600" s="33"/>
      <c r="D600" s="33"/>
    </row>
    <row r="601" spans="1:4" ht="12.5" x14ac:dyDescent="0.25">
      <c r="A601" s="33"/>
      <c r="B601" s="33"/>
      <c r="C601" s="33"/>
      <c r="D601" s="33"/>
    </row>
    <row r="602" spans="1:4" ht="12.5" x14ac:dyDescent="0.25">
      <c r="A602" s="33"/>
      <c r="B602" s="33"/>
      <c r="C602" s="33"/>
      <c r="D602" s="33"/>
    </row>
    <row r="603" spans="1:4" ht="12.5" x14ac:dyDescent="0.25">
      <c r="A603" s="33"/>
      <c r="B603" s="33"/>
      <c r="C603" s="33"/>
      <c r="D603" s="33"/>
    </row>
    <row r="604" spans="1:4" ht="12.5" x14ac:dyDescent="0.25">
      <c r="A604" s="33"/>
      <c r="B604" s="33"/>
      <c r="C604" s="33"/>
      <c r="D604" s="33"/>
    </row>
    <row r="605" spans="1:4" ht="12.5" x14ac:dyDescent="0.25">
      <c r="A605" s="33"/>
      <c r="B605" s="33"/>
      <c r="C605" s="33"/>
      <c r="D605" s="33"/>
    </row>
    <row r="606" spans="1:4" ht="12.5" x14ac:dyDescent="0.25">
      <c r="A606" s="33"/>
      <c r="B606" s="33"/>
      <c r="C606" s="33"/>
      <c r="D606" s="33"/>
    </row>
    <row r="607" spans="1:4" ht="12.5" x14ac:dyDescent="0.25">
      <c r="A607" s="33"/>
      <c r="B607" s="33"/>
      <c r="C607" s="33"/>
      <c r="D607" s="33"/>
    </row>
    <row r="608" spans="1:4" ht="12.5" x14ac:dyDescent="0.25">
      <c r="A608" s="33"/>
      <c r="B608" s="33"/>
      <c r="C608" s="33"/>
      <c r="D608" s="33"/>
    </row>
    <row r="609" spans="1:4" ht="12.5" x14ac:dyDescent="0.25">
      <c r="A609" s="33"/>
      <c r="B609" s="33"/>
      <c r="C609" s="33"/>
      <c r="D609" s="33"/>
    </row>
    <row r="610" spans="1:4" ht="12.5" x14ac:dyDescent="0.25">
      <c r="A610" s="33"/>
      <c r="B610" s="33"/>
      <c r="C610" s="33"/>
      <c r="D610" s="33"/>
    </row>
    <row r="611" spans="1:4" ht="12.5" x14ac:dyDescent="0.25">
      <c r="A611" s="33"/>
      <c r="B611" s="33"/>
      <c r="C611" s="33"/>
      <c r="D611" s="33"/>
    </row>
    <row r="612" spans="1:4" ht="12.5" x14ac:dyDescent="0.25">
      <c r="A612" s="33"/>
      <c r="B612" s="33"/>
      <c r="C612" s="33"/>
      <c r="D612" s="33"/>
    </row>
    <row r="613" spans="1:4" ht="12.5" x14ac:dyDescent="0.25">
      <c r="A613" s="33"/>
      <c r="B613" s="33"/>
      <c r="C613" s="33"/>
      <c r="D613" s="33"/>
    </row>
    <row r="614" spans="1:4" ht="12.5" x14ac:dyDescent="0.25">
      <c r="A614" s="33"/>
      <c r="B614" s="33"/>
      <c r="C614" s="33"/>
      <c r="D614" s="33"/>
    </row>
    <row r="615" spans="1:4" ht="12.5" x14ac:dyDescent="0.25">
      <c r="A615" s="33"/>
      <c r="B615" s="33"/>
      <c r="C615" s="33"/>
      <c r="D615" s="33"/>
    </row>
    <row r="616" spans="1:4" ht="12.5" x14ac:dyDescent="0.25">
      <c r="A616" s="33"/>
      <c r="B616" s="33"/>
      <c r="C616" s="33"/>
      <c r="D616" s="33"/>
    </row>
    <row r="617" spans="1:4" ht="12.5" x14ac:dyDescent="0.25">
      <c r="A617" s="33"/>
      <c r="B617" s="33"/>
      <c r="C617" s="33"/>
      <c r="D617" s="33"/>
    </row>
    <row r="618" spans="1:4" ht="12.5" x14ac:dyDescent="0.25">
      <c r="A618" s="33"/>
      <c r="B618" s="33"/>
      <c r="C618" s="33"/>
      <c r="D618" s="33"/>
    </row>
    <row r="619" spans="1:4" ht="12.5" x14ac:dyDescent="0.25">
      <c r="A619" s="33"/>
      <c r="B619" s="33"/>
      <c r="C619" s="33"/>
      <c r="D619" s="33"/>
    </row>
    <row r="620" spans="1:4" ht="12.5" x14ac:dyDescent="0.25">
      <c r="A620" s="33"/>
      <c r="B620" s="33"/>
      <c r="C620" s="33"/>
      <c r="D620" s="33"/>
    </row>
    <row r="621" spans="1:4" ht="12.5" x14ac:dyDescent="0.25">
      <c r="A621" s="33"/>
      <c r="B621" s="33"/>
      <c r="C621" s="33"/>
      <c r="D621" s="33"/>
    </row>
    <row r="622" spans="1:4" ht="12.5" x14ac:dyDescent="0.25">
      <c r="A622" s="33"/>
      <c r="B622" s="33"/>
      <c r="C622" s="33"/>
      <c r="D622" s="33"/>
    </row>
    <row r="623" spans="1:4" ht="12.5" x14ac:dyDescent="0.25">
      <c r="A623" s="33"/>
      <c r="B623" s="33"/>
      <c r="C623" s="33"/>
      <c r="D623" s="33"/>
    </row>
    <row r="624" spans="1:4" ht="12.5" x14ac:dyDescent="0.25">
      <c r="A624" s="33"/>
      <c r="B624" s="33"/>
      <c r="C624" s="33"/>
      <c r="D624" s="33"/>
    </row>
    <row r="625" spans="1:4" ht="12.5" x14ac:dyDescent="0.25">
      <c r="A625" s="33"/>
      <c r="B625" s="33"/>
      <c r="C625" s="33"/>
      <c r="D625" s="33"/>
    </row>
    <row r="626" spans="1:4" ht="12.5" x14ac:dyDescent="0.25">
      <c r="A626" s="33"/>
      <c r="B626" s="33"/>
      <c r="C626" s="33"/>
      <c r="D626" s="33"/>
    </row>
    <row r="627" spans="1:4" ht="12.5" x14ac:dyDescent="0.25">
      <c r="A627" s="33"/>
      <c r="B627" s="33"/>
      <c r="C627" s="33"/>
      <c r="D627" s="33"/>
    </row>
    <row r="628" spans="1:4" ht="12.5" x14ac:dyDescent="0.25">
      <c r="A628" s="33"/>
      <c r="B628" s="33"/>
      <c r="C628" s="33"/>
      <c r="D628" s="33"/>
    </row>
    <row r="629" spans="1:4" ht="12.5" x14ac:dyDescent="0.25">
      <c r="A629" s="33"/>
      <c r="B629" s="33"/>
      <c r="C629" s="33"/>
      <c r="D629" s="33"/>
    </row>
    <row r="630" spans="1:4" ht="12.5" x14ac:dyDescent="0.25">
      <c r="A630" s="33"/>
      <c r="B630" s="33"/>
      <c r="C630" s="33"/>
      <c r="D630" s="33"/>
    </row>
    <row r="631" spans="1:4" ht="12.5" x14ac:dyDescent="0.25">
      <c r="A631" s="33"/>
      <c r="B631" s="33"/>
      <c r="C631" s="33"/>
      <c r="D631" s="33"/>
    </row>
    <row r="632" spans="1:4" ht="12.5" x14ac:dyDescent="0.25">
      <c r="A632" s="33"/>
      <c r="B632" s="33"/>
      <c r="C632" s="33"/>
      <c r="D632" s="33"/>
    </row>
    <row r="633" spans="1:4" ht="12.5" x14ac:dyDescent="0.25">
      <c r="A633" s="33"/>
      <c r="B633" s="33"/>
      <c r="C633" s="33"/>
      <c r="D633" s="33"/>
    </row>
    <row r="634" spans="1:4" ht="12.5" x14ac:dyDescent="0.25">
      <c r="A634" s="33"/>
      <c r="B634" s="33"/>
      <c r="C634" s="33"/>
      <c r="D634" s="33"/>
    </row>
    <row r="635" spans="1:4" ht="12.5" x14ac:dyDescent="0.25">
      <c r="A635" s="33"/>
      <c r="B635" s="33"/>
      <c r="C635" s="33"/>
      <c r="D635" s="33"/>
    </row>
    <row r="636" spans="1:4" ht="12.5" x14ac:dyDescent="0.25">
      <c r="A636" s="33"/>
      <c r="B636" s="33"/>
      <c r="C636" s="33"/>
      <c r="D636" s="33"/>
    </row>
    <row r="637" spans="1:4" ht="12.5" x14ac:dyDescent="0.25">
      <c r="A637" s="33"/>
      <c r="B637" s="33"/>
      <c r="C637" s="33"/>
      <c r="D637" s="33"/>
    </row>
    <row r="638" spans="1:4" ht="12.5" x14ac:dyDescent="0.25">
      <c r="A638" s="33"/>
      <c r="B638" s="33"/>
      <c r="C638" s="33"/>
      <c r="D638" s="33"/>
    </row>
    <row r="639" spans="1:4" ht="12.5" x14ac:dyDescent="0.25">
      <c r="A639" s="33"/>
      <c r="B639" s="33"/>
      <c r="C639" s="33"/>
      <c r="D639" s="33"/>
    </row>
    <row r="640" spans="1:4" ht="12.5" x14ac:dyDescent="0.25">
      <c r="A640" s="33"/>
      <c r="B640" s="33"/>
      <c r="C640" s="33"/>
      <c r="D640" s="33"/>
    </row>
    <row r="641" spans="1:4" ht="12.5" x14ac:dyDescent="0.25">
      <c r="A641" s="33"/>
      <c r="B641" s="33"/>
      <c r="C641" s="33"/>
      <c r="D641" s="33"/>
    </row>
    <row r="642" spans="1:4" ht="12.5" x14ac:dyDescent="0.25">
      <c r="A642" s="33"/>
      <c r="B642" s="33"/>
      <c r="C642" s="33"/>
      <c r="D642" s="33"/>
    </row>
    <row r="643" spans="1:4" ht="12.5" x14ac:dyDescent="0.25">
      <c r="A643" s="33"/>
      <c r="B643" s="33"/>
      <c r="C643" s="33"/>
      <c r="D643" s="33"/>
    </row>
    <row r="644" spans="1:4" ht="12.5" x14ac:dyDescent="0.25">
      <c r="A644" s="33"/>
      <c r="B644" s="33"/>
      <c r="C644" s="33"/>
      <c r="D644" s="33"/>
    </row>
    <row r="645" spans="1:4" ht="12.5" x14ac:dyDescent="0.25">
      <c r="A645" s="33"/>
      <c r="B645" s="33"/>
      <c r="C645" s="33"/>
      <c r="D645" s="33"/>
    </row>
    <row r="646" spans="1:4" ht="12.5" x14ac:dyDescent="0.25">
      <c r="A646" s="33"/>
      <c r="B646" s="33"/>
      <c r="C646" s="33"/>
      <c r="D646" s="33"/>
    </row>
    <row r="647" spans="1:4" ht="12.5" x14ac:dyDescent="0.25">
      <c r="A647" s="33"/>
      <c r="B647" s="33"/>
      <c r="C647" s="33"/>
      <c r="D647" s="33"/>
    </row>
    <row r="648" spans="1:4" ht="12.5" x14ac:dyDescent="0.25">
      <c r="A648" s="33"/>
      <c r="B648" s="33"/>
      <c r="C648" s="33"/>
      <c r="D648" s="33"/>
    </row>
    <row r="649" spans="1:4" ht="12.5" x14ac:dyDescent="0.25">
      <c r="A649" s="33"/>
      <c r="B649" s="33"/>
      <c r="C649" s="33"/>
      <c r="D649" s="33"/>
    </row>
    <row r="650" spans="1:4" ht="12.5" x14ac:dyDescent="0.25">
      <c r="A650" s="33"/>
      <c r="B650" s="33"/>
      <c r="C650" s="33"/>
      <c r="D650" s="33"/>
    </row>
    <row r="651" spans="1:4" ht="12.5" x14ac:dyDescent="0.25">
      <c r="A651" s="33"/>
      <c r="B651" s="33"/>
      <c r="C651" s="33"/>
      <c r="D651" s="33"/>
    </row>
    <row r="652" spans="1:4" ht="12.5" x14ac:dyDescent="0.25">
      <c r="A652" s="33"/>
      <c r="B652" s="33"/>
      <c r="C652" s="33"/>
      <c r="D652" s="33"/>
    </row>
    <row r="653" spans="1:4" ht="12.5" x14ac:dyDescent="0.25">
      <c r="A653" s="33"/>
      <c r="B653" s="33"/>
      <c r="C653" s="33"/>
      <c r="D653" s="33"/>
    </row>
    <row r="654" spans="1:4" ht="12.5" x14ac:dyDescent="0.25">
      <c r="A654" s="33"/>
      <c r="B654" s="33"/>
      <c r="C654" s="33"/>
      <c r="D654" s="33"/>
    </row>
    <row r="655" spans="1:4" ht="12.5" x14ac:dyDescent="0.25">
      <c r="A655" s="33"/>
      <c r="B655" s="33"/>
      <c r="C655" s="33"/>
      <c r="D655" s="33"/>
    </row>
    <row r="656" spans="1:4" ht="12.5" x14ac:dyDescent="0.25">
      <c r="A656" s="33"/>
      <c r="B656" s="33"/>
      <c r="C656" s="33"/>
      <c r="D656" s="33"/>
    </row>
    <row r="657" spans="1:4" ht="12.5" x14ac:dyDescent="0.25">
      <c r="A657" s="33"/>
      <c r="B657" s="33"/>
      <c r="C657" s="33"/>
      <c r="D657" s="33"/>
    </row>
    <row r="658" spans="1:4" ht="12.5" x14ac:dyDescent="0.25">
      <c r="A658" s="33"/>
      <c r="B658" s="33"/>
      <c r="C658" s="33"/>
      <c r="D658" s="33"/>
    </row>
    <row r="659" spans="1:4" ht="12.5" x14ac:dyDescent="0.25">
      <c r="A659" s="33"/>
      <c r="B659" s="33"/>
      <c r="C659" s="33"/>
      <c r="D659" s="33"/>
    </row>
    <row r="660" spans="1:4" ht="12.5" x14ac:dyDescent="0.25">
      <c r="A660" s="33"/>
      <c r="B660" s="33"/>
      <c r="C660" s="33"/>
      <c r="D660" s="33"/>
    </row>
    <row r="661" spans="1:4" ht="12.5" x14ac:dyDescent="0.25">
      <c r="A661" s="33"/>
      <c r="B661" s="33"/>
      <c r="C661" s="33"/>
      <c r="D661" s="33"/>
    </row>
    <row r="662" spans="1:4" ht="12.5" x14ac:dyDescent="0.25">
      <c r="A662" s="33"/>
      <c r="B662" s="33"/>
      <c r="C662" s="33"/>
      <c r="D662" s="33"/>
    </row>
    <row r="663" spans="1:4" ht="12.5" x14ac:dyDescent="0.25">
      <c r="A663" s="33"/>
      <c r="B663" s="33"/>
      <c r="C663" s="33"/>
      <c r="D663" s="33"/>
    </row>
    <row r="664" spans="1:4" ht="12.5" x14ac:dyDescent="0.25">
      <c r="A664" s="33"/>
      <c r="B664" s="33"/>
      <c r="C664" s="33"/>
      <c r="D664" s="33"/>
    </row>
    <row r="665" spans="1:4" ht="12.5" x14ac:dyDescent="0.25">
      <c r="A665" s="33"/>
      <c r="B665" s="33"/>
      <c r="C665" s="33"/>
      <c r="D665" s="33"/>
    </row>
    <row r="666" spans="1:4" ht="12.5" x14ac:dyDescent="0.25">
      <c r="A666" s="33"/>
      <c r="B666" s="33"/>
      <c r="C666" s="33"/>
      <c r="D666" s="33"/>
    </row>
    <row r="667" spans="1:4" ht="12.5" x14ac:dyDescent="0.25">
      <c r="A667" s="33"/>
      <c r="B667" s="33"/>
      <c r="C667" s="33"/>
      <c r="D667" s="33"/>
    </row>
    <row r="668" spans="1:4" ht="12.5" x14ac:dyDescent="0.25">
      <c r="A668" s="33"/>
      <c r="B668" s="33"/>
      <c r="C668" s="33"/>
      <c r="D668" s="33"/>
    </row>
    <row r="669" spans="1:4" ht="12.5" x14ac:dyDescent="0.25">
      <c r="A669" s="33"/>
      <c r="B669" s="33"/>
      <c r="C669" s="33"/>
      <c r="D669" s="33"/>
    </row>
    <row r="670" spans="1:4" ht="12.5" x14ac:dyDescent="0.25">
      <c r="A670" s="33"/>
      <c r="B670" s="33"/>
      <c r="C670" s="33"/>
      <c r="D670" s="33"/>
    </row>
    <row r="671" spans="1:4" ht="12.5" x14ac:dyDescent="0.25">
      <c r="A671" s="33"/>
      <c r="B671" s="33"/>
      <c r="C671" s="33"/>
      <c r="D671" s="33"/>
    </row>
    <row r="672" spans="1:4" ht="12.5" x14ac:dyDescent="0.25">
      <c r="A672" s="33"/>
      <c r="B672" s="33"/>
      <c r="C672" s="33"/>
      <c r="D672" s="33"/>
    </row>
    <row r="673" spans="1:4" ht="12.5" x14ac:dyDescent="0.25">
      <c r="A673" s="33"/>
      <c r="B673" s="33"/>
      <c r="C673" s="33"/>
      <c r="D673" s="33"/>
    </row>
    <row r="674" spans="1:4" ht="12.5" x14ac:dyDescent="0.25">
      <c r="A674" s="33"/>
      <c r="B674" s="33"/>
      <c r="C674" s="33"/>
      <c r="D674" s="33"/>
    </row>
    <row r="675" spans="1:4" ht="12.5" x14ac:dyDescent="0.25">
      <c r="A675" s="33"/>
      <c r="B675" s="33"/>
      <c r="C675" s="33"/>
      <c r="D675" s="33"/>
    </row>
    <row r="676" spans="1:4" ht="12.5" x14ac:dyDescent="0.25">
      <c r="A676" s="33"/>
      <c r="B676" s="33"/>
      <c r="C676" s="33"/>
      <c r="D676" s="33"/>
    </row>
    <row r="677" spans="1:4" ht="12.5" x14ac:dyDescent="0.25">
      <c r="A677" s="33"/>
      <c r="B677" s="33"/>
      <c r="C677" s="33"/>
      <c r="D677" s="33"/>
    </row>
    <row r="678" spans="1:4" ht="12.5" x14ac:dyDescent="0.25">
      <c r="A678" s="33"/>
      <c r="B678" s="33"/>
      <c r="C678" s="33"/>
      <c r="D678" s="33"/>
    </row>
    <row r="679" spans="1:4" ht="12.5" x14ac:dyDescent="0.25">
      <c r="A679" s="33"/>
      <c r="B679" s="33"/>
      <c r="C679" s="33"/>
      <c r="D679" s="33"/>
    </row>
    <row r="680" spans="1:4" ht="12.5" x14ac:dyDescent="0.25">
      <c r="A680" s="33"/>
      <c r="B680" s="33"/>
      <c r="C680" s="33"/>
      <c r="D680" s="33"/>
    </row>
    <row r="681" spans="1:4" ht="12.5" x14ac:dyDescent="0.25">
      <c r="A681" s="33"/>
      <c r="B681" s="33"/>
      <c r="C681" s="33"/>
      <c r="D681" s="33"/>
    </row>
    <row r="682" spans="1:4" ht="12.5" x14ac:dyDescent="0.25">
      <c r="A682" s="33"/>
      <c r="B682" s="33"/>
      <c r="C682" s="33"/>
      <c r="D682" s="33"/>
    </row>
    <row r="683" spans="1:4" ht="12.5" x14ac:dyDescent="0.25">
      <c r="A683" s="33"/>
      <c r="B683" s="33"/>
      <c r="C683" s="33"/>
      <c r="D683" s="33"/>
    </row>
    <row r="684" spans="1:4" ht="12.5" x14ac:dyDescent="0.25">
      <c r="A684" s="33"/>
      <c r="B684" s="33"/>
      <c r="C684" s="33"/>
      <c r="D684" s="33"/>
    </row>
    <row r="685" spans="1:4" ht="12.5" x14ac:dyDescent="0.25">
      <c r="A685" s="33"/>
      <c r="B685" s="33"/>
      <c r="C685" s="33"/>
      <c r="D685" s="33"/>
    </row>
    <row r="686" spans="1:4" ht="12.5" x14ac:dyDescent="0.25">
      <c r="A686" s="33"/>
      <c r="B686" s="33"/>
      <c r="C686" s="33"/>
      <c r="D686" s="33"/>
    </row>
    <row r="687" spans="1:4" ht="12.5" x14ac:dyDescent="0.25">
      <c r="A687" s="33"/>
      <c r="B687" s="33"/>
      <c r="C687" s="33"/>
      <c r="D687" s="33"/>
    </row>
    <row r="688" spans="1:4" ht="12.5" x14ac:dyDescent="0.25">
      <c r="A688" s="33"/>
      <c r="B688" s="33"/>
      <c r="C688" s="33"/>
      <c r="D688" s="33"/>
    </row>
    <row r="689" spans="1:4" ht="12.5" x14ac:dyDescent="0.25">
      <c r="A689" s="33"/>
      <c r="B689" s="33"/>
      <c r="C689" s="33"/>
      <c r="D689" s="33"/>
    </row>
    <row r="690" spans="1:4" ht="12.5" x14ac:dyDescent="0.25">
      <c r="A690" s="33"/>
      <c r="B690" s="33"/>
      <c r="C690" s="33"/>
      <c r="D690" s="33"/>
    </row>
    <row r="691" spans="1:4" ht="12.5" x14ac:dyDescent="0.25">
      <c r="A691" s="33"/>
      <c r="B691" s="33"/>
      <c r="C691" s="33"/>
      <c r="D691" s="33"/>
    </row>
    <row r="692" spans="1:4" ht="12.5" x14ac:dyDescent="0.25">
      <c r="A692" s="33"/>
      <c r="B692" s="33"/>
      <c r="C692" s="33"/>
      <c r="D692" s="33"/>
    </row>
    <row r="693" spans="1:4" ht="12.5" x14ac:dyDescent="0.25">
      <c r="A693" s="33"/>
      <c r="B693" s="33"/>
      <c r="C693" s="33"/>
      <c r="D693" s="33"/>
    </row>
    <row r="694" spans="1:4" ht="12.5" x14ac:dyDescent="0.25">
      <c r="A694" s="33"/>
      <c r="B694" s="33"/>
      <c r="C694" s="33"/>
      <c r="D694" s="33"/>
    </row>
    <row r="695" spans="1:4" ht="12.5" x14ac:dyDescent="0.25">
      <c r="A695" s="33"/>
      <c r="B695" s="33"/>
      <c r="C695" s="33"/>
      <c r="D695" s="33"/>
    </row>
    <row r="696" spans="1:4" ht="12.5" x14ac:dyDescent="0.25">
      <c r="A696" s="33"/>
      <c r="B696" s="33"/>
      <c r="C696" s="33"/>
      <c r="D696" s="33"/>
    </row>
    <row r="697" spans="1:4" ht="12.5" x14ac:dyDescent="0.25">
      <c r="A697" s="33"/>
      <c r="B697" s="33"/>
      <c r="C697" s="33"/>
      <c r="D697" s="33"/>
    </row>
    <row r="698" spans="1:4" ht="12.5" x14ac:dyDescent="0.25">
      <c r="A698" s="33"/>
      <c r="B698" s="33"/>
      <c r="C698" s="33"/>
      <c r="D698" s="33"/>
    </row>
    <row r="699" spans="1:4" ht="12.5" x14ac:dyDescent="0.25">
      <c r="A699" s="33"/>
      <c r="B699" s="33"/>
      <c r="C699" s="33"/>
      <c r="D699" s="33"/>
    </row>
    <row r="700" spans="1:4" ht="12.5" x14ac:dyDescent="0.25">
      <c r="A700" s="33"/>
      <c r="B700" s="33"/>
      <c r="C700" s="33"/>
      <c r="D700" s="33"/>
    </row>
    <row r="701" spans="1:4" ht="12.5" x14ac:dyDescent="0.25">
      <c r="A701" s="33"/>
      <c r="B701" s="33"/>
      <c r="C701" s="33"/>
      <c r="D701" s="33"/>
    </row>
    <row r="702" spans="1:4" ht="12.5" x14ac:dyDescent="0.25">
      <c r="A702" s="33"/>
      <c r="B702" s="33"/>
      <c r="C702" s="33"/>
      <c r="D702" s="33"/>
    </row>
    <row r="703" spans="1:4" ht="12.5" x14ac:dyDescent="0.25">
      <c r="A703" s="33"/>
      <c r="B703" s="33"/>
      <c r="C703" s="33"/>
      <c r="D703" s="33"/>
    </row>
    <row r="704" spans="1:4" ht="12.5" x14ac:dyDescent="0.25">
      <c r="A704" s="33"/>
      <c r="B704" s="33"/>
      <c r="C704" s="33"/>
      <c r="D704" s="33"/>
    </row>
    <row r="705" spans="1:4" ht="12.5" x14ac:dyDescent="0.25">
      <c r="A705" s="33"/>
      <c r="B705" s="33"/>
      <c r="C705" s="33"/>
      <c r="D705" s="33"/>
    </row>
    <row r="706" spans="1:4" ht="12.5" x14ac:dyDescent="0.25">
      <c r="A706" s="33"/>
      <c r="B706" s="33"/>
      <c r="C706" s="33"/>
      <c r="D706" s="33"/>
    </row>
    <row r="707" spans="1:4" ht="12.5" x14ac:dyDescent="0.25">
      <c r="A707" s="33"/>
      <c r="B707" s="33"/>
      <c r="C707" s="33"/>
      <c r="D707" s="33"/>
    </row>
    <row r="708" spans="1:4" ht="12.5" x14ac:dyDescent="0.25">
      <c r="A708" s="33"/>
      <c r="B708" s="33"/>
      <c r="C708" s="33"/>
      <c r="D708" s="33"/>
    </row>
    <row r="709" spans="1:4" ht="12.5" x14ac:dyDescent="0.25">
      <c r="A709" s="33"/>
      <c r="B709" s="33"/>
      <c r="C709" s="33"/>
      <c r="D709" s="33"/>
    </row>
    <row r="710" spans="1:4" ht="12.5" x14ac:dyDescent="0.25">
      <c r="A710" s="33"/>
      <c r="B710" s="33"/>
      <c r="C710" s="33"/>
      <c r="D710" s="33"/>
    </row>
    <row r="711" spans="1:4" ht="12.5" x14ac:dyDescent="0.25">
      <c r="A711" s="33"/>
      <c r="B711" s="33"/>
      <c r="C711" s="33"/>
      <c r="D711" s="33"/>
    </row>
    <row r="712" spans="1:4" ht="12.5" x14ac:dyDescent="0.25">
      <c r="A712" s="33"/>
      <c r="B712" s="33"/>
      <c r="C712" s="33"/>
      <c r="D712" s="33"/>
    </row>
    <row r="713" spans="1:4" ht="12.5" x14ac:dyDescent="0.25">
      <c r="A713" s="33"/>
      <c r="B713" s="33"/>
      <c r="C713" s="33"/>
      <c r="D713" s="33"/>
    </row>
    <row r="714" spans="1:4" ht="12.5" x14ac:dyDescent="0.25">
      <c r="A714" s="33"/>
      <c r="B714" s="33"/>
      <c r="C714" s="33"/>
      <c r="D714" s="33"/>
    </row>
    <row r="715" spans="1:4" ht="12.5" x14ac:dyDescent="0.25">
      <c r="A715" s="33"/>
      <c r="B715" s="33"/>
      <c r="C715" s="33"/>
      <c r="D715" s="33"/>
    </row>
    <row r="716" spans="1:4" ht="12.5" x14ac:dyDescent="0.25">
      <c r="A716" s="33"/>
      <c r="B716" s="33"/>
      <c r="C716" s="33"/>
      <c r="D716" s="33"/>
    </row>
    <row r="717" spans="1:4" ht="12.5" x14ac:dyDescent="0.25">
      <c r="A717" s="33"/>
      <c r="B717" s="33"/>
      <c r="C717" s="33"/>
      <c r="D717" s="33"/>
    </row>
    <row r="718" spans="1:4" ht="12.5" x14ac:dyDescent="0.25">
      <c r="A718" s="33"/>
      <c r="B718" s="33"/>
      <c r="C718" s="33"/>
      <c r="D718" s="33"/>
    </row>
    <row r="719" spans="1:4" ht="12.5" x14ac:dyDescent="0.25">
      <c r="A719" s="33"/>
      <c r="B719" s="33"/>
      <c r="C719" s="33"/>
      <c r="D719" s="33"/>
    </row>
    <row r="720" spans="1:4" ht="12.5" x14ac:dyDescent="0.25">
      <c r="A720" s="33"/>
      <c r="B720" s="33"/>
      <c r="C720" s="33"/>
      <c r="D720" s="33"/>
    </row>
    <row r="721" spans="1:4" ht="12.5" x14ac:dyDescent="0.25">
      <c r="A721" s="33"/>
      <c r="B721" s="33"/>
      <c r="C721" s="33"/>
      <c r="D721" s="33"/>
    </row>
    <row r="722" spans="1:4" ht="12.5" x14ac:dyDescent="0.25">
      <c r="A722" s="33"/>
      <c r="B722" s="33"/>
      <c r="C722" s="33"/>
      <c r="D722" s="33"/>
    </row>
    <row r="723" spans="1:4" ht="12.5" x14ac:dyDescent="0.25">
      <c r="A723" s="33"/>
      <c r="B723" s="33"/>
      <c r="C723" s="33"/>
      <c r="D723" s="33"/>
    </row>
    <row r="724" spans="1:4" ht="12.5" x14ac:dyDescent="0.25">
      <c r="A724" s="33"/>
      <c r="B724" s="33"/>
      <c r="C724" s="33"/>
      <c r="D724" s="33"/>
    </row>
    <row r="725" spans="1:4" ht="12.5" x14ac:dyDescent="0.25">
      <c r="A725" s="33"/>
      <c r="B725" s="33"/>
      <c r="C725" s="33"/>
      <c r="D725" s="33"/>
    </row>
    <row r="726" spans="1:4" ht="12.5" x14ac:dyDescent="0.25">
      <c r="A726" s="33"/>
      <c r="B726" s="33"/>
      <c r="C726" s="33"/>
      <c r="D726" s="33"/>
    </row>
    <row r="727" spans="1:4" ht="12.5" x14ac:dyDescent="0.25">
      <c r="A727" s="33"/>
      <c r="B727" s="33"/>
      <c r="C727" s="33"/>
      <c r="D727" s="33"/>
    </row>
    <row r="728" spans="1:4" ht="12.5" x14ac:dyDescent="0.25">
      <c r="A728" s="33"/>
      <c r="B728" s="33"/>
      <c r="C728" s="33"/>
      <c r="D728" s="33"/>
    </row>
    <row r="729" spans="1:4" ht="12.5" x14ac:dyDescent="0.25">
      <c r="A729" s="33"/>
      <c r="B729" s="33"/>
      <c r="C729" s="33"/>
      <c r="D729" s="33"/>
    </row>
    <row r="730" spans="1:4" ht="12.5" x14ac:dyDescent="0.25">
      <c r="A730" s="33"/>
      <c r="B730" s="33"/>
      <c r="C730" s="33"/>
      <c r="D730" s="33"/>
    </row>
    <row r="731" spans="1:4" ht="12.5" x14ac:dyDescent="0.25">
      <c r="A731" s="33"/>
      <c r="B731" s="33"/>
      <c r="C731" s="33"/>
      <c r="D731" s="33"/>
    </row>
    <row r="732" spans="1:4" ht="12.5" x14ac:dyDescent="0.25">
      <c r="A732" s="33"/>
      <c r="B732" s="33"/>
      <c r="C732" s="33"/>
      <c r="D732" s="33"/>
    </row>
    <row r="733" spans="1:4" ht="12.5" x14ac:dyDescent="0.25">
      <c r="A733" s="33"/>
      <c r="B733" s="33"/>
      <c r="C733" s="33"/>
      <c r="D733" s="33"/>
    </row>
    <row r="734" spans="1:4" ht="12.5" x14ac:dyDescent="0.25">
      <c r="A734" s="33"/>
      <c r="B734" s="33"/>
      <c r="C734" s="33"/>
      <c r="D734" s="33"/>
    </row>
    <row r="735" spans="1:4" ht="12.5" x14ac:dyDescent="0.25">
      <c r="A735" s="33"/>
      <c r="B735" s="33"/>
      <c r="C735" s="33"/>
      <c r="D735" s="33"/>
    </row>
    <row r="736" spans="1:4" ht="12.5" x14ac:dyDescent="0.25">
      <c r="A736" s="33"/>
      <c r="B736" s="33"/>
      <c r="C736" s="33"/>
      <c r="D736" s="33"/>
    </row>
    <row r="737" spans="1:4" ht="12.5" x14ac:dyDescent="0.25">
      <c r="A737" s="33"/>
      <c r="B737" s="33"/>
      <c r="C737" s="33"/>
      <c r="D737" s="33"/>
    </row>
    <row r="738" spans="1:4" ht="12.5" x14ac:dyDescent="0.25">
      <c r="A738" s="33"/>
      <c r="B738" s="33"/>
      <c r="C738" s="33"/>
      <c r="D738" s="33"/>
    </row>
    <row r="739" spans="1:4" ht="12.5" x14ac:dyDescent="0.25">
      <c r="A739" s="33"/>
      <c r="B739" s="33"/>
      <c r="C739" s="33"/>
      <c r="D739" s="33"/>
    </row>
    <row r="740" spans="1:4" ht="12.5" x14ac:dyDescent="0.25">
      <c r="A740" s="33"/>
      <c r="B740" s="33"/>
      <c r="C740" s="33"/>
      <c r="D740" s="33"/>
    </row>
    <row r="741" spans="1:4" ht="12.5" x14ac:dyDescent="0.25">
      <c r="A741" s="33"/>
      <c r="B741" s="33"/>
      <c r="C741" s="33"/>
      <c r="D741" s="33"/>
    </row>
    <row r="742" spans="1:4" ht="12.5" x14ac:dyDescent="0.25">
      <c r="A742" s="33"/>
      <c r="B742" s="33"/>
      <c r="C742" s="33"/>
      <c r="D742" s="33"/>
    </row>
    <row r="743" spans="1:4" ht="12.5" x14ac:dyDescent="0.25">
      <c r="A743" s="33"/>
      <c r="B743" s="33"/>
      <c r="C743" s="33"/>
      <c r="D743" s="33"/>
    </row>
    <row r="744" spans="1:4" ht="12.5" x14ac:dyDescent="0.25">
      <c r="A744" s="33"/>
      <c r="B744" s="33"/>
      <c r="C744" s="33"/>
      <c r="D744" s="33"/>
    </row>
    <row r="745" spans="1:4" ht="12.5" x14ac:dyDescent="0.25">
      <c r="A745" s="33"/>
      <c r="B745" s="33"/>
      <c r="C745" s="33"/>
      <c r="D745" s="33"/>
    </row>
    <row r="746" spans="1:4" ht="12.5" x14ac:dyDescent="0.25">
      <c r="A746" s="33"/>
      <c r="B746" s="33"/>
      <c r="C746" s="33"/>
      <c r="D746" s="33"/>
    </row>
    <row r="747" spans="1:4" ht="12.5" x14ac:dyDescent="0.25">
      <c r="A747" s="33"/>
      <c r="B747" s="33"/>
      <c r="C747" s="33"/>
      <c r="D747" s="33"/>
    </row>
    <row r="748" spans="1:4" ht="12.5" x14ac:dyDescent="0.25">
      <c r="A748" s="33"/>
      <c r="B748" s="33"/>
      <c r="C748" s="33"/>
      <c r="D748" s="33"/>
    </row>
    <row r="749" spans="1:4" ht="12.5" x14ac:dyDescent="0.25">
      <c r="A749" s="33"/>
      <c r="B749" s="33"/>
      <c r="C749" s="33"/>
      <c r="D749" s="33"/>
    </row>
    <row r="750" spans="1:4" ht="12.5" x14ac:dyDescent="0.25">
      <c r="A750" s="33"/>
      <c r="B750" s="33"/>
      <c r="C750" s="33"/>
      <c r="D750" s="33"/>
    </row>
    <row r="751" spans="1:4" ht="12.5" x14ac:dyDescent="0.25">
      <c r="A751" s="33"/>
      <c r="B751" s="33"/>
      <c r="C751" s="33"/>
      <c r="D751" s="33"/>
    </row>
    <row r="752" spans="1:4" ht="12.5" x14ac:dyDescent="0.25">
      <c r="A752" s="33"/>
      <c r="B752" s="33"/>
      <c r="C752" s="33"/>
      <c r="D752" s="33"/>
    </row>
    <row r="753" spans="1:4" ht="12.5" x14ac:dyDescent="0.25">
      <c r="A753" s="33"/>
      <c r="B753" s="33"/>
      <c r="C753" s="33"/>
      <c r="D753" s="33"/>
    </row>
    <row r="754" spans="1:4" ht="12.5" x14ac:dyDescent="0.25">
      <c r="A754" s="33"/>
      <c r="B754" s="33"/>
      <c r="C754" s="33"/>
      <c r="D754" s="33"/>
    </row>
    <row r="755" spans="1:4" ht="12.5" x14ac:dyDescent="0.25">
      <c r="A755" s="33"/>
      <c r="B755" s="33"/>
      <c r="C755" s="33"/>
      <c r="D755" s="33"/>
    </row>
    <row r="756" spans="1:4" ht="12.5" x14ac:dyDescent="0.25">
      <c r="A756" s="33"/>
      <c r="B756" s="33"/>
      <c r="C756" s="33"/>
      <c r="D756" s="33"/>
    </row>
    <row r="757" spans="1:4" ht="12.5" x14ac:dyDescent="0.25">
      <c r="A757" s="33"/>
      <c r="B757" s="33"/>
      <c r="C757" s="33"/>
      <c r="D757" s="33"/>
    </row>
    <row r="758" spans="1:4" ht="12.5" x14ac:dyDescent="0.25">
      <c r="A758" s="33"/>
      <c r="B758" s="33"/>
      <c r="C758" s="33"/>
      <c r="D758" s="33"/>
    </row>
    <row r="759" spans="1:4" ht="12.5" x14ac:dyDescent="0.25">
      <c r="A759" s="33"/>
      <c r="B759" s="33"/>
      <c r="C759" s="33"/>
      <c r="D759" s="33"/>
    </row>
    <row r="760" spans="1:4" ht="12.5" x14ac:dyDescent="0.25">
      <c r="A760" s="33"/>
      <c r="B760" s="33"/>
      <c r="C760" s="33"/>
      <c r="D760" s="33"/>
    </row>
    <row r="761" spans="1:4" ht="12.5" x14ac:dyDescent="0.25">
      <c r="A761" s="33"/>
      <c r="B761" s="33"/>
      <c r="C761" s="33"/>
      <c r="D761" s="33"/>
    </row>
    <row r="762" spans="1:4" ht="12.5" x14ac:dyDescent="0.25">
      <c r="A762" s="33"/>
      <c r="B762" s="33"/>
      <c r="C762" s="33"/>
      <c r="D762" s="33"/>
    </row>
    <row r="763" spans="1:4" ht="12.5" x14ac:dyDescent="0.25">
      <c r="A763" s="33"/>
      <c r="B763" s="33"/>
      <c r="C763" s="33"/>
      <c r="D763" s="33"/>
    </row>
    <row r="764" spans="1:4" ht="12.5" x14ac:dyDescent="0.25">
      <c r="A764" s="33"/>
      <c r="B764" s="33"/>
      <c r="C764" s="33"/>
      <c r="D764" s="33"/>
    </row>
    <row r="765" spans="1:4" ht="12.5" x14ac:dyDescent="0.25">
      <c r="A765" s="33"/>
      <c r="B765" s="33"/>
      <c r="C765" s="33"/>
      <c r="D765" s="33"/>
    </row>
    <row r="766" spans="1:4" ht="12.5" x14ac:dyDescent="0.25">
      <c r="A766" s="33"/>
      <c r="B766" s="33"/>
      <c r="C766" s="33"/>
      <c r="D766" s="33"/>
    </row>
    <row r="767" spans="1:4" ht="12.5" x14ac:dyDescent="0.25">
      <c r="A767" s="33"/>
      <c r="B767" s="33"/>
      <c r="C767" s="33"/>
      <c r="D767" s="33"/>
    </row>
    <row r="768" spans="1:4" ht="12.5" x14ac:dyDescent="0.25">
      <c r="A768" s="33"/>
      <c r="B768" s="33"/>
      <c r="C768" s="33"/>
      <c r="D768" s="33"/>
    </row>
    <row r="769" spans="1:4" ht="12.5" x14ac:dyDescent="0.25">
      <c r="A769" s="33"/>
      <c r="B769" s="33"/>
      <c r="C769" s="33"/>
      <c r="D769" s="33"/>
    </row>
    <row r="770" spans="1:4" ht="12.5" x14ac:dyDescent="0.25">
      <c r="A770" s="33"/>
      <c r="B770" s="33"/>
      <c r="C770" s="33"/>
      <c r="D770" s="33"/>
    </row>
    <row r="771" spans="1:4" ht="12.5" x14ac:dyDescent="0.25">
      <c r="A771" s="33"/>
      <c r="B771" s="33"/>
      <c r="C771" s="33"/>
      <c r="D771" s="33"/>
    </row>
    <row r="772" spans="1:4" ht="12.5" x14ac:dyDescent="0.25">
      <c r="A772" s="33"/>
      <c r="B772" s="33"/>
      <c r="C772" s="33"/>
      <c r="D772" s="33"/>
    </row>
    <row r="773" spans="1:4" ht="12.5" x14ac:dyDescent="0.25">
      <c r="A773" s="33"/>
      <c r="B773" s="33"/>
      <c r="C773" s="33"/>
      <c r="D773" s="33"/>
    </row>
    <row r="774" spans="1:4" ht="12.5" x14ac:dyDescent="0.25">
      <c r="A774" s="33"/>
      <c r="B774" s="33"/>
      <c r="C774" s="33"/>
      <c r="D774" s="33"/>
    </row>
    <row r="775" spans="1:4" ht="12.5" x14ac:dyDescent="0.25">
      <c r="A775" s="33"/>
      <c r="B775" s="33"/>
      <c r="C775" s="33"/>
      <c r="D775" s="33"/>
    </row>
    <row r="776" spans="1:4" ht="12.5" x14ac:dyDescent="0.25">
      <c r="A776" s="33"/>
      <c r="B776" s="33"/>
      <c r="C776" s="33"/>
      <c r="D776" s="33"/>
    </row>
    <row r="777" spans="1:4" ht="12.5" x14ac:dyDescent="0.25">
      <c r="A777" s="33"/>
      <c r="B777" s="33"/>
      <c r="C777" s="33"/>
      <c r="D777" s="33"/>
    </row>
    <row r="778" spans="1:4" ht="12.5" x14ac:dyDescent="0.25">
      <c r="A778" s="33"/>
      <c r="B778" s="33"/>
      <c r="C778" s="33"/>
      <c r="D778" s="33"/>
    </row>
    <row r="779" spans="1:4" ht="12.5" x14ac:dyDescent="0.25">
      <c r="A779" s="33"/>
      <c r="B779" s="33"/>
      <c r="C779" s="33"/>
      <c r="D779" s="33"/>
    </row>
    <row r="780" spans="1:4" ht="12.5" x14ac:dyDescent="0.25">
      <c r="A780" s="33"/>
      <c r="B780" s="33"/>
      <c r="C780" s="33"/>
      <c r="D780" s="33"/>
    </row>
    <row r="781" spans="1:4" ht="12.5" x14ac:dyDescent="0.25">
      <c r="A781" s="33"/>
      <c r="B781" s="33"/>
      <c r="C781" s="33"/>
      <c r="D781" s="33"/>
    </row>
    <row r="782" spans="1:4" ht="12.5" x14ac:dyDescent="0.25">
      <c r="A782" s="33"/>
      <c r="B782" s="33"/>
      <c r="C782" s="33"/>
      <c r="D782" s="33"/>
    </row>
    <row r="783" spans="1:4" ht="12.5" x14ac:dyDescent="0.25">
      <c r="A783" s="33"/>
      <c r="B783" s="33"/>
      <c r="C783" s="33"/>
      <c r="D783" s="33"/>
    </row>
    <row r="784" spans="1:4" ht="12.5" x14ac:dyDescent="0.25">
      <c r="A784" s="33"/>
      <c r="B784" s="33"/>
      <c r="C784" s="33"/>
      <c r="D784" s="33"/>
    </row>
    <row r="785" spans="1:4" ht="12.5" x14ac:dyDescent="0.25">
      <c r="A785" s="33"/>
      <c r="B785" s="33"/>
      <c r="C785" s="33"/>
      <c r="D785" s="33"/>
    </row>
    <row r="786" spans="1:4" ht="12.5" x14ac:dyDescent="0.25">
      <c r="A786" s="33"/>
      <c r="B786" s="33"/>
      <c r="C786" s="33"/>
      <c r="D786" s="33"/>
    </row>
    <row r="787" spans="1:4" ht="12.5" x14ac:dyDescent="0.25">
      <c r="A787" s="33"/>
      <c r="B787" s="33"/>
      <c r="C787" s="33"/>
      <c r="D787" s="33"/>
    </row>
    <row r="788" spans="1:4" ht="12.5" x14ac:dyDescent="0.25">
      <c r="A788" s="33"/>
      <c r="B788" s="33"/>
      <c r="C788" s="33"/>
      <c r="D788" s="33"/>
    </row>
    <row r="789" spans="1:4" ht="12.5" x14ac:dyDescent="0.25">
      <c r="A789" s="33"/>
      <c r="B789" s="33"/>
      <c r="C789" s="33"/>
      <c r="D789" s="33"/>
    </row>
    <row r="790" spans="1:4" ht="12.5" x14ac:dyDescent="0.25">
      <c r="A790" s="33"/>
      <c r="B790" s="33"/>
      <c r="C790" s="33"/>
      <c r="D790" s="33"/>
    </row>
    <row r="791" spans="1:4" ht="12.5" x14ac:dyDescent="0.25">
      <c r="A791" s="33"/>
      <c r="B791" s="33"/>
      <c r="C791" s="33"/>
      <c r="D791" s="33"/>
    </row>
    <row r="792" spans="1:4" ht="12.5" x14ac:dyDescent="0.25">
      <c r="A792" s="33"/>
      <c r="B792" s="33"/>
      <c r="C792" s="33"/>
      <c r="D792" s="33"/>
    </row>
    <row r="793" spans="1:4" ht="12.5" x14ac:dyDescent="0.25">
      <c r="A793" s="33"/>
      <c r="B793" s="33"/>
      <c r="C793" s="33"/>
      <c r="D793" s="33"/>
    </row>
    <row r="794" spans="1:4" ht="12.5" x14ac:dyDescent="0.25">
      <c r="A794" s="33"/>
      <c r="B794" s="33"/>
      <c r="C794" s="33"/>
      <c r="D794" s="33"/>
    </row>
    <row r="795" spans="1:4" ht="12.5" x14ac:dyDescent="0.25">
      <c r="A795" s="33"/>
      <c r="B795" s="33"/>
      <c r="C795" s="33"/>
      <c r="D795" s="33"/>
    </row>
    <row r="796" spans="1:4" ht="12.5" x14ac:dyDescent="0.25">
      <c r="A796" s="33"/>
      <c r="B796" s="33"/>
      <c r="C796" s="33"/>
      <c r="D796" s="33"/>
    </row>
    <row r="797" spans="1:4" ht="12.5" x14ac:dyDescent="0.25">
      <c r="A797" s="33"/>
      <c r="B797" s="33"/>
      <c r="C797" s="33"/>
      <c r="D797" s="33"/>
    </row>
    <row r="798" spans="1:4" ht="12.5" x14ac:dyDescent="0.25">
      <c r="A798" s="33"/>
      <c r="B798" s="33"/>
      <c r="C798" s="33"/>
      <c r="D798" s="33"/>
    </row>
    <row r="799" spans="1:4" ht="12.5" x14ac:dyDescent="0.25">
      <c r="A799" s="33"/>
      <c r="B799" s="33"/>
      <c r="C799" s="33"/>
      <c r="D799" s="33"/>
    </row>
    <row r="800" spans="1:4" ht="12.5" x14ac:dyDescent="0.25">
      <c r="A800" s="33"/>
      <c r="B800" s="33"/>
      <c r="C800" s="33"/>
      <c r="D800" s="33"/>
    </row>
    <row r="801" spans="1:4" ht="12.5" x14ac:dyDescent="0.25">
      <c r="A801" s="33"/>
      <c r="B801" s="33"/>
      <c r="C801" s="33"/>
      <c r="D801" s="33"/>
    </row>
    <row r="802" spans="1:4" ht="12.5" x14ac:dyDescent="0.25">
      <c r="A802" s="33"/>
      <c r="B802" s="33"/>
      <c r="C802" s="33"/>
      <c r="D802" s="33"/>
    </row>
    <row r="803" spans="1:4" ht="12.5" x14ac:dyDescent="0.25">
      <c r="A803" s="33"/>
      <c r="B803" s="33"/>
      <c r="C803" s="33"/>
      <c r="D803" s="33"/>
    </row>
    <row r="804" spans="1:4" ht="12.5" x14ac:dyDescent="0.25">
      <c r="A804" s="33"/>
      <c r="B804" s="33"/>
      <c r="C804" s="33"/>
      <c r="D804" s="33"/>
    </row>
    <row r="805" spans="1:4" ht="12.5" x14ac:dyDescent="0.25">
      <c r="A805" s="33"/>
      <c r="B805" s="33"/>
      <c r="C805" s="33"/>
      <c r="D805" s="33"/>
    </row>
    <row r="806" spans="1:4" ht="12.5" x14ac:dyDescent="0.25">
      <c r="A806" s="33"/>
      <c r="B806" s="33"/>
      <c r="C806" s="33"/>
      <c r="D806" s="33"/>
    </row>
    <row r="807" spans="1:4" ht="12.5" x14ac:dyDescent="0.25">
      <c r="A807" s="33"/>
      <c r="B807" s="33"/>
      <c r="C807" s="33"/>
      <c r="D807" s="33"/>
    </row>
    <row r="808" spans="1:4" ht="12.5" x14ac:dyDescent="0.25">
      <c r="A808" s="33"/>
      <c r="B808" s="33"/>
      <c r="C808" s="33"/>
      <c r="D808" s="33"/>
    </row>
    <row r="809" spans="1:4" ht="12.5" x14ac:dyDescent="0.25">
      <c r="A809" s="33"/>
      <c r="B809" s="33"/>
      <c r="C809" s="33"/>
      <c r="D809" s="33"/>
    </row>
    <row r="810" spans="1:4" ht="12.5" x14ac:dyDescent="0.25">
      <c r="A810" s="33"/>
      <c r="B810" s="33"/>
      <c r="C810" s="33"/>
      <c r="D810" s="33"/>
    </row>
    <row r="811" spans="1:4" ht="12.5" x14ac:dyDescent="0.25">
      <c r="A811" s="33"/>
      <c r="B811" s="33"/>
      <c r="C811" s="33"/>
      <c r="D811" s="33"/>
    </row>
    <row r="812" spans="1:4" ht="12.5" x14ac:dyDescent="0.25">
      <c r="A812" s="33"/>
      <c r="B812" s="33"/>
      <c r="C812" s="33"/>
      <c r="D812" s="33"/>
    </row>
    <row r="813" spans="1:4" ht="12.5" x14ac:dyDescent="0.25">
      <c r="A813" s="33"/>
      <c r="B813" s="33"/>
      <c r="C813" s="33"/>
      <c r="D813" s="33"/>
    </row>
    <row r="814" spans="1:4" ht="12.5" x14ac:dyDescent="0.25">
      <c r="A814" s="33"/>
      <c r="B814" s="33"/>
      <c r="C814" s="33"/>
      <c r="D814" s="33"/>
    </row>
    <row r="815" spans="1:4" ht="12.5" x14ac:dyDescent="0.25">
      <c r="A815" s="33"/>
      <c r="B815" s="33"/>
      <c r="C815" s="33"/>
      <c r="D815" s="33"/>
    </row>
    <row r="816" spans="1:4" ht="12.5" x14ac:dyDescent="0.25">
      <c r="A816" s="33"/>
      <c r="B816" s="33"/>
      <c r="C816" s="33"/>
      <c r="D816" s="33"/>
    </row>
    <row r="817" spans="1:4" ht="12.5" x14ac:dyDescent="0.25">
      <c r="A817" s="33"/>
      <c r="B817" s="33"/>
      <c r="C817" s="33"/>
      <c r="D817" s="33"/>
    </row>
    <row r="818" spans="1:4" ht="12.5" x14ac:dyDescent="0.25">
      <c r="A818" s="33"/>
      <c r="B818" s="33"/>
      <c r="C818" s="33"/>
      <c r="D818" s="33"/>
    </row>
    <row r="819" spans="1:4" ht="12.5" x14ac:dyDescent="0.25">
      <c r="A819" s="33"/>
      <c r="B819" s="33"/>
      <c r="C819" s="33"/>
      <c r="D819" s="33"/>
    </row>
    <row r="820" spans="1:4" ht="12.5" x14ac:dyDescent="0.25">
      <c r="A820" s="33"/>
      <c r="B820" s="33"/>
      <c r="C820" s="33"/>
      <c r="D820" s="33"/>
    </row>
    <row r="821" spans="1:4" ht="12.5" x14ac:dyDescent="0.25">
      <c r="A821" s="33"/>
      <c r="B821" s="33"/>
      <c r="C821" s="33"/>
      <c r="D821" s="33"/>
    </row>
    <row r="822" spans="1:4" ht="12.5" x14ac:dyDescent="0.25">
      <c r="A822" s="33"/>
      <c r="B822" s="33"/>
      <c r="C822" s="33"/>
      <c r="D822" s="33"/>
    </row>
    <row r="823" spans="1:4" ht="12.5" x14ac:dyDescent="0.25">
      <c r="A823" s="33"/>
      <c r="B823" s="33"/>
      <c r="C823" s="33"/>
      <c r="D823" s="33"/>
    </row>
    <row r="824" spans="1:4" ht="12.5" x14ac:dyDescent="0.25">
      <c r="A824" s="33"/>
      <c r="B824" s="33"/>
      <c r="C824" s="33"/>
      <c r="D824" s="33"/>
    </row>
    <row r="825" spans="1:4" ht="12.5" x14ac:dyDescent="0.25">
      <c r="A825" s="33"/>
      <c r="B825" s="33"/>
      <c r="C825" s="33"/>
      <c r="D825" s="33"/>
    </row>
    <row r="826" spans="1:4" ht="12.5" x14ac:dyDescent="0.25">
      <c r="A826" s="33"/>
      <c r="B826" s="33"/>
      <c r="C826" s="33"/>
      <c r="D826" s="33"/>
    </row>
    <row r="827" spans="1:4" ht="12.5" x14ac:dyDescent="0.25">
      <c r="A827" s="33"/>
      <c r="B827" s="33"/>
      <c r="C827" s="33"/>
      <c r="D827" s="33"/>
    </row>
    <row r="828" spans="1:4" ht="12.5" x14ac:dyDescent="0.25">
      <c r="A828" s="33"/>
      <c r="B828" s="33"/>
      <c r="C828" s="33"/>
      <c r="D828" s="33"/>
    </row>
    <row r="829" spans="1:4" ht="12.5" x14ac:dyDescent="0.25">
      <c r="A829" s="33"/>
      <c r="B829" s="33"/>
      <c r="C829" s="33"/>
      <c r="D829" s="33"/>
    </row>
    <row r="830" spans="1:4" ht="12.5" x14ac:dyDescent="0.25">
      <c r="A830" s="33"/>
      <c r="B830" s="33"/>
      <c r="C830" s="33"/>
      <c r="D830" s="33"/>
    </row>
    <row r="831" spans="1:4" ht="12.5" x14ac:dyDescent="0.25">
      <c r="A831" s="33"/>
      <c r="B831" s="33"/>
      <c r="C831" s="33"/>
      <c r="D831" s="33"/>
    </row>
    <row r="832" spans="1:4" ht="12.5" x14ac:dyDescent="0.25">
      <c r="A832" s="33"/>
      <c r="B832" s="33"/>
      <c r="C832" s="33"/>
      <c r="D832" s="33"/>
    </row>
    <row r="833" spans="1:4" ht="12.5" x14ac:dyDescent="0.25">
      <c r="A833" s="33"/>
      <c r="B833" s="33"/>
      <c r="C833" s="33"/>
      <c r="D833" s="33"/>
    </row>
    <row r="834" spans="1:4" ht="12.5" x14ac:dyDescent="0.25">
      <c r="A834" s="33"/>
      <c r="B834" s="33"/>
      <c r="C834" s="33"/>
      <c r="D834" s="33"/>
    </row>
    <row r="835" spans="1:4" ht="12.5" x14ac:dyDescent="0.25">
      <c r="A835" s="33"/>
      <c r="B835" s="33"/>
      <c r="C835" s="33"/>
      <c r="D835" s="33"/>
    </row>
    <row r="836" spans="1:4" ht="12.5" x14ac:dyDescent="0.25">
      <c r="A836" s="33"/>
      <c r="B836" s="33"/>
      <c r="C836" s="33"/>
      <c r="D836" s="33"/>
    </row>
    <row r="837" spans="1:4" ht="12.5" x14ac:dyDescent="0.25">
      <c r="A837" s="33"/>
      <c r="B837" s="33"/>
      <c r="C837" s="33"/>
      <c r="D837" s="33"/>
    </row>
    <row r="838" spans="1:4" ht="12.5" x14ac:dyDescent="0.25">
      <c r="A838" s="33"/>
      <c r="B838" s="33"/>
      <c r="C838" s="33"/>
      <c r="D838" s="33"/>
    </row>
    <row r="839" spans="1:4" ht="12.5" x14ac:dyDescent="0.25">
      <c r="A839" s="33"/>
      <c r="B839" s="33"/>
      <c r="C839" s="33"/>
      <c r="D839" s="33"/>
    </row>
    <row r="840" spans="1:4" ht="12.5" x14ac:dyDescent="0.25">
      <c r="A840" s="33"/>
      <c r="B840" s="33"/>
      <c r="C840" s="33"/>
      <c r="D840" s="33"/>
    </row>
    <row r="841" spans="1:4" ht="12.5" x14ac:dyDescent="0.25">
      <c r="A841" s="33"/>
      <c r="B841" s="33"/>
      <c r="C841" s="33"/>
      <c r="D841" s="33"/>
    </row>
    <row r="842" spans="1:4" ht="12.5" x14ac:dyDescent="0.25">
      <c r="A842" s="33"/>
      <c r="B842" s="33"/>
      <c r="C842" s="33"/>
      <c r="D842" s="33"/>
    </row>
    <row r="843" spans="1:4" ht="12.5" x14ac:dyDescent="0.25">
      <c r="A843" s="33"/>
      <c r="B843" s="33"/>
      <c r="C843" s="33"/>
      <c r="D843" s="33"/>
    </row>
    <row r="844" spans="1:4" ht="12.5" x14ac:dyDescent="0.25">
      <c r="A844" s="33"/>
      <c r="B844" s="33"/>
      <c r="C844" s="33"/>
      <c r="D844" s="33"/>
    </row>
    <row r="845" spans="1:4" ht="12.5" x14ac:dyDescent="0.25">
      <c r="A845" s="33"/>
      <c r="B845" s="33"/>
      <c r="C845" s="33"/>
      <c r="D845" s="33"/>
    </row>
    <row r="846" spans="1:4" ht="12.5" x14ac:dyDescent="0.25">
      <c r="A846" s="33"/>
      <c r="B846" s="33"/>
      <c r="C846" s="33"/>
      <c r="D846" s="33"/>
    </row>
    <row r="847" spans="1:4" ht="12.5" x14ac:dyDescent="0.25">
      <c r="A847" s="33"/>
      <c r="B847" s="33"/>
      <c r="C847" s="33"/>
      <c r="D847" s="33"/>
    </row>
    <row r="848" spans="1:4" ht="12.5" x14ac:dyDescent="0.25">
      <c r="A848" s="33"/>
      <c r="B848" s="33"/>
      <c r="C848" s="33"/>
      <c r="D848" s="33"/>
    </row>
    <row r="849" spans="1:4" ht="12.5" x14ac:dyDescent="0.25">
      <c r="A849" s="33"/>
      <c r="B849" s="33"/>
      <c r="C849" s="33"/>
      <c r="D849" s="33"/>
    </row>
    <row r="850" spans="1:4" ht="12.5" x14ac:dyDescent="0.25">
      <c r="A850" s="33"/>
      <c r="B850" s="33"/>
      <c r="C850" s="33"/>
      <c r="D850" s="33"/>
    </row>
    <row r="851" spans="1:4" ht="12.5" x14ac:dyDescent="0.25">
      <c r="A851" s="33"/>
      <c r="B851" s="33"/>
      <c r="C851" s="33"/>
      <c r="D851" s="33"/>
    </row>
    <row r="852" spans="1:4" ht="12.5" x14ac:dyDescent="0.25">
      <c r="A852" s="33"/>
      <c r="B852" s="33"/>
      <c r="C852" s="33"/>
      <c r="D852" s="33"/>
    </row>
    <row r="853" spans="1:4" ht="12.5" x14ac:dyDescent="0.25">
      <c r="A853" s="33"/>
      <c r="B853" s="33"/>
      <c r="C853" s="33"/>
      <c r="D853" s="33"/>
    </row>
    <row r="854" spans="1:4" ht="12.5" x14ac:dyDescent="0.25">
      <c r="A854" s="33"/>
      <c r="B854" s="33"/>
      <c r="C854" s="33"/>
      <c r="D854" s="33"/>
    </row>
    <row r="855" spans="1:4" ht="12.5" x14ac:dyDescent="0.25">
      <c r="A855" s="33"/>
      <c r="B855" s="33"/>
      <c r="C855" s="33"/>
      <c r="D855" s="33"/>
    </row>
    <row r="856" spans="1:4" ht="12.5" x14ac:dyDescent="0.25">
      <c r="A856" s="33"/>
      <c r="B856" s="33"/>
      <c r="C856" s="33"/>
      <c r="D856" s="33"/>
    </row>
    <row r="857" spans="1:4" ht="12.5" x14ac:dyDescent="0.25">
      <c r="A857" s="33"/>
      <c r="B857" s="33"/>
      <c r="C857" s="33"/>
      <c r="D857" s="33"/>
    </row>
    <row r="858" spans="1:4" ht="12.5" x14ac:dyDescent="0.25">
      <c r="A858" s="33"/>
      <c r="B858" s="33"/>
      <c r="C858" s="33"/>
      <c r="D858" s="33"/>
    </row>
    <row r="859" spans="1:4" ht="12.5" x14ac:dyDescent="0.25">
      <c r="A859" s="33"/>
      <c r="B859" s="33"/>
      <c r="C859" s="33"/>
      <c r="D859" s="33"/>
    </row>
    <row r="860" spans="1:4" ht="12.5" x14ac:dyDescent="0.25">
      <c r="A860" s="33"/>
      <c r="B860" s="33"/>
      <c r="C860" s="33"/>
      <c r="D860" s="33"/>
    </row>
    <row r="861" spans="1:4" ht="12.5" x14ac:dyDescent="0.25">
      <c r="A861" s="33"/>
      <c r="B861" s="33"/>
      <c r="C861" s="33"/>
      <c r="D861" s="33"/>
    </row>
    <row r="862" spans="1:4" ht="12.5" x14ac:dyDescent="0.25">
      <c r="A862" s="33"/>
      <c r="B862" s="33"/>
      <c r="C862" s="33"/>
      <c r="D862" s="33"/>
    </row>
    <row r="863" spans="1:4" ht="12.5" x14ac:dyDescent="0.25">
      <c r="A863" s="33"/>
      <c r="B863" s="33"/>
      <c r="C863" s="33"/>
      <c r="D863" s="33"/>
    </row>
    <row r="864" spans="1:4" ht="12.5" x14ac:dyDescent="0.25">
      <c r="A864" s="33"/>
      <c r="B864" s="33"/>
      <c r="C864" s="33"/>
      <c r="D864" s="33"/>
    </row>
    <row r="865" spans="1:4" ht="12.5" x14ac:dyDescent="0.25">
      <c r="A865" s="33"/>
      <c r="B865" s="33"/>
      <c r="C865" s="33"/>
      <c r="D865" s="33"/>
    </row>
    <row r="866" spans="1:4" ht="12.5" x14ac:dyDescent="0.25">
      <c r="A866" s="33"/>
      <c r="B866" s="33"/>
      <c r="C866" s="33"/>
      <c r="D866" s="33"/>
    </row>
    <row r="867" spans="1:4" ht="12.5" x14ac:dyDescent="0.25">
      <c r="A867" s="33"/>
      <c r="B867" s="33"/>
      <c r="C867" s="33"/>
      <c r="D867" s="33"/>
    </row>
    <row r="868" spans="1:4" ht="12.5" x14ac:dyDescent="0.25">
      <c r="A868" s="33"/>
      <c r="B868" s="33"/>
      <c r="C868" s="33"/>
      <c r="D868" s="33"/>
    </row>
    <row r="869" spans="1:4" ht="12.5" x14ac:dyDescent="0.25">
      <c r="A869" s="33"/>
      <c r="B869" s="33"/>
      <c r="C869" s="33"/>
      <c r="D869" s="33"/>
    </row>
    <row r="870" spans="1:4" ht="12.5" x14ac:dyDescent="0.25">
      <c r="A870" s="33"/>
      <c r="B870" s="33"/>
      <c r="C870" s="33"/>
      <c r="D870" s="33"/>
    </row>
    <row r="871" spans="1:4" ht="12.5" x14ac:dyDescent="0.25">
      <c r="A871" s="33"/>
      <c r="B871" s="33"/>
      <c r="C871" s="33"/>
      <c r="D871" s="33"/>
    </row>
    <row r="872" spans="1:4" ht="12.5" x14ac:dyDescent="0.25">
      <c r="A872" s="33"/>
      <c r="B872" s="33"/>
      <c r="C872" s="33"/>
      <c r="D872" s="33"/>
    </row>
    <row r="873" spans="1:4" ht="12.5" x14ac:dyDescent="0.25">
      <c r="A873" s="33"/>
      <c r="B873" s="33"/>
      <c r="C873" s="33"/>
      <c r="D873" s="33"/>
    </row>
    <row r="874" spans="1:4" ht="12.5" x14ac:dyDescent="0.25">
      <c r="A874" s="33"/>
      <c r="B874" s="33"/>
      <c r="C874" s="33"/>
      <c r="D874" s="33"/>
    </row>
    <row r="875" spans="1:4" ht="12.5" x14ac:dyDescent="0.25">
      <c r="A875" s="33"/>
      <c r="B875" s="33"/>
      <c r="C875" s="33"/>
      <c r="D875" s="33"/>
    </row>
    <row r="876" spans="1:4" ht="12.5" x14ac:dyDescent="0.25">
      <c r="A876" s="33"/>
      <c r="B876" s="33"/>
      <c r="C876" s="33"/>
      <c r="D876" s="33"/>
    </row>
    <row r="877" spans="1:4" ht="12.5" x14ac:dyDescent="0.25">
      <c r="A877" s="33"/>
      <c r="B877" s="33"/>
      <c r="C877" s="33"/>
      <c r="D877" s="33"/>
    </row>
    <row r="878" spans="1:4" ht="12.5" x14ac:dyDescent="0.25">
      <c r="A878" s="33"/>
      <c r="B878" s="33"/>
      <c r="C878" s="33"/>
      <c r="D878" s="33"/>
    </row>
    <row r="879" spans="1:4" ht="12.5" x14ac:dyDescent="0.25">
      <c r="A879" s="33"/>
      <c r="B879" s="33"/>
      <c r="C879" s="33"/>
      <c r="D879" s="33"/>
    </row>
    <row r="880" spans="1:4" ht="12.5" x14ac:dyDescent="0.25">
      <c r="A880" s="33"/>
      <c r="B880" s="33"/>
      <c r="C880" s="33"/>
      <c r="D880" s="33"/>
    </row>
    <row r="881" spans="1:4" ht="12.5" x14ac:dyDescent="0.25">
      <c r="A881" s="33"/>
      <c r="B881" s="33"/>
      <c r="C881" s="33"/>
      <c r="D881" s="33"/>
    </row>
    <row r="882" spans="1:4" ht="12.5" x14ac:dyDescent="0.25">
      <c r="A882" s="33"/>
      <c r="B882" s="33"/>
      <c r="C882" s="33"/>
      <c r="D882" s="33"/>
    </row>
    <row r="883" spans="1:4" ht="12.5" x14ac:dyDescent="0.25">
      <c r="A883" s="33"/>
      <c r="B883" s="33"/>
      <c r="C883" s="33"/>
      <c r="D883" s="33"/>
    </row>
    <row r="884" spans="1:4" ht="12.5" x14ac:dyDescent="0.25">
      <c r="A884" s="33"/>
      <c r="B884" s="33"/>
      <c r="C884" s="33"/>
      <c r="D884" s="33"/>
    </row>
    <row r="885" spans="1:4" ht="12.5" x14ac:dyDescent="0.25">
      <c r="A885" s="33"/>
      <c r="B885" s="33"/>
      <c r="C885" s="33"/>
      <c r="D885" s="33"/>
    </row>
    <row r="886" spans="1:4" ht="12.5" x14ac:dyDescent="0.25">
      <c r="A886" s="33"/>
      <c r="B886" s="33"/>
      <c r="C886" s="33"/>
      <c r="D886" s="33"/>
    </row>
    <row r="887" spans="1:4" ht="12.5" x14ac:dyDescent="0.25">
      <c r="A887" s="33"/>
      <c r="B887" s="33"/>
      <c r="C887" s="33"/>
      <c r="D887" s="33"/>
    </row>
    <row r="888" spans="1:4" ht="12.5" x14ac:dyDescent="0.25">
      <c r="A888" s="33"/>
      <c r="B888" s="33"/>
      <c r="C888" s="33"/>
      <c r="D888" s="33"/>
    </row>
    <row r="889" spans="1:4" ht="12.5" x14ac:dyDescent="0.25">
      <c r="A889" s="33"/>
      <c r="B889" s="33"/>
      <c r="C889" s="33"/>
      <c r="D889" s="33"/>
    </row>
    <row r="890" spans="1:4" ht="12.5" x14ac:dyDescent="0.25">
      <c r="A890" s="33"/>
      <c r="B890" s="33"/>
      <c r="C890" s="33"/>
      <c r="D890" s="33"/>
    </row>
    <row r="891" spans="1:4" ht="12.5" x14ac:dyDescent="0.25">
      <c r="A891" s="33"/>
      <c r="B891" s="33"/>
      <c r="C891" s="33"/>
      <c r="D891" s="33"/>
    </row>
    <row r="892" spans="1:4" ht="12.5" x14ac:dyDescent="0.25">
      <c r="A892" s="33"/>
      <c r="B892" s="33"/>
      <c r="C892" s="33"/>
      <c r="D892" s="33"/>
    </row>
    <row r="893" spans="1:4" ht="12.5" x14ac:dyDescent="0.25">
      <c r="A893" s="33"/>
      <c r="B893" s="33"/>
      <c r="C893" s="33"/>
      <c r="D893" s="33"/>
    </row>
    <row r="894" spans="1:4" ht="12.5" x14ac:dyDescent="0.25">
      <c r="A894" s="33"/>
      <c r="B894" s="33"/>
      <c r="C894" s="33"/>
      <c r="D894" s="33"/>
    </row>
    <row r="895" spans="1:4" ht="12.5" x14ac:dyDescent="0.25">
      <c r="A895" s="33"/>
      <c r="B895" s="33"/>
      <c r="C895" s="33"/>
      <c r="D895" s="33"/>
    </row>
    <row r="896" spans="1:4" ht="12.5" x14ac:dyDescent="0.25">
      <c r="A896" s="33"/>
      <c r="B896" s="33"/>
      <c r="C896" s="33"/>
      <c r="D896" s="33"/>
    </row>
    <row r="897" spans="1:4" ht="12.5" x14ac:dyDescent="0.25">
      <c r="A897" s="33"/>
      <c r="B897" s="33"/>
      <c r="C897" s="33"/>
      <c r="D897" s="33"/>
    </row>
    <row r="898" spans="1:4" ht="12.5" x14ac:dyDescent="0.25">
      <c r="A898" s="33"/>
      <c r="B898" s="33"/>
      <c r="C898" s="33"/>
      <c r="D898" s="33"/>
    </row>
    <row r="899" spans="1:4" ht="12.5" x14ac:dyDescent="0.25">
      <c r="A899" s="33"/>
      <c r="B899" s="33"/>
      <c r="C899" s="33"/>
      <c r="D899" s="33"/>
    </row>
    <row r="900" spans="1:4" ht="12.5" x14ac:dyDescent="0.25">
      <c r="A900" s="33"/>
      <c r="B900" s="33"/>
      <c r="C900" s="33"/>
      <c r="D900" s="33"/>
    </row>
    <row r="901" spans="1:4" ht="12.5" x14ac:dyDescent="0.25">
      <c r="A901" s="33"/>
      <c r="B901" s="33"/>
      <c r="C901" s="33"/>
      <c r="D901" s="33"/>
    </row>
    <row r="902" spans="1:4" ht="12.5" x14ac:dyDescent="0.25">
      <c r="A902" s="33"/>
      <c r="B902" s="33"/>
      <c r="C902" s="33"/>
      <c r="D902" s="33"/>
    </row>
    <row r="903" spans="1:4" ht="12.5" x14ac:dyDescent="0.25">
      <c r="A903" s="33"/>
      <c r="B903" s="33"/>
      <c r="C903" s="33"/>
      <c r="D903" s="33"/>
    </row>
    <row r="904" spans="1:4" ht="12.5" x14ac:dyDescent="0.25">
      <c r="A904" s="33"/>
      <c r="B904" s="33"/>
      <c r="C904" s="33"/>
      <c r="D904" s="33"/>
    </row>
    <row r="905" spans="1:4" ht="12.5" x14ac:dyDescent="0.25">
      <c r="A905" s="33"/>
      <c r="B905" s="33"/>
      <c r="C905" s="33"/>
      <c r="D905" s="33"/>
    </row>
    <row r="906" spans="1:4" ht="12.5" x14ac:dyDescent="0.25">
      <c r="A906" s="33"/>
      <c r="B906" s="33"/>
      <c r="C906" s="33"/>
      <c r="D906" s="33"/>
    </row>
    <row r="907" spans="1:4" ht="12.5" x14ac:dyDescent="0.25">
      <c r="A907" s="33"/>
      <c r="B907" s="33"/>
      <c r="C907" s="33"/>
      <c r="D907" s="33"/>
    </row>
    <row r="908" spans="1:4" ht="12.5" x14ac:dyDescent="0.25">
      <c r="A908" s="33"/>
      <c r="B908" s="33"/>
      <c r="C908" s="33"/>
      <c r="D908" s="33"/>
    </row>
    <row r="909" spans="1:4" ht="12.5" x14ac:dyDescent="0.25">
      <c r="A909" s="33"/>
      <c r="B909" s="33"/>
      <c r="C909" s="33"/>
      <c r="D909" s="33"/>
    </row>
    <row r="910" spans="1:4" ht="12.5" x14ac:dyDescent="0.25">
      <c r="A910" s="33"/>
      <c r="B910" s="33"/>
      <c r="C910" s="33"/>
      <c r="D910" s="33"/>
    </row>
    <row r="911" spans="1:4" ht="12.5" x14ac:dyDescent="0.25">
      <c r="A911" s="33"/>
      <c r="B911" s="33"/>
      <c r="C911" s="33"/>
      <c r="D911" s="33"/>
    </row>
    <row r="912" spans="1:4" ht="12.5" x14ac:dyDescent="0.25">
      <c r="A912" s="33"/>
      <c r="B912" s="33"/>
      <c r="C912" s="33"/>
      <c r="D912" s="33"/>
    </row>
    <row r="913" spans="1:4" ht="12.5" x14ac:dyDescent="0.25">
      <c r="A913" s="33"/>
      <c r="B913" s="33"/>
      <c r="C913" s="33"/>
      <c r="D913" s="33"/>
    </row>
    <row r="914" spans="1:4" ht="12.5" x14ac:dyDescent="0.25">
      <c r="A914" s="33"/>
      <c r="B914" s="33"/>
      <c r="C914" s="33"/>
      <c r="D914" s="33"/>
    </row>
    <row r="915" spans="1:4" ht="12.5" x14ac:dyDescent="0.25">
      <c r="A915" s="33"/>
      <c r="B915" s="33"/>
      <c r="C915" s="33"/>
      <c r="D915" s="33"/>
    </row>
    <row r="916" spans="1:4" ht="12.5" x14ac:dyDescent="0.25">
      <c r="A916" s="33"/>
      <c r="B916" s="33"/>
      <c r="C916" s="33"/>
      <c r="D916" s="33"/>
    </row>
    <row r="917" spans="1:4" ht="12.5" x14ac:dyDescent="0.25">
      <c r="A917" s="33"/>
      <c r="B917" s="33"/>
      <c r="C917" s="33"/>
      <c r="D917" s="33"/>
    </row>
    <row r="918" spans="1:4" ht="12.5" x14ac:dyDescent="0.25">
      <c r="A918" s="33"/>
      <c r="B918" s="33"/>
      <c r="C918" s="33"/>
      <c r="D918" s="33"/>
    </row>
    <row r="919" spans="1:4" ht="12.5" x14ac:dyDescent="0.25">
      <c r="A919" s="33"/>
      <c r="B919" s="33"/>
      <c r="C919" s="33"/>
      <c r="D919" s="33"/>
    </row>
    <row r="920" spans="1:4" ht="12.5" x14ac:dyDescent="0.25">
      <c r="A920" s="33"/>
      <c r="B920" s="33"/>
      <c r="C920" s="33"/>
      <c r="D920" s="33"/>
    </row>
    <row r="921" spans="1:4" ht="12.5" x14ac:dyDescent="0.25">
      <c r="A921" s="33"/>
      <c r="B921" s="33"/>
      <c r="C921" s="33"/>
      <c r="D921" s="33"/>
    </row>
    <row r="922" spans="1:4" ht="12.5" x14ac:dyDescent="0.25">
      <c r="A922" s="33"/>
      <c r="B922" s="33"/>
      <c r="C922" s="33"/>
      <c r="D922" s="33"/>
    </row>
    <row r="923" spans="1:4" ht="12.5" x14ac:dyDescent="0.25">
      <c r="A923" s="33"/>
      <c r="B923" s="33"/>
      <c r="C923" s="33"/>
      <c r="D923" s="33"/>
    </row>
    <row r="924" spans="1:4" ht="12.5" x14ac:dyDescent="0.25">
      <c r="A924" s="33"/>
      <c r="B924" s="33"/>
      <c r="C924" s="33"/>
      <c r="D924" s="33"/>
    </row>
    <row r="925" spans="1:4" ht="12.5" x14ac:dyDescent="0.25">
      <c r="A925" s="33"/>
      <c r="B925" s="33"/>
      <c r="C925" s="33"/>
      <c r="D925" s="33"/>
    </row>
    <row r="926" spans="1:4" ht="12.5" x14ac:dyDescent="0.25">
      <c r="A926" s="33"/>
      <c r="B926" s="33"/>
      <c r="C926" s="33"/>
      <c r="D926" s="33"/>
    </row>
    <row r="927" spans="1:4" ht="12.5" x14ac:dyDescent="0.25">
      <c r="A927" s="33"/>
      <c r="B927" s="33"/>
      <c r="C927" s="33"/>
      <c r="D927" s="33"/>
    </row>
    <row r="928" spans="1:4" ht="12.5" x14ac:dyDescent="0.25">
      <c r="A928" s="33"/>
      <c r="B928" s="33"/>
      <c r="C928" s="33"/>
      <c r="D928" s="33"/>
    </row>
    <row r="929" spans="1:4" ht="12.5" x14ac:dyDescent="0.25">
      <c r="A929" s="33"/>
      <c r="B929" s="33"/>
      <c r="C929" s="33"/>
      <c r="D929" s="33"/>
    </row>
    <row r="930" spans="1:4" ht="12.5" x14ac:dyDescent="0.25">
      <c r="A930" s="33"/>
      <c r="B930" s="33"/>
      <c r="C930" s="33"/>
      <c r="D930" s="33"/>
    </row>
    <row r="931" spans="1:4" ht="12.5" x14ac:dyDescent="0.25">
      <c r="A931" s="33"/>
      <c r="B931" s="33"/>
      <c r="C931" s="33"/>
      <c r="D931" s="33"/>
    </row>
    <row r="932" spans="1:4" ht="12.5" x14ac:dyDescent="0.25">
      <c r="A932" s="33"/>
      <c r="B932" s="33"/>
      <c r="C932" s="33"/>
      <c r="D932" s="33"/>
    </row>
    <row r="933" spans="1:4" ht="12.5" x14ac:dyDescent="0.25">
      <c r="A933" s="33"/>
      <c r="B933" s="33"/>
      <c r="C933" s="33"/>
      <c r="D933" s="33"/>
    </row>
    <row r="934" spans="1:4" ht="12.5" x14ac:dyDescent="0.25">
      <c r="A934" s="33"/>
      <c r="B934" s="33"/>
      <c r="C934" s="33"/>
      <c r="D934" s="33"/>
    </row>
    <row r="935" spans="1:4" ht="12.5" x14ac:dyDescent="0.25">
      <c r="A935" s="33"/>
      <c r="B935" s="33"/>
      <c r="C935" s="33"/>
      <c r="D935" s="33"/>
    </row>
    <row r="936" spans="1:4" ht="12.5" x14ac:dyDescent="0.25">
      <c r="A936" s="33"/>
      <c r="B936" s="33"/>
      <c r="C936" s="33"/>
      <c r="D936" s="33"/>
    </row>
    <row r="937" spans="1:4" ht="12.5" x14ac:dyDescent="0.25">
      <c r="A937" s="33"/>
      <c r="B937" s="33"/>
      <c r="C937" s="33"/>
      <c r="D937" s="33"/>
    </row>
    <row r="938" spans="1:4" ht="12.5" x14ac:dyDescent="0.25">
      <c r="A938" s="33"/>
      <c r="B938" s="33"/>
      <c r="C938" s="33"/>
      <c r="D938" s="33"/>
    </row>
    <row r="939" spans="1:4" ht="12.5" x14ac:dyDescent="0.25">
      <c r="A939" s="33"/>
      <c r="B939" s="33"/>
      <c r="C939" s="33"/>
      <c r="D939" s="33"/>
    </row>
    <row r="940" spans="1:4" ht="12.5" x14ac:dyDescent="0.25">
      <c r="A940" s="33"/>
      <c r="B940" s="33"/>
      <c r="C940" s="33"/>
      <c r="D940" s="33"/>
    </row>
    <row r="941" spans="1:4" ht="12.5" x14ac:dyDescent="0.25">
      <c r="A941" s="33"/>
      <c r="B941" s="33"/>
      <c r="C941" s="33"/>
      <c r="D941" s="33"/>
    </row>
    <row r="942" spans="1:4" ht="12.5" x14ac:dyDescent="0.25">
      <c r="A942" s="33"/>
      <c r="B942" s="33"/>
      <c r="C942" s="33"/>
      <c r="D942" s="33"/>
    </row>
    <row r="943" spans="1:4" ht="12.5" x14ac:dyDescent="0.25">
      <c r="A943" s="33"/>
      <c r="B943" s="33"/>
      <c r="C943" s="33"/>
      <c r="D943" s="33"/>
    </row>
    <row r="944" spans="1:4" ht="12.5" x14ac:dyDescent="0.25">
      <c r="A944" s="33"/>
      <c r="B944" s="33"/>
      <c r="C944" s="33"/>
      <c r="D944" s="33"/>
    </row>
    <row r="945" spans="1:4" ht="12.5" x14ac:dyDescent="0.25">
      <c r="A945" s="33"/>
      <c r="B945" s="33"/>
      <c r="C945" s="33"/>
      <c r="D945" s="33"/>
    </row>
    <row r="946" spans="1:4" ht="12.5" x14ac:dyDescent="0.25">
      <c r="A946" s="33"/>
      <c r="B946" s="33"/>
      <c r="C946" s="33"/>
      <c r="D946" s="33"/>
    </row>
    <row r="947" spans="1:4" ht="12.5" x14ac:dyDescent="0.25">
      <c r="A947" s="33"/>
      <c r="B947" s="33"/>
      <c r="C947" s="33"/>
      <c r="D947" s="33"/>
    </row>
    <row r="948" spans="1:4" ht="12.5" x14ac:dyDescent="0.25">
      <c r="A948" s="33"/>
      <c r="B948" s="33"/>
      <c r="C948" s="33"/>
      <c r="D948" s="33"/>
    </row>
    <row r="949" spans="1:4" ht="12.5" x14ac:dyDescent="0.25">
      <c r="A949" s="33"/>
      <c r="B949" s="33"/>
      <c r="C949" s="33"/>
      <c r="D949" s="33"/>
    </row>
    <row r="950" spans="1:4" ht="12.5" x14ac:dyDescent="0.25">
      <c r="A950" s="33"/>
      <c r="B950" s="33"/>
      <c r="C950" s="33"/>
      <c r="D950" s="33"/>
    </row>
    <row r="951" spans="1:4" ht="12.5" x14ac:dyDescent="0.25">
      <c r="A951" s="33"/>
      <c r="B951" s="33"/>
      <c r="C951" s="33"/>
      <c r="D951" s="33"/>
    </row>
    <row r="952" spans="1:4" ht="12.5" x14ac:dyDescent="0.25">
      <c r="A952" s="33"/>
      <c r="B952" s="33"/>
      <c r="C952" s="33"/>
      <c r="D952" s="33"/>
    </row>
    <row r="953" spans="1:4" ht="12.5" x14ac:dyDescent="0.25">
      <c r="A953" s="33"/>
      <c r="B953" s="33"/>
      <c r="C953" s="33"/>
      <c r="D953" s="33"/>
    </row>
    <row r="954" spans="1:4" ht="12.5" x14ac:dyDescent="0.25">
      <c r="A954" s="33"/>
      <c r="B954" s="33"/>
      <c r="C954" s="33"/>
      <c r="D954" s="33"/>
    </row>
    <row r="955" spans="1:4" ht="12.5" x14ac:dyDescent="0.25">
      <c r="A955" s="33"/>
      <c r="B955" s="33"/>
      <c r="C955" s="33"/>
      <c r="D955" s="33"/>
    </row>
    <row r="956" spans="1:4" ht="12.5" x14ac:dyDescent="0.25">
      <c r="A956" s="33"/>
      <c r="B956" s="33"/>
      <c r="C956" s="33"/>
      <c r="D956" s="33"/>
    </row>
    <row r="957" spans="1:4" ht="12.5" x14ac:dyDescent="0.25">
      <c r="A957" s="33"/>
      <c r="B957" s="33"/>
      <c r="C957" s="33"/>
      <c r="D957" s="33"/>
    </row>
    <row r="958" spans="1:4" ht="12.5" x14ac:dyDescent="0.25">
      <c r="A958" s="33"/>
      <c r="B958" s="33"/>
      <c r="C958" s="33"/>
      <c r="D958" s="33"/>
    </row>
    <row r="959" spans="1:4" ht="12.5" x14ac:dyDescent="0.25">
      <c r="A959" s="33"/>
      <c r="B959" s="33"/>
      <c r="C959" s="33"/>
      <c r="D959" s="33"/>
    </row>
    <row r="960" spans="1:4" ht="12.5" x14ac:dyDescent="0.25">
      <c r="A960" s="33"/>
      <c r="B960" s="33"/>
      <c r="C960" s="33"/>
      <c r="D960" s="33"/>
    </row>
    <row r="961" spans="1:4" ht="12.5" x14ac:dyDescent="0.25">
      <c r="A961" s="33"/>
      <c r="B961" s="33"/>
      <c r="C961" s="33"/>
      <c r="D961" s="33"/>
    </row>
    <row r="962" spans="1:4" ht="12.5" x14ac:dyDescent="0.25">
      <c r="A962" s="33"/>
      <c r="B962" s="33"/>
      <c r="C962" s="33"/>
      <c r="D962" s="33"/>
    </row>
    <row r="963" spans="1:4" ht="12.5" x14ac:dyDescent="0.25">
      <c r="A963" s="33"/>
      <c r="B963" s="33"/>
      <c r="C963" s="33"/>
      <c r="D963" s="33"/>
    </row>
    <row r="964" spans="1:4" ht="12.5" x14ac:dyDescent="0.25">
      <c r="A964" s="33"/>
      <c r="B964" s="33"/>
      <c r="C964" s="33"/>
      <c r="D964" s="33"/>
    </row>
    <row r="965" spans="1:4" ht="12.5" x14ac:dyDescent="0.25">
      <c r="A965" s="33"/>
      <c r="B965" s="33"/>
      <c r="C965" s="33"/>
      <c r="D965" s="33"/>
    </row>
    <row r="966" spans="1:4" ht="12.5" x14ac:dyDescent="0.25">
      <c r="A966" s="33"/>
      <c r="B966" s="33"/>
      <c r="C966" s="33"/>
      <c r="D966" s="33"/>
    </row>
    <row r="967" spans="1:4" ht="12.5" x14ac:dyDescent="0.25">
      <c r="A967" s="33"/>
      <c r="B967" s="33"/>
      <c r="C967" s="33"/>
      <c r="D967" s="33"/>
    </row>
    <row r="968" spans="1:4" ht="12.5" x14ac:dyDescent="0.25">
      <c r="A968" s="33"/>
      <c r="B968" s="33"/>
      <c r="C968" s="33"/>
      <c r="D968" s="33"/>
    </row>
    <row r="969" spans="1:4" ht="12.5" x14ac:dyDescent="0.25">
      <c r="A969" s="33"/>
      <c r="B969" s="33"/>
      <c r="C969" s="33"/>
      <c r="D969" s="33"/>
    </row>
    <row r="970" spans="1:4" ht="12.5" x14ac:dyDescent="0.25">
      <c r="A970" s="33"/>
      <c r="B970" s="33"/>
      <c r="C970" s="33"/>
      <c r="D970" s="33"/>
    </row>
    <row r="971" spans="1:4" ht="12.5" x14ac:dyDescent="0.25">
      <c r="A971" s="33"/>
      <c r="B971" s="33"/>
      <c r="C971" s="33"/>
      <c r="D971" s="33"/>
    </row>
    <row r="972" spans="1:4" ht="12.5" x14ac:dyDescent="0.25">
      <c r="A972" s="33"/>
      <c r="B972" s="33"/>
      <c r="C972" s="33"/>
      <c r="D972" s="33"/>
    </row>
    <row r="973" spans="1:4" ht="12.5" x14ac:dyDescent="0.25">
      <c r="A973" s="33"/>
      <c r="B973" s="33"/>
      <c r="C973" s="33"/>
      <c r="D973" s="33"/>
    </row>
    <row r="974" spans="1:4" ht="12.5" x14ac:dyDescent="0.25">
      <c r="A974" s="33"/>
      <c r="B974" s="33"/>
      <c r="C974" s="33"/>
      <c r="D974" s="33"/>
    </row>
    <row r="975" spans="1:4" ht="12.5" x14ac:dyDescent="0.25">
      <c r="A975" s="33"/>
      <c r="B975" s="33"/>
      <c r="C975" s="33"/>
      <c r="D975" s="33"/>
    </row>
    <row r="976" spans="1:4" ht="12.5" x14ac:dyDescent="0.25">
      <c r="A976" s="33"/>
      <c r="B976" s="33"/>
      <c r="C976" s="33"/>
      <c r="D976" s="33"/>
    </row>
    <row r="977" spans="1:4" ht="12.5" x14ac:dyDescent="0.25">
      <c r="A977" s="33"/>
      <c r="B977" s="33"/>
      <c r="C977" s="33"/>
      <c r="D977" s="33"/>
    </row>
    <row r="978" spans="1:4" ht="12.5" x14ac:dyDescent="0.25">
      <c r="A978" s="33"/>
      <c r="B978" s="33"/>
      <c r="C978" s="33"/>
      <c r="D978" s="33"/>
    </row>
    <row r="979" spans="1:4" ht="12.5" x14ac:dyDescent="0.25">
      <c r="A979" s="33"/>
      <c r="B979" s="33"/>
      <c r="C979" s="33"/>
      <c r="D979" s="33"/>
    </row>
    <row r="980" spans="1:4" ht="12.5" x14ac:dyDescent="0.25">
      <c r="A980" s="33"/>
      <c r="B980" s="33"/>
      <c r="C980" s="33"/>
      <c r="D980" s="33"/>
    </row>
    <row r="981" spans="1:4" ht="12.5" x14ac:dyDescent="0.25">
      <c r="A981" s="33"/>
      <c r="B981" s="33"/>
      <c r="C981" s="33"/>
      <c r="D981" s="33"/>
    </row>
    <row r="982" spans="1:4" ht="12.5" x14ac:dyDescent="0.25">
      <c r="A982" s="33"/>
      <c r="B982" s="33"/>
      <c r="C982" s="33"/>
      <c r="D982" s="33"/>
    </row>
    <row r="983" spans="1:4" ht="12.5" x14ac:dyDescent="0.25">
      <c r="A983" s="33"/>
      <c r="B983" s="33"/>
      <c r="C983" s="33"/>
      <c r="D983" s="33"/>
    </row>
    <row r="984" spans="1:4" ht="12.5" x14ac:dyDescent="0.25">
      <c r="A984" s="33"/>
      <c r="B984" s="33"/>
      <c r="C984" s="33"/>
      <c r="D984" s="33"/>
    </row>
    <row r="985" spans="1:4" ht="12.5" x14ac:dyDescent="0.25">
      <c r="A985" s="33"/>
      <c r="B985" s="33"/>
      <c r="C985" s="33"/>
      <c r="D985" s="33"/>
    </row>
    <row r="986" spans="1:4" ht="12.5" x14ac:dyDescent="0.25">
      <c r="A986" s="33"/>
      <c r="B986" s="33"/>
      <c r="C986" s="33"/>
      <c r="D986" s="33"/>
    </row>
    <row r="987" spans="1:4" ht="12.5" x14ac:dyDescent="0.25">
      <c r="A987" s="33"/>
      <c r="B987" s="33"/>
      <c r="C987" s="33"/>
      <c r="D987" s="33"/>
    </row>
    <row r="988" spans="1:4" ht="12.5" x14ac:dyDescent="0.25">
      <c r="A988" s="33"/>
      <c r="B988" s="33"/>
      <c r="C988" s="33"/>
      <c r="D988" s="33"/>
    </row>
    <row r="989" spans="1:4" ht="12.5" x14ac:dyDescent="0.25">
      <c r="A989" s="33"/>
      <c r="B989" s="33"/>
      <c r="C989" s="33"/>
      <c r="D989" s="33"/>
    </row>
    <row r="990" spans="1:4" ht="12.5" x14ac:dyDescent="0.25">
      <c r="A990" s="33"/>
      <c r="B990" s="33"/>
      <c r="C990" s="33"/>
      <c r="D990" s="33"/>
    </row>
    <row r="991" spans="1:4" ht="12.5" x14ac:dyDescent="0.25">
      <c r="A991" s="33"/>
      <c r="B991" s="33"/>
      <c r="C991" s="33"/>
      <c r="D991" s="33"/>
    </row>
    <row r="992" spans="1:4" ht="12.5" x14ac:dyDescent="0.25">
      <c r="A992" s="33"/>
      <c r="B992" s="33"/>
      <c r="C992" s="33"/>
      <c r="D992" s="33"/>
    </row>
    <row r="993" spans="1:4" ht="12.5" x14ac:dyDescent="0.25">
      <c r="A993" s="33"/>
      <c r="B993" s="33"/>
      <c r="C993" s="33"/>
      <c r="D993" s="33"/>
    </row>
    <row r="994" spans="1:4" ht="12.5" x14ac:dyDescent="0.25">
      <c r="A994" s="33"/>
      <c r="B994" s="33"/>
      <c r="C994" s="33"/>
      <c r="D994" s="33"/>
    </row>
    <row r="995" spans="1:4" ht="12.5" x14ac:dyDescent="0.25">
      <c r="A995" s="33"/>
      <c r="B995" s="33"/>
      <c r="C995" s="33"/>
      <c r="D995" s="33"/>
    </row>
    <row r="996" spans="1:4" ht="12.5" x14ac:dyDescent="0.25">
      <c r="A996" s="33"/>
      <c r="B996" s="33"/>
      <c r="C996" s="33"/>
      <c r="D996" s="33"/>
    </row>
    <row r="997" spans="1:4" ht="12.5" x14ac:dyDescent="0.25">
      <c r="A997" s="33"/>
      <c r="B997" s="33"/>
      <c r="C997" s="33"/>
      <c r="D997" s="33"/>
    </row>
    <row r="998" spans="1:4" ht="12.5" x14ac:dyDescent="0.25">
      <c r="A998" s="33"/>
      <c r="B998" s="33"/>
      <c r="C998" s="33"/>
      <c r="D998" s="33"/>
    </row>
    <row r="999" spans="1:4" ht="12.5" x14ac:dyDescent="0.25">
      <c r="A999" s="33"/>
      <c r="B999" s="33"/>
      <c r="C999" s="33"/>
      <c r="D999" s="33"/>
    </row>
    <row r="1000" spans="1:4" ht="12.5" x14ac:dyDescent="0.25">
      <c r="A1000" s="33"/>
      <c r="B1000" s="33"/>
      <c r="C1000" s="33"/>
      <c r="D1000" s="3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CL221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7.26953125" customWidth="1"/>
  </cols>
  <sheetData>
    <row r="1" spans="1:90" x14ac:dyDescent="0.3">
      <c r="A1" s="39" t="s">
        <v>169</v>
      </c>
      <c r="B1" s="40" t="s">
        <v>170</v>
      </c>
      <c r="C1" s="39" t="s">
        <v>171</v>
      </c>
      <c r="D1" s="39" t="s">
        <v>172</v>
      </c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  <c r="CE1" s="32"/>
      <c r="CF1" s="32"/>
      <c r="CG1" s="32"/>
      <c r="CH1" s="32"/>
      <c r="CI1" s="32"/>
      <c r="CJ1" s="32"/>
      <c r="CK1" s="32"/>
      <c r="CL1" s="32"/>
    </row>
    <row r="2" spans="1:90" ht="15.75" customHeight="1" x14ac:dyDescent="0.25">
      <c r="A2" s="33" t="str">
        <f ca="1">IFERROR(__xludf.DUMMYFUNCTION("VSTACK(
FILTER(Cisco!A2:D1000,Cisco!A2:A1000&lt;&gt;""""),
FILTER(Juniper!A2:D1000,Juniper!A2:A1000&lt;&gt;""""),
FILTER('3rdSFP'!A2:D1000,'3rdSFP'!A2:A1000&lt;&gt;"""")
)"),"C8200L-1N-4T")</f>
        <v>C8200L-1N-4T</v>
      </c>
      <c r="B2" s="37">
        <f ca="1">IFERROR(__xludf.DUMMYFUNCTION("""COMPUTED_VALUE"""),22728.05)</f>
        <v>22728.05</v>
      </c>
      <c r="C2" s="37">
        <f ca="1">IFERROR(__xludf.DUMMYFUNCTION("""COMPUTED_VALUE"""),18000)</f>
        <v>18000</v>
      </c>
      <c r="D2" s="37">
        <f ca="1">IFERROR(__xludf.DUMMYFUNCTION("""COMPUTED_VALUE"""),18000)</f>
        <v>18000</v>
      </c>
    </row>
    <row r="3" spans="1:90" ht="15.75" customHeight="1" x14ac:dyDescent="0.25">
      <c r="A3" s="33" t="str">
        <f ca="1">IFERROR(__xludf.DUMMYFUNCTION("""COMPUTED_VALUE"""),"C8200-1N-4T")</f>
        <v>C8200-1N-4T</v>
      </c>
      <c r="B3" s="37">
        <f ca="1">IFERROR(__xludf.DUMMYFUNCTION("""COMPUTED_VALUE"""),29504.46)</f>
        <v>29504.46</v>
      </c>
      <c r="C3" s="37">
        <f ca="1">IFERROR(__xludf.DUMMYFUNCTION("""COMPUTED_VALUE"""),15000)</f>
        <v>15000</v>
      </c>
      <c r="D3" s="37">
        <f ca="1">IFERROR(__xludf.DUMMYFUNCTION("""COMPUTED_VALUE"""),15000)</f>
        <v>15000</v>
      </c>
    </row>
    <row r="4" spans="1:90" ht="15.75" customHeight="1" x14ac:dyDescent="0.25">
      <c r="A4" s="33" t="str">
        <f ca="1">IFERROR(__xludf.DUMMYFUNCTION("""COMPUTED_VALUE"""),"C8300-2N2S-4T2X")</f>
        <v>C8300-2N2S-4T2X</v>
      </c>
      <c r="B4" s="37">
        <f ca="1">IFERROR(__xludf.DUMMYFUNCTION("""COMPUTED_VALUE"""),91782.43)</f>
        <v>91782.43</v>
      </c>
      <c r="C4" s="33"/>
      <c r="D4" s="37">
        <f ca="1">IFERROR(__xludf.DUMMYFUNCTION("""COMPUTED_VALUE"""),91782.43)</f>
        <v>91782.43</v>
      </c>
    </row>
    <row r="5" spans="1:90" ht="15.75" customHeight="1" x14ac:dyDescent="0.25">
      <c r="A5" s="33" t="str">
        <f ca="1">IFERROR(__xludf.DUMMYFUNCTION("""COMPUTED_VALUE"""),"C8300-1N1S-4T2X")</f>
        <v>C8300-1N1S-4T2X</v>
      </c>
      <c r="B5" s="37">
        <f ca="1">IFERROR(__xludf.DUMMYFUNCTION("""COMPUTED_VALUE"""),75749.61)</f>
        <v>75749.61</v>
      </c>
      <c r="C5" s="33"/>
      <c r="D5" s="37">
        <f ca="1">IFERROR(__xludf.DUMMYFUNCTION("""COMPUTED_VALUE"""),75749.61)</f>
        <v>75749.61</v>
      </c>
    </row>
    <row r="6" spans="1:90" ht="15.75" customHeight="1" x14ac:dyDescent="0.25">
      <c r="A6" s="33" t="str">
        <f ca="1">IFERROR(__xludf.DUMMYFUNCTION("""COMPUTED_VALUE"""),"C8300-2N2S-6T")</f>
        <v>C8300-2N2S-6T</v>
      </c>
      <c r="B6" s="37">
        <f ca="1">IFERROR(__xludf.DUMMYFUNCTION("""COMPUTED_VALUE"""),50264.61)</f>
        <v>50264.61</v>
      </c>
      <c r="C6" s="33"/>
      <c r="D6" s="37">
        <f ca="1">IFERROR(__xludf.DUMMYFUNCTION("""COMPUTED_VALUE"""),50264.61)</f>
        <v>50264.61</v>
      </c>
    </row>
    <row r="7" spans="1:90" ht="15.75" customHeight="1" x14ac:dyDescent="0.25">
      <c r="A7" s="33" t="str">
        <f ca="1">IFERROR(__xludf.DUMMYFUNCTION("""COMPUTED_VALUE"""),"C8300-1N1S-6T")</f>
        <v>C8300-1N1S-6T</v>
      </c>
      <c r="B7" s="37">
        <f ca="1">IFERROR(__xludf.DUMMYFUNCTION("""COMPUTED_VALUE"""),41045.93)</f>
        <v>41045.93</v>
      </c>
      <c r="C7" s="33"/>
      <c r="D7" s="37">
        <f ca="1">IFERROR(__xludf.DUMMYFUNCTION("""COMPUTED_VALUE"""),41045.93)</f>
        <v>41045.93</v>
      </c>
    </row>
    <row r="8" spans="1:90" ht="15.75" customHeight="1" x14ac:dyDescent="0.25">
      <c r="A8" s="33" t="str">
        <f ca="1">IFERROR(__xludf.DUMMYFUNCTION("""COMPUTED_VALUE"""),"C8500-20X6C")</f>
        <v>C8500-20X6C</v>
      </c>
      <c r="B8" s="37">
        <f ca="1">IFERROR(__xludf.DUMMYFUNCTION("""COMPUTED_VALUE"""),553572.06)</f>
        <v>553572.06000000006</v>
      </c>
      <c r="C8" s="33"/>
      <c r="D8" s="37">
        <f ca="1">IFERROR(__xludf.DUMMYFUNCTION("""COMPUTED_VALUE"""),553572.06)</f>
        <v>553572.06000000006</v>
      </c>
    </row>
    <row r="9" spans="1:90" ht="15.75" customHeight="1" x14ac:dyDescent="0.25">
      <c r="A9" s="33" t="str">
        <f ca="1">IFERROR(__xludf.DUMMYFUNCTION("""COMPUTED_VALUE"""),"C8500-12X4QC")</f>
        <v>C8500-12X4QC</v>
      </c>
      <c r="B9" s="37">
        <f ca="1">IFERROR(__xludf.DUMMYFUNCTION("""COMPUTED_VALUE"""),297234.95)</f>
        <v>297234.95</v>
      </c>
      <c r="C9" s="33"/>
      <c r="D9" s="37">
        <f ca="1">IFERROR(__xludf.DUMMYFUNCTION("""COMPUTED_VALUE"""),297234.95)</f>
        <v>297234.95</v>
      </c>
    </row>
    <row r="10" spans="1:90" ht="15.75" customHeight="1" x14ac:dyDescent="0.25">
      <c r="A10" s="33" t="str">
        <f ca="1">IFERROR(__xludf.DUMMYFUNCTION("""COMPUTED_VALUE"""),"C8500-12X")</f>
        <v>C8500-12X</v>
      </c>
      <c r="B10" s="37">
        <f ca="1">IFERROR(__xludf.DUMMYFUNCTION("""COMPUTED_VALUE"""),206911.8)</f>
        <v>206911.8</v>
      </c>
      <c r="C10" s="33"/>
      <c r="D10" s="37">
        <f ca="1">IFERROR(__xludf.DUMMYFUNCTION("""COMPUTED_VALUE"""),206911.8)</f>
        <v>206911.8</v>
      </c>
    </row>
    <row r="11" spans="1:90" ht="15.75" customHeight="1" x14ac:dyDescent="0.25">
      <c r="A11" s="33" t="str">
        <f ca="1">IFERROR(__xludf.DUMMYFUNCTION("""COMPUTED_VALUE"""),"C8500L-8S4X")</f>
        <v>C8500L-8S4X</v>
      </c>
      <c r="B11" s="37">
        <f ca="1">IFERROR(__xludf.DUMMYFUNCTION("""COMPUTED_VALUE"""),97005.56)</f>
        <v>97005.56</v>
      </c>
      <c r="C11" s="33"/>
      <c r="D11" s="37">
        <f ca="1">IFERROR(__xludf.DUMMYFUNCTION("""COMPUTED_VALUE"""),97005.56)</f>
        <v>97005.56</v>
      </c>
    </row>
    <row r="12" spans="1:90" ht="15.75" customHeight="1" x14ac:dyDescent="0.25">
      <c r="A12" s="33" t="str">
        <f ca="1">IFERROR(__xludf.DUMMYFUNCTION("""COMPUTED_VALUE"""),"C9200-24T")</f>
        <v>C9200-24T</v>
      </c>
      <c r="B12" s="37">
        <f ca="1">IFERROR(__xludf.DUMMYFUNCTION("""COMPUTED_VALUE"""),9916.42)</f>
        <v>9916.42</v>
      </c>
      <c r="C12" s="33"/>
      <c r="D12" s="37">
        <f ca="1">IFERROR(__xludf.DUMMYFUNCTION("""COMPUTED_VALUE"""),9916.42)</f>
        <v>9916.42</v>
      </c>
    </row>
    <row r="13" spans="1:90" ht="15.75" customHeight="1" x14ac:dyDescent="0.25">
      <c r="A13" s="33" t="str">
        <f ca="1">IFERROR(__xludf.DUMMYFUNCTION("""COMPUTED_VALUE"""),"C9200-24P")</f>
        <v>C9200-24P</v>
      </c>
      <c r="B13" s="37">
        <f ca="1">IFERROR(__xludf.DUMMYFUNCTION("""COMPUTED_VALUE"""),11052.8)</f>
        <v>11052.8</v>
      </c>
      <c r="C13" s="33"/>
      <c r="D13" s="37">
        <f ca="1">IFERROR(__xludf.DUMMYFUNCTION("""COMPUTED_VALUE"""),11052.8)</f>
        <v>11052.8</v>
      </c>
    </row>
    <row r="14" spans="1:90" ht="15.75" customHeight="1" x14ac:dyDescent="0.25">
      <c r="A14" s="33" t="str">
        <f ca="1">IFERROR(__xludf.DUMMYFUNCTION("""COMPUTED_VALUE"""),"C9200-48T")</f>
        <v>C9200-48T</v>
      </c>
      <c r="B14" s="37">
        <f ca="1">IFERROR(__xludf.DUMMYFUNCTION("""COMPUTED_VALUE"""),15602.18)</f>
        <v>15602.18</v>
      </c>
      <c r="C14" s="33"/>
      <c r="D14" s="37">
        <f ca="1">IFERROR(__xludf.DUMMYFUNCTION("""COMPUTED_VALUE"""),15602.18)</f>
        <v>15602.18</v>
      </c>
    </row>
    <row r="15" spans="1:90" ht="15.75" customHeight="1" x14ac:dyDescent="0.25">
      <c r="A15" s="33" t="str">
        <f ca="1">IFERROR(__xludf.DUMMYFUNCTION("""COMPUTED_VALUE"""),"C9200-48P")</f>
        <v>C9200-48P</v>
      </c>
      <c r="B15" s="37">
        <f ca="1">IFERROR(__xludf.DUMMYFUNCTION("""COMPUTED_VALUE"""),19860.05)</f>
        <v>19860.05</v>
      </c>
      <c r="C15" s="33"/>
      <c r="D15" s="37">
        <f ca="1">IFERROR(__xludf.DUMMYFUNCTION("""COMPUTED_VALUE"""),19860.05)</f>
        <v>19860.05</v>
      </c>
    </row>
    <row r="16" spans="1:90" ht="15.75" customHeight="1" x14ac:dyDescent="0.25">
      <c r="A16" s="33" t="str">
        <f ca="1">IFERROR(__xludf.DUMMYFUNCTION("""COMPUTED_VALUE"""),"C9200L-24T-4G")</f>
        <v>C9200L-24T-4G</v>
      </c>
      <c r="B16" s="37">
        <f ca="1">IFERROR(__xludf.DUMMYFUNCTION("""COMPUTED_VALUE"""),6063.41)</f>
        <v>6063.41</v>
      </c>
      <c r="C16" s="33"/>
      <c r="D16" s="37">
        <f ca="1">IFERROR(__xludf.DUMMYFUNCTION("""COMPUTED_VALUE"""),6063.41)</f>
        <v>6063.41</v>
      </c>
    </row>
    <row r="17" spans="1:4" ht="15.75" customHeight="1" x14ac:dyDescent="0.25">
      <c r="A17" s="33" t="str">
        <f ca="1">IFERROR(__xludf.DUMMYFUNCTION("""COMPUTED_VALUE"""),"C9200L-24P-4G")</f>
        <v>C9200L-24P-4G</v>
      </c>
      <c r="B17" s="37">
        <f ca="1">IFERROR(__xludf.DUMMYFUNCTION("""COMPUTED_VALUE"""),7529.2)</f>
        <v>7529.2</v>
      </c>
      <c r="C17" s="33"/>
      <c r="D17" s="37">
        <f ca="1">IFERROR(__xludf.DUMMYFUNCTION("""COMPUTED_VALUE"""),7529.2)</f>
        <v>7529.2</v>
      </c>
    </row>
    <row r="18" spans="1:4" ht="15.75" customHeight="1" x14ac:dyDescent="0.25">
      <c r="A18" s="33" t="str">
        <f ca="1">IFERROR(__xludf.DUMMYFUNCTION("""COMPUTED_VALUE"""),"C9200L-48T-4G")</f>
        <v>C9200L-48T-4G</v>
      </c>
      <c r="B18" s="37">
        <f ca="1">IFERROR(__xludf.DUMMYFUNCTION("""COMPUTED_VALUE"""),10867.95)</f>
        <v>10867.95</v>
      </c>
      <c r="C18" s="33"/>
      <c r="D18" s="37">
        <f ca="1">IFERROR(__xludf.DUMMYFUNCTION("""COMPUTED_VALUE"""),10867.95)</f>
        <v>10867.95</v>
      </c>
    </row>
    <row r="19" spans="1:4" ht="15.75" customHeight="1" x14ac:dyDescent="0.25">
      <c r="A19" s="33" t="str">
        <f ca="1">IFERROR(__xludf.DUMMYFUNCTION("""COMPUTED_VALUE"""),"C9200L-48P-4G")</f>
        <v>C9200L-48P-4G</v>
      </c>
      <c r="B19" s="37">
        <f ca="1">IFERROR(__xludf.DUMMYFUNCTION("""COMPUTED_VALUE"""),15269.17)</f>
        <v>15269.17</v>
      </c>
      <c r="C19" s="33"/>
      <c r="D19" s="37">
        <f ca="1">IFERROR(__xludf.DUMMYFUNCTION("""COMPUTED_VALUE"""),15269.17)</f>
        <v>15269.17</v>
      </c>
    </row>
    <row r="20" spans="1:4" ht="15.75" customHeight="1" x14ac:dyDescent="0.25">
      <c r="A20" s="33" t="str">
        <f ca="1">IFERROR(__xludf.DUMMYFUNCTION("""COMPUTED_VALUE"""),"C9200L-24T-4X")</f>
        <v>C9200L-24T-4X</v>
      </c>
      <c r="B20" s="37">
        <f ca="1">IFERROR(__xludf.DUMMYFUNCTION("""COMPUTED_VALUE"""),8631.47)</f>
        <v>8631.4699999999993</v>
      </c>
      <c r="C20" s="33"/>
      <c r="D20" s="37">
        <f ca="1">IFERROR(__xludf.DUMMYFUNCTION("""COMPUTED_VALUE"""),8631.47)</f>
        <v>8631.4699999999993</v>
      </c>
    </row>
    <row r="21" spans="1:4" ht="15.75" customHeight="1" x14ac:dyDescent="0.25">
      <c r="A21" s="33" t="str">
        <f ca="1">IFERROR(__xludf.DUMMYFUNCTION("""COMPUTED_VALUE"""),"C9200L-24P-4X")</f>
        <v>C9200L-24P-4X</v>
      </c>
      <c r="B21" s="37">
        <f ca="1">IFERROR(__xludf.DUMMYFUNCTION("""COMPUTED_VALUE"""),10097.26)</f>
        <v>10097.26</v>
      </c>
      <c r="C21" s="33"/>
      <c r="D21" s="37">
        <f ca="1">IFERROR(__xludf.DUMMYFUNCTION("""COMPUTED_VALUE"""),10097.26)</f>
        <v>10097.26</v>
      </c>
    </row>
    <row r="22" spans="1:4" ht="12.5" x14ac:dyDescent="0.25">
      <c r="A22" s="33" t="str">
        <f ca="1">IFERROR(__xludf.DUMMYFUNCTION("""COMPUTED_VALUE"""),"C9200L-48T-4X")</f>
        <v>C9200L-48T-4X</v>
      </c>
      <c r="B22" s="37">
        <f ca="1">IFERROR(__xludf.DUMMYFUNCTION("""COMPUTED_VALUE"""),13436.01)</f>
        <v>13436.01</v>
      </c>
      <c r="C22" s="33"/>
      <c r="D22" s="37">
        <f ca="1">IFERROR(__xludf.DUMMYFUNCTION("""COMPUTED_VALUE"""),13436.01)</f>
        <v>13436.01</v>
      </c>
    </row>
    <row r="23" spans="1:4" ht="12.5" x14ac:dyDescent="0.25">
      <c r="A23" s="33" t="str">
        <f ca="1">IFERROR(__xludf.DUMMYFUNCTION("""COMPUTED_VALUE"""),"C9200L-48P-4X")</f>
        <v>C9200L-48P-4X</v>
      </c>
      <c r="B23" s="37">
        <f ca="1">IFERROR(__xludf.DUMMYFUNCTION("""COMPUTED_VALUE"""),17837.21)</f>
        <v>17837.21</v>
      </c>
      <c r="C23" s="33"/>
      <c r="D23" s="37">
        <f ca="1">IFERROR(__xludf.DUMMYFUNCTION("""COMPUTED_VALUE"""),17837.21)</f>
        <v>17837.21</v>
      </c>
    </row>
    <row r="24" spans="1:4" ht="12.5" x14ac:dyDescent="0.25">
      <c r="A24" s="33" t="str">
        <f ca="1">IFERROR(__xludf.DUMMYFUNCTION("""COMPUTED_VALUE"""),"C9200CX-8P-2X2G")</f>
        <v>C9200CX-8P-2X2G</v>
      </c>
      <c r="B24" s="37">
        <f ca="1">IFERROR(__xludf.DUMMYFUNCTION("""COMPUTED_VALUE"""),5197.72)</f>
        <v>5197.72</v>
      </c>
      <c r="C24" s="33"/>
      <c r="D24" s="37">
        <f ca="1">IFERROR(__xludf.DUMMYFUNCTION("""COMPUTED_VALUE"""),5197.72)</f>
        <v>5197.72</v>
      </c>
    </row>
    <row r="25" spans="1:4" ht="12.5" x14ac:dyDescent="0.25">
      <c r="A25" s="33" t="str">
        <f ca="1">IFERROR(__xludf.DUMMYFUNCTION("""COMPUTED_VALUE"""),"C9200CX-12T-2X2G")</f>
        <v>C9200CX-12T-2X2G</v>
      </c>
      <c r="B25" s="37">
        <f ca="1">IFERROR(__xludf.DUMMYFUNCTION("""COMPUTED_VALUE"""),4748.49)</f>
        <v>4748.49</v>
      </c>
      <c r="C25" s="33"/>
      <c r="D25" s="37">
        <f ca="1">IFERROR(__xludf.DUMMYFUNCTION("""COMPUTED_VALUE"""),4748.49)</f>
        <v>4748.49</v>
      </c>
    </row>
    <row r="26" spans="1:4" ht="12.5" x14ac:dyDescent="0.25">
      <c r="A26" s="33" t="str">
        <f ca="1">IFERROR(__xludf.DUMMYFUNCTION("""COMPUTED_VALUE"""),"C9200CX-12P-2X2G")</f>
        <v>C9200CX-12P-2X2G</v>
      </c>
      <c r="B26" s="37">
        <f ca="1">IFERROR(__xludf.DUMMYFUNCTION("""COMPUTED_VALUE"""),5672.87)</f>
        <v>5672.87</v>
      </c>
      <c r="C26" s="33"/>
      <c r="D26" s="37">
        <f ca="1">IFERROR(__xludf.DUMMYFUNCTION("""COMPUTED_VALUE"""),5672.87)</f>
        <v>5672.87</v>
      </c>
    </row>
    <row r="27" spans="1:4" ht="12.5" x14ac:dyDescent="0.25">
      <c r="A27" s="33" t="str">
        <f ca="1">IFERROR(__xludf.DUMMYFUNCTION("""COMPUTED_VALUE"""),"C9300L-24T-4G")</f>
        <v>C9300L-24T-4G</v>
      </c>
      <c r="B27" s="37">
        <f ca="1">IFERROR(__xludf.DUMMYFUNCTION("""COMPUTED_VALUE"""),13699.63)</f>
        <v>13699.63</v>
      </c>
      <c r="C27" s="33"/>
      <c r="D27" s="37">
        <f ca="1">IFERROR(__xludf.DUMMYFUNCTION("""COMPUTED_VALUE"""),13699.63)</f>
        <v>13699.63</v>
      </c>
    </row>
    <row r="28" spans="1:4" ht="12.5" x14ac:dyDescent="0.25">
      <c r="A28" s="33" t="str">
        <f ca="1">IFERROR(__xludf.DUMMYFUNCTION("""COMPUTED_VALUE"""),"C9300L-24P-4G")</f>
        <v>C9300L-24P-4G</v>
      </c>
      <c r="B28" s="37">
        <f ca="1">IFERROR(__xludf.DUMMYFUNCTION("""COMPUTED_VALUE"""),14671.04)</f>
        <v>14671.04</v>
      </c>
      <c r="C28" s="33"/>
      <c r="D28" s="37">
        <f ca="1">IFERROR(__xludf.DUMMYFUNCTION("""COMPUTED_VALUE"""),14671.04)</f>
        <v>14671.04</v>
      </c>
    </row>
    <row r="29" spans="1:4" ht="12.5" x14ac:dyDescent="0.25">
      <c r="A29" s="33" t="str">
        <f ca="1">IFERROR(__xludf.DUMMYFUNCTION("""COMPUTED_VALUE"""),"C9300L-24T-4X")</f>
        <v>C9300L-24T-4X</v>
      </c>
      <c r="B29" s="37">
        <f ca="1">IFERROR(__xludf.DUMMYFUNCTION("""COMPUTED_VALUE"""),16613.85)</f>
        <v>16613.849999999999</v>
      </c>
      <c r="C29" s="33"/>
      <c r="D29" s="37">
        <f ca="1">IFERROR(__xludf.DUMMYFUNCTION("""COMPUTED_VALUE"""),16613.85)</f>
        <v>16613.849999999999</v>
      </c>
    </row>
    <row r="30" spans="1:4" ht="12.5" x14ac:dyDescent="0.25">
      <c r="A30" s="33" t="str">
        <f ca="1">IFERROR(__xludf.DUMMYFUNCTION("""COMPUTED_VALUE"""),"C9300L-24P-4X")</f>
        <v>C9300L-24P-4X</v>
      </c>
      <c r="B30" s="37">
        <f ca="1">IFERROR(__xludf.DUMMYFUNCTION("""COMPUTED_VALUE"""),17585.24)</f>
        <v>17585.240000000002</v>
      </c>
      <c r="C30" s="33"/>
      <c r="D30" s="37">
        <f ca="1">IFERROR(__xludf.DUMMYFUNCTION("""COMPUTED_VALUE"""),17585.24)</f>
        <v>17585.240000000002</v>
      </c>
    </row>
    <row r="31" spans="1:4" ht="12.5" x14ac:dyDescent="0.25">
      <c r="A31" s="33" t="str">
        <f ca="1">IFERROR(__xludf.DUMMYFUNCTION("""COMPUTED_VALUE"""),"C9300L-48T-4G")</f>
        <v>C9300L-48T-4G</v>
      </c>
      <c r="B31" s="37">
        <f ca="1">IFERROR(__xludf.DUMMYFUNCTION("""COMPUTED_VALUE"""),19825.33)</f>
        <v>19825.330000000002</v>
      </c>
      <c r="C31" s="33"/>
      <c r="D31" s="37">
        <f ca="1">IFERROR(__xludf.DUMMYFUNCTION("""COMPUTED_VALUE"""),19825.33)</f>
        <v>19825.330000000002</v>
      </c>
    </row>
    <row r="32" spans="1:4" ht="12.5" x14ac:dyDescent="0.25">
      <c r="A32" s="33" t="str">
        <f ca="1">IFERROR(__xludf.DUMMYFUNCTION("""COMPUTED_VALUE"""),"C9300L-48P-4G")</f>
        <v>C9300L-48P-4G</v>
      </c>
      <c r="B32" s="37">
        <f ca="1">IFERROR(__xludf.DUMMYFUNCTION("""COMPUTED_VALUE"""),22545.48)</f>
        <v>22545.48</v>
      </c>
      <c r="C32" s="33"/>
      <c r="D32" s="37">
        <f ca="1">IFERROR(__xludf.DUMMYFUNCTION("""COMPUTED_VALUE"""),22545.48)</f>
        <v>22545.48</v>
      </c>
    </row>
    <row r="33" spans="1:4" ht="12.5" x14ac:dyDescent="0.25">
      <c r="A33" s="33" t="str">
        <f ca="1">IFERROR(__xludf.DUMMYFUNCTION("""COMPUTED_VALUE"""),"C9300L-48T-4X")</f>
        <v>C9300L-48T-4X</v>
      </c>
      <c r="B33" s="37">
        <f ca="1">IFERROR(__xludf.DUMMYFUNCTION("""COMPUTED_VALUE"""),22736.79)</f>
        <v>22736.79</v>
      </c>
      <c r="C33" s="33"/>
      <c r="D33" s="37">
        <f ca="1">IFERROR(__xludf.DUMMYFUNCTION("""COMPUTED_VALUE"""),22736.79)</f>
        <v>22736.79</v>
      </c>
    </row>
    <row r="34" spans="1:4" ht="12.5" x14ac:dyDescent="0.25">
      <c r="A34" s="33" t="str">
        <f ca="1">IFERROR(__xludf.DUMMYFUNCTION("""COMPUTED_VALUE"""),"C9300L-48P-4X")</f>
        <v>C9300L-48P-4X</v>
      </c>
      <c r="B34" s="37">
        <f ca="1">IFERROR(__xludf.DUMMYFUNCTION("""COMPUTED_VALUE"""),25455.65)</f>
        <v>25455.65</v>
      </c>
      <c r="C34" s="33"/>
      <c r="D34" s="37">
        <f ca="1">IFERROR(__xludf.DUMMYFUNCTION("""COMPUTED_VALUE"""),25455.65)</f>
        <v>25455.65</v>
      </c>
    </row>
    <row r="35" spans="1:4" ht="12.5" x14ac:dyDescent="0.25">
      <c r="A35" s="33" t="str">
        <f ca="1">IFERROR(__xludf.DUMMYFUNCTION("""COMPUTED_VALUE"""),"C9300-24T")</f>
        <v>C9300-24T</v>
      </c>
      <c r="B35" s="37">
        <f ca="1">IFERROR(__xludf.DUMMYFUNCTION("""COMPUTED_VALUE"""),18011.91)</f>
        <v>18011.91</v>
      </c>
      <c r="C35" s="33"/>
      <c r="D35" s="37">
        <f ca="1">IFERROR(__xludf.DUMMYFUNCTION("""COMPUTED_VALUE"""),18011.91)</f>
        <v>18011.91</v>
      </c>
    </row>
    <row r="36" spans="1:4" ht="12.5" x14ac:dyDescent="0.25">
      <c r="A36" s="33" t="str">
        <f ca="1">IFERROR(__xludf.DUMMYFUNCTION("""COMPUTED_VALUE"""),"C9300-24P")</f>
        <v>C9300-24P</v>
      </c>
      <c r="B36" s="37">
        <f ca="1">IFERROR(__xludf.DUMMYFUNCTION("""COMPUTED_VALUE"""),19547.88)</f>
        <v>19547.88</v>
      </c>
      <c r="C36" s="33"/>
      <c r="D36" s="37">
        <f ca="1">IFERROR(__xludf.DUMMYFUNCTION("""COMPUTED_VALUE"""),19547.88)</f>
        <v>19547.88</v>
      </c>
    </row>
    <row r="37" spans="1:4" ht="12.5" x14ac:dyDescent="0.25">
      <c r="A37" s="33" t="str">
        <f ca="1">IFERROR(__xludf.DUMMYFUNCTION("""COMPUTED_VALUE"""),"C9300-24U")</f>
        <v>C9300-24U</v>
      </c>
      <c r="B37" s="37">
        <f ca="1">IFERROR(__xludf.DUMMYFUNCTION("""COMPUTED_VALUE"""),20505.61)</f>
        <v>20505.61</v>
      </c>
      <c r="C37" s="33"/>
      <c r="D37" s="37">
        <f ca="1">IFERROR(__xludf.DUMMYFUNCTION("""COMPUTED_VALUE"""),20505.61)</f>
        <v>20505.61</v>
      </c>
    </row>
    <row r="38" spans="1:4" ht="12.5" x14ac:dyDescent="0.25">
      <c r="A38" s="33" t="str">
        <f ca="1">IFERROR(__xludf.DUMMYFUNCTION("""COMPUTED_VALUE"""),"C9300-24H")</f>
        <v>C9300-24H</v>
      </c>
      <c r="B38" s="37">
        <f ca="1">IFERROR(__xludf.DUMMYFUNCTION("""COMPUTED_VALUE"""),21073.06)</f>
        <v>21073.06</v>
      </c>
      <c r="C38" s="33"/>
      <c r="D38" s="37">
        <f ca="1">IFERROR(__xludf.DUMMYFUNCTION("""COMPUTED_VALUE"""),21073.06)</f>
        <v>21073.06</v>
      </c>
    </row>
    <row r="39" spans="1:4" ht="12.5" x14ac:dyDescent="0.25">
      <c r="A39" s="33" t="str">
        <f ca="1">IFERROR(__xludf.DUMMYFUNCTION("""COMPUTED_VALUE"""),"C9300-24S")</f>
        <v>C9300-24S</v>
      </c>
      <c r="B39" s="37">
        <f ca="1">IFERROR(__xludf.DUMMYFUNCTION("""COMPUTED_VALUE"""),50184.37)</f>
        <v>50184.37</v>
      </c>
      <c r="C39" s="33"/>
      <c r="D39" s="37">
        <f ca="1">IFERROR(__xludf.DUMMYFUNCTION("""COMPUTED_VALUE"""),50184.37)</f>
        <v>50184.37</v>
      </c>
    </row>
    <row r="40" spans="1:4" ht="12.5" x14ac:dyDescent="0.25">
      <c r="A40" s="33" t="str">
        <f ca="1">IFERROR(__xludf.DUMMYFUNCTION("""COMPUTED_VALUE"""),"C9300-24UB")</f>
        <v>C9300-24UB</v>
      </c>
      <c r="B40" s="37">
        <f ca="1">IFERROR(__xludf.DUMMYFUNCTION("""COMPUTED_VALUE"""),25086.8)</f>
        <v>25086.799999999999</v>
      </c>
      <c r="C40" s="33"/>
      <c r="D40" s="37">
        <f ca="1">IFERROR(__xludf.DUMMYFUNCTION("""COMPUTED_VALUE"""),25086.8)</f>
        <v>25086.799999999999</v>
      </c>
    </row>
    <row r="41" spans="1:4" ht="12.5" x14ac:dyDescent="0.25">
      <c r="A41" s="33" t="str">
        <f ca="1">IFERROR(__xludf.DUMMYFUNCTION("""COMPUTED_VALUE"""),"C9300-48T")</f>
        <v>C9300-48T</v>
      </c>
      <c r="B41" s="37">
        <f ca="1">IFERROR(__xludf.DUMMYFUNCTION("""COMPUTED_VALUE"""),26361.21)</f>
        <v>26361.21</v>
      </c>
      <c r="C41" s="33"/>
      <c r="D41" s="37">
        <f ca="1">IFERROR(__xludf.DUMMYFUNCTION("""COMPUTED_VALUE"""),26361.21)</f>
        <v>26361.21</v>
      </c>
    </row>
    <row r="42" spans="1:4" ht="12.5" x14ac:dyDescent="0.25">
      <c r="A42" s="33" t="str">
        <f ca="1">IFERROR(__xludf.DUMMYFUNCTION("""COMPUTED_VALUE"""),"C9300-48P")</f>
        <v>C9300-48P</v>
      </c>
      <c r="B42" s="37">
        <f ca="1">IFERROR(__xludf.DUMMYFUNCTION("""COMPUTED_VALUE"""),29374.16)</f>
        <v>29374.16</v>
      </c>
      <c r="C42" s="33"/>
      <c r="D42" s="37">
        <f ca="1">IFERROR(__xludf.DUMMYFUNCTION("""COMPUTED_VALUE"""),29374.16)</f>
        <v>29374.16</v>
      </c>
    </row>
    <row r="43" spans="1:4" ht="12.5" x14ac:dyDescent="0.25">
      <c r="A43" s="33" t="str">
        <f ca="1">IFERROR(__xludf.DUMMYFUNCTION("""COMPUTED_VALUE"""),"C9300-48U")</f>
        <v>C9300-48U</v>
      </c>
      <c r="B43" s="37">
        <f ca="1">IFERROR(__xludf.DUMMYFUNCTION("""COMPUTED_VALUE"""),31290.78)</f>
        <v>31290.78</v>
      </c>
      <c r="C43" s="33"/>
      <c r="D43" s="37">
        <f ca="1">IFERROR(__xludf.DUMMYFUNCTION("""COMPUTED_VALUE"""),31290.78)</f>
        <v>31290.78</v>
      </c>
    </row>
    <row r="44" spans="1:4" ht="12.5" x14ac:dyDescent="0.25">
      <c r="A44" s="33" t="str">
        <f ca="1">IFERROR(__xludf.DUMMYFUNCTION("""COMPUTED_VALUE"""),"C9300-48H")</f>
        <v>C9300-48H</v>
      </c>
      <c r="B44" s="37">
        <f ca="1">IFERROR(__xludf.DUMMYFUNCTION("""COMPUTED_VALUE"""),32286.54)</f>
        <v>32286.54</v>
      </c>
      <c r="C44" s="33"/>
      <c r="D44" s="37">
        <f ca="1">IFERROR(__xludf.DUMMYFUNCTION("""COMPUTED_VALUE"""),32286.54)</f>
        <v>32286.54</v>
      </c>
    </row>
    <row r="45" spans="1:4" ht="12.5" x14ac:dyDescent="0.25">
      <c r="A45" s="33" t="str">
        <f ca="1">IFERROR(__xludf.DUMMYFUNCTION("""COMPUTED_VALUE"""),"C9300-48S")</f>
        <v>C9300-48S</v>
      </c>
      <c r="B45" s="37">
        <f ca="1">IFERROR(__xludf.DUMMYFUNCTION("""COMPUTED_VALUE"""),57322.71)</f>
        <v>57322.71</v>
      </c>
      <c r="C45" s="33"/>
      <c r="D45" s="37">
        <f ca="1">IFERROR(__xludf.DUMMYFUNCTION("""COMPUTED_VALUE"""),57322.71)</f>
        <v>57322.71</v>
      </c>
    </row>
    <row r="46" spans="1:4" ht="12.5" x14ac:dyDescent="0.25">
      <c r="A46" s="33" t="str">
        <f ca="1">IFERROR(__xludf.DUMMYFUNCTION("""COMPUTED_VALUE"""),"C9300-48UB")</f>
        <v>C9300-48UB</v>
      </c>
      <c r="B46" s="37">
        <f ca="1">IFERROR(__xludf.DUMMYFUNCTION("""COMPUTED_VALUE"""),37491.48)</f>
        <v>37491.480000000003</v>
      </c>
      <c r="C46" s="33"/>
      <c r="D46" s="37">
        <f ca="1">IFERROR(__xludf.DUMMYFUNCTION("""COMPUTED_VALUE"""),37491.48)</f>
        <v>37491.480000000003</v>
      </c>
    </row>
    <row r="47" spans="1:4" ht="12.5" x14ac:dyDescent="0.25">
      <c r="A47" s="33" t="str">
        <f ca="1">IFERROR(__xludf.DUMMYFUNCTION("""COMPUTED_VALUE"""),"C1300-8T-E-2G")</f>
        <v>C1300-8T-E-2G</v>
      </c>
      <c r="B47" s="37">
        <f ca="1">IFERROR(__xludf.DUMMYFUNCTION("""COMPUTED_VALUE"""),463.29)</f>
        <v>463.29</v>
      </c>
      <c r="C47" s="33"/>
      <c r="D47" s="37">
        <f ca="1">IFERROR(__xludf.DUMMYFUNCTION("""COMPUTED_VALUE"""),463.29)</f>
        <v>463.29</v>
      </c>
    </row>
    <row r="48" spans="1:4" ht="12.5" x14ac:dyDescent="0.25">
      <c r="A48" s="33" t="str">
        <f ca="1">IFERROR(__xludf.DUMMYFUNCTION("""COMPUTED_VALUE"""),"C1300-8P-E-2G")</f>
        <v>C1300-8P-E-2G</v>
      </c>
      <c r="B48" s="37">
        <f ca="1">IFERROR(__xludf.DUMMYFUNCTION("""COMPUTED_VALUE"""),570.56)</f>
        <v>570.55999999999995</v>
      </c>
      <c r="C48" s="33"/>
      <c r="D48" s="37">
        <f ca="1">IFERROR(__xludf.DUMMYFUNCTION("""COMPUTED_VALUE"""),570.56)</f>
        <v>570.55999999999995</v>
      </c>
    </row>
    <row r="49" spans="1:4" ht="12.5" x14ac:dyDescent="0.25">
      <c r="A49" s="33" t="str">
        <f ca="1">IFERROR(__xludf.DUMMYFUNCTION("""COMPUTED_VALUE"""),"C1300-8FP-2G")</f>
        <v>C1300-8FP-2G</v>
      </c>
      <c r="B49" s="37">
        <f ca="1">IFERROR(__xludf.DUMMYFUNCTION("""COMPUTED_VALUE"""),757.69)</f>
        <v>757.69</v>
      </c>
      <c r="C49" s="33"/>
      <c r="D49" s="37">
        <f ca="1">IFERROR(__xludf.DUMMYFUNCTION("""COMPUTED_VALUE"""),757.69)</f>
        <v>757.69</v>
      </c>
    </row>
    <row r="50" spans="1:4" ht="12.5" x14ac:dyDescent="0.25">
      <c r="A50" s="33" t="str">
        <f ca="1">IFERROR(__xludf.DUMMYFUNCTION("""COMPUTED_VALUE"""),"C1300-16T-2G")</f>
        <v>C1300-16T-2G</v>
      </c>
      <c r="B50" s="37">
        <f ca="1">IFERROR(__xludf.DUMMYFUNCTION("""COMPUTED_VALUE"""),655.57)</f>
        <v>655.57</v>
      </c>
      <c r="C50" s="33"/>
      <c r="D50" s="37">
        <f ca="1">IFERROR(__xludf.DUMMYFUNCTION("""COMPUTED_VALUE"""),655.57)</f>
        <v>655.57</v>
      </c>
    </row>
    <row r="51" spans="1:4" ht="12.5" x14ac:dyDescent="0.25">
      <c r="A51" s="33" t="str">
        <f ca="1">IFERROR(__xludf.DUMMYFUNCTION("""COMPUTED_VALUE"""),"C1300-16P-2G")</f>
        <v>C1300-16P-2G</v>
      </c>
      <c r="B51" s="37">
        <f ca="1">IFERROR(__xludf.DUMMYFUNCTION("""COMPUTED_VALUE"""),952.7)</f>
        <v>952.7</v>
      </c>
      <c r="C51" s="33"/>
      <c r="D51" s="37">
        <f ca="1">IFERROR(__xludf.DUMMYFUNCTION("""COMPUTED_VALUE"""),952.7)</f>
        <v>952.7</v>
      </c>
    </row>
    <row r="52" spans="1:4" ht="12.5" x14ac:dyDescent="0.25">
      <c r="A52" s="33" t="str">
        <f ca="1">IFERROR(__xludf.DUMMYFUNCTION("""COMPUTED_VALUE"""),"C1300-16FP-2G")</f>
        <v>C1300-16FP-2G</v>
      </c>
      <c r="B52" s="37">
        <f ca="1">IFERROR(__xludf.DUMMYFUNCTION("""COMPUTED_VALUE"""),1350.49)</f>
        <v>1350.49</v>
      </c>
      <c r="C52" s="33"/>
      <c r="D52" s="37">
        <f ca="1">IFERROR(__xludf.DUMMYFUNCTION("""COMPUTED_VALUE"""),1350.49)</f>
        <v>1350.49</v>
      </c>
    </row>
    <row r="53" spans="1:4" ht="12.5" x14ac:dyDescent="0.25">
      <c r="A53" s="33" t="str">
        <f ca="1">IFERROR(__xludf.DUMMYFUNCTION("""COMPUTED_VALUE"""),"C1300-24T-4G")</f>
        <v>C1300-24T-4G</v>
      </c>
      <c r="B53" s="37">
        <f ca="1">IFERROR(__xludf.DUMMYFUNCTION("""COMPUTED_VALUE"""),913.34)</f>
        <v>913.34</v>
      </c>
      <c r="C53" s="33"/>
      <c r="D53" s="37">
        <f ca="1">IFERROR(__xludf.DUMMYFUNCTION("""COMPUTED_VALUE"""),913.34)</f>
        <v>913.34</v>
      </c>
    </row>
    <row r="54" spans="1:4" ht="12.5" x14ac:dyDescent="0.25">
      <c r="A54" s="33" t="str">
        <f ca="1">IFERROR(__xludf.DUMMYFUNCTION("""COMPUTED_VALUE"""),"C1300-24P-4G")</f>
        <v>C1300-24P-4G</v>
      </c>
      <c r="B54" s="37">
        <f ca="1">IFERROR(__xludf.DUMMYFUNCTION("""COMPUTED_VALUE"""),1300.65)</f>
        <v>1300.6500000000001</v>
      </c>
      <c r="C54" s="33"/>
      <c r="D54" s="37">
        <f ca="1">IFERROR(__xludf.DUMMYFUNCTION("""COMPUTED_VALUE"""),1300.65)</f>
        <v>1300.6500000000001</v>
      </c>
    </row>
    <row r="55" spans="1:4" ht="12.5" x14ac:dyDescent="0.25">
      <c r="A55" s="33" t="str">
        <f ca="1">IFERROR(__xludf.DUMMYFUNCTION("""COMPUTED_VALUE"""),"C1300-24FP-4G")</f>
        <v>C1300-24FP-4G</v>
      </c>
      <c r="B55" s="37">
        <f ca="1">IFERROR(__xludf.DUMMYFUNCTION("""COMPUTED_VALUE"""),1770.54)</f>
        <v>1770.54</v>
      </c>
      <c r="C55" s="33"/>
      <c r="D55" s="37">
        <f ca="1">IFERROR(__xludf.DUMMYFUNCTION("""COMPUTED_VALUE"""),1770.54)</f>
        <v>1770.54</v>
      </c>
    </row>
    <row r="56" spans="1:4" ht="12.5" x14ac:dyDescent="0.25">
      <c r="A56" s="33" t="str">
        <f ca="1">IFERROR(__xludf.DUMMYFUNCTION("""COMPUTED_VALUE"""),"C1300-48T-4G")</f>
        <v>C1300-48T-4G</v>
      </c>
      <c r="B56" s="37">
        <f ca="1">IFERROR(__xludf.DUMMYFUNCTION("""COMPUTED_VALUE"""),1434.22)</f>
        <v>1434.22</v>
      </c>
      <c r="C56" s="33"/>
      <c r="D56" s="37">
        <f ca="1">IFERROR(__xludf.DUMMYFUNCTION("""COMPUTED_VALUE"""),1434.22)</f>
        <v>1434.22</v>
      </c>
    </row>
    <row r="57" spans="1:4" ht="12.5" x14ac:dyDescent="0.25">
      <c r="A57" s="33" t="str">
        <f ca="1">IFERROR(__xludf.DUMMYFUNCTION("""COMPUTED_VALUE"""),"C1300-48P-4G")</f>
        <v>C1300-48P-4G</v>
      </c>
      <c r="B57" s="37">
        <f ca="1">IFERROR(__xludf.DUMMYFUNCTION("""COMPUTED_VALUE"""),2368.53)</f>
        <v>2368.5300000000002</v>
      </c>
      <c r="C57" s="33"/>
      <c r="D57" s="37">
        <f ca="1">IFERROR(__xludf.DUMMYFUNCTION("""COMPUTED_VALUE"""),2368.53)</f>
        <v>2368.5300000000002</v>
      </c>
    </row>
    <row r="58" spans="1:4" ht="12.5" x14ac:dyDescent="0.25">
      <c r="A58" s="33" t="str">
        <f ca="1">IFERROR(__xludf.DUMMYFUNCTION("""COMPUTED_VALUE"""),"C1300-48FP-4G")</f>
        <v>C1300-48FP-4G</v>
      </c>
      <c r="B58" s="37">
        <f ca="1">IFERROR(__xludf.DUMMYFUNCTION("""COMPUTED_VALUE"""),2962.61)</f>
        <v>2962.61</v>
      </c>
      <c r="C58" s="33"/>
      <c r="D58" s="37">
        <f ca="1">IFERROR(__xludf.DUMMYFUNCTION("""COMPUTED_VALUE"""),2962.61)</f>
        <v>2962.61</v>
      </c>
    </row>
    <row r="59" spans="1:4" ht="12.5" x14ac:dyDescent="0.25">
      <c r="A59" s="33" t="str">
        <f ca="1">IFERROR(__xludf.DUMMYFUNCTION("""COMPUTED_VALUE"""),"C1300-16P-4X")</f>
        <v>C1300-16P-4X</v>
      </c>
      <c r="B59" s="37">
        <f ca="1">IFERROR(__xludf.DUMMYFUNCTION("""COMPUTED_VALUE"""),1019.52)</f>
        <v>1019.52</v>
      </c>
      <c r="C59" s="33"/>
      <c r="D59" s="37">
        <f ca="1">IFERROR(__xludf.DUMMYFUNCTION("""COMPUTED_VALUE"""),1019.52)</f>
        <v>1019.52</v>
      </c>
    </row>
    <row r="60" spans="1:4" ht="12.5" x14ac:dyDescent="0.25">
      <c r="A60" s="33" t="str">
        <f ca="1">IFERROR(__xludf.DUMMYFUNCTION("""COMPUTED_VALUE"""),"C1300-24T-4X")</f>
        <v>C1300-24T-4X</v>
      </c>
      <c r="B60" s="37">
        <f ca="1">IFERROR(__xludf.DUMMYFUNCTION("""COMPUTED_VALUE"""),1315.75)</f>
        <v>1315.75</v>
      </c>
      <c r="C60" s="33"/>
      <c r="D60" s="37">
        <f ca="1">IFERROR(__xludf.DUMMYFUNCTION("""COMPUTED_VALUE"""),1315.75)</f>
        <v>1315.75</v>
      </c>
    </row>
    <row r="61" spans="1:4" ht="12.5" x14ac:dyDescent="0.25">
      <c r="A61" s="33" t="str">
        <f ca="1">IFERROR(__xludf.DUMMYFUNCTION("""COMPUTED_VALUE"""),"C1300-24P-4X")</f>
        <v>C1300-24P-4X</v>
      </c>
      <c r="B61" s="37">
        <f ca="1">IFERROR(__xludf.DUMMYFUNCTION("""COMPUTED_VALUE"""),1567.48)</f>
        <v>1567.48</v>
      </c>
      <c r="C61" s="33"/>
      <c r="D61" s="37">
        <f ca="1">IFERROR(__xludf.DUMMYFUNCTION("""COMPUTED_VALUE"""),1567.48)</f>
        <v>1567.48</v>
      </c>
    </row>
    <row r="62" spans="1:4" ht="12.5" x14ac:dyDescent="0.25">
      <c r="A62" s="33" t="str">
        <f ca="1">IFERROR(__xludf.DUMMYFUNCTION("""COMPUTED_VALUE"""),"C1300-24FP-4X")</f>
        <v>C1300-24FP-4X</v>
      </c>
      <c r="B62" s="37">
        <f ca="1">IFERROR(__xludf.DUMMYFUNCTION("""COMPUTED_VALUE"""),2131.86)</f>
        <v>2131.86</v>
      </c>
      <c r="C62" s="33"/>
      <c r="D62" s="37">
        <f ca="1">IFERROR(__xludf.DUMMYFUNCTION("""COMPUTED_VALUE"""),2131.86)</f>
        <v>2131.86</v>
      </c>
    </row>
    <row r="63" spans="1:4" ht="12.5" x14ac:dyDescent="0.25">
      <c r="A63" s="33" t="str">
        <f ca="1">IFERROR(__xludf.DUMMYFUNCTION("""COMPUTED_VALUE"""),"C1300-48T-4X")</f>
        <v>C1300-48T-4X</v>
      </c>
      <c r="B63" s="37">
        <f ca="1">IFERROR(__xludf.DUMMYFUNCTION("""COMPUTED_VALUE"""),2062.75)</f>
        <v>2062.75</v>
      </c>
      <c r="C63" s="33"/>
      <c r="D63" s="37">
        <f ca="1">IFERROR(__xludf.DUMMYFUNCTION("""COMPUTED_VALUE"""),2062.75)</f>
        <v>2062.75</v>
      </c>
    </row>
    <row r="64" spans="1:4" ht="12.5" x14ac:dyDescent="0.25">
      <c r="A64" s="33" t="str">
        <f ca="1">IFERROR(__xludf.DUMMYFUNCTION("""COMPUTED_VALUE"""),"C1300-48P-4X")</f>
        <v>C1300-48P-4X</v>
      </c>
      <c r="B64" s="37">
        <f ca="1">IFERROR(__xludf.DUMMYFUNCTION("""COMPUTED_VALUE"""),2557.45)</f>
        <v>2557.4499999999998</v>
      </c>
      <c r="C64" s="33"/>
      <c r="D64" s="37">
        <f ca="1">IFERROR(__xludf.DUMMYFUNCTION("""COMPUTED_VALUE"""),2557.45)</f>
        <v>2557.4499999999998</v>
      </c>
    </row>
    <row r="65" spans="1:4" ht="12.5" x14ac:dyDescent="0.25">
      <c r="A65" s="33" t="str">
        <f ca="1">IFERROR(__xludf.DUMMYFUNCTION("""COMPUTED_VALUE"""),"C1300-48FP-4X")</f>
        <v>C1300-48FP-4X</v>
      </c>
      <c r="B65" s="37">
        <f ca="1">IFERROR(__xludf.DUMMYFUNCTION("""COMPUTED_VALUE"""),3302.25)</f>
        <v>3302.25</v>
      </c>
      <c r="C65" s="33"/>
      <c r="D65" s="37">
        <f ca="1">IFERROR(__xludf.DUMMYFUNCTION("""COMPUTED_VALUE"""),3302.25)</f>
        <v>3302.25</v>
      </c>
    </row>
    <row r="66" spans="1:4" ht="12.5" x14ac:dyDescent="0.25">
      <c r="A66" s="33" t="str">
        <f ca="1">IFERROR(__xludf.DUMMYFUNCTION("""COMPUTED_VALUE"""),"C1300-12XT-2X")</f>
        <v>C1300-12XT-2X</v>
      </c>
      <c r="B66" s="37">
        <f ca="1">IFERROR(__xludf.DUMMYFUNCTION("""COMPUTED_VALUE"""),2264.01)</f>
        <v>2264.0100000000002</v>
      </c>
      <c r="C66" s="33"/>
      <c r="D66" s="37">
        <f ca="1">IFERROR(__xludf.DUMMYFUNCTION("""COMPUTED_VALUE"""),2264.01)</f>
        <v>2264.0100000000002</v>
      </c>
    </row>
    <row r="67" spans="1:4" ht="12.5" x14ac:dyDescent="0.25">
      <c r="A67" s="33" t="str">
        <f ca="1">IFERROR(__xludf.DUMMYFUNCTION("""COMPUTED_VALUE"""),"C1300-12XS")</f>
        <v>C1300-12XS</v>
      </c>
      <c r="B67" s="37">
        <f ca="1">IFERROR(__xludf.DUMMYFUNCTION("""COMPUTED_VALUE"""),2306.8)</f>
        <v>2306.8000000000002</v>
      </c>
      <c r="C67" s="33"/>
      <c r="D67" s="37">
        <f ca="1">IFERROR(__xludf.DUMMYFUNCTION("""COMPUTED_VALUE"""),2306.8)</f>
        <v>2306.8000000000002</v>
      </c>
    </row>
    <row r="68" spans="1:4" ht="12.5" x14ac:dyDescent="0.25">
      <c r="A68" s="33" t="str">
        <f ca="1">IFERROR(__xludf.DUMMYFUNCTION("""COMPUTED_VALUE"""),"C1300-16XTS")</f>
        <v>C1300-16XTS</v>
      </c>
      <c r="B68" s="37">
        <f ca="1">IFERROR(__xludf.DUMMYFUNCTION("""COMPUTED_VALUE"""),3602.8)</f>
        <v>3602.8</v>
      </c>
      <c r="C68" s="33"/>
      <c r="D68" s="37">
        <f ca="1">IFERROR(__xludf.DUMMYFUNCTION("""COMPUTED_VALUE"""),3602.8)</f>
        <v>3602.8</v>
      </c>
    </row>
    <row r="69" spans="1:4" ht="12.5" x14ac:dyDescent="0.25">
      <c r="A69" s="33" t="str">
        <f ca="1">IFERROR(__xludf.DUMMYFUNCTION("""COMPUTED_VALUE"""),"C1300-24XS")</f>
        <v>C1300-24XS</v>
      </c>
      <c r="B69" s="37">
        <f ca="1">IFERROR(__xludf.DUMMYFUNCTION("""COMPUTED_VALUE"""),3725.66)</f>
        <v>3725.66</v>
      </c>
      <c r="C69" s="33"/>
      <c r="D69" s="37">
        <f ca="1">IFERROR(__xludf.DUMMYFUNCTION("""COMPUTED_VALUE"""),3725.66)</f>
        <v>3725.66</v>
      </c>
    </row>
    <row r="70" spans="1:4" ht="12.5" x14ac:dyDescent="0.25">
      <c r="A70" s="33" t="str">
        <f ca="1">IFERROR(__xludf.DUMMYFUNCTION("""COMPUTED_VALUE"""),"C1300-24XT")</f>
        <v>C1300-24XT</v>
      </c>
      <c r="B70" s="37">
        <f ca="1">IFERROR(__xludf.DUMMYFUNCTION("""COMPUTED_VALUE"""),4790.18)</f>
        <v>4790.18</v>
      </c>
      <c r="C70" s="33"/>
      <c r="D70" s="37">
        <f ca="1">IFERROR(__xludf.DUMMYFUNCTION("""COMPUTED_VALUE"""),4790.18)</f>
        <v>4790.18</v>
      </c>
    </row>
    <row r="71" spans="1:4" ht="12.5" x14ac:dyDescent="0.25">
      <c r="A71" s="33" t="str">
        <f ca="1">IFERROR(__xludf.DUMMYFUNCTION("""COMPUTED_VALUE"""),"C1300-24XTS")</f>
        <v>C1300-24XTS</v>
      </c>
      <c r="B71" s="37">
        <f ca="1">IFERROR(__xludf.DUMMYFUNCTION("""COMPUTED_VALUE"""),4622.36)</f>
        <v>4622.3599999999997</v>
      </c>
      <c r="C71" s="33"/>
      <c r="D71" s="37">
        <f ca="1">IFERROR(__xludf.DUMMYFUNCTION("""COMPUTED_VALUE"""),4622.36)</f>
        <v>4622.3599999999997</v>
      </c>
    </row>
    <row r="72" spans="1:4" ht="12.5" x14ac:dyDescent="0.25">
      <c r="A72" s="33" t="str">
        <f ca="1">IFERROR(__xludf.DUMMYFUNCTION("""COMPUTED_VALUE"""),"C1300X-24T-4X")</f>
        <v>C1300X-24T-4X</v>
      </c>
      <c r="B72" s="37">
        <f ca="1">IFERROR(__xludf.DUMMYFUNCTION("""COMPUTED_VALUE"""),1379.74)</f>
        <v>1379.74</v>
      </c>
      <c r="C72" s="33"/>
      <c r="D72" s="37">
        <f ca="1">IFERROR(__xludf.DUMMYFUNCTION("""COMPUTED_VALUE"""),1379.74)</f>
        <v>1379.74</v>
      </c>
    </row>
    <row r="73" spans="1:4" ht="12.5" x14ac:dyDescent="0.25">
      <c r="A73" s="33" t="str">
        <f ca="1">IFERROR(__xludf.DUMMYFUNCTION("""COMPUTED_VALUE"""),"C1300X-48T-4X")</f>
        <v>C1300X-48T-4X</v>
      </c>
      <c r="B73" s="37">
        <f ca="1">IFERROR(__xludf.DUMMYFUNCTION("""COMPUTED_VALUE"""),2116.76)</f>
        <v>2116.7600000000002</v>
      </c>
      <c r="C73" s="33"/>
      <c r="D73" s="37">
        <f ca="1">IFERROR(__xludf.DUMMYFUNCTION("""COMPUTED_VALUE"""),2116.76)</f>
        <v>2116.7600000000002</v>
      </c>
    </row>
    <row r="74" spans="1:4" ht="12.5" x14ac:dyDescent="0.25">
      <c r="A74" s="33" t="str">
        <f ca="1">IFERROR(__xludf.DUMMYFUNCTION("""COMPUTED_VALUE"""),"C1300X-24P-4X")</f>
        <v>C1300X-24P-4X</v>
      </c>
      <c r="B74" s="37">
        <f ca="1">IFERROR(__xludf.DUMMYFUNCTION("""COMPUTED_VALUE"""),2238.02)</f>
        <v>2238.02</v>
      </c>
      <c r="C74" s="33"/>
      <c r="D74" s="37">
        <f ca="1">IFERROR(__xludf.DUMMYFUNCTION("""COMPUTED_VALUE"""),2238.02)</f>
        <v>2238.02</v>
      </c>
    </row>
    <row r="75" spans="1:4" ht="12.5" x14ac:dyDescent="0.25">
      <c r="A75" s="33" t="str">
        <f ca="1">IFERROR(__xludf.DUMMYFUNCTION("""COMPUTED_VALUE"""),"C1300X-48P-4X")</f>
        <v>C1300X-48P-4X</v>
      </c>
      <c r="B75" s="37">
        <f ca="1">IFERROR(__xludf.DUMMYFUNCTION("""COMPUTED_VALUE"""),3466.95)</f>
        <v>3466.95</v>
      </c>
      <c r="C75" s="33"/>
      <c r="D75" s="37">
        <f ca="1">IFERROR(__xludf.DUMMYFUNCTION("""COMPUTED_VALUE"""),3466.95)</f>
        <v>3466.95</v>
      </c>
    </row>
    <row r="76" spans="1:4" ht="12.5" x14ac:dyDescent="0.25">
      <c r="A76" s="33" t="str">
        <f ca="1">IFERROR(__xludf.DUMMYFUNCTION("""COMPUTED_VALUE"""),"C9500-32C")</f>
        <v>C9500-32C</v>
      </c>
      <c r="B76" s="37">
        <f ca="1">IFERROR(__xludf.DUMMYFUNCTION("""COMPUTED_VALUE"""),86779.49)</f>
        <v>86779.49</v>
      </c>
      <c r="C76" s="33"/>
      <c r="D76" s="37">
        <f ca="1">IFERROR(__xludf.DUMMYFUNCTION("""COMPUTED_VALUE"""),86779.49)</f>
        <v>86779.49</v>
      </c>
    </row>
    <row r="77" spans="1:4" ht="12.5" x14ac:dyDescent="0.25">
      <c r="A77" s="33" t="str">
        <f ca="1">IFERROR(__xludf.DUMMYFUNCTION("""COMPUTED_VALUE"""),"C9500-32QC")</f>
        <v>C9500-32QC</v>
      </c>
      <c r="B77" s="37">
        <f ca="1">IFERROR(__xludf.DUMMYFUNCTION("""COMPUTED_VALUE"""),78332.98)</f>
        <v>78332.98</v>
      </c>
      <c r="C77" s="33"/>
      <c r="D77" s="37">
        <f ca="1">IFERROR(__xludf.DUMMYFUNCTION("""COMPUTED_VALUE"""),78332.98)</f>
        <v>78332.98</v>
      </c>
    </row>
    <row r="78" spans="1:4" ht="12.5" x14ac:dyDescent="0.25">
      <c r="A78" s="33" t="str">
        <f ca="1">IFERROR(__xludf.DUMMYFUNCTION("""COMPUTED_VALUE"""),"C9500-48Y4C")</f>
        <v>C9500-48Y4C</v>
      </c>
      <c r="B78" s="37">
        <f ca="1">IFERROR(__xludf.DUMMYFUNCTION("""COMPUTED_VALUE"""),66036.97)</f>
        <v>66036.97</v>
      </c>
      <c r="C78" s="33"/>
      <c r="D78" s="37">
        <f ca="1">IFERROR(__xludf.DUMMYFUNCTION("""COMPUTED_VALUE"""),66036.97)</f>
        <v>66036.97</v>
      </c>
    </row>
    <row r="79" spans="1:4" ht="12.5" x14ac:dyDescent="0.25">
      <c r="A79" s="33" t="str">
        <f ca="1">IFERROR(__xludf.DUMMYFUNCTION("""COMPUTED_VALUE"""),"C9500-24Y4C")</f>
        <v>C9500-24Y4C</v>
      </c>
      <c r="B79" s="37">
        <f ca="1">IFERROR(__xludf.DUMMYFUNCTION("""COMPUTED_VALUE"""),55686.03)</f>
        <v>55686.03</v>
      </c>
      <c r="C79" s="33"/>
      <c r="D79" s="37">
        <f ca="1">IFERROR(__xludf.DUMMYFUNCTION("""COMPUTED_VALUE"""),55686.03)</f>
        <v>55686.03</v>
      </c>
    </row>
    <row r="80" spans="1:4" ht="12.5" x14ac:dyDescent="0.25">
      <c r="A80" s="33" t="str">
        <f ca="1">IFERROR(__xludf.DUMMYFUNCTION("""COMPUTED_VALUE"""),"C9500X-28C8D")</f>
        <v>C9500X-28C8D</v>
      </c>
      <c r="B80" s="37">
        <f ca="1">IFERROR(__xludf.DUMMYFUNCTION("""COMPUTED_VALUE"""),170302.47)</f>
        <v>170302.47</v>
      </c>
      <c r="C80" s="33"/>
      <c r="D80" s="37">
        <f ca="1">IFERROR(__xludf.DUMMYFUNCTION("""COMPUTED_VALUE"""),170302.47)</f>
        <v>170302.47</v>
      </c>
    </row>
    <row r="81" spans="1:4" ht="12.5" x14ac:dyDescent="0.25">
      <c r="A81" s="33" t="str">
        <f ca="1">IFERROR(__xludf.DUMMYFUNCTION("""COMPUTED_VALUE"""),"C9500X-60L4D")</f>
        <v>C9500X-60L4D</v>
      </c>
      <c r="B81" s="37">
        <f ca="1">IFERROR(__xludf.DUMMYFUNCTION("""COMPUTED_VALUE"""),130669.25)</f>
        <v>130669.25</v>
      </c>
      <c r="C81" s="33"/>
      <c r="D81" s="37">
        <f ca="1">IFERROR(__xludf.DUMMYFUNCTION("""COMPUTED_VALUE"""),130669.25)</f>
        <v>130669.25</v>
      </c>
    </row>
    <row r="82" spans="1:4" ht="12.5" x14ac:dyDescent="0.25">
      <c r="A82" s="33" t="str">
        <f ca="1">IFERROR(__xludf.DUMMYFUNCTION("""COMPUTED_VALUE"""),"C9500-16X")</f>
        <v>C9500-16X</v>
      </c>
      <c r="B82" s="37">
        <f ca="1">IFERROR(__xludf.DUMMYFUNCTION("""COMPUTED_VALUE"""),41745.39)</f>
        <v>41745.39</v>
      </c>
      <c r="C82" s="33"/>
      <c r="D82" s="37">
        <f ca="1">IFERROR(__xludf.DUMMYFUNCTION("""COMPUTED_VALUE"""),41745.39)</f>
        <v>41745.39</v>
      </c>
    </row>
    <row r="83" spans="1:4" ht="12.5" x14ac:dyDescent="0.25">
      <c r="A83" s="33" t="str">
        <f ca="1">IFERROR(__xludf.DUMMYFUNCTION("""COMPUTED_VALUE"""),"APIC-CLUSTERG5")</f>
        <v>APIC-CLUSTERG5</v>
      </c>
      <c r="B83" s="37">
        <f ca="1">IFERROR(__xludf.DUMMYFUNCTION("""COMPUTED_VALUE"""),161856.78)</f>
        <v>161856.78</v>
      </c>
      <c r="C83" s="33"/>
      <c r="D83" s="37">
        <f ca="1">IFERROR(__xludf.DUMMYFUNCTION("""COMPUTED_VALUE"""),161856.78)</f>
        <v>161856.78</v>
      </c>
    </row>
    <row r="84" spans="1:4" ht="12.5" x14ac:dyDescent="0.25">
      <c r="A84" s="33" t="str">
        <f ca="1">IFERROR(__xludf.DUMMYFUNCTION("""COMPUTED_VALUE"""),"N9K-C9504")</f>
        <v>N9K-C9504</v>
      </c>
      <c r="B84" s="37">
        <f ca="1">IFERROR(__xludf.DUMMYFUNCTION("""COMPUTED_VALUE"""),383674.39)</f>
        <v>383674.39</v>
      </c>
      <c r="C84" s="33"/>
      <c r="D84" s="37">
        <f ca="1">IFERROR(__xludf.DUMMYFUNCTION("""COMPUTED_VALUE"""),383674.39)</f>
        <v>383674.39</v>
      </c>
    </row>
    <row r="85" spans="1:4" ht="12.5" x14ac:dyDescent="0.25">
      <c r="A85" s="33" t="str">
        <f ca="1">IFERROR(__xludf.DUMMYFUNCTION("""COMPUTED_VALUE"""),"N9K-C9508")</f>
        <v>N9K-C9508</v>
      </c>
      <c r="B85" s="37">
        <f ca="1">IFERROR(__xludf.DUMMYFUNCTION("""COMPUTED_VALUE"""),645324.61)</f>
        <v>645324.61</v>
      </c>
      <c r="C85" s="33"/>
      <c r="D85" s="37">
        <f ca="1">IFERROR(__xludf.DUMMYFUNCTION("""COMPUTED_VALUE"""),645324.61)</f>
        <v>645324.61</v>
      </c>
    </row>
    <row r="86" spans="1:4" ht="12.5" x14ac:dyDescent="0.25">
      <c r="A86" s="33" t="str">
        <f ca="1">IFERROR(__xludf.DUMMYFUNCTION("""COMPUTED_VALUE"""),"N9K-C9516")</f>
        <v>N9K-C9516</v>
      </c>
      <c r="B86" s="37">
        <f ca="1">IFERROR(__xludf.DUMMYFUNCTION("""COMPUTED_VALUE"""),761874.61)</f>
        <v>761874.61</v>
      </c>
      <c r="C86" s="33"/>
      <c r="D86" s="37">
        <f ca="1">IFERROR(__xludf.DUMMYFUNCTION("""COMPUTED_VALUE"""),761874.61)</f>
        <v>761874.61</v>
      </c>
    </row>
    <row r="87" spans="1:4" ht="12.5" x14ac:dyDescent="0.25">
      <c r="A87" s="33" t="str">
        <f ca="1">IFERROR(__xludf.DUMMYFUNCTION("""COMPUTED_VALUE"""),"N9K-X9736C-FX3=")</f>
        <v>N9K-X9736C-FX3=</v>
      </c>
      <c r="B87" s="37">
        <f ca="1">IFERROR(__xludf.DUMMYFUNCTION("""COMPUTED_VALUE"""),59012.02)</f>
        <v>59012.02</v>
      </c>
      <c r="C87" s="33"/>
      <c r="D87" s="37">
        <f ca="1">IFERROR(__xludf.DUMMYFUNCTION("""COMPUTED_VALUE"""),59012.02)</f>
        <v>59012.02</v>
      </c>
    </row>
    <row r="88" spans="1:4" ht="12.5" x14ac:dyDescent="0.25">
      <c r="A88" s="33" t="str">
        <f ca="1">IFERROR(__xludf.DUMMYFUNCTION("""COMPUTED_VALUE"""),"N9K-C9364C-GX")</f>
        <v>N9K-C9364C-GX</v>
      </c>
      <c r="B88" s="37">
        <f ca="1">IFERROR(__xludf.DUMMYFUNCTION("""COMPUTED_VALUE"""),150153.17)</f>
        <v>150153.17000000001</v>
      </c>
      <c r="C88" s="33"/>
      <c r="D88" s="37">
        <f ca="1">IFERROR(__xludf.DUMMYFUNCTION("""COMPUTED_VALUE"""),150153.17)</f>
        <v>150153.17000000001</v>
      </c>
    </row>
    <row r="89" spans="1:4" ht="12.5" x14ac:dyDescent="0.25">
      <c r="A89" s="33" t="str">
        <f ca="1">IFERROR(__xludf.DUMMYFUNCTION("""COMPUTED_VALUE"""),"N9K-C9316D-GX")</f>
        <v>N9K-C9316D-GX</v>
      </c>
      <c r="B89" s="37">
        <f ca="1">IFERROR(__xludf.DUMMYFUNCTION("""COMPUTED_VALUE"""),125701.93)</f>
        <v>125701.93</v>
      </c>
      <c r="C89" s="37">
        <f ca="1">IFERROR(__xludf.DUMMYFUNCTION("""COMPUTED_VALUE"""),26500)</f>
        <v>26500</v>
      </c>
      <c r="D89" s="37">
        <f ca="1">IFERROR(__xludf.DUMMYFUNCTION("""COMPUTED_VALUE"""),26500)</f>
        <v>26500</v>
      </c>
    </row>
    <row r="90" spans="1:4" ht="12.5" x14ac:dyDescent="0.25">
      <c r="A90" s="33" t="str">
        <f ca="1">IFERROR(__xludf.DUMMYFUNCTION("""COMPUTED_VALUE"""),"N9K-C93600CD-GX")</f>
        <v>N9K-C93600CD-GX</v>
      </c>
      <c r="B90" s="37">
        <f ca="1">IFERROR(__xludf.DUMMYFUNCTION("""COMPUTED_VALUE"""),121246.9)</f>
        <v>121246.9</v>
      </c>
      <c r="C90" s="37">
        <f ca="1">IFERROR(__xludf.DUMMYFUNCTION("""COMPUTED_VALUE"""),32500)</f>
        <v>32500</v>
      </c>
      <c r="D90" s="37">
        <f ca="1">IFERROR(__xludf.DUMMYFUNCTION("""COMPUTED_VALUE"""),32500)</f>
        <v>32500</v>
      </c>
    </row>
    <row r="91" spans="1:4" ht="12.5" x14ac:dyDescent="0.25">
      <c r="A91" s="33" t="str">
        <f ca="1">IFERROR(__xludf.DUMMYFUNCTION("""COMPUTED_VALUE"""),"N9K-C93180YC-FX3")</f>
        <v>N9K-C93180YC-FX3</v>
      </c>
      <c r="B91" s="37">
        <f ca="1">IFERROR(__xludf.DUMMYFUNCTION("""COMPUTED_VALUE"""),73302.82)</f>
        <v>73302.820000000007</v>
      </c>
      <c r="C91" s="37">
        <f ca="1">IFERROR(__xludf.DUMMYFUNCTION("""COMPUTED_VALUE"""),192000)</f>
        <v>192000</v>
      </c>
      <c r="D91" s="37">
        <f ca="1">IFERROR(__xludf.DUMMYFUNCTION("""COMPUTED_VALUE"""),192000)</f>
        <v>192000</v>
      </c>
    </row>
    <row r="92" spans="1:4" ht="12.5" x14ac:dyDescent="0.25">
      <c r="A92" s="33" t="str">
        <f ca="1">IFERROR(__xludf.DUMMYFUNCTION("""COMPUTED_VALUE"""),"N9K-C93240YC-FX2")</f>
        <v>N9K-C93240YC-FX2</v>
      </c>
      <c r="B92" s="37">
        <f ca="1">IFERROR(__xludf.DUMMYFUNCTION("""COMPUTED_VALUE"""),81871.35)</f>
        <v>81871.350000000006</v>
      </c>
      <c r="C92" s="33"/>
      <c r="D92" s="37">
        <f ca="1">IFERROR(__xludf.DUMMYFUNCTION("""COMPUTED_VALUE"""),81871.35)</f>
        <v>81871.350000000006</v>
      </c>
    </row>
    <row r="93" spans="1:4" ht="12.5" x14ac:dyDescent="0.25">
      <c r="A93" s="33" t="str">
        <f ca="1">IFERROR(__xludf.DUMMYFUNCTION("""COMPUTED_VALUE"""),"N9K-C93360YC-FX2")</f>
        <v>N9K-C93360YC-FX2</v>
      </c>
      <c r="B93" s="37">
        <f ca="1">IFERROR(__xludf.DUMMYFUNCTION("""COMPUTED_VALUE"""),95456.27)</f>
        <v>95456.27</v>
      </c>
      <c r="C93" s="33"/>
      <c r="D93" s="37">
        <f ca="1">IFERROR(__xludf.DUMMYFUNCTION("""COMPUTED_VALUE"""),95456.27)</f>
        <v>95456.27</v>
      </c>
    </row>
    <row r="94" spans="1:4" ht="12.5" x14ac:dyDescent="0.25">
      <c r="A94" s="33" t="str">
        <f ca="1">IFERROR(__xludf.DUMMYFUNCTION("""COMPUTED_VALUE"""),"N9K-C93216TC-FX2")</f>
        <v>N9K-C93216TC-FX2</v>
      </c>
      <c r="B94" s="37">
        <f ca="1">IFERROR(__xludf.DUMMYFUNCTION("""COMPUTED_VALUE"""),95212.19)</f>
        <v>95212.19</v>
      </c>
      <c r="C94" s="33"/>
      <c r="D94" s="37">
        <f ca="1">IFERROR(__xludf.DUMMYFUNCTION("""COMPUTED_VALUE"""),95212.19)</f>
        <v>95212.19</v>
      </c>
    </row>
    <row r="95" spans="1:4" ht="12.5" x14ac:dyDescent="0.25">
      <c r="A95" s="33" t="str">
        <f ca="1">IFERROR(__xludf.DUMMYFUNCTION("""COMPUTED_VALUE"""),"N9K-C93108TC-FX3")</f>
        <v>N9K-C93108TC-FX3</v>
      </c>
      <c r="B95" s="37">
        <f ca="1">IFERROR(__xludf.DUMMYFUNCTION("""COMPUTED_VALUE"""),78416.27)</f>
        <v>78416.27</v>
      </c>
      <c r="C95" s="33"/>
      <c r="D95" s="37">
        <f ca="1">IFERROR(__xludf.DUMMYFUNCTION("""COMPUTED_VALUE"""),78416.27)</f>
        <v>78416.27</v>
      </c>
    </row>
    <row r="96" spans="1:4" ht="12.5" x14ac:dyDescent="0.25">
      <c r="A96" s="33" t="str">
        <f ca="1">IFERROR(__xludf.DUMMYFUNCTION("""COMPUTED_VALUE"""),"N9K-C9348GC-FX3")</f>
        <v>N9K-C9348GC-FX3</v>
      </c>
      <c r="B96" s="37">
        <f ca="1">IFERROR(__xludf.DUMMYFUNCTION("""COMPUTED_VALUE"""),32577.06)</f>
        <v>32577.06</v>
      </c>
      <c r="C96" s="33"/>
      <c r="D96" s="37">
        <f ca="1">IFERROR(__xludf.DUMMYFUNCTION("""COMPUTED_VALUE"""),32577.06)</f>
        <v>32577.06</v>
      </c>
    </row>
    <row r="97" spans="1:4" ht="12.5" x14ac:dyDescent="0.25">
      <c r="A97" s="33" t="str">
        <f ca="1">IFERROR(__xludf.DUMMYFUNCTION("""COMPUTED_VALUE"""),"C1161X-8P")</f>
        <v>C1161X-8P</v>
      </c>
      <c r="B97" s="37">
        <f ca="1">IFERROR(__xludf.DUMMYFUNCTION("""COMPUTED_VALUE"""),10265.06)</f>
        <v>10265.06</v>
      </c>
      <c r="C97" s="33"/>
      <c r="D97" s="37">
        <f ca="1">IFERROR(__xludf.DUMMYFUNCTION("""COMPUTED_VALUE"""),10265.06)</f>
        <v>10265.06</v>
      </c>
    </row>
    <row r="98" spans="1:4" ht="12.5" x14ac:dyDescent="0.25">
      <c r="A98" s="33" t="str">
        <f ca="1">IFERROR(__xludf.DUMMYFUNCTION("""COMPUTED_VALUE"""),"C1127-8PLTEP")</f>
        <v>C1127-8PLTEP</v>
      </c>
      <c r="B98" s="37">
        <f ca="1">IFERROR(__xludf.DUMMYFUNCTION("""COMPUTED_VALUE"""),8935.48)</f>
        <v>8935.48</v>
      </c>
      <c r="C98" s="33"/>
      <c r="D98" s="37">
        <f ca="1">IFERROR(__xludf.DUMMYFUNCTION("""COMPUTED_VALUE"""),8935.48)</f>
        <v>8935.48</v>
      </c>
    </row>
    <row r="99" spans="1:4" ht="12.5" x14ac:dyDescent="0.25">
      <c r="A99" s="33" t="str">
        <f ca="1">IFERROR(__xludf.DUMMYFUNCTION("""COMPUTED_VALUE"""),"C1117-4P")</f>
        <v>C1117-4P</v>
      </c>
      <c r="B99" s="37">
        <f ca="1">IFERROR(__xludf.DUMMYFUNCTION("""COMPUTED_VALUE"""),8519.2)</f>
        <v>8519.2000000000007</v>
      </c>
      <c r="C99" s="33"/>
      <c r="D99" s="37">
        <f ca="1">IFERROR(__xludf.DUMMYFUNCTION("""COMPUTED_VALUE"""),8519.2)</f>
        <v>8519.2000000000007</v>
      </c>
    </row>
    <row r="100" spans="1:4" ht="12.5" x14ac:dyDescent="0.25">
      <c r="A100" s="33" t="str">
        <f ca="1">IFERROR(__xludf.DUMMYFUNCTION("""COMPUTED_VALUE"""),"C1109-4PLTE2P")</f>
        <v>C1109-4PLTE2P</v>
      </c>
      <c r="B100" s="37">
        <f ca="1">IFERROR(__xludf.DUMMYFUNCTION("""COMPUTED_VALUE"""),9070.11)</f>
        <v>9070.11</v>
      </c>
      <c r="C100" s="33"/>
      <c r="D100" s="37">
        <f ca="1">IFERROR(__xludf.DUMMYFUNCTION("""COMPUTED_VALUE"""),9070.11)</f>
        <v>9070.11</v>
      </c>
    </row>
    <row r="101" spans="1:4" ht="12.5" x14ac:dyDescent="0.25">
      <c r="A101" s="33" t="str">
        <f ca="1">IFERROR(__xludf.DUMMYFUNCTION("""COMPUTED_VALUE"""),"C1161-8P")</f>
        <v>C1161-8P</v>
      </c>
      <c r="B101" s="37">
        <f ca="1">IFERROR(__xludf.DUMMYFUNCTION("""COMPUTED_VALUE"""),9713.63)</f>
        <v>9713.6299999999992</v>
      </c>
      <c r="C101" s="33"/>
      <c r="D101" s="37">
        <f ca="1">IFERROR(__xludf.DUMMYFUNCTION("""COMPUTED_VALUE"""),9713.63)</f>
        <v>9713.6299999999992</v>
      </c>
    </row>
    <row r="102" spans="1:4" ht="12.5" x14ac:dyDescent="0.25">
      <c r="A102" s="33" t="str">
        <f ca="1">IFERROR(__xludf.DUMMYFUNCTION("""COMPUTED_VALUE"""),"C1131-8PWS")</f>
        <v>C1131-8PWS</v>
      </c>
      <c r="B102" s="37">
        <f ca="1">IFERROR(__xludf.DUMMYFUNCTION("""COMPUTED_VALUE"""),8922.97)</f>
        <v>8922.9699999999993</v>
      </c>
      <c r="C102" s="33"/>
      <c r="D102" s="37">
        <f ca="1">IFERROR(__xludf.DUMMYFUNCTION("""COMPUTED_VALUE"""),8922.97)</f>
        <v>8922.9699999999993</v>
      </c>
    </row>
    <row r="103" spans="1:4" ht="12.5" x14ac:dyDescent="0.25">
      <c r="A103" s="33" t="str">
        <f ca="1">IFERROR(__xludf.DUMMYFUNCTION("""COMPUTED_VALUE"""),"C1131X-8PWS")</f>
        <v>C1131X-8PWS</v>
      </c>
      <c r="B103" s="37">
        <f ca="1">IFERROR(__xludf.DUMMYFUNCTION("""COMPUTED_VALUE"""),9142.75)</f>
        <v>9142.75</v>
      </c>
      <c r="C103" s="33"/>
      <c r="D103" s="37">
        <f ca="1">IFERROR(__xludf.DUMMYFUNCTION("""COMPUTED_VALUE"""),9142.75)</f>
        <v>9142.75</v>
      </c>
    </row>
    <row r="104" spans="1:4" ht="12.5" x14ac:dyDescent="0.25">
      <c r="A104" s="33" t="str">
        <f ca="1">IFERROR(__xludf.DUMMYFUNCTION("""COMPUTED_VALUE"""),"C1121-4P")</f>
        <v>C1121-4P</v>
      </c>
      <c r="B104" s="37">
        <f ca="1">IFERROR(__xludf.DUMMYFUNCTION("""COMPUTED_VALUE"""),8003.54999999999)</f>
        <v>8003.5499999999902</v>
      </c>
      <c r="C104" s="33"/>
      <c r="D104" s="37">
        <f ca="1">IFERROR(__xludf.DUMMYFUNCTION("""COMPUTED_VALUE"""),8003.54999999999)</f>
        <v>8003.5499999999902</v>
      </c>
    </row>
    <row r="105" spans="1:4" ht="12.5" x14ac:dyDescent="0.25">
      <c r="A105" s="33" t="str">
        <f ca="1">IFERROR(__xludf.DUMMYFUNCTION("""COMPUTED_VALUE"""),"C1121-8P")</f>
        <v>C1121-8P</v>
      </c>
      <c r="B105" s="37">
        <f ca="1">IFERROR(__xludf.DUMMYFUNCTION("""COMPUTED_VALUE"""),8311.31)</f>
        <v>8311.31</v>
      </c>
      <c r="C105" s="33"/>
      <c r="D105" s="37">
        <f ca="1">IFERROR(__xludf.DUMMYFUNCTION("""COMPUTED_VALUE"""),8311.31)</f>
        <v>8311.31</v>
      </c>
    </row>
    <row r="106" spans="1:4" ht="12.5" x14ac:dyDescent="0.25">
      <c r="A106" s="33" t="str">
        <f ca="1">IFERROR(__xludf.DUMMYFUNCTION("""COMPUTED_VALUE"""),"C1116-4P")</f>
        <v>C1116-4P</v>
      </c>
      <c r="B106" s="37">
        <f ca="1">IFERROR(__xludf.DUMMYFUNCTION("""COMPUTED_VALUE"""),8519.2)</f>
        <v>8519.2000000000007</v>
      </c>
      <c r="C106" s="33"/>
      <c r="D106" s="37">
        <f ca="1">IFERROR(__xludf.DUMMYFUNCTION("""COMPUTED_VALUE"""),8519.2)</f>
        <v>8519.2000000000007</v>
      </c>
    </row>
    <row r="107" spans="1:4" ht="12.5" x14ac:dyDescent="0.25">
      <c r="A107" s="33" t="str">
        <f ca="1">IFERROR(__xludf.DUMMYFUNCTION("""COMPUTED_VALUE"""),"C1112-8P")</f>
        <v>C1112-8P</v>
      </c>
      <c r="B107" s="37">
        <f ca="1">IFERROR(__xludf.DUMMYFUNCTION("""COMPUTED_VALUE"""),9556.93999999999)</f>
        <v>9556.9399999999896</v>
      </c>
      <c r="C107" s="33"/>
      <c r="D107" s="37">
        <f ca="1">IFERROR(__xludf.DUMMYFUNCTION("""COMPUTED_VALUE"""),9556.93999999999)</f>
        <v>9556.9399999999896</v>
      </c>
    </row>
    <row r="108" spans="1:4" ht="12.5" x14ac:dyDescent="0.25">
      <c r="A108" s="33" t="str">
        <f ca="1">IFERROR(__xludf.DUMMYFUNCTION("""COMPUTED_VALUE"""),"C8355-G2 (Default Routing)")</f>
        <v>C8355-G2 (Default Routing)</v>
      </c>
      <c r="B108" s="37">
        <f ca="1">IFERROR(__xludf.DUMMYFUNCTION("""COMPUTED_VALUE"""),24102.27)</f>
        <v>24102.27</v>
      </c>
      <c r="C108" s="33"/>
      <c r="D108" s="37">
        <f ca="1">IFERROR(__xludf.DUMMYFUNCTION("""COMPUTED_VALUE"""),24102.27)</f>
        <v>24102.27</v>
      </c>
    </row>
    <row r="109" spans="1:4" ht="12.5" x14ac:dyDescent="0.25">
      <c r="A109" s="33" t="str">
        <f ca="1">IFERROR(__xludf.DUMMYFUNCTION("""COMPUTED_VALUE"""),"C8355-G2 (Adv Routing)")</f>
        <v>C8355-G2 (Adv Routing)</v>
      </c>
      <c r="B109" s="37">
        <f ca="1">IFERROR(__xludf.DUMMYFUNCTION("""COMPUTED_VALUE"""),34182.27)</f>
        <v>34182.269999999997</v>
      </c>
      <c r="C109" s="33"/>
      <c r="D109" s="37">
        <f ca="1">IFERROR(__xludf.DUMMYFUNCTION("""COMPUTED_VALUE"""),34182.27)</f>
        <v>34182.269999999997</v>
      </c>
    </row>
    <row r="110" spans="1:4" ht="12.5" x14ac:dyDescent="0.25">
      <c r="A110" s="33" t="str">
        <f ca="1">IFERROR(__xludf.DUMMYFUNCTION("""COMPUTED_VALUE"""),"C8355-G2 (SDWAN)")</f>
        <v>C8355-G2 (SDWAN)</v>
      </c>
      <c r="B110" s="37">
        <f ca="1">IFERROR(__xludf.DUMMYFUNCTION("""COMPUTED_VALUE"""),38286.27)</f>
        <v>38286.269999999997</v>
      </c>
      <c r="C110" s="33"/>
      <c r="D110" s="37">
        <f ca="1">IFERROR(__xludf.DUMMYFUNCTION("""COMPUTED_VALUE"""),38286.27)</f>
        <v>38286.269999999997</v>
      </c>
    </row>
    <row r="111" spans="1:4" ht="12.5" x14ac:dyDescent="0.25">
      <c r="A111" s="33" t="str">
        <f ca="1">IFERROR(__xludf.DUMMYFUNCTION("""COMPUTED_VALUE"""),"C8355-G2 (Full Adds On)")</f>
        <v>C8355-G2 (Full Adds On)</v>
      </c>
      <c r="B111" s="37">
        <f ca="1">IFERROR(__xludf.DUMMYFUNCTION("""COMPUTED_VALUE"""),40122.27)</f>
        <v>40122.269999999997</v>
      </c>
      <c r="C111" s="33"/>
      <c r="D111" s="37">
        <f ca="1">IFERROR(__xludf.DUMMYFUNCTION("""COMPUTED_VALUE"""),40122.27)</f>
        <v>40122.269999999997</v>
      </c>
    </row>
    <row r="112" spans="1:4" ht="12.5" x14ac:dyDescent="0.25">
      <c r="A112" s="33" t="str">
        <f ca="1">IFERROR(__xludf.DUMMYFUNCTION("""COMPUTED_VALUE"""),"C8375-E-G2 (Default Routing)")</f>
        <v>C8375-E-G2 (Default Routing)</v>
      </c>
      <c r="B112" s="37">
        <f ca="1">IFERROR(__xludf.DUMMYFUNCTION("""COMPUTED_VALUE"""),40699.17)</f>
        <v>40699.17</v>
      </c>
      <c r="C112" s="33"/>
      <c r="D112" s="37">
        <f ca="1">IFERROR(__xludf.DUMMYFUNCTION("""COMPUTED_VALUE"""),40699.17)</f>
        <v>40699.17</v>
      </c>
    </row>
    <row r="113" spans="1:4" ht="12.5" x14ac:dyDescent="0.25">
      <c r="A113" s="33" t="str">
        <f ca="1">IFERROR(__xludf.DUMMYFUNCTION("""COMPUTED_VALUE"""),"C8375-E-G2 (Adv Routing)")</f>
        <v>C8375-E-G2 (Adv Routing)</v>
      </c>
      <c r="B113" s="37">
        <f ca="1">IFERROR(__xludf.DUMMYFUNCTION("""COMPUTED_VALUE"""),50779.17)</f>
        <v>50779.17</v>
      </c>
      <c r="C113" s="33"/>
      <c r="D113" s="37">
        <f ca="1">IFERROR(__xludf.DUMMYFUNCTION("""COMPUTED_VALUE"""),50779.17)</f>
        <v>50779.17</v>
      </c>
    </row>
    <row r="114" spans="1:4" ht="12.5" x14ac:dyDescent="0.25">
      <c r="A114" s="33" t="str">
        <f ca="1">IFERROR(__xludf.DUMMYFUNCTION("""COMPUTED_VALUE"""),"C8375-E-G2 (SDWAN)")</f>
        <v>C8375-E-G2 (SDWAN)</v>
      </c>
      <c r="B114" s="37">
        <f ca="1">IFERROR(__xludf.DUMMYFUNCTION("""COMPUTED_VALUE"""),54883.17)</f>
        <v>54883.17</v>
      </c>
      <c r="C114" s="33"/>
      <c r="D114" s="37">
        <f ca="1">IFERROR(__xludf.DUMMYFUNCTION("""COMPUTED_VALUE"""),54883.17)</f>
        <v>54883.17</v>
      </c>
    </row>
    <row r="115" spans="1:4" ht="12.5" x14ac:dyDescent="0.25">
      <c r="A115" s="33" t="str">
        <f ca="1">IFERROR(__xludf.DUMMYFUNCTION("""COMPUTED_VALUE"""),"C8375-E-G2 (Full Adds On)")</f>
        <v>C8375-E-G2 (Full Adds On)</v>
      </c>
      <c r="B115" s="37">
        <f ca="1">IFERROR(__xludf.DUMMYFUNCTION("""COMPUTED_VALUE"""),56719.17)</f>
        <v>56719.17</v>
      </c>
      <c r="C115" s="33"/>
      <c r="D115" s="37">
        <f ca="1">IFERROR(__xludf.DUMMYFUNCTION("""COMPUTED_VALUE"""),56719.17)</f>
        <v>56719.17</v>
      </c>
    </row>
    <row r="116" spans="1:4" ht="12.5" x14ac:dyDescent="0.25">
      <c r="A116" s="33" t="str">
        <f ca="1">IFERROR(__xludf.DUMMYFUNCTION("""COMPUTED_VALUE"""),"C8550-G2 (Default Routing)")</f>
        <v>C8550-G2 (Default Routing)</v>
      </c>
      <c r="B116" s="37">
        <f ca="1">IFERROR(__xludf.DUMMYFUNCTION("""COMPUTED_VALUE"""),164387.73)</f>
        <v>164387.73000000001</v>
      </c>
      <c r="C116" s="33"/>
      <c r="D116" s="37">
        <f ca="1">IFERROR(__xludf.DUMMYFUNCTION("""COMPUTED_VALUE"""),164387.73)</f>
        <v>164387.73000000001</v>
      </c>
    </row>
    <row r="117" spans="1:4" ht="12.5" x14ac:dyDescent="0.25">
      <c r="A117" s="33" t="str">
        <f ca="1">IFERROR(__xludf.DUMMYFUNCTION("""COMPUTED_VALUE"""),"C8550-G2 (Adv Routing)")</f>
        <v>C8550-G2 (Adv Routing)</v>
      </c>
      <c r="B117" s="37">
        <f ca="1">IFERROR(__xludf.DUMMYFUNCTION("""COMPUTED_VALUE"""),197987.73)</f>
        <v>197987.73</v>
      </c>
      <c r="C117" s="33"/>
      <c r="D117" s="37">
        <f ca="1">IFERROR(__xludf.DUMMYFUNCTION("""COMPUTED_VALUE"""),197987.73)</f>
        <v>197987.73</v>
      </c>
    </row>
    <row r="118" spans="1:4" ht="12.5" x14ac:dyDescent="0.25">
      <c r="A118" s="33" t="str">
        <f ca="1">IFERROR(__xludf.DUMMYFUNCTION("""COMPUTED_VALUE"""),"C8550-G2 (SDWAN)")</f>
        <v>C8550-G2 (SDWAN)</v>
      </c>
      <c r="B118" s="37">
        <f ca="1">IFERROR(__xludf.DUMMYFUNCTION("""COMPUTED_VALUE"""),219575.73)</f>
        <v>219575.73</v>
      </c>
      <c r="C118" s="33"/>
      <c r="D118" s="37">
        <f ca="1">IFERROR(__xludf.DUMMYFUNCTION("""COMPUTED_VALUE"""),219575.73)</f>
        <v>219575.73</v>
      </c>
    </row>
    <row r="119" spans="1:4" ht="12.5" x14ac:dyDescent="0.25">
      <c r="A119" s="33" t="str">
        <f ca="1">IFERROR(__xludf.DUMMYFUNCTION("""COMPUTED_VALUE"""),"C8570-G2 (Default Routing)")</f>
        <v>C8570-G2 (Default Routing)</v>
      </c>
      <c r="B119" s="37">
        <f ca="1">IFERROR(__xludf.DUMMYFUNCTION("""COMPUTED_VALUE"""),229697.16)</f>
        <v>229697.16</v>
      </c>
      <c r="C119" s="33"/>
      <c r="D119" s="37">
        <f ca="1">IFERROR(__xludf.DUMMYFUNCTION("""COMPUTED_VALUE"""),229697.16)</f>
        <v>229697.16</v>
      </c>
    </row>
    <row r="120" spans="1:4" ht="12.5" x14ac:dyDescent="0.25">
      <c r="A120" s="33" t="str">
        <f ca="1">IFERROR(__xludf.DUMMYFUNCTION("""COMPUTED_VALUE"""),"C8570-G2 (Adv Routing)")</f>
        <v>C8570-G2 (Adv Routing)</v>
      </c>
      <c r="B120" s="37">
        <f ca="1">IFERROR(__xludf.DUMMYFUNCTION("""COMPUTED_VALUE"""),263297.16)</f>
        <v>263297.15999999997</v>
      </c>
      <c r="C120" s="33"/>
      <c r="D120" s="37">
        <f ca="1">IFERROR(__xludf.DUMMYFUNCTION("""COMPUTED_VALUE"""),263297.16)</f>
        <v>263297.15999999997</v>
      </c>
    </row>
    <row r="121" spans="1:4" ht="12.5" x14ac:dyDescent="0.25">
      <c r="A121" s="33" t="str">
        <f ca="1">IFERROR(__xludf.DUMMYFUNCTION("""COMPUTED_VALUE"""),"C8570-G2 (SDWAN)")</f>
        <v>C8570-G2 (SDWAN)</v>
      </c>
      <c r="B121" s="37">
        <f ca="1">IFERROR(__xludf.DUMMYFUNCTION("""COMPUTED_VALUE"""),284885.16)</f>
        <v>284885.15999999997</v>
      </c>
      <c r="C121" s="33"/>
      <c r="D121" s="37">
        <f ca="1">IFERROR(__xludf.DUMMYFUNCTION("""COMPUTED_VALUE"""),284885.16)</f>
        <v>284885.15999999997</v>
      </c>
    </row>
    <row r="122" spans="1:4" ht="12.5" x14ac:dyDescent="0.25">
      <c r="A122" s="33" t="str">
        <f ca="1">IFERROR(__xludf.DUMMYFUNCTION("""COMPUTED_VALUE"""),"C8455-G2 (Default Routing)")</f>
        <v>C8455-G2 (Default Routing)</v>
      </c>
      <c r="B122" s="37">
        <f ca="1">IFERROR(__xludf.DUMMYFUNCTION("""COMPUTED_VALUE"""),55540.54)</f>
        <v>55540.54</v>
      </c>
      <c r="C122" s="33"/>
      <c r="D122" s="37">
        <f ca="1">IFERROR(__xludf.DUMMYFUNCTION("""COMPUTED_VALUE"""),55540.54)</f>
        <v>55540.54</v>
      </c>
    </row>
    <row r="123" spans="1:4" ht="12.5" x14ac:dyDescent="0.25">
      <c r="A123" s="33" t="str">
        <f ca="1">IFERROR(__xludf.DUMMYFUNCTION("""COMPUTED_VALUE"""),"C8455-G2 (Adv Routing)")</f>
        <v>C8455-G2 (Adv Routing)</v>
      </c>
      <c r="B123" s="37">
        <f ca="1">IFERROR(__xludf.DUMMYFUNCTION("""COMPUTED_VALUE"""),89140.54)</f>
        <v>89140.54</v>
      </c>
      <c r="C123" s="33"/>
      <c r="D123" s="37">
        <f ca="1">IFERROR(__xludf.DUMMYFUNCTION("""COMPUTED_VALUE"""),89140.54)</f>
        <v>89140.54</v>
      </c>
    </row>
    <row r="124" spans="1:4" ht="12.5" x14ac:dyDescent="0.25">
      <c r="A124" s="33" t="str">
        <f ca="1">IFERROR(__xludf.DUMMYFUNCTION("""COMPUTED_VALUE"""),"C8455-G2 (SDWAN)")</f>
        <v>C8455-G2 (SDWAN)</v>
      </c>
      <c r="B124" s="37">
        <f ca="1">IFERROR(__xludf.DUMMYFUNCTION("""COMPUTED_VALUE"""),110728.54)</f>
        <v>110728.54</v>
      </c>
      <c r="C124" s="33"/>
      <c r="D124" s="37">
        <f ca="1">IFERROR(__xludf.DUMMYFUNCTION("""COMPUTED_VALUE"""),110728.54)</f>
        <v>110728.54</v>
      </c>
    </row>
    <row r="125" spans="1:4" ht="12.5" x14ac:dyDescent="0.25">
      <c r="A125" s="33" t="str">
        <f ca="1">IFERROR(__xludf.DUMMYFUNCTION("""COMPUTED_VALUE"""),"C8455-G2 (Full Adds On)")</f>
        <v>C8455-G2 (Full Adds On)</v>
      </c>
      <c r="B125" s="37">
        <f ca="1">IFERROR(__xludf.DUMMYFUNCTION("""COMPUTED_VALUE"""),114400.54)</f>
        <v>114400.54</v>
      </c>
      <c r="C125" s="33"/>
      <c r="D125" s="37">
        <f ca="1">IFERROR(__xludf.DUMMYFUNCTION("""COMPUTED_VALUE"""),114400.54)</f>
        <v>114400.54</v>
      </c>
    </row>
    <row r="126" spans="1:4" ht="12.5" x14ac:dyDescent="0.25">
      <c r="A126" s="33" t="str">
        <f ca="1">IFERROR(__xludf.DUMMYFUNCTION("""COMPUTED_VALUE"""),"C8475-G2 (Default Routing)")</f>
        <v>C8475-G2 (Default Routing)</v>
      </c>
      <c r="B126" s="37">
        <f ca="1">IFERROR(__xludf.DUMMYFUNCTION("""COMPUTED_VALUE"""),99078.32)</f>
        <v>99078.32</v>
      </c>
      <c r="C126" s="33"/>
      <c r="D126" s="37">
        <f ca="1">IFERROR(__xludf.DUMMYFUNCTION("""COMPUTED_VALUE"""),99078.32)</f>
        <v>99078.32</v>
      </c>
    </row>
    <row r="127" spans="1:4" ht="12.5" x14ac:dyDescent="0.25">
      <c r="A127" s="33" t="str">
        <f ca="1">IFERROR(__xludf.DUMMYFUNCTION("""COMPUTED_VALUE"""),"C8475-G2 (Adv Routing)")</f>
        <v>C8475-G2 (Adv Routing)</v>
      </c>
      <c r="B127" s="37">
        <f ca="1">IFERROR(__xludf.DUMMYFUNCTION("""COMPUTED_VALUE"""),132678.32)</f>
        <v>132678.32</v>
      </c>
      <c r="C127" s="33"/>
      <c r="D127" s="37">
        <f ca="1">IFERROR(__xludf.DUMMYFUNCTION("""COMPUTED_VALUE"""),132678.32)</f>
        <v>132678.32</v>
      </c>
    </row>
    <row r="128" spans="1:4" ht="12.5" x14ac:dyDescent="0.25">
      <c r="A128" s="33" t="str">
        <f ca="1">IFERROR(__xludf.DUMMYFUNCTION("""COMPUTED_VALUE"""),"C8475-G2 (SDWAN)")</f>
        <v>C8475-G2 (SDWAN)</v>
      </c>
      <c r="B128" s="37">
        <f ca="1">IFERROR(__xludf.DUMMYFUNCTION("""COMPUTED_VALUE"""),154266.32)</f>
        <v>154266.32</v>
      </c>
      <c r="C128" s="33"/>
      <c r="D128" s="37">
        <f ca="1">IFERROR(__xludf.DUMMYFUNCTION("""COMPUTED_VALUE"""),154266.32)</f>
        <v>154266.32</v>
      </c>
    </row>
    <row r="129" spans="1:4" ht="12.5" x14ac:dyDescent="0.25">
      <c r="A129" s="33" t="str">
        <f ca="1">IFERROR(__xludf.DUMMYFUNCTION("""COMPUTED_VALUE"""),"C8475-G2 (Full Adds On)")</f>
        <v>C8475-G2 (Full Adds On)</v>
      </c>
      <c r="B129" s="37">
        <f ca="1">IFERROR(__xludf.DUMMYFUNCTION("""COMPUTED_VALUE"""),157938.32)</f>
        <v>157938.32</v>
      </c>
      <c r="C129" s="33"/>
      <c r="D129" s="37">
        <f ca="1">IFERROR(__xludf.DUMMYFUNCTION("""COMPUTED_VALUE"""),157938.32)</f>
        <v>157938.32</v>
      </c>
    </row>
    <row r="130" spans="1:4" ht="12.5" x14ac:dyDescent="0.25">
      <c r="A130" s="33" t="str">
        <f ca="1">IFERROR(__xludf.DUMMYFUNCTION("""COMPUTED_VALUE"""),"C8235-E-G2 (Default Routing)")</f>
        <v>C8235-E-G2 (Default Routing)</v>
      </c>
      <c r="B130" s="37">
        <f ca="1">IFERROR(__xludf.DUMMYFUNCTION("""COMPUTED_VALUE"""),12676)</f>
        <v>12676</v>
      </c>
      <c r="C130" s="33"/>
      <c r="D130" s="37">
        <f ca="1">IFERROR(__xludf.DUMMYFUNCTION("""COMPUTED_VALUE"""),12676)</f>
        <v>12676</v>
      </c>
    </row>
    <row r="131" spans="1:4" ht="12.5" x14ac:dyDescent="0.25">
      <c r="A131" s="33" t="str">
        <f ca="1">IFERROR(__xludf.DUMMYFUNCTION("""COMPUTED_VALUE"""),"C8235-E-G2 (Adv Routing)")</f>
        <v>C8235-E-G2 (Adv Routing)</v>
      </c>
      <c r="B131" s="37">
        <f ca="1">IFERROR(__xludf.DUMMYFUNCTION("""COMPUTED_VALUE"""),16708)</f>
        <v>16708</v>
      </c>
      <c r="C131" s="33"/>
      <c r="D131" s="37">
        <f ca="1">IFERROR(__xludf.DUMMYFUNCTION("""COMPUTED_VALUE"""),16708)</f>
        <v>16708</v>
      </c>
    </row>
    <row r="132" spans="1:4" ht="12.5" x14ac:dyDescent="0.25">
      <c r="A132" s="33" t="str">
        <f ca="1">IFERROR(__xludf.DUMMYFUNCTION("""COMPUTED_VALUE"""),"C8235-E-G2 (SDWAN)")</f>
        <v>C8235-E-G2 (SDWAN)</v>
      </c>
      <c r="B132" s="37">
        <f ca="1">IFERROR(__xludf.DUMMYFUNCTION("""COMPUTED_VALUE"""),17356)</f>
        <v>17356</v>
      </c>
      <c r="C132" s="33"/>
      <c r="D132" s="37">
        <f ca="1">IFERROR(__xludf.DUMMYFUNCTION("""COMPUTED_VALUE"""),17356)</f>
        <v>17356</v>
      </c>
    </row>
    <row r="133" spans="1:4" ht="12.5" x14ac:dyDescent="0.25">
      <c r="A133" s="33" t="str">
        <f ca="1">IFERROR(__xludf.DUMMYFUNCTION("""COMPUTED_VALUE"""),"C8235-E-G2 (Full Adds On)")</f>
        <v>C8235-E-G2 (Full Adds On)</v>
      </c>
      <c r="B133" s="37">
        <f ca="1">IFERROR(__xludf.DUMMYFUNCTION("""COMPUTED_VALUE"""),18004)</f>
        <v>18004</v>
      </c>
      <c r="C133" s="33"/>
      <c r="D133" s="37">
        <f ca="1">IFERROR(__xludf.DUMMYFUNCTION("""COMPUTED_VALUE"""),18004)</f>
        <v>18004</v>
      </c>
    </row>
    <row r="134" spans="1:4" ht="12.5" x14ac:dyDescent="0.25">
      <c r="A134" s="33" t="str">
        <f ca="1">IFERROR(__xludf.DUMMYFUNCTION("""COMPUTED_VALUE"""),"C8231-E-G2 (Default Routing)")</f>
        <v>C8231-E-G2 (Default Routing)</v>
      </c>
      <c r="B134" s="37">
        <f ca="1">IFERROR(__xludf.DUMMYFUNCTION("""COMPUTED_VALUE"""),10123.96)</f>
        <v>10123.959999999999</v>
      </c>
      <c r="C134" s="33"/>
      <c r="D134" s="37">
        <f ca="1">IFERROR(__xludf.DUMMYFUNCTION("""COMPUTED_VALUE"""),10123.96)</f>
        <v>10123.959999999999</v>
      </c>
    </row>
    <row r="135" spans="1:4" ht="12.5" x14ac:dyDescent="0.25">
      <c r="A135" s="33" t="str">
        <f ca="1">IFERROR(__xludf.DUMMYFUNCTION("""COMPUTED_VALUE"""),"C8231-E-G2 (Adv Routing)")</f>
        <v>C8231-E-G2 (Adv Routing)</v>
      </c>
      <c r="B135" s="37">
        <f ca="1">IFERROR(__xludf.DUMMYFUNCTION("""COMPUTED_VALUE"""),14155.96)</f>
        <v>14155.96</v>
      </c>
      <c r="C135" s="33"/>
      <c r="D135" s="37">
        <f ca="1">IFERROR(__xludf.DUMMYFUNCTION("""COMPUTED_VALUE"""),14155.96)</f>
        <v>14155.96</v>
      </c>
    </row>
    <row r="136" spans="1:4" ht="12.5" x14ac:dyDescent="0.25">
      <c r="A136" s="33" t="str">
        <f ca="1">IFERROR(__xludf.DUMMYFUNCTION("""COMPUTED_VALUE"""),"C8231-E-G2 (SDWAN)")</f>
        <v>C8231-E-G2 (SDWAN)</v>
      </c>
      <c r="B136" s="37">
        <f ca="1">IFERROR(__xludf.DUMMYFUNCTION("""COMPUTED_VALUE"""),14803.96)</f>
        <v>14803.96</v>
      </c>
      <c r="C136" s="33"/>
      <c r="D136" s="37">
        <f ca="1">IFERROR(__xludf.DUMMYFUNCTION("""COMPUTED_VALUE"""),14803.96)</f>
        <v>14803.96</v>
      </c>
    </row>
    <row r="137" spans="1:4" ht="12.5" x14ac:dyDescent="0.25">
      <c r="A137" s="33" t="str">
        <f ca="1">IFERROR(__xludf.DUMMYFUNCTION("""COMPUTED_VALUE"""),"C8231-E-G2 (Full Adds On)")</f>
        <v>C8231-E-G2 (Full Adds On)</v>
      </c>
      <c r="B137" s="37">
        <f ca="1">IFERROR(__xludf.DUMMYFUNCTION("""COMPUTED_VALUE"""),15451.96)</f>
        <v>15451.96</v>
      </c>
      <c r="C137" s="33"/>
      <c r="D137" s="37">
        <f ca="1">IFERROR(__xludf.DUMMYFUNCTION("""COMPUTED_VALUE"""),15451.96)</f>
        <v>15451.96</v>
      </c>
    </row>
    <row r="138" spans="1:4" ht="12.5" x14ac:dyDescent="0.25">
      <c r="A138" s="33" t="str">
        <f ca="1">IFERROR(__xludf.DUMMYFUNCTION("""COMPUTED_VALUE"""),"C8235-G2 (Default Routing)")</f>
        <v>C8235-G2 (Default Routing)</v>
      </c>
      <c r="B138" s="37">
        <f ca="1">IFERROR(__xludf.DUMMYFUNCTION("""COMPUTED_VALUE"""),10306.39)</f>
        <v>10306.39</v>
      </c>
      <c r="C138" s="33"/>
      <c r="D138" s="37">
        <f ca="1">IFERROR(__xludf.DUMMYFUNCTION("""COMPUTED_VALUE"""),10306.39)</f>
        <v>10306.39</v>
      </c>
    </row>
    <row r="139" spans="1:4" ht="12.5" x14ac:dyDescent="0.25">
      <c r="A139" s="33" t="str">
        <f ca="1">IFERROR(__xludf.DUMMYFUNCTION("""COMPUTED_VALUE"""),"C8235-G2 (Adv Routing)")</f>
        <v>C8235-G2 (Adv Routing)</v>
      </c>
      <c r="B139" s="37">
        <f ca="1">IFERROR(__xludf.DUMMYFUNCTION("""COMPUTED_VALUE"""),14338.39)</f>
        <v>14338.39</v>
      </c>
      <c r="C139" s="33"/>
      <c r="D139" s="37">
        <f ca="1">IFERROR(__xludf.DUMMYFUNCTION("""COMPUTED_VALUE"""),14338.39)</f>
        <v>14338.39</v>
      </c>
    </row>
    <row r="140" spans="1:4" ht="12.5" x14ac:dyDescent="0.25">
      <c r="A140" s="33" t="str">
        <f ca="1">IFERROR(__xludf.DUMMYFUNCTION("""COMPUTED_VALUE"""),"C8235-G2 (SDWAN)")</f>
        <v>C8235-G2 (SDWAN)</v>
      </c>
      <c r="B140" s="37">
        <f ca="1">IFERROR(__xludf.DUMMYFUNCTION("""COMPUTED_VALUE"""),14986.39)</f>
        <v>14986.39</v>
      </c>
      <c r="C140" s="33"/>
      <c r="D140" s="37">
        <f ca="1">IFERROR(__xludf.DUMMYFUNCTION("""COMPUTED_VALUE"""),14986.39)</f>
        <v>14986.39</v>
      </c>
    </row>
    <row r="141" spans="1:4" ht="12.5" x14ac:dyDescent="0.25">
      <c r="A141" s="33" t="str">
        <f ca="1">IFERROR(__xludf.DUMMYFUNCTION("""COMPUTED_VALUE"""),"C8235-G2 (Full Adds On)")</f>
        <v>C8235-G2 (Full Adds On)</v>
      </c>
      <c r="B141" s="37">
        <f ca="1">IFERROR(__xludf.DUMMYFUNCTION("""COMPUTED_VALUE"""),15634.39)</f>
        <v>15634.39</v>
      </c>
      <c r="C141" s="33"/>
      <c r="D141" s="37">
        <f ca="1">IFERROR(__xludf.DUMMYFUNCTION("""COMPUTED_VALUE"""),15634.39)</f>
        <v>15634.39</v>
      </c>
    </row>
    <row r="142" spans="1:4" ht="12.5" x14ac:dyDescent="0.25">
      <c r="A142" s="33" t="str">
        <f ca="1">IFERROR(__xludf.DUMMYFUNCTION("""COMPUTED_VALUE"""),"C8231-G2 (Default Routing)")</f>
        <v>C8231-G2 (Default Routing)</v>
      </c>
      <c r="B142" s="37">
        <f ca="1">IFERROR(__xludf.DUMMYFUNCTION("""COMPUTED_VALUE"""),6545.14)</f>
        <v>6545.14</v>
      </c>
      <c r="C142" s="33"/>
      <c r="D142" s="37">
        <f ca="1">IFERROR(__xludf.DUMMYFUNCTION("""COMPUTED_VALUE"""),6545.14)</f>
        <v>6545.14</v>
      </c>
    </row>
    <row r="143" spans="1:4" ht="12.5" x14ac:dyDescent="0.25">
      <c r="A143" s="33" t="str">
        <f ca="1">IFERROR(__xludf.DUMMYFUNCTION("""COMPUTED_VALUE"""),"C8231-G2 (Adv Routing)")</f>
        <v>C8231-G2 (Adv Routing)</v>
      </c>
      <c r="B143" s="37">
        <f ca="1">IFERROR(__xludf.DUMMYFUNCTION("""COMPUTED_VALUE"""),10577.14)</f>
        <v>10577.14</v>
      </c>
      <c r="C143" s="33"/>
      <c r="D143" s="37">
        <f ca="1">IFERROR(__xludf.DUMMYFUNCTION("""COMPUTED_VALUE"""),10577.14)</f>
        <v>10577.14</v>
      </c>
    </row>
    <row r="144" spans="1:4" ht="12.5" x14ac:dyDescent="0.25">
      <c r="A144" s="33" t="str">
        <f ca="1">IFERROR(__xludf.DUMMYFUNCTION("""COMPUTED_VALUE"""),"C8231-G2 (SDWAN)")</f>
        <v>C8231-G2 (SDWAN)</v>
      </c>
      <c r="B144" s="37">
        <f ca="1">IFERROR(__xludf.DUMMYFUNCTION("""COMPUTED_VALUE"""),11225.14)</f>
        <v>11225.14</v>
      </c>
      <c r="C144" s="33"/>
      <c r="D144" s="37">
        <f ca="1">IFERROR(__xludf.DUMMYFUNCTION("""COMPUTED_VALUE"""),11225.14)</f>
        <v>11225.14</v>
      </c>
    </row>
    <row r="145" spans="1:4" ht="12.5" x14ac:dyDescent="0.25">
      <c r="A145" s="33" t="str">
        <f ca="1">IFERROR(__xludf.DUMMYFUNCTION("""COMPUTED_VALUE"""),"C8231-G2 (Full Adds On)")</f>
        <v>C8231-G2 (Full Adds On)</v>
      </c>
      <c r="B145" s="37">
        <f ca="1">IFERROR(__xludf.DUMMYFUNCTION("""COMPUTED_VALUE"""),11873.14)</f>
        <v>11873.14</v>
      </c>
      <c r="C145" s="33"/>
      <c r="D145" s="37">
        <f ca="1">IFERROR(__xludf.DUMMYFUNCTION("""COMPUTED_VALUE"""),11873.14)</f>
        <v>11873.14</v>
      </c>
    </row>
    <row r="146" spans="1:4" ht="12.5" x14ac:dyDescent="0.25">
      <c r="A146" s="33" t="str">
        <f ca="1">IFERROR(__xludf.DUMMYFUNCTION("""COMPUTED_VALUE"""),"C8130-G2 (Default Routing)")</f>
        <v>C8130-G2 (Default Routing)</v>
      </c>
      <c r="B146" s="37">
        <f ca="1">IFERROR(__xludf.DUMMYFUNCTION("""COMPUTED_VALUE"""),2142.02)</f>
        <v>2142.02</v>
      </c>
      <c r="C146" s="33"/>
      <c r="D146" s="37">
        <f ca="1">IFERROR(__xludf.DUMMYFUNCTION("""COMPUTED_VALUE"""),2142.02)</f>
        <v>2142.02</v>
      </c>
    </row>
    <row r="147" spans="1:4" ht="12.5" x14ac:dyDescent="0.25">
      <c r="A147" s="33" t="str">
        <f ca="1">IFERROR(__xludf.DUMMYFUNCTION("""COMPUTED_VALUE"""),"C8130-G2 (Adv Routing)")</f>
        <v>C8130-G2 (Adv Routing)</v>
      </c>
      <c r="B147" s="37">
        <f ca="1">IFERROR(__xludf.DUMMYFUNCTION("""COMPUTED_VALUE"""),3822.02)</f>
        <v>3822.02</v>
      </c>
      <c r="C147" s="33"/>
      <c r="D147" s="37">
        <f ca="1">IFERROR(__xludf.DUMMYFUNCTION("""COMPUTED_VALUE"""),3822.02)</f>
        <v>3822.02</v>
      </c>
    </row>
    <row r="148" spans="1:4" ht="12.5" x14ac:dyDescent="0.25">
      <c r="A148" s="33" t="str">
        <f ca="1">IFERROR(__xludf.DUMMYFUNCTION("""COMPUTED_VALUE"""),"C8131-G2 (Default Routing)")</f>
        <v>C8131-G2 (Default Routing)</v>
      </c>
      <c r="B148" s="37">
        <f ca="1">IFERROR(__xludf.DUMMYFUNCTION("""COMPUTED_VALUE"""),2559.26)</f>
        <v>2559.2600000000002</v>
      </c>
      <c r="C148" s="33"/>
      <c r="D148" s="37">
        <f ca="1">IFERROR(__xludf.DUMMYFUNCTION("""COMPUTED_VALUE"""),2559.26)</f>
        <v>2559.2600000000002</v>
      </c>
    </row>
    <row r="149" spans="1:4" ht="12.5" x14ac:dyDescent="0.25">
      <c r="A149" s="33" t="str">
        <f ca="1">IFERROR(__xludf.DUMMYFUNCTION("""COMPUTED_VALUE"""),"C8131-G2 (Adv Routing)")</f>
        <v>C8131-G2 (Adv Routing)</v>
      </c>
      <c r="B149" s="37">
        <f ca="1">IFERROR(__xludf.DUMMYFUNCTION("""COMPUTED_VALUE"""),4239.26)</f>
        <v>4239.26</v>
      </c>
      <c r="C149" s="33"/>
      <c r="D149" s="37">
        <f ca="1">IFERROR(__xludf.DUMMYFUNCTION("""COMPUTED_VALUE"""),4239.26)</f>
        <v>4239.26</v>
      </c>
    </row>
    <row r="150" spans="1:4" ht="12.5" x14ac:dyDescent="0.25">
      <c r="A150" s="33" t="str">
        <f ca="1">IFERROR(__xludf.DUMMYFUNCTION("""COMPUTED_VALUE"""),"C8131-G2 (SDWAN)")</f>
        <v>C8131-G2 (SDWAN)</v>
      </c>
      <c r="B150" s="37">
        <f ca="1">IFERROR(__xludf.DUMMYFUNCTION("""COMPUTED_VALUE"""),4575.26)</f>
        <v>4575.26</v>
      </c>
      <c r="C150" s="33"/>
      <c r="D150" s="37">
        <f ca="1">IFERROR(__xludf.DUMMYFUNCTION("""COMPUTED_VALUE"""),4575.26)</f>
        <v>4575.26</v>
      </c>
    </row>
    <row r="151" spans="1:4" ht="12.5" x14ac:dyDescent="0.25">
      <c r="A151" s="33" t="str">
        <f ca="1">IFERROR(__xludf.DUMMYFUNCTION("""COMPUTED_VALUE"""),"C8131-G2 (Full Adds On)")</f>
        <v>C8131-G2 (Full Adds On)</v>
      </c>
      <c r="B151" s="37">
        <f ca="1">IFERROR(__xludf.DUMMYFUNCTION("""COMPUTED_VALUE"""),4899.26)</f>
        <v>4899.26</v>
      </c>
      <c r="C151" s="33"/>
      <c r="D151" s="37">
        <f ca="1">IFERROR(__xludf.DUMMYFUNCTION("""COMPUTED_VALUE"""),4899.26)</f>
        <v>4899.26</v>
      </c>
    </row>
    <row r="152" spans="1:4" ht="12.5" x14ac:dyDescent="0.25">
      <c r="A152" s="33" t="str">
        <f ca="1">IFERROR(__xludf.DUMMYFUNCTION("""COMPUTED_VALUE"""),"C8140-G2 (Default Routing)")</f>
        <v>C8140-G2 (Default Routing)</v>
      </c>
      <c r="B152" s="37">
        <f ca="1">IFERROR(__xludf.DUMMYFUNCTION("""COMPUTED_VALUE"""),2563.32)</f>
        <v>2563.3200000000002</v>
      </c>
      <c r="C152" s="33"/>
      <c r="D152" s="37">
        <f ca="1">IFERROR(__xludf.DUMMYFUNCTION("""COMPUTED_VALUE"""),2563.32)</f>
        <v>2563.3200000000002</v>
      </c>
    </row>
    <row r="153" spans="1:4" ht="12.5" x14ac:dyDescent="0.25">
      <c r="A153" s="33" t="str">
        <f ca="1">IFERROR(__xludf.DUMMYFUNCTION("""COMPUTED_VALUE"""),"C8140-G2 (Adv Routing)")</f>
        <v>C8140-G2 (Adv Routing)</v>
      </c>
      <c r="B153" s="37">
        <f ca="1">IFERROR(__xludf.DUMMYFUNCTION("""COMPUTED_VALUE"""),4243.32)</f>
        <v>4243.32</v>
      </c>
      <c r="C153" s="33"/>
      <c r="D153" s="37">
        <f ca="1">IFERROR(__xludf.DUMMYFUNCTION("""COMPUTED_VALUE"""),4243.32)</f>
        <v>4243.32</v>
      </c>
    </row>
    <row r="154" spans="1:4" ht="12.5" x14ac:dyDescent="0.25">
      <c r="A154" s="33" t="str">
        <f ca="1">IFERROR(__xludf.DUMMYFUNCTION("""COMPUTED_VALUE"""),"C8151-G2 (Default Routing)")</f>
        <v>C8151-G2 (Default Routing)</v>
      </c>
      <c r="B154" s="37">
        <f ca="1">IFERROR(__xludf.DUMMYFUNCTION("""COMPUTED_VALUE"""),3265.48)</f>
        <v>3265.48</v>
      </c>
      <c r="C154" s="33"/>
      <c r="D154" s="37">
        <f ca="1">IFERROR(__xludf.DUMMYFUNCTION("""COMPUTED_VALUE"""),3265.48)</f>
        <v>3265.48</v>
      </c>
    </row>
    <row r="155" spans="1:4" ht="12.5" x14ac:dyDescent="0.25">
      <c r="A155" s="33" t="str">
        <f ca="1">IFERROR(__xludf.DUMMYFUNCTION("""COMPUTED_VALUE"""),"C8151-G2 (Adv Routing)")</f>
        <v>C8151-G2 (Adv Routing)</v>
      </c>
      <c r="B155" s="37">
        <f ca="1">IFERROR(__xludf.DUMMYFUNCTION("""COMPUTED_VALUE"""),4945.48)</f>
        <v>4945.4799999999996</v>
      </c>
      <c r="C155" s="33"/>
      <c r="D155" s="37">
        <f ca="1">IFERROR(__xludf.DUMMYFUNCTION("""COMPUTED_VALUE"""),4945.48)</f>
        <v>4945.4799999999996</v>
      </c>
    </row>
    <row r="156" spans="1:4" ht="12.5" x14ac:dyDescent="0.25">
      <c r="A156" s="33" t="str">
        <f ca="1">IFERROR(__xludf.DUMMYFUNCTION("""COMPUTED_VALUE"""),"C8151-G2 (SDWAN)")</f>
        <v>C8151-G2 (SDWAN)</v>
      </c>
      <c r="B156" s="37">
        <f ca="1">IFERROR(__xludf.DUMMYFUNCTION("""COMPUTED_VALUE"""),5281.48)</f>
        <v>5281.48</v>
      </c>
      <c r="C156" s="33"/>
      <c r="D156" s="37">
        <f ca="1">IFERROR(__xludf.DUMMYFUNCTION("""COMPUTED_VALUE"""),5281.48)</f>
        <v>5281.48</v>
      </c>
    </row>
    <row r="157" spans="1:4" ht="12.5" x14ac:dyDescent="0.25">
      <c r="A157" s="33" t="str">
        <f ca="1">IFERROR(__xludf.DUMMYFUNCTION("""COMPUTED_VALUE"""),"C8151-G2 (Full Adds On)")</f>
        <v>C8151-G2 (Full Adds On)</v>
      </c>
      <c r="B157" s="37">
        <f ca="1">IFERROR(__xludf.DUMMYFUNCTION("""COMPUTED_VALUE"""),5605.48)</f>
        <v>5605.48</v>
      </c>
      <c r="C157" s="33"/>
      <c r="D157" s="37">
        <f ca="1">IFERROR(__xludf.DUMMYFUNCTION("""COMPUTED_VALUE"""),5605.48)</f>
        <v>5605.48</v>
      </c>
    </row>
    <row r="158" spans="1:4" ht="12.5" x14ac:dyDescent="0.25">
      <c r="A158" s="33" t="str">
        <f ca="1">IFERROR(__xludf.DUMMYFUNCTION("""COMPUTED_VALUE"""),"C8161-G2 (Default Routing)")</f>
        <v>C8161-G2 (Default Routing)</v>
      </c>
      <c r="B158" s="37">
        <f ca="1">IFERROR(__xludf.DUMMYFUNCTION("""COMPUTED_VALUE"""),3824.45)</f>
        <v>3824.45</v>
      </c>
      <c r="C158" s="33"/>
      <c r="D158" s="37">
        <f ca="1">IFERROR(__xludf.DUMMYFUNCTION("""COMPUTED_VALUE"""),3824.45)</f>
        <v>3824.45</v>
      </c>
    </row>
    <row r="159" spans="1:4" ht="12.5" x14ac:dyDescent="0.25">
      <c r="A159" s="33" t="str">
        <f ca="1">IFERROR(__xludf.DUMMYFUNCTION("""COMPUTED_VALUE"""),"C8161-G2 (Adv Routing)")</f>
        <v>C8161-G2 (Adv Routing)</v>
      </c>
      <c r="B159" s="37">
        <f ca="1">IFERROR(__xludf.DUMMYFUNCTION("""COMPUTED_VALUE"""),5504.45)</f>
        <v>5504.45</v>
      </c>
      <c r="C159" s="33"/>
      <c r="D159" s="37">
        <f ca="1">IFERROR(__xludf.DUMMYFUNCTION("""COMPUTED_VALUE"""),5504.45)</f>
        <v>5504.45</v>
      </c>
    </row>
    <row r="160" spans="1:4" ht="12.5" x14ac:dyDescent="0.25">
      <c r="A160" s="33" t="str">
        <f ca="1">IFERROR(__xludf.DUMMYFUNCTION("""COMPUTED_VALUE"""),"C8161-G2 (SDWAN)")</f>
        <v>C8161-G2 (SDWAN)</v>
      </c>
      <c r="B160" s="37">
        <f ca="1">IFERROR(__xludf.DUMMYFUNCTION("""COMPUTED_VALUE"""),5840.45)</f>
        <v>5840.45</v>
      </c>
      <c r="C160" s="33"/>
      <c r="D160" s="37">
        <f ca="1">IFERROR(__xludf.DUMMYFUNCTION("""COMPUTED_VALUE"""),5840.45)</f>
        <v>5840.45</v>
      </c>
    </row>
    <row r="161" spans="1:4" ht="12.5" x14ac:dyDescent="0.25">
      <c r="A161" s="33" t="str">
        <f ca="1">IFERROR(__xludf.DUMMYFUNCTION("""COMPUTED_VALUE"""),"C8161-G2 (Full Adds On)")</f>
        <v>C8161-G2 (Full Adds On)</v>
      </c>
      <c r="B161" s="37">
        <f ca="1">IFERROR(__xludf.DUMMYFUNCTION("""COMPUTED_VALUE"""),6164.45)</f>
        <v>6164.45</v>
      </c>
      <c r="C161" s="33"/>
      <c r="D161" s="37">
        <f ca="1">IFERROR(__xludf.DUMMYFUNCTION("""COMPUTED_VALUE"""),6164.45)</f>
        <v>6164.45</v>
      </c>
    </row>
    <row r="162" spans="1:4" ht="12.5" x14ac:dyDescent="0.25">
      <c r="A162" s="33" t="str">
        <f ca="1">IFERROR(__xludf.DUMMYFUNCTION("""COMPUTED_VALUE"""),"100GQSFP-LR4-4=")</f>
        <v>100GQSFP-LR4-4=</v>
      </c>
      <c r="B162" s="37">
        <f ca="1">IFERROR(__xludf.DUMMYFUNCTION("""COMPUTED_VALUE"""),36510.54)</f>
        <v>36510.54</v>
      </c>
      <c r="C162" s="33"/>
      <c r="D162" s="37">
        <f ca="1">IFERROR(__xludf.DUMMYFUNCTION("""COMPUTED_VALUE"""),36510.54)</f>
        <v>36510.54</v>
      </c>
    </row>
    <row r="163" spans="1:4" ht="12.5" x14ac:dyDescent="0.25">
      <c r="A163" s="33" t="str">
        <f ca="1">IFERROR(__xludf.DUMMYFUNCTION("""COMPUTED_VALUE"""),"QSFP-100G-LR-S=")</f>
        <v>QSFP-100G-LR-S=</v>
      </c>
      <c r="B163" s="37">
        <f ca="1">IFERROR(__xludf.DUMMYFUNCTION("""COMPUTED_VALUE"""),4130.83)</f>
        <v>4130.83</v>
      </c>
      <c r="C163" s="33"/>
      <c r="D163" s="37">
        <f ca="1">IFERROR(__xludf.DUMMYFUNCTION("""COMPUTED_VALUE"""),4130.83)</f>
        <v>4130.83</v>
      </c>
    </row>
    <row r="164" spans="1:4" ht="12.5" x14ac:dyDescent="0.25">
      <c r="A164" s="33" t="str">
        <f ca="1">IFERROR(__xludf.DUMMYFUNCTION("""COMPUTED_VALUE"""),"QSFP-100G-ER4L-S=")</f>
        <v>QSFP-100G-ER4L-S=</v>
      </c>
      <c r="B164" s="37">
        <f ca="1">IFERROR(__xludf.DUMMYFUNCTION("""COMPUTED_VALUE"""),91270.27)</f>
        <v>91270.27</v>
      </c>
      <c r="C164" s="33"/>
      <c r="D164" s="37">
        <f ca="1">IFERROR(__xludf.DUMMYFUNCTION("""COMPUTED_VALUE"""),91270.27)</f>
        <v>91270.27</v>
      </c>
    </row>
    <row r="165" spans="1:4" ht="12.5" x14ac:dyDescent="0.25">
      <c r="A165" s="33" t="str">
        <f ca="1">IFERROR(__xludf.DUMMYFUNCTION("""COMPUTED_VALUE"""),"QSFP-100G-ZR4-S=")</f>
        <v>QSFP-100G-ZR4-S=</v>
      </c>
      <c r="B165" s="37">
        <f ca="1">IFERROR(__xludf.DUMMYFUNCTION("""COMPUTED_VALUE"""),36190)</f>
        <v>36190</v>
      </c>
      <c r="C165" s="33"/>
      <c r="D165" s="37">
        <f ca="1">IFERROR(__xludf.DUMMYFUNCTION("""COMPUTED_VALUE"""),36190)</f>
        <v>36190</v>
      </c>
    </row>
    <row r="166" spans="1:4" ht="12.5" x14ac:dyDescent="0.25">
      <c r="A166" s="33" t="str">
        <f ca="1">IFERROR(__xludf.DUMMYFUNCTION("""COMPUTED_VALUE"""),"SFP-10G-SR=")</f>
        <v>SFP-10G-SR=</v>
      </c>
      <c r="B166" s="37">
        <f ca="1">IFERROR(__xludf.DUMMYFUNCTION("""COMPUTED_VALUE"""),1210.94)</f>
        <v>1210.94</v>
      </c>
      <c r="C166" s="33"/>
      <c r="D166" s="37">
        <f ca="1">IFERROR(__xludf.DUMMYFUNCTION("""COMPUTED_VALUE"""),1210.94)</f>
        <v>1210.94</v>
      </c>
    </row>
    <row r="167" spans="1:4" ht="12.5" x14ac:dyDescent="0.25">
      <c r="A167" s="33" t="str">
        <f ca="1">IFERROR(__xludf.DUMMYFUNCTION("""COMPUTED_VALUE"""),"SFP-10G-LR=")</f>
        <v>SFP-10G-LR=</v>
      </c>
      <c r="B167" s="37">
        <f ca="1">IFERROR(__xludf.DUMMYFUNCTION("""COMPUTED_VALUE"""),4861.99)</f>
        <v>4861.99</v>
      </c>
      <c r="C167" s="33"/>
      <c r="D167" s="37">
        <f ca="1">IFERROR(__xludf.DUMMYFUNCTION("""COMPUTED_VALUE"""),4861.99)</f>
        <v>4861.99</v>
      </c>
    </row>
    <row r="168" spans="1:4" ht="12.5" x14ac:dyDescent="0.25">
      <c r="A168" s="33" t="str">
        <f ca="1">IFERROR(__xludf.DUMMYFUNCTION("""COMPUTED_VALUE"""),"SFP-10G-ER=")</f>
        <v>SFP-10G-ER=</v>
      </c>
      <c r="B168" s="37">
        <f ca="1">IFERROR(__xludf.DUMMYFUNCTION("""COMPUTED_VALUE"""),12170.18)</f>
        <v>12170.18</v>
      </c>
      <c r="C168" s="33"/>
      <c r="D168" s="37">
        <f ca="1">IFERROR(__xludf.DUMMYFUNCTION("""COMPUTED_VALUE"""),12170.18)</f>
        <v>12170.18</v>
      </c>
    </row>
    <row r="169" spans="1:4" ht="12.5" x14ac:dyDescent="0.25">
      <c r="A169" s="33" t="str">
        <f ca="1">IFERROR(__xludf.DUMMYFUNCTION("""COMPUTED_VALUE"""),"SFP-10G-ZR=")</f>
        <v>SFP-10G-ZR=</v>
      </c>
      <c r="B169" s="37">
        <f ca="1">IFERROR(__xludf.DUMMYFUNCTION("""COMPUTED_VALUE"""),19472.29)</f>
        <v>19472.29</v>
      </c>
      <c r="C169" s="33"/>
      <c r="D169" s="37">
        <f ca="1">IFERROR(__xludf.DUMMYFUNCTION("""COMPUTED_VALUE"""),19472.29)</f>
        <v>19472.29</v>
      </c>
    </row>
    <row r="170" spans="1:4" ht="12.5" x14ac:dyDescent="0.25">
      <c r="A170" s="33" t="str">
        <f ca="1">IFERROR(__xludf.DUMMYFUNCTION("""COMPUTED_VALUE"""),"GLC-LH-SMD=")</f>
        <v>GLC-LH-SMD=</v>
      </c>
      <c r="B170" s="37">
        <f ca="1">IFERROR(__xludf.DUMMYFUNCTION("""COMPUTED_VALUE"""),1210.94)</f>
        <v>1210.94</v>
      </c>
      <c r="C170" s="33"/>
      <c r="D170" s="37">
        <f ca="1">IFERROR(__xludf.DUMMYFUNCTION("""COMPUTED_VALUE"""),1210.94)</f>
        <v>1210.94</v>
      </c>
    </row>
    <row r="171" spans="1:4" ht="12.5" x14ac:dyDescent="0.25">
      <c r="A171" s="33" t="str">
        <f ca="1">IFERROR(__xludf.DUMMYFUNCTION("""COMPUTED_VALUE"""),"GLC-EX-SMD=")</f>
        <v>GLC-EX-SMD=</v>
      </c>
      <c r="B171" s="37">
        <f ca="1">IFERROR(__xludf.DUMMYFUNCTION("""COMPUTED_VALUE"""),2427.96)</f>
        <v>2427.96</v>
      </c>
      <c r="C171" s="33"/>
      <c r="D171" s="37">
        <f ca="1">IFERROR(__xludf.DUMMYFUNCTION("""COMPUTED_VALUE"""),2427.96)</f>
        <v>2427.96</v>
      </c>
    </row>
    <row r="172" spans="1:4" ht="12.5" x14ac:dyDescent="0.25">
      <c r="A172" s="33" t="str">
        <f ca="1">IFERROR(__xludf.DUMMYFUNCTION("""COMPUTED_VALUE"""),"GLC-ZX-SMD=")</f>
        <v>GLC-ZX-SMD=</v>
      </c>
      <c r="B172" s="37">
        <f ca="1">IFERROR(__xludf.DUMMYFUNCTION("""COMPUTED_VALUE"""),4861.99)</f>
        <v>4861.99</v>
      </c>
      <c r="C172" s="33"/>
      <c r="D172" s="37">
        <f ca="1">IFERROR(__xludf.DUMMYFUNCTION("""COMPUTED_VALUE"""),4861.99)</f>
        <v>4861.99</v>
      </c>
    </row>
    <row r="173" spans="1:4" ht="12.5" x14ac:dyDescent="0.25">
      <c r="A173" s="33" t="str">
        <f ca="1">IFERROR(__xludf.DUMMYFUNCTION("""COMPUTED_VALUE"""),"GLC-TE=")</f>
        <v>GLC-TE=</v>
      </c>
      <c r="B173" s="37">
        <f ca="1">IFERROR(__xludf.DUMMYFUNCTION("""COMPUTED_VALUE"""),547.66)</f>
        <v>547.66</v>
      </c>
      <c r="C173" s="33"/>
      <c r="D173" s="37">
        <f ca="1">IFERROR(__xludf.DUMMYFUNCTION("""COMPUTED_VALUE"""),547.66)</f>
        <v>547.66</v>
      </c>
    </row>
    <row r="174" spans="1:4" ht="12.5" x14ac:dyDescent="0.25">
      <c r="A174" s="33" t="str">
        <f ca="1">IFERROR(__xludf.DUMMYFUNCTION("""COMPUTED_VALUE"""),"SFP-10G-SR-S=")</f>
        <v>SFP-10G-SR-S=</v>
      </c>
      <c r="B174" s="37">
        <f ca="1">IFERROR(__xludf.DUMMYFUNCTION("""COMPUTED_VALUE"""),851.91)</f>
        <v>851.91</v>
      </c>
      <c r="C174" s="33"/>
      <c r="D174" s="37">
        <f ca="1">IFERROR(__xludf.DUMMYFUNCTION("""COMPUTED_VALUE"""),851.91)</f>
        <v>851.91</v>
      </c>
    </row>
    <row r="175" spans="1:4" ht="12.5" x14ac:dyDescent="0.25">
      <c r="A175" s="33" t="str">
        <f ca="1">IFERROR(__xludf.DUMMYFUNCTION("""COMPUTED_VALUE"""),"SFP-10G-LR-S=")</f>
        <v>SFP-10G-LR-S=</v>
      </c>
      <c r="B175" s="37">
        <f ca="1">IFERROR(__xludf.DUMMYFUNCTION("""COMPUTED_VALUE"""),2434.04)</f>
        <v>2434.04</v>
      </c>
      <c r="C175" s="33"/>
      <c r="D175" s="37">
        <f ca="1">IFERROR(__xludf.DUMMYFUNCTION("""COMPUTED_VALUE"""),2434.04)</f>
        <v>2434.04</v>
      </c>
    </row>
    <row r="176" spans="1:4" ht="12.5" x14ac:dyDescent="0.25">
      <c r="A176" s="33" t="str">
        <f ca="1">IFERROR(__xludf.DUMMYFUNCTION("""COMPUTED_VALUE"""),"SFP-10G-ER-S=")</f>
        <v>SFP-10G-ER-S=</v>
      </c>
      <c r="B176" s="37">
        <f ca="1">IFERROR(__xludf.DUMMYFUNCTION("""COMPUTED_VALUE"""),9614.44)</f>
        <v>9614.44</v>
      </c>
      <c r="C176" s="33"/>
      <c r="D176" s="37">
        <f ca="1">IFERROR(__xludf.DUMMYFUNCTION("""COMPUTED_VALUE"""),9614.44)</f>
        <v>9614.44</v>
      </c>
    </row>
    <row r="177" spans="1:4" ht="12.5" x14ac:dyDescent="0.25">
      <c r="A177" s="33" t="str">
        <f ca="1">IFERROR(__xludf.DUMMYFUNCTION("""COMPUTED_VALUE"""),"SFP-10G-ZR-S=")</f>
        <v>SFP-10G-ZR-S=</v>
      </c>
      <c r="B177" s="37">
        <f ca="1">IFERROR(__xludf.DUMMYFUNCTION("""COMPUTED_VALUE"""),13265.5)</f>
        <v>13265.5</v>
      </c>
      <c r="C177" s="33"/>
      <c r="D177" s="37">
        <f ca="1">IFERROR(__xludf.DUMMYFUNCTION("""COMPUTED_VALUE"""),13265.5)</f>
        <v>13265.5</v>
      </c>
    </row>
    <row r="178" spans="1:4" ht="12.5" x14ac:dyDescent="0.25">
      <c r="A178" s="33" t="str">
        <f ca="1">IFERROR(__xludf.DUMMYFUNCTION("""COMPUTED_VALUE"""),"GLC-SX-MMD=")</f>
        <v>GLC-SX-MMD=</v>
      </c>
      <c r="B178" s="37">
        <f ca="1">IFERROR(__xludf.DUMMYFUNCTION("""COMPUTED_VALUE"""),608.51)</f>
        <v>608.51</v>
      </c>
      <c r="C178" s="33"/>
      <c r="D178" s="37">
        <f ca="1">IFERROR(__xludf.DUMMYFUNCTION("""COMPUTED_VALUE"""),608.51)</f>
        <v>608.51</v>
      </c>
    </row>
    <row r="179" spans="1:4" ht="12.5" x14ac:dyDescent="0.25">
      <c r="A179" s="33" t="str">
        <f ca="1">IFERROR(__xludf.DUMMYFUNCTION("""COMPUTED_VALUE"""),"C9136I")</f>
        <v>C9136I</v>
      </c>
      <c r="B179" s="37">
        <f ca="1">IFERROR(__xludf.DUMMYFUNCTION("""COMPUTED_VALUE"""),4892.02)</f>
        <v>4892.0200000000004</v>
      </c>
      <c r="C179" s="33"/>
      <c r="D179" s="37">
        <f ca="1">IFERROR(__xludf.DUMMYFUNCTION("""COMPUTED_VALUE"""),4892.02)</f>
        <v>4892.0200000000004</v>
      </c>
    </row>
    <row r="180" spans="1:4" ht="12.5" x14ac:dyDescent="0.25">
      <c r="A180" s="33" t="str">
        <f ca="1">IFERROR(__xludf.DUMMYFUNCTION("""COMPUTED_VALUE"""),"CW9162I")</f>
        <v>CW9162I</v>
      </c>
      <c r="B180" s="37">
        <f ca="1">IFERROR(__xludf.DUMMYFUNCTION("""COMPUTED_VALUE"""),2476.36)</f>
        <v>2476.36</v>
      </c>
      <c r="C180" s="33"/>
      <c r="D180" s="37">
        <f ca="1">IFERROR(__xludf.DUMMYFUNCTION("""COMPUTED_VALUE"""),2476.36)</f>
        <v>2476.36</v>
      </c>
    </row>
    <row r="181" spans="1:4" ht="12.5" x14ac:dyDescent="0.25">
      <c r="A181" s="33" t="str">
        <f ca="1">IFERROR(__xludf.DUMMYFUNCTION("""COMPUTED_VALUE"""),"CW9164I")</f>
        <v>CW9164I</v>
      </c>
      <c r="B181" s="37">
        <f ca="1">IFERROR(__xludf.DUMMYFUNCTION("""COMPUTED_VALUE"""),3786.46)</f>
        <v>3786.46</v>
      </c>
      <c r="C181" s="33"/>
      <c r="D181" s="37">
        <f ca="1">IFERROR(__xludf.DUMMYFUNCTION("""COMPUTED_VALUE"""),3786.46)</f>
        <v>3786.46</v>
      </c>
    </row>
    <row r="182" spans="1:4" ht="12.5" x14ac:dyDescent="0.25">
      <c r="A182" s="33" t="str">
        <f ca="1">IFERROR(__xludf.DUMMYFUNCTION("""COMPUTED_VALUE"""),"CW9166I")</f>
        <v>CW9166I</v>
      </c>
      <c r="B182" s="37">
        <f ca="1">IFERROR(__xludf.DUMMYFUNCTION("""COMPUTED_VALUE"""),4201.05)</f>
        <v>4201.05</v>
      </c>
      <c r="C182" s="33"/>
      <c r="D182" s="37">
        <f ca="1">IFERROR(__xludf.DUMMYFUNCTION("""COMPUTED_VALUE"""),4201.05)</f>
        <v>4201.05</v>
      </c>
    </row>
    <row r="183" spans="1:4" ht="12.5" x14ac:dyDescent="0.25">
      <c r="A183" s="33" t="str">
        <f ca="1">IFERROR(__xludf.DUMMYFUNCTION("""COMPUTED_VALUE"""),"CW9166D1")</f>
        <v>CW9166D1</v>
      </c>
      <c r="B183" s="37">
        <f ca="1">IFERROR(__xludf.DUMMYFUNCTION("""COMPUTED_VALUE"""),4615.63)</f>
        <v>4615.63</v>
      </c>
      <c r="C183" s="33"/>
      <c r="D183" s="37">
        <f ca="1">IFERROR(__xludf.DUMMYFUNCTION("""COMPUTED_VALUE"""),4615.63)</f>
        <v>4615.63</v>
      </c>
    </row>
    <row r="184" spans="1:4" ht="12.5" x14ac:dyDescent="0.25">
      <c r="A184" s="33" t="str">
        <f ca="1">IFERROR(__xludf.DUMMYFUNCTION("""COMPUTED_VALUE"""),"CW9172I")</f>
        <v>CW9172I</v>
      </c>
      <c r="B184" s="37">
        <f ca="1">IFERROR(__xludf.DUMMYFUNCTION("""COMPUTED_VALUE"""),2643.68)</f>
        <v>2643.68</v>
      </c>
      <c r="C184" s="33"/>
      <c r="D184" s="37">
        <f ca="1">IFERROR(__xludf.DUMMYFUNCTION("""COMPUTED_VALUE"""),2643.68)</f>
        <v>2643.68</v>
      </c>
    </row>
    <row r="185" spans="1:4" ht="12.5" x14ac:dyDescent="0.25">
      <c r="A185" s="33" t="str">
        <f ca="1">IFERROR(__xludf.DUMMYFUNCTION("""COMPUTED_VALUE"""),"CW9172H")</f>
        <v>CW9172H</v>
      </c>
      <c r="B185" s="37">
        <f ca="1">IFERROR(__xludf.DUMMYFUNCTION("""COMPUTED_VALUE"""),2350.28)</f>
        <v>2350.2800000000002</v>
      </c>
      <c r="C185" s="33"/>
      <c r="D185" s="37">
        <f ca="1">IFERROR(__xludf.DUMMYFUNCTION("""COMPUTED_VALUE"""),2350.28)</f>
        <v>2350.2800000000002</v>
      </c>
    </row>
    <row r="186" spans="1:4" ht="12.5" x14ac:dyDescent="0.25">
      <c r="A186" s="33" t="str">
        <f ca="1">IFERROR(__xludf.DUMMYFUNCTION("""COMPUTED_VALUE"""),"CW9176I")</f>
        <v>CW9176I</v>
      </c>
      <c r="B186" s="37">
        <f ca="1">IFERROR(__xludf.DUMMYFUNCTION("""COMPUTED_VALUE"""),4414.05999999999)</f>
        <v>4414.0599999999904</v>
      </c>
      <c r="C186" s="33"/>
      <c r="D186" s="37">
        <f ca="1">IFERROR(__xludf.DUMMYFUNCTION("""COMPUTED_VALUE"""),4414.05999999999)</f>
        <v>4414.0599999999904</v>
      </c>
    </row>
    <row r="187" spans="1:4" ht="12.5" x14ac:dyDescent="0.25">
      <c r="A187" s="33" t="str">
        <f ca="1">IFERROR(__xludf.DUMMYFUNCTION("""COMPUTED_VALUE"""),"CW9176D1")</f>
        <v>CW9176D1</v>
      </c>
      <c r="B187" s="37">
        <f ca="1">IFERROR(__xludf.DUMMYFUNCTION("""COMPUTED_VALUE"""),4854.66)</f>
        <v>4854.66</v>
      </c>
      <c r="C187" s="33"/>
      <c r="D187" s="37">
        <f ca="1">IFERROR(__xludf.DUMMYFUNCTION("""COMPUTED_VALUE"""),4854.66)</f>
        <v>4854.66</v>
      </c>
    </row>
    <row r="188" spans="1:4" ht="12.5" x14ac:dyDescent="0.25">
      <c r="A188" s="33" t="str">
        <f ca="1">IFERROR(__xludf.DUMMYFUNCTION("""COMPUTED_VALUE"""),"CW9178I")</f>
        <v>CW9178I</v>
      </c>
      <c r="B188" s="37">
        <f ca="1">IFERROR(__xludf.DUMMYFUNCTION("""COMPUTED_VALUE"""),5149.29)</f>
        <v>5149.29</v>
      </c>
      <c r="C188" s="33"/>
      <c r="D188" s="37">
        <f ca="1">IFERROR(__xludf.DUMMYFUNCTION("""COMPUTED_VALUE"""),5149.29)</f>
        <v>5149.29</v>
      </c>
    </row>
    <row r="189" spans="1:4" ht="12.5" x14ac:dyDescent="0.25">
      <c r="A189" s="33" t="str">
        <f ca="1">IFERROR(__xludf.DUMMYFUNCTION("""COMPUTED_VALUE"""),"C9124AXI")</f>
        <v>C9124AXI</v>
      </c>
      <c r="B189" s="37">
        <f ca="1">IFERROR(__xludf.DUMMYFUNCTION("""COMPUTED_VALUE"""),4605.48)</f>
        <v>4605.4799999999996</v>
      </c>
      <c r="C189" s="33"/>
      <c r="D189" s="37">
        <f ca="1">IFERROR(__xludf.DUMMYFUNCTION("""COMPUTED_VALUE"""),4605.48)</f>
        <v>4605.4799999999996</v>
      </c>
    </row>
    <row r="190" spans="1:4" ht="12.5" x14ac:dyDescent="0.25">
      <c r="A190" s="33" t="str">
        <f ca="1">IFERROR(__xludf.DUMMYFUNCTION("""COMPUTED_VALUE"""),"C9124AXD")</f>
        <v>C9124AXD</v>
      </c>
      <c r="B190" s="37">
        <f ca="1">IFERROR(__xludf.DUMMYFUNCTION("""COMPUTED_VALUE"""),4933.2)</f>
        <v>4933.2</v>
      </c>
      <c r="C190" s="33"/>
      <c r="D190" s="37">
        <f ca="1">IFERROR(__xludf.DUMMYFUNCTION("""COMPUTED_VALUE"""),4933.2)</f>
        <v>4933.2</v>
      </c>
    </row>
    <row r="191" spans="1:4" ht="12.5" x14ac:dyDescent="0.25">
      <c r="A191" s="33" t="str">
        <f ca="1">IFERROR(__xludf.DUMMYFUNCTION("""COMPUTED_VALUE"""),"C9124AXE")</f>
        <v>C9124AXE</v>
      </c>
      <c r="B191" s="37">
        <f ca="1">IFERROR(__xludf.DUMMYFUNCTION("""COMPUTED_VALUE"""),4933.2)</f>
        <v>4933.2</v>
      </c>
      <c r="C191" s="33"/>
      <c r="D191" s="37">
        <f ca="1">IFERROR(__xludf.DUMMYFUNCTION("""COMPUTED_VALUE"""),4933.2)</f>
        <v>4933.2</v>
      </c>
    </row>
    <row r="192" spans="1:4" ht="12.5" x14ac:dyDescent="0.25">
      <c r="A192" s="33" t="str">
        <f ca="1">IFERROR(__xludf.DUMMYFUNCTION("""COMPUTED_VALUE"""),"CW9163E")</f>
        <v>CW9163E</v>
      </c>
      <c r="B192" s="37">
        <f ca="1">IFERROR(__xludf.DUMMYFUNCTION("""COMPUTED_VALUE"""),4041.49)</f>
        <v>4041.49</v>
      </c>
      <c r="C192" s="33"/>
      <c r="D192" s="37">
        <f ca="1">IFERROR(__xludf.DUMMYFUNCTION("""COMPUTED_VALUE"""),4041.49)</f>
        <v>4041.49</v>
      </c>
    </row>
    <row r="193" spans="1:4" ht="12.5" x14ac:dyDescent="0.25">
      <c r="A193" s="33" t="str">
        <f ca="1">IFERROR(__xludf.DUMMYFUNCTION("""COMPUTED_VALUE"""),"IW-PWRINJ-60RGDMG=")</f>
        <v>IW-PWRINJ-60RGDMG=</v>
      </c>
      <c r="B193" s="37">
        <f ca="1">IFERROR(__xludf.DUMMYFUNCTION("""COMPUTED_VALUE"""),1292.5)</f>
        <v>1292.5</v>
      </c>
      <c r="C193" s="33"/>
      <c r="D193" s="37">
        <f ca="1">IFERROR(__xludf.DUMMYFUNCTION("""COMPUTED_VALUE"""),1292.5)</f>
        <v>1292.5</v>
      </c>
    </row>
    <row r="194" spans="1:4" ht="12.5" x14ac:dyDescent="0.25">
      <c r="A194" s="33" t="str">
        <f ca="1">IFERROR(__xludf.DUMMYFUNCTION("""COMPUTED_VALUE"""),"AIR-PWRINJ7=")</f>
        <v>AIR-PWRINJ7=</v>
      </c>
      <c r="B194" s="37">
        <f ca="1">IFERROR(__xludf.DUMMYFUNCTION("""COMPUTED_VALUE"""),483.4)</f>
        <v>483.4</v>
      </c>
      <c r="C194" s="33"/>
      <c r="D194" s="37">
        <f ca="1">IFERROR(__xludf.DUMMYFUNCTION("""COMPUTED_VALUE"""),483.4)</f>
        <v>483.4</v>
      </c>
    </row>
    <row r="195" spans="1:4" ht="12.5" x14ac:dyDescent="0.25">
      <c r="A195" s="33" t="str">
        <f ca="1">IFERROR(__xludf.DUMMYFUNCTION("""COMPUTED_VALUE"""),"C9404R")</f>
        <v>C9404R</v>
      </c>
      <c r="B195" s="37">
        <f ca="1">IFERROR(__xludf.DUMMYFUNCTION("""COMPUTED_VALUE"""),117530.33)</f>
        <v>117530.33</v>
      </c>
      <c r="C195" s="33"/>
      <c r="D195" s="37">
        <f ca="1">IFERROR(__xludf.DUMMYFUNCTION("""COMPUTED_VALUE"""),117530.33)</f>
        <v>117530.33</v>
      </c>
    </row>
    <row r="196" spans="1:4" ht="12.5" x14ac:dyDescent="0.25">
      <c r="A196" s="33" t="str">
        <f ca="1">IFERROR(__xludf.DUMMYFUNCTION("""COMPUTED_VALUE"""),"C9407R")</f>
        <v>C9407R</v>
      </c>
      <c r="B196" s="37">
        <f ca="1">IFERROR(__xludf.DUMMYFUNCTION("""COMPUTED_VALUE"""),136174.7)</f>
        <v>136174.70000000001</v>
      </c>
      <c r="C196" s="33"/>
      <c r="D196" s="37">
        <f ca="1">IFERROR(__xludf.DUMMYFUNCTION("""COMPUTED_VALUE"""),136174.7)</f>
        <v>136174.70000000001</v>
      </c>
    </row>
    <row r="197" spans="1:4" ht="12.5" x14ac:dyDescent="0.25">
      <c r="A197" s="33" t="str">
        <f ca="1">IFERROR(__xludf.DUMMYFUNCTION("""COMPUTED_VALUE"""),"C9410R")</f>
        <v>C9410R</v>
      </c>
      <c r="B197" s="37">
        <f ca="1">IFERROR(__xludf.DUMMYFUNCTION("""COMPUTED_VALUE"""),144810.28)</f>
        <v>144810.28</v>
      </c>
      <c r="C197" s="33"/>
      <c r="D197" s="37">
        <f ca="1">IFERROR(__xludf.DUMMYFUNCTION("""COMPUTED_VALUE"""),144810.28)</f>
        <v>144810.28</v>
      </c>
    </row>
    <row r="198" spans="1:4" ht="12.5" x14ac:dyDescent="0.25">
      <c r="A198" s="33" t="str">
        <f ca="1">IFERROR(__xludf.DUMMYFUNCTION("""COMPUTED_VALUE"""),"C9400-LC-12QC=")</f>
        <v>C9400-LC-12QC=</v>
      </c>
      <c r="B198" s="37">
        <f ca="1">IFERROR(__xludf.DUMMYFUNCTION("""COMPUTED_VALUE"""),38258)</f>
        <v>38258</v>
      </c>
      <c r="C198" s="33"/>
      <c r="D198" s="37">
        <f ca="1">IFERROR(__xludf.DUMMYFUNCTION("""COMPUTED_VALUE"""),38258)</f>
        <v>38258</v>
      </c>
    </row>
    <row r="199" spans="1:4" ht="12.5" x14ac:dyDescent="0.25">
      <c r="A199" s="33" t="str">
        <f ca="1">IFERROR(__xludf.DUMMYFUNCTION("""COMPUTED_VALUE"""),"C9400-LC-48T=")</f>
        <v>C9400-LC-48T=</v>
      </c>
      <c r="B199" s="37">
        <f ca="1">IFERROR(__xludf.DUMMYFUNCTION("""COMPUTED_VALUE"""),8689.51)</f>
        <v>8689.51</v>
      </c>
      <c r="C199" s="33"/>
      <c r="D199" s="37">
        <f ca="1">IFERROR(__xludf.DUMMYFUNCTION("""COMPUTED_VALUE"""),8689.51)</f>
        <v>8689.51</v>
      </c>
    </row>
    <row r="200" spans="1:4" ht="12.5" x14ac:dyDescent="0.25">
      <c r="A200" s="33" t="str">
        <f ca="1">IFERROR(__xludf.DUMMYFUNCTION("""COMPUTED_VALUE"""),"C9400-LC-48TX=")</f>
        <v>C9400-LC-48TX=</v>
      </c>
      <c r="B200" s="37">
        <f ca="1">IFERROR(__xludf.DUMMYFUNCTION("""COMPUTED_VALUE"""),19129)</f>
        <v>19129</v>
      </c>
      <c r="C200" s="33"/>
      <c r="D200" s="37">
        <f ca="1">IFERROR(__xludf.DUMMYFUNCTION("""COMPUTED_VALUE"""),19129)</f>
        <v>19129</v>
      </c>
    </row>
    <row r="201" spans="1:4" ht="12.5" x14ac:dyDescent="0.25">
      <c r="A201" s="33" t="str">
        <f ca="1">IFERROR(__xludf.DUMMYFUNCTION("""COMPUTED_VALUE"""),"C9400-LC-48S=")</f>
        <v>C9400-LC-48S=</v>
      </c>
      <c r="B201" s="37">
        <f ca="1">IFERROR(__xludf.DUMMYFUNCTION("""COMPUTED_VALUE"""),30425.45)</f>
        <v>30425.45</v>
      </c>
      <c r="C201" s="33"/>
      <c r="D201" s="37">
        <f ca="1">IFERROR(__xludf.DUMMYFUNCTION("""COMPUTED_VALUE"""),30425.45)</f>
        <v>30425.45</v>
      </c>
    </row>
    <row r="202" spans="1:4" ht="12.5" x14ac:dyDescent="0.25">
      <c r="A202" s="33" t="str">
        <f ca="1">IFERROR(__xludf.DUMMYFUNCTION("""COMPUTED_VALUE"""),"C9400-LC-48XS=")</f>
        <v>C9400-LC-48XS=</v>
      </c>
      <c r="B202" s="37">
        <f ca="1">IFERROR(__xludf.DUMMYFUNCTION("""COMPUTED_VALUE"""),47564)</f>
        <v>47564</v>
      </c>
      <c r="C202" s="33"/>
      <c r="D202" s="37">
        <f ca="1">IFERROR(__xludf.DUMMYFUNCTION("""COMPUTED_VALUE"""),47564)</f>
        <v>47564</v>
      </c>
    </row>
    <row r="203" spans="1:4" ht="12.5" x14ac:dyDescent="0.25">
      <c r="A203" s="33" t="str">
        <f ca="1">IFERROR(__xludf.DUMMYFUNCTION("""COMPUTED_VALUE"""),"C9606R")</f>
        <v>C9606R</v>
      </c>
      <c r="B203" s="37">
        <f ca="1">IFERROR(__xludf.DUMMYFUNCTION("""COMPUTED_VALUE"""),246495.41)</f>
        <v>246495.41</v>
      </c>
      <c r="C203" s="33"/>
      <c r="D203" s="37">
        <f ca="1">IFERROR(__xludf.DUMMYFUNCTION("""COMPUTED_VALUE"""),246495.41)</f>
        <v>246495.41</v>
      </c>
    </row>
    <row r="204" spans="1:4" ht="12.5" x14ac:dyDescent="0.25">
      <c r="A204" s="33" t="str">
        <f ca="1">IFERROR(__xludf.DUMMYFUNCTION("""COMPUTED_VALUE"""),"C9600-LC-48TX=")</f>
        <v>C9600-LC-48TX=</v>
      </c>
      <c r="B204" s="37">
        <f ca="1">IFERROR(__xludf.DUMMYFUNCTION("""COMPUTED_VALUE"""),28916.35)</f>
        <v>28916.35</v>
      </c>
      <c r="C204" s="33"/>
      <c r="D204" s="37">
        <f ca="1">IFERROR(__xludf.DUMMYFUNCTION("""COMPUTED_VALUE"""),28916.35)</f>
        <v>28916.35</v>
      </c>
    </row>
    <row r="205" spans="1:4" ht="12.5" x14ac:dyDescent="0.25">
      <c r="A205" s="33" t="str">
        <f ca="1">IFERROR(__xludf.DUMMYFUNCTION("""COMPUTED_VALUE"""),"C9600-LC-48YL=")</f>
        <v>C9600-LC-48YL=</v>
      </c>
      <c r="B205" s="37">
        <f ca="1">IFERROR(__xludf.DUMMYFUNCTION("""COMPUTED_VALUE"""),28916.35)</f>
        <v>28916.35</v>
      </c>
      <c r="C205" s="33"/>
      <c r="D205" s="37">
        <f ca="1">IFERROR(__xludf.DUMMYFUNCTION("""COMPUTED_VALUE"""),28916.35)</f>
        <v>28916.35</v>
      </c>
    </row>
    <row r="206" spans="1:4" ht="12.5" x14ac:dyDescent="0.25">
      <c r="A206" s="33" t="str">
        <f ca="1">IFERROR(__xludf.DUMMYFUNCTION("""COMPUTED_VALUE"""),"C9600-LC-40YL4CD=")</f>
        <v>C9600-LC-40YL4CD=</v>
      </c>
      <c r="B206" s="37">
        <f ca="1">IFERROR(__xludf.DUMMYFUNCTION("""COMPUTED_VALUE"""),34122)</f>
        <v>34122</v>
      </c>
      <c r="C206" s="33"/>
      <c r="D206" s="37">
        <f ca="1">IFERROR(__xludf.DUMMYFUNCTION("""COMPUTED_VALUE"""),34122)</f>
        <v>34122</v>
      </c>
    </row>
    <row r="207" spans="1:4" ht="12.5" x14ac:dyDescent="0.25">
      <c r="A207" s="33" t="str">
        <f ca="1">IFERROR(__xludf.DUMMYFUNCTION("""COMPUTED_VALUE"""),"C9600-LC-24C=")</f>
        <v>C9600-LC-24C=</v>
      </c>
      <c r="B207" s="37">
        <f ca="1">IFERROR(__xludf.DUMMYFUNCTION("""COMPUTED_VALUE"""),32859.49)</f>
        <v>32859.49</v>
      </c>
      <c r="C207" s="33"/>
      <c r="D207" s="37">
        <f ca="1">IFERROR(__xludf.DUMMYFUNCTION("""COMPUTED_VALUE"""),32859.49)</f>
        <v>32859.49</v>
      </c>
    </row>
    <row r="208" spans="1:4" ht="12.5" x14ac:dyDescent="0.25">
      <c r="A208" s="33" t="str">
        <f ca="1">IFERROR(__xludf.DUMMYFUNCTION("""COMPUTED_VALUE"""),"EX4200-24T")</f>
        <v>EX4200-24T</v>
      </c>
      <c r="B208" s="37">
        <f ca="1">IFERROR(__xludf.DUMMYFUNCTION("""COMPUTED_VALUE"""),10000)</f>
        <v>10000</v>
      </c>
      <c r="C208" s="37">
        <f ca="1">IFERROR(__xludf.DUMMYFUNCTION("""COMPUTED_VALUE"""),26500)</f>
        <v>26500</v>
      </c>
      <c r="D208" s="37">
        <f ca="1">IFERROR(__xludf.DUMMYFUNCTION("""COMPUTED_VALUE"""),26500)</f>
        <v>26500</v>
      </c>
    </row>
    <row r="209" spans="1:4" ht="12.5" x14ac:dyDescent="0.25">
      <c r="A209" s="33" t="str">
        <f ca="1">IFERROR(__xludf.DUMMYFUNCTION("""COMPUTED_VALUE"""),"EX4300-48S")</f>
        <v>EX4300-48S</v>
      </c>
      <c r="B209" s="37">
        <f ca="1">IFERROR(__xludf.DUMMYFUNCTION("""COMPUTED_VALUE"""),20000)</f>
        <v>20000</v>
      </c>
      <c r="C209" s="37">
        <f ca="1">IFERROR(__xludf.DUMMYFUNCTION("""COMPUTED_VALUE"""),32500)</f>
        <v>32500</v>
      </c>
      <c r="D209" s="37">
        <f ca="1">IFERROR(__xludf.DUMMYFUNCTION("""COMPUTED_VALUE"""),32500)</f>
        <v>32500</v>
      </c>
    </row>
    <row r="210" spans="1:4" ht="12.5" x14ac:dyDescent="0.25">
      <c r="A210" s="33" t="str">
        <f ca="1">IFERROR(__xludf.DUMMYFUNCTION("""COMPUTED_VALUE"""),"EX4600")</f>
        <v>EX4600</v>
      </c>
      <c r="B210" s="37">
        <f ca="1">IFERROR(__xludf.DUMMYFUNCTION("""COMPUTED_VALUE"""),30000)</f>
        <v>30000</v>
      </c>
      <c r="C210" s="37">
        <f ca="1">IFERROR(__xludf.DUMMYFUNCTION("""COMPUTED_VALUE"""),192000)</f>
        <v>192000</v>
      </c>
      <c r="D210" s="37">
        <f ca="1">IFERROR(__xludf.DUMMYFUNCTION("""COMPUTED_VALUE"""),192000)</f>
        <v>192000</v>
      </c>
    </row>
    <row r="211" spans="1:4" ht="12.5" x14ac:dyDescent="0.25">
      <c r="A211" s="33" t="str">
        <f ca="1">IFERROR(__xludf.DUMMYFUNCTION("""COMPUTED_VALUE"""),"Ficer-1G-0.5km")</f>
        <v>Ficer-1G-0.5km</v>
      </c>
      <c r="B211" s="37">
        <f ca="1">IFERROR(__xludf.DUMMYFUNCTION("""COMPUTED_VALUE"""),8)</f>
        <v>8</v>
      </c>
      <c r="C211" s="33"/>
      <c r="D211" s="37">
        <f ca="1">IFERROR(__xludf.DUMMYFUNCTION("""COMPUTED_VALUE"""),8)</f>
        <v>8</v>
      </c>
    </row>
    <row r="212" spans="1:4" ht="12.5" x14ac:dyDescent="0.25">
      <c r="A212" s="33" t="str">
        <f ca="1">IFERROR(__xludf.DUMMYFUNCTION("""COMPUTED_VALUE"""),"Ficer-1G-10km")</f>
        <v>Ficer-1G-10km</v>
      </c>
      <c r="B212" s="37">
        <f ca="1">IFERROR(__xludf.DUMMYFUNCTION("""COMPUTED_VALUE"""),9)</f>
        <v>9</v>
      </c>
      <c r="C212" s="33"/>
      <c r="D212" s="37">
        <f ca="1">IFERROR(__xludf.DUMMYFUNCTION("""COMPUTED_VALUE"""),9)</f>
        <v>9</v>
      </c>
    </row>
    <row r="213" spans="1:4" ht="12.5" x14ac:dyDescent="0.25">
      <c r="A213" s="33" t="str">
        <f ca="1">IFERROR(__xludf.DUMMYFUNCTION("""COMPUTED_VALUE"""),"Ficer-1G-40km")</f>
        <v>Ficer-1G-40km</v>
      </c>
      <c r="B213" s="37">
        <f ca="1">IFERROR(__xludf.DUMMYFUNCTION("""COMPUTED_VALUE"""),21)</f>
        <v>21</v>
      </c>
      <c r="C213" s="33"/>
      <c r="D213" s="37">
        <f ca="1">IFERROR(__xludf.DUMMYFUNCTION("""COMPUTED_VALUE"""),21)</f>
        <v>21</v>
      </c>
    </row>
    <row r="214" spans="1:4" ht="12.5" x14ac:dyDescent="0.25">
      <c r="A214" s="33" t="str">
        <f ca="1">IFERROR(__xludf.DUMMYFUNCTION("""COMPUTED_VALUE"""),"Ficer-1G-80km")</f>
        <v>Ficer-1G-80km</v>
      </c>
      <c r="B214" s="37">
        <f ca="1">IFERROR(__xludf.DUMMYFUNCTION("""COMPUTED_VALUE"""),35)</f>
        <v>35</v>
      </c>
      <c r="C214" s="33"/>
      <c r="D214" s="37">
        <f ca="1">IFERROR(__xludf.DUMMYFUNCTION("""COMPUTED_VALUE"""),35)</f>
        <v>35</v>
      </c>
    </row>
    <row r="215" spans="1:4" ht="12.5" x14ac:dyDescent="0.25">
      <c r="A215" s="33" t="str">
        <f ca="1">IFERROR(__xludf.DUMMYFUNCTION("""COMPUTED_VALUE"""),"Ficer-10G-0.5km")</f>
        <v>Ficer-10G-0.5km</v>
      </c>
      <c r="B215" s="37">
        <f ca="1">IFERROR(__xludf.DUMMYFUNCTION("""COMPUTED_VALUE"""),12.5)</f>
        <v>12.5</v>
      </c>
      <c r="C215" s="33"/>
      <c r="D215" s="37">
        <f ca="1">IFERROR(__xludf.DUMMYFUNCTION("""COMPUTED_VALUE"""),12.5)</f>
        <v>12.5</v>
      </c>
    </row>
    <row r="216" spans="1:4" ht="12.5" x14ac:dyDescent="0.25">
      <c r="A216" s="33" t="str">
        <f ca="1">IFERROR(__xludf.DUMMYFUNCTION("""COMPUTED_VALUE"""),"Ficer-10G-10km")</f>
        <v>Ficer-10G-10km</v>
      </c>
      <c r="B216" s="37">
        <f ca="1">IFERROR(__xludf.DUMMYFUNCTION("""COMPUTED_VALUE"""),32)</f>
        <v>32</v>
      </c>
      <c r="C216" s="33"/>
      <c r="D216" s="37">
        <f ca="1">IFERROR(__xludf.DUMMYFUNCTION("""COMPUTED_VALUE"""),32)</f>
        <v>32</v>
      </c>
    </row>
    <row r="217" spans="1:4" ht="12.5" x14ac:dyDescent="0.25">
      <c r="A217" s="33" t="str">
        <f ca="1">IFERROR(__xludf.DUMMYFUNCTION("""COMPUTED_VALUE"""),"Ficer-10G-40km")</f>
        <v>Ficer-10G-40km</v>
      </c>
      <c r="B217" s="37">
        <f ca="1">IFERROR(__xludf.DUMMYFUNCTION("""COMPUTED_VALUE"""),150)</f>
        <v>150</v>
      </c>
      <c r="C217" s="33"/>
      <c r="D217" s="37">
        <f ca="1">IFERROR(__xludf.DUMMYFUNCTION("""COMPUTED_VALUE"""),150)</f>
        <v>150</v>
      </c>
    </row>
    <row r="218" spans="1:4" ht="12.5" x14ac:dyDescent="0.25">
      <c r="A218" s="33" t="str">
        <f ca="1">IFERROR(__xludf.DUMMYFUNCTION("""COMPUTED_VALUE"""),"Ficer-10G-80km")</f>
        <v>Ficer-10G-80km</v>
      </c>
      <c r="B218" s="37">
        <f ca="1">IFERROR(__xludf.DUMMYFUNCTION("""COMPUTED_VALUE"""),290)</f>
        <v>290</v>
      </c>
      <c r="C218" s="33"/>
      <c r="D218" s="37">
        <f ca="1">IFERROR(__xludf.DUMMYFUNCTION("""COMPUTED_VALUE"""),290)</f>
        <v>290</v>
      </c>
    </row>
    <row r="219" spans="1:4" ht="12.5" x14ac:dyDescent="0.25">
      <c r="A219" s="33" t="str">
        <f ca="1">IFERROR(__xludf.DUMMYFUNCTION("""COMPUTED_VALUE"""),"Ficer-100G-10km")</f>
        <v>Ficer-100G-10km</v>
      </c>
      <c r="B219" s="33"/>
      <c r="C219" s="37">
        <f ca="1">IFERROR(__xludf.DUMMYFUNCTION("""COMPUTED_VALUE"""),500)</f>
        <v>500</v>
      </c>
      <c r="D219" s="37">
        <f ca="1">IFERROR(__xludf.DUMMYFUNCTION("""COMPUTED_VALUE"""),500)</f>
        <v>500</v>
      </c>
    </row>
    <row r="220" spans="1:4" ht="12.5" x14ac:dyDescent="0.25">
      <c r="A220" s="33" t="str">
        <f ca="1">IFERROR(__xludf.DUMMYFUNCTION("""COMPUTED_VALUE"""),"Ficer-100G-40km")</f>
        <v>Ficer-100G-40km</v>
      </c>
      <c r="B220" s="33"/>
      <c r="C220" s="37">
        <f ca="1">IFERROR(__xludf.DUMMYFUNCTION("""COMPUTED_VALUE"""),800)</f>
        <v>800</v>
      </c>
      <c r="D220" s="37">
        <f ca="1">IFERROR(__xludf.DUMMYFUNCTION("""COMPUTED_VALUE"""),800)</f>
        <v>800</v>
      </c>
    </row>
    <row r="221" spans="1:4" ht="12.5" x14ac:dyDescent="0.25">
      <c r="A221" s="33" t="str">
        <f ca="1">IFERROR(__xludf.DUMMYFUNCTION("""COMPUTED_VALUE"""),"Ficer-100G-80km")</f>
        <v>Ficer-100G-80km</v>
      </c>
      <c r="B221" s="33"/>
      <c r="C221" s="37">
        <f ca="1">IFERROR(__xludf.DUMMYFUNCTION("""COMPUTED_VALUE"""),1000)</f>
        <v>1000</v>
      </c>
      <c r="D221" s="37">
        <f ca="1">IFERROR(__xludf.DUMMYFUNCTION("""COMPUTED_VALUE"""),1000)</f>
        <v>1000</v>
      </c>
    </row>
  </sheetData>
  <conditionalFormatting sqref="D2:D1000">
    <cfRule type="expression" dxfId="0" priority="1">
      <formula>B2&lt;&gt;D2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1" width="27.36328125" customWidth="1"/>
  </cols>
  <sheetData>
    <row r="1" spans="1:27" ht="15.75" customHeight="1" x14ac:dyDescent="0.35">
      <c r="A1" s="41" t="s">
        <v>173</v>
      </c>
      <c r="B1" s="41" t="s">
        <v>174</v>
      </c>
      <c r="C1" s="41" t="s">
        <v>175</v>
      </c>
      <c r="D1" s="41" t="s">
        <v>176</v>
      </c>
      <c r="E1" s="41" t="s">
        <v>177</v>
      </c>
      <c r="F1" s="41" t="s">
        <v>178</v>
      </c>
      <c r="G1" s="41" t="s">
        <v>179</v>
      </c>
      <c r="H1" s="41" t="s">
        <v>180</v>
      </c>
      <c r="I1" s="41" t="s">
        <v>181</v>
      </c>
      <c r="J1" s="41" t="s">
        <v>182</v>
      </c>
      <c r="K1" s="41" t="s">
        <v>183</v>
      </c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2" spans="1:27" ht="15.75" customHeight="1" x14ac:dyDescent="0.35">
      <c r="A2" s="43" t="s">
        <v>184</v>
      </c>
      <c r="B2" s="43" t="s">
        <v>184</v>
      </c>
      <c r="C2" s="43" t="s">
        <v>185</v>
      </c>
      <c r="D2" s="43" t="s">
        <v>185</v>
      </c>
      <c r="E2" s="43" t="s">
        <v>186</v>
      </c>
      <c r="F2" s="43" t="s">
        <v>187</v>
      </c>
      <c r="G2" s="43" t="s">
        <v>184</v>
      </c>
      <c r="H2" s="43" t="s">
        <v>188</v>
      </c>
      <c r="I2" s="43" t="s">
        <v>189</v>
      </c>
      <c r="J2" s="43" t="s">
        <v>190</v>
      </c>
      <c r="K2" s="43" t="s">
        <v>189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 ht="15.75" customHeight="1" x14ac:dyDescent="0.35">
      <c r="A3" s="43" t="s">
        <v>191</v>
      </c>
      <c r="B3" s="43" t="s">
        <v>191</v>
      </c>
      <c r="C3" s="43" t="s">
        <v>192</v>
      </c>
      <c r="D3" s="43" t="s">
        <v>192</v>
      </c>
      <c r="E3" s="43" t="s">
        <v>193</v>
      </c>
      <c r="F3" s="43" t="s">
        <v>194</v>
      </c>
      <c r="G3" s="43" t="s">
        <v>191</v>
      </c>
      <c r="H3" s="43" t="s">
        <v>195</v>
      </c>
      <c r="I3" s="43" t="s">
        <v>196</v>
      </c>
      <c r="J3" s="43" t="s">
        <v>197</v>
      </c>
      <c r="K3" s="43" t="s">
        <v>196</v>
      </c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 ht="15.75" customHeight="1" x14ac:dyDescent="0.35">
      <c r="A4" s="43" t="s">
        <v>198</v>
      </c>
      <c r="B4" s="43" t="s">
        <v>198</v>
      </c>
      <c r="C4" s="43" t="s">
        <v>199</v>
      </c>
      <c r="D4" s="43" t="s">
        <v>199</v>
      </c>
      <c r="E4" s="43" t="s">
        <v>200</v>
      </c>
      <c r="F4" s="43" t="s">
        <v>201</v>
      </c>
      <c r="G4" s="43" t="s">
        <v>198</v>
      </c>
      <c r="H4" s="43" t="s">
        <v>202</v>
      </c>
      <c r="I4" s="44"/>
      <c r="J4" s="43" t="s">
        <v>203</v>
      </c>
      <c r="K4" s="43" t="s">
        <v>204</v>
      </c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 ht="15.75" customHeight="1" x14ac:dyDescent="0.35">
      <c r="A5" s="43" t="s">
        <v>205</v>
      </c>
      <c r="B5" s="43" t="s">
        <v>205</v>
      </c>
      <c r="C5" s="43" t="s">
        <v>206</v>
      </c>
      <c r="D5" s="43" t="s">
        <v>206</v>
      </c>
      <c r="E5" s="43" t="s">
        <v>207</v>
      </c>
      <c r="F5" s="44"/>
      <c r="G5" s="43" t="s">
        <v>205</v>
      </c>
      <c r="H5" s="43" t="s">
        <v>208</v>
      </c>
      <c r="I5" s="44"/>
      <c r="J5" s="43" t="s">
        <v>209</v>
      </c>
      <c r="K5" s="43" t="s">
        <v>210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 ht="15.75" customHeight="1" x14ac:dyDescent="0.35">
      <c r="A6" s="43" t="s">
        <v>211</v>
      </c>
      <c r="B6" s="44"/>
      <c r="C6" s="43" t="s">
        <v>212</v>
      </c>
      <c r="D6" s="43" t="s">
        <v>212</v>
      </c>
      <c r="E6" s="44"/>
      <c r="F6" s="44"/>
      <c r="G6" s="44"/>
      <c r="H6" s="43" t="s">
        <v>213</v>
      </c>
      <c r="I6" s="44"/>
      <c r="J6" s="43" t="s">
        <v>214</v>
      </c>
      <c r="K6" s="44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 ht="15.75" customHeight="1" x14ac:dyDescent="0.35">
      <c r="A7" s="43" t="s">
        <v>215</v>
      </c>
      <c r="B7" s="44"/>
      <c r="C7" s="43" t="s">
        <v>216</v>
      </c>
      <c r="D7" s="43" t="s">
        <v>216</v>
      </c>
      <c r="E7" s="44"/>
      <c r="F7" s="44"/>
      <c r="G7" s="44"/>
      <c r="H7" s="43" t="s">
        <v>217</v>
      </c>
      <c r="I7" s="44"/>
      <c r="J7" s="43" t="s">
        <v>218</v>
      </c>
      <c r="K7" s="44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 ht="15.75" customHeight="1" x14ac:dyDescent="0.35">
      <c r="A8" s="44"/>
      <c r="B8" s="44"/>
      <c r="C8" s="43" t="s">
        <v>217</v>
      </c>
      <c r="D8" s="43" t="s">
        <v>217</v>
      </c>
      <c r="E8" s="44"/>
      <c r="F8" s="44"/>
      <c r="G8" s="44"/>
      <c r="H8" s="44"/>
      <c r="I8" s="44"/>
      <c r="J8" s="44"/>
      <c r="K8" s="44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 ht="15.75" customHeight="1" x14ac:dyDescent="0.35">
      <c r="A9" s="44"/>
      <c r="B9" s="44"/>
      <c r="C9" s="43" t="s">
        <v>219</v>
      </c>
      <c r="D9" s="43" t="s">
        <v>219</v>
      </c>
      <c r="E9" s="44"/>
      <c r="F9" s="44"/>
      <c r="G9" s="44"/>
      <c r="H9" s="44"/>
      <c r="I9" s="44"/>
      <c r="J9" s="44"/>
      <c r="K9" s="44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 ht="15.75" customHeight="1" x14ac:dyDescent="0.35">
      <c r="A10" s="44"/>
      <c r="B10" s="44"/>
      <c r="C10" s="43" t="s">
        <v>220</v>
      </c>
      <c r="D10" s="43" t="s">
        <v>220</v>
      </c>
      <c r="E10" s="44"/>
      <c r="F10" s="44"/>
      <c r="G10" s="44"/>
      <c r="H10" s="44"/>
      <c r="I10" s="44"/>
      <c r="J10" s="44"/>
      <c r="K10" s="44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 ht="15.75" customHeight="1" x14ac:dyDescent="0.25">
      <c r="A11" s="42"/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 ht="15.75" customHeight="1" x14ac:dyDescent="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 ht="15.75" customHeight="1" x14ac:dyDescent="0.25">
      <c r="A13" s="4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 ht="15.75" customHeight="1" x14ac:dyDescent="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 ht="15.75" customHeight="1" x14ac:dyDescent="0.25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 ht="15.75" customHeight="1" x14ac:dyDescent="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 ht="15.75" customHeight="1" x14ac:dyDescent="0.25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 ht="15.75" customHeight="1" x14ac:dyDescent="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 ht="15.75" customHeight="1" x14ac:dyDescent="0.25">
      <c r="A19" s="42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</row>
    <row r="20" spans="1:27" ht="15.75" customHeight="1" x14ac:dyDescent="0.25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</row>
    <row r="21" spans="1:27" ht="15.75" customHeight="1" x14ac:dyDescent="0.25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</row>
    <row r="22" spans="1:27" ht="12.5" x14ac:dyDescent="0.25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</row>
    <row r="23" spans="1:27" ht="12.5" x14ac:dyDescent="0.25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</row>
    <row r="24" spans="1:27" ht="12.5" x14ac:dyDescent="0.25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</row>
    <row r="25" spans="1:27" ht="12.5" x14ac:dyDescent="0.25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</row>
    <row r="26" spans="1:27" ht="12.5" x14ac:dyDescent="0.25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</row>
    <row r="27" spans="1:27" ht="12.5" x14ac:dyDescent="0.2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</row>
    <row r="28" spans="1:27" ht="12.5" x14ac:dyDescent="0.25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</row>
    <row r="29" spans="1:27" ht="12.5" x14ac:dyDescent="0.25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</row>
    <row r="30" spans="1:27" ht="12.5" x14ac:dyDescent="0.25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</row>
    <row r="31" spans="1:27" ht="12.5" x14ac:dyDescent="0.25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</row>
    <row r="32" spans="1:27" ht="12.5" x14ac:dyDescent="0.25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 spans="1:27" ht="12.5" x14ac:dyDescent="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 spans="1:27" ht="12.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27" ht="12.5" x14ac:dyDescent="0.25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 spans="1:27" ht="12.5" x14ac:dyDescent="0.25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 spans="1:27" ht="12.5" x14ac:dyDescent="0.25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</row>
    <row r="38" spans="1:27" ht="12.5" x14ac:dyDescent="0.25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</row>
    <row r="39" spans="1:27" ht="12.5" x14ac:dyDescent="0.25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</row>
    <row r="40" spans="1:27" ht="12.5" x14ac:dyDescent="0.25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</row>
    <row r="41" spans="1:27" ht="12.5" x14ac:dyDescent="0.25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 spans="1:27" ht="12.5" x14ac:dyDescent="0.25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 spans="1:27" ht="12.5" x14ac:dyDescent="0.25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 spans="1:27" ht="12.5" x14ac:dyDescent="0.25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 spans="1:27" ht="12.5" x14ac:dyDescent="0.25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 spans="1:27" ht="12.5" x14ac:dyDescent="0.25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 spans="1:27" ht="12.5" x14ac:dyDescent="0.25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 spans="1:27" ht="12.5" x14ac:dyDescent="0.25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 spans="1:27" ht="12.5" x14ac:dyDescent="0.25">
      <c r="A49" s="4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 spans="1:27" ht="12.5" x14ac:dyDescent="0.25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 spans="1:27" ht="12.5" x14ac:dyDescent="0.25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 spans="1:27" ht="12.5" x14ac:dyDescent="0.25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 spans="1:27" ht="12.5" x14ac:dyDescent="0.2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 spans="1:27" ht="12.5" x14ac:dyDescent="0.25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</row>
    <row r="55" spans="1:27" ht="12.5" x14ac:dyDescent="0.2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 spans="1:27" ht="12.5" x14ac:dyDescent="0.25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 spans="1:27" ht="12.5" x14ac:dyDescent="0.25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 spans="1:27" ht="12.5" x14ac:dyDescent="0.25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</row>
    <row r="59" spans="1:27" ht="12.5" x14ac:dyDescent="0.25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</row>
    <row r="60" spans="1:27" ht="12.5" x14ac:dyDescent="0.25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</row>
    <row r="61" spans="1:27" ht="12.5" x14ac:dyDescent="0.25">
      <c r="A61" s="4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</row>
    <row r="62" spans="1:27" ht="12.5" x14ac:dyDescent="0.25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</row>
    <row r="63" spans="1:27" ht="12.5" x14ac:dyDescent="0.25">
      <c r="A63" s="4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</row>
    <row r="64" spans="1:27" ht="12.5" x14ac:dyDescent="0.25">
      <c r="A64" s="4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</row>
    <row r="65" spans="1:27" ht="12.5" x14ac:dyDescent="0.25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</row>
    <row r="66" spans="1:27" ht="12.5" x14ac:dyDescent="0.25">
      <c r="A66" s="42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</row>
    <row r="67" spans="1:27" ht="12.5" x14ac:dyDescent="0.25">
      <c r="A67" s="42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 spans="1:27" ht="12.5" x14ac:dyDescent="0.25">
      <c r="A68" s="42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 spans="1:27" ht="12.5" x14ac:dyDescent="0.25">
      <c r="A69" s="42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</row>
    <row r="70" spans="1:27" ht="12.5" x14ac:dyDescent="0.25">
      <c r="A70" s="42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</row>
    <row r="71" spans="1:27" ht="12.5" x14ac:dyDescent="0.25">
      <c r="A71" s="42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</row>
    <row r="72" spans="1:27" ht="12.5" x14ac:dyDescent="0.25">
      <c r="A72" s="42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</row>
    <row r="73" spans="1:27" ht="12.5" x14ac:dyDescent="0.25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</row>
    <row r="74" spans="1:27" ht="12.5" x14ac:dyDescent="0.25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</row>
    <row r="75" spans="1:27" ht="12.5" x14ac:dyDescent="0.25">
      <c r="A75" s="42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</row>
    <row r="76" spans="1:27" ht="12.5" x14ac:dyDescent="0.25">
      <c r="A76" s="42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</row>
    <row r="77" spans="1:27" ht="12.5" x14ac:dyDescent="0.25">
      <c r="A77" s="42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</row>
    <row r="78" spans="1:27" ht="12.5" x14ac:dyDescent="0.25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</row>
    <row r="79" spans="1:27" ht="12.5" x14ac:dyDescent="0.25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</row>
    <row r="80" spans="1:27" ht="12.5" x14ac:dyDescent="0.25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</row>
    <row r="81" spans="1:27" ht="12.5" x14ac:dyDescent="0.25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</row>
    <row r="82" spans="1:27" ht="12.5" x14ac:dyDescent="0.25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</row>
    <row r="83" spans="1:27" ht="12.5" x14ac:dyDescent="0.25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</row>
    <row r="84" spans="1:27" ht="12.5" x14ac:dyDescent="0.25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</row>
    <row r="85" spans="1:27" ht="12.5" x14ac:dyDescent="0.25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</row>
    <row r="86" spans="1:27" ht="12.5" x14ac:dyDescent="0.25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</row>
    <row r="87" spans="1:27" ht="12.5" x14ac:dyDescent="0.25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</row>
    <row r="88" spans="1:27" ht="12.5" x14ac:dyDescent="0.25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</row>
    <row r="89" spans="1:27" ht="12.5" x14ac:dyDescent="0.25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</row>
    <row r="90" spans="1:27" ht="12.5" x14ac:dyDescent="0.25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</row>
    <row r="91" spans="1:27" ht="12.5" x14ac:dyDescent="0.25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 spans="1:27" ht="12.5" x14ac:dyDescent="0.25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 spans="1:27" ht="12.5" x14ac:dyDescent="0.25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 spans="1:27" ht="12.5" x14ac:dyDescent="0.25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 spans="1:27" ht="12.5" x14ac:dyDescent="0.2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 spans="1:27" ht="12.5" x14ac:dyDescent="0.25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 spans="1:27" ht="12.5" x14ac:dyDescent="0.25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 spans="1:27" ht="12.5" x14ac:dyDescent="0.25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 spans="1:27" ht="12.5" x14ac:dyDescent="0.25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 spans="1:27" ht="12.5" x14ac:dyDescent="0.25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 spans="1:27" ht="12.5" x14ac:dyDescent="0.25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 spans="1:27" ht="12.5" x14ac:dyDescent="0.25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 spans="1:27" ht="12.5" x14ac:dyDescent="0.25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 spans="1:27" ht="12.5" x14ac:dyDescent="0.25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 spans="1:27" ht="12.5" x14ac:dyDescent="0.2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 spans="1:27" ht="12.5" x14ac:dyDescent="0.25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 spans="1:27" ht="12.5" x14ac:dyDescent="0.25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 spans="1:27" ht="12.5" x14ac:dyDescent="0.25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 spans="1:27" ht="12.5" x14ac:dyDescent="0.25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 spans="1:27" ht="12.5" x14ac:dyDescent="0.25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 spans="1:27" ht="12.5" x14ac:dyDescent="0.25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 spans="1:27" ht="12.5" x14ac:dyDescent="0.25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 spans="1:27" ht="12.5" x14ac:dyDescent="0.25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 spans="1:27" ht="12.5" x14ac:dyDescent="0.25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 spans="1:27" ht="12.5" x14ac:dyDescent="0.2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 spans="1:27" ht="12.5" x14ac:dyDescent="0.25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 spans="1:27" ht="12.5" x14ac:dyDescent="0.25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 spans="1:27" ht="12.5" x14ac:dyDescent="0.25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 spans="1:27" ht="12.5" x14ac:dyDescent="0.25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 spans="1:27" ht="12.5" x14ac:dyDescent="0.25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 spans="1:27" ht="12.5" x14ac:dyDescent="0.25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 spans="1:27" ht="12.5" x14ac:dyDescent="0.25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 spans="1:27" ht="12.5" x14ac:dyDescent="0.25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 spans="1:27" ht="12.5" x14ac:dyDescent="0.25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 spans="1:27" ht="12.5" x14ac:dyDescent="0.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  <row r="126" spans="1:27" ht="12.5" x14ac:dyDescent="0.25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</row>
    <row r="127" spans="1:27" ht="12.5" x14ac:dyDescent="0.25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</row>
    <row r="128" spans="1:27" ht="12.5" x14ac:dyDescent="0.25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</row>
    <row r="129" spans="1:27" ht="12.5" x14ac:dyDescent="0.25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</row>
    <row r="130" spans="1:27" ht="12.5" x14ac:dyDescent="0.25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</row>
    <row r="131" spans="1:27" ht="12.5" x14ac:dyDescent="0.25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</row>
    <row r="132" spans="1:27" ht="12.5" x14ac:dyDescent="0.25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</row>
    <row r="133" spans="1:27" ht="12.5" x14ac:dyDescent="0.25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</row>
    <row r="134" spans="1:27" ht="12.5" x14ac:dyDescent="0.25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</row>
    <row r="135" spans="1:27" ht="12.5" x14ac:dyDescent="0.2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</row>
    <row r="136" spans="1:27" ht="12.5" x14ac:dyDescent="0.25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</row>
    <row r="137" spans="1:27" ht="12.5" x14ac:dyDescent="0.25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</row>
    <row r="138" spans="1:27" ht="12.5" x14ac:dyDescent="0.25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</row>
    <row r="139" spans="1:27" ht="12.5" x14ac:dyDescent="0.25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</row>
    <row r="140" spans="1:27" ht="12.5" x14ac:dyDescent="0.25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</row>
    <row r="141" spans="1:27" ht="12.5" x14ac:dyDescent="0.25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</row>
    <row r="142" spans="1:27" ht="12.5" x14ac:dyDescent="0.25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</row>
    <row r="143" spans="1:27" ht="12.5" x14ac:dyDescent="0.25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</row>
    <row r="144" spans="1:27" ht="12.5" x14ac:dyDescent="0.25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</row>
    <row r="145" spans="1:27" ht="12.5" x14ac:dyDescent="0.2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</row>
    <row r="146" spans="1:27" ht="12.5" x14ac:dyDescent="0.25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</row>
    <row r="147" spans="1:27" ht="12.5" x14ac:dyDescent="0.25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</row>
    <row r="148" spans="1:27" ht="12.5" x14ac:dyDescent="0.25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</row>
    <row r="149" spans="1:27" ht="12.5" x14ac:dyDescent="0.25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</row>
    <row r="150" spans="1:27" ht="12.5" x14ac:dyDescent="0.25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</row>
    <row r="151" spans="1:27" ht="12.5" x14ac:dyDescent="0.25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</row>
    <row r="152" spans="1:27" ht="12.5" x14ac:dyDescent="0.25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</row>
    <row r="153" spans="1:27" ht="12.5" x14ac:dyDescent="0.25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</row>
    <row r="154" spans="1:27" ht="12.5" x14ac:dyDescent="0.25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</row>
    <row r="155" spans="1:27" ht="12.5" x14ac:dyDescent="0.2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</row>
    <row r="156" spans="1:27" ht="12.5" x14ac:dyDescent="0.25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</row>
    <row r="157" spans="1:27" ht="12.5" x14ac:dyDescent="0.25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</row>
    <row r="158" spans="1:27" ht="12.5" x14ac:dyDescent="0.25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</row>
    <row r="159" spans="1:27" ht="12.5" x14ac:dyDescent="0.25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</row>
    <row r="160" spans="1:27" ht="12.5" x14ac:dyDescent="0.25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</row>
    <row r="161" spans="1:27" ht="12.5" x14ac:dyDescent="0.25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</row>
    <row r="162" spans="1:27" ht="12.5" x14ac:dyDescent="0.25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</row>
    <row r="163" spans="1:27" ht="12.5" x14ac:dyDescent="0.25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</row>
    <row r="164" spans="1:27" ht="12.5" x14ac:dyDescent="0.25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</row>
    <row r="165" spans="1:27" ht="12.5" x14ac:dyDescent="0.2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</row>
    <row r="166" spans="1:27" ht="12.5" x14ac:dyDescent="0.25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</row>
    <row r="167" spans="1:27" ht="12.5" x14ac:dyDescent="0.25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</row>
    <row r="168" spans="1:27" ht="12.5" x14ac:dyDescent="0.25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</row>
    <row r="169" spans="1:27" ht="12.5" x14ac:dyDescent="0.25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</row>
    <row r="170" spans="1:27" ht="12.5" x14ac:dyDescent="0.25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</row>
    <row r="171" spans="1:27" ht="12.5" x14ac:dyDescent="0.25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</row>
    <row r="172" spans="1:27" ht="12.5" x14ac:dyDescent="0.25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</row>
    <row r="173" spans="1:27" ht="12.5" x14ac:dyDescent="0.25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</row>
    <row r="174" spans="1:27" ht="12.5" x14ac:dyDescent="0.25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</row>
    <row r="175" spans="1:27" ht="12.5" x14ac:dyDescent="0.2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</row>
    <row r="176" spans="1:27" ht="12.5" x14ac:dyDescent="0.25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</row>
    <row r="177" spans="1:27" ht="12.5" x14ac:dyDescent="0.25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</row>
    <row r="178" spans="1:27" ht="12.5" x14ac:dyDescent="0.25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</row>
    <row r="179" spans="1:27" ht="12.5" x14ac:dyDescent="0.25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</row>
    <row r="180" spans="1:27" ht="12.5" x14ac:dyDescent="0.25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</row>
    <row r="181" spans="1:27" ht="12.5" x14ac:dyDescent="0.25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</row>
    <row r="182" spans="1:27" ht="12.5" x14ac:dyDescent="0.25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</row>
    <row r="183" spans="1:27" ht="12.5" x14ac:dyDescent="0.25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</row>
    <row r="184" spans="1:27" ht="12.5" x14ac:dyDescent="0.25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</row>
    <row r="185" spans="1:27" ht="12.5" x14ac:dyDescent="0.2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</row>
    <row r="186" spans="1:27" ht="12.5" x14ac:dyDescent="0.25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</row>
    <row r="187" spans="1:27" ht="12.5" x14ac:dyDescent="0.25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</row>
    <row r="188" spans="1:27" ht="12.5" x14ac:dyDescent="0.25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</row>
    <row r="189" spans="1:27" ht="12.5" x14ac:dyDescent="0.25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</row>
    <row r="190" spans="1:27" ht="12.5" x14ac:dyDescent="0.25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</row>
    <row r="191" spans="1:27" ht="12.5" x14ac:dyDescent="0.25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</row>
    <row r="192" spans="1:27" ht="12.5" x14ac:dyDescent="0.25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</row>
    <row r="193" spans="1:27" ht="12.5" x14ac:dyDescent="0.25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</row>
    <row r="194" spans="1:27" ht="12.5" x14ac:dyDescent="0.25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</row>
    <row r="195" spans="1:27" ht="12.5" x14ac:dyDescent="0.2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</row>
    <row r="196" spans="1:27" ht="12.5" x14ac:dyDescent="0.25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</row>
    <row r="197" spans="1:27" ht="12.5" x14ac:dyDescent="0.25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</row>
    <row r="198" spans="1:27" ht="12.5" x14ac:dyDescent="0.25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</row>
    <row r="199" spans="1:27" ht="12.5" x14ac:dyDescent="0.25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</row>
    <row r="200" spans="1:27" ht="12.5" x14ac:dyDescent="0.25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</row>
    <row r="201" spans="1:27" ht="12.5" x14ac:dyDescent="0.25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</row>
    <row r="202" spans="1:27" ht="12.5" x14ac:dyDescent="0.25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</row>
    <row r="203" spans="1:27" ht="12.5" x14ac:dyDescent="0.25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</row>
    <row r="204" spans="1:27" ht="12.5" x14ac:dyDescent="0.25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</row>
    <row r="205" spans="1:27" ht="12.5" x14ac:dyDescent="0.2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</row>
    <row r="206" spans="1:27" ht="12.5" x14ac:dyDescent="0.25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</row>
    <row r="207" spans="1:27" ht="12.5" x14ac:dyDescent="0.25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</row>
    <row r="208" spans="1:27" ht="12.5" x14ac:dyDescent="0.25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</row>
    <row r="209" spans="1:27" ht="12.5" x14ac:dyDescent="0.25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</row>
    <row r="210" spans="1:27" ht="12.5" x14ac:dyDescent="0.25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</row>
    <row r="211" spans="1:27" ht="12.5" x14ac:dyDescent="0.25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</row>
    <row r="212" spans="1:27" ht="12.5" x14ac:dyDescent="0.25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</row>
    <row r="213" spans="1:27" ht="12.5" x14ac:dyDescent="0.25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</row>
    <row r="214" spans="1:27" ht="12.5" x14ac:dyDescent="0.25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</row>
    <row r="215" spans="1:27" ht="12.5" x14ac:dyDescent="0.2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</row>
    <row r="216" spans="1:27" ht="12.5" x14ac:dyDescent="0.25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</row>
    <row r="217" spans="1:27" ht="12.5" x14ac:dyDescent="0.25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</row>
    <row r="218" spans="1:27" ht="12.5" x14ac:dyDescent="0.25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</row>
    <row r="219" spans="1:27" ht="12.5" x14ac:dyDescent="0.25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</row>
    <row r="220" spans="1:27" ht="12.5" x14ac:dyDescent="0.25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</row>
    <row r="221" spans="1:27" ht="12.5" x14ac:dyDescent="0.25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</row>
    <row r="222" spans="1:27" ht="12.5" x14ac:dyDescent="0.25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</row>
    <row r="223" spans="1:27" ht="12.5" x14ac:dyDescent="0.25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</row>
    <row r="224" spans="1:27" ht="12.5" x14ac:dyDescent="0.25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</row>
    <row r="225" spans="1:27" ht="12.5" x14ac:dyDescent="0.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</row>
    <row r="226" spans="1:27" ht="12.5" x14ac:dyDescent="0.25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</row>
    <row r="227" spans="1:27" ht="12.5" x14ac:dyDescent="0.25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</row>
    <row r="228" spans="1:27" ht="12.5" x14ac:dyDescent="0.25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</row>
    <row r="229" spans="1:27" ht="12.5" x14ac:dyDescent="0.25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</row>
    <row r="230" spans="1:27" ht="12.5" x14ac:dyDescent="0.25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</row>
    <row r="231" spans="1:27" ht="12.5" x14ac:dyDescent="0.25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</row>
    <row r="232" spans="1:27" ht="12.5" x14ac:dyDescent="0.25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</row>
    <row r="233" spans="1:27" ht="12.5" x14ac:dyDescent="0.25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</row>
    <row r="234" spans="1:27" ht="12.5" x14ac:dyDescent="0.25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</row>
    <row r="235" spans="1:27" ht="12.5" x14ac:dyDescent="0.2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</row>
    <row r="236" spans="1:27" ht="12.5" x14ac:dyDescent="0.25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</row>
    <row r="237" spans="1:27" ht="12.5" x14ac:dyDescent="0.25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</row>
    <row r="238" spans="1:27" ht="12.5" x14ac:dyDescent="0.25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</row>
    <row r="239" spans="1:27" ht="12.5" x14ac:dyDescent="0.25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</row>
    <row r="240" spans="1:27" ht="12.5" x14ac:dyDescent="0.25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</row>
    <row r="241" spans="1:27" ht="12.5" x14ac:dyDescent="0.25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</row>
    <row r="242" spans="1:27" ht="12.5" x14ac:dyDescent="0.25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</row>
    <row r="243" spans="1:27" ht="12.5" x14ac:dyDescent="0.25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</row>
    <row r="244" spans="1:27" ht="12.5" x14ac:dyDescent="0.25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</row>
    <row r="245" spans="1:27" ht="12.5" x14ac:dyDescent="0.2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</row>
    <row r="246" spans="1:27" ht="12.5" x14ac:dyDescent="0.25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</row>
    <row r="247" spans="1:27" ht="12.5" x14ac:dyDescent="0.25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</row>
    <row r="248" spans="1:27" ht="12.5" x14ac:dyDescent="0.25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</row>
    <row r="249" spans="1:27" ht="12.5" x14ac:dyDescent="0.25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</row>
    <row r="250" spans="1:27" ht="12.5" x14ac:dyDescent="0.25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</row>
    <row r="251" spans="1:27" ht="12.5" x14ac:dyDescent="0.25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</row>
    <row r="252" spans="1:27" ht="12.5" x14ac:dyDescent="0.25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</row>
    <row r="253" spans="1:27" ht="12.5" x14ac:dyDescent="0.25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</row>
    <row r="254" spans="1:27" ht="12.5" x14ac:dyDescent="0.25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</row>
    <row r="255" spans="1:27" ht="12.5" x14ac:dyDescent="0.2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</row>
    <row r="256" spans="1:27" ht="12.5" x14ac:dyDescent="0.25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</row>
    <row r="257" spans="1:27" ht="12.5" x14ac:dyDescent="0.25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</row>
    <row r="258" spans="1:27" ht="12.5" x14ac:dyDescent="0.25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</row>
    <row r="259" spans="1:27" ht="12.5" x14ac:dyDescent="0.25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</row>
    <row r="260" spans="1:27" ht="12.5" x14ac:dyDescent="0.25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</row>
    <row r="261" spans="1:27" ht="12.5" x14ac:dyDescent="0.25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</row>
    <row r="262" spans="1:27" ht="12.5" x14ac:dyDescent="0.25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</row>
    <row r="263" spans="1:27" ht="12.5" x14ac:dyDescent="0.25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</row>
    <row r="264" spans="1:27" ht="12.5" x14ac:dyDescent="0.25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</row>
    <row r="265" spans="1:27" ht="12.5" x14ac:dyDescent="0.2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</row>
    <row r="266" spans="1:27" ht="12.5" x14ac:dyDescent="0.25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</row>
    <row r="267" spans="1:27" ht="12.5" x14ac:dyDescent="0.25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</row>
    <row r="268" spans="1:27" ht="12.5" x14ac:dyDescent="0.25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</row>
    <row r="269" spans="1:27" ht="12.5" x14ac:dyDescent="0.25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</row>
    <row r="270" spans="1:27" ht="12.5" x14ac:dyDescent="0.25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</row>
    <row r="271" spans="1:27" ht="12.5" x14ac:dyDescent="0.25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</row>
    <row r="272" spans="1:27" ht="12.5" x14ac:dyDescent="0.25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</row>
    <row r="273" spans="1:27" ht="12.5" x14ac:dyDescent="0.25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</row>
    <row r="274" spans="1:27" ht="12.5" x14ac:dyDescent="0.25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</row>
    <row r="275" spans="1:27" ht="12.5" x14ac:dyDescent="0.2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</row>
    <row r="276" spans="1:27" ht="12.5" x14ac:dyDescent="0.25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</row>
    <row r="277" spans="1:27" ht="12.5" x14ac:dyDescent="0.25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2.5" x14ac:dyDescent="0.25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2.5" x14ac:dyDescent="0.25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2.5" x14ac:dyDescent="0.25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2.5" x14ac:dyDescent="0.25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2.5" x14ac:dyDescent="0.25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2.5" x14ac:dyDescent="0.25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2.5" x14ac:dyDescent="0.25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2.5" x14ac:dyDescent="0.2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2.5" x14ac:dyDescent="0.25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2.5" x14ac:dyDescent="0.25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2.5" x14ac:dyDescent="0.25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2.5" x14ac:dyDescent="0.25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2.5" x14ac:dyDescent="0.25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2.5" x14ac:dyDescent="0.25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2.5" x14ac:dyDescent="0.25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</row>
    <row r="293" spans="1:27" ht="12.5" x14ac:dyDescent="0.25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2.5" x14ac:dyDescent="0.25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2.5" x14ac:dyDescent="0.2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</row>
    <row r="296" spans="1:27" ht="12.5" x14ac:dyDescent="0.25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2.5" x14ac:dyDescent="0.25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2.5" x14ac:dyDescent="0.25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2.5" x14ac:dyDescent="0.25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2.5" x14ac:dyDescent="0.25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2.5" x14ac:dyDescent="0.25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</row>
    <row r="302" spans="1:27" ht="12.5" x14ac:dyDescent="0.25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</row>
    <row r="303" spans="1:27" ht="12.5" x14ac:dyDescent="0.25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</row>
    <row r="304" spans="1:27" ht="12.5" x14ac:dyDescent="0.25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</row>
    <row r="305" spans="1:27" ht="12.5" x14ac:dyDescent="0.2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</row>
    <row r="306" spans="1:27" ht="12.5" x14ac:dyDescent="0.25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</row>
    <row r="307" spans="1:27" ht="12.5" x14ac:dyDescent="0.25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2.5" x14ac:dyDescent="0.25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</row>
    <row r="309" spans="1:27" ht="12.5" x14ac:dyDescent="0.25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</row>
    <row r="310" spans="1:27" ht="12.5" x14ac:dyDescent="0.25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</row>
    <row r="311" spans="1:27" ht="12.5" x14ac:dyDescent="0.25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</row>
    <row r="312" spans="1:27" ht="12.5" x14ac:dyDescent="0.25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2.5" x14ac:dyDescent="0.25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2.5" x14ac:dyDescent="0.25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2.5" x14ac:dyDescent="0.2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2.5" x14ac:dyDescent="0.25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2.5" x14ac:dyDescent="0.25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2.5" x14ac:dyDescent="0.25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2.5" x14ac:dyDescent="0.25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2.5" x14ac:dyDescent="0.25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2.5" x14ac:dyDescent="0.25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2.5" x14ac:dyDescent="0.25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2.5" x14ac:dyDescent="0.25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2.5" x14ac:dyDescent="0.25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2.5" x14ac:dyDescent="0.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2.5" x14ac:dyDescent="0.25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2.5" x14ac:dyDescent="0.25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</row>
    <row r="328" spans="1:27" ht="12.5" x14ac:dyDescent="0.25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</row>
    <row r="329" spans="1:27" ht="12.5" x14ac:dyDescent="0.25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</row>
    <row r="330" spans="1:27" ht="12.5" x14ac:dyDescent="0.25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2.5" x14ac:dyDescent="0.25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2.5" x14ac:dyDescent="0.25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2.5" x14ac:dyDescent="0.25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2.5" x14ac:dyDescent="0.25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2.5" x14ac:dyDescent="0.2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2.5" x14ac:dyDescent="0.25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2.5" x14ac:dyDescent="0.25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2.5" x14ac:dyDescent="0.25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2.5" x14ac:dyDescent="0.25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2.5" x14ac:dyDescent="0.25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2.5" x14ac:dyDescent="0.25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2.5" x14ac:dyDescent="0.25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2.5" x14ac:dyDescent="0.25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2.5" x14ac:dyDescent="0.25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2.5" x14ac:dyDescent="0.2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2.5" x14ac:dyDescent="0.25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2.5" x14ac:dyDescent="0.25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2.5" x14ac:dyDescent="0.25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2.5" x14ac:dyDescent="0.25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2.5" x14ac:dyDescent="0.25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2.5" x14ac:dyDescent="0.25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</row>
    <row r="352" spans="1:27" ht="12.5" x14ac:dyDescent="0.25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2.5" x14ac:dyDescent="0.25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2.5" x14ac:dyDescent="0.25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2.5" x14ac:dyDescent="0.2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2.5" x14ac:dyDescent="0.25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2.5" x14ac:dyDescent="0.25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2.5" x14ac:dyDescent="0.25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2.5" x14ac:dyDescent="0.25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2.5" x14ac:dyDescent="0.25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2.5" x14ac:dyDescent="0.25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2.5" x14ac:dyDescent="0.25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2.5" x14ac:dyDescent="0.25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2.5" x14ac:dyDescent="0.25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2.5" x14ac:dyDescent="0.2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</row>
    <row r="366" spans="1:27" ht="12.5" x14ac:dyDescent="0.25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</row>
    <row r="367" spans="1:27" ht="12.5" x14ac:dyDescent="0.25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</row>
    <row r="368" spans="1:27" ht="12.5" x14ac:dyDescent="0.25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</row>
    <row r="369" spans="1:27" ht="12.5" x14ac:dyDescent="0.25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</row>
    <row r="370" spans="1:27" ht="12.5" x14ac:dyDescent="0.25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</row>
    <row r="371" spans="1:27" ht="12.5" x14ac:dyDescent="0.25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</row>
    <row r="372" spans="1:27" ht="12.5" x14ac:dyDescent="0.25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</row>
    <row r="373" spans="1:27" ht="12.5" x14ac:dyDescent="0.25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</row>
    <row r="374" spans="1:27" ht="12.5" x14ac:dyDescent="0.25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</row>
    <row r="375" spans="1:27" ht="12.5" x14ac:dyDescent="0.2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</row>
    <row r="376" spans="1:27" ht="12.5" x14ac:dyDescent="0.25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</row>
    <row r="377" spans="1:27" ht="12.5" x14ac:dyDescent="0.25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</row>
    <row r="378" spans="1:27" ht="12.5" x14ac:dyDescent="0.25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</row>
    <row r="379" spans="1:27" ht="12.5" x14ac:dyDescent="0.25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</row>
    <row r="380" spans="1:27" ht="12.5" x14ac:dyDescent="0.25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</row>
    <row r="381" spans="1:27" ht="12.5" x14ac:dyDescent="0.25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</row>
    <row r="382" spans="1:27" ht="12.5" x14ac:dyDescent="0.25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</row>
    <row r="383" spans="1:27" ht="12.5" x14ac:dyDescent="0.25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</row>
    <row r="384" spans="1:27" ht="12.5" x14ac:dyDescent="0.25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</row>
    <row r="385" spans="1:27" ht="12.5" x14ac:dyDescent="0.2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</row>
    <row r="386" spans="1:27" ht="12.5" x14ac:dyDescent="0.25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</row>
    <row r="387" spans="1:27" ht="12.5" x14ac:dyDescent="0.25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</row>
    <row r="388" spans="1:27" ht="12.5" x14ac:dyDescent="0.25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</row>
    <row r="389" spans="1:27" ht="12.5" x14ac:dyDescent="0.25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</row>
    <row r="390" spans="1:27" ht="12.5" x14ac:dyDescent="0.25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</row>
    <row r="391" spans="1:27" ht="12.5" x14ac:dyDescent="0.25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</row>
    <row r="392" spans="1:27" ht="12.5" x14ac:dyDescent="0.25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</row>
    <row r="393" spans="1:27" ht="12.5" x14ac:dyDescent="0.25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</row>
    <row r="394" spans="1:27" ht="12.5" x14ac:dyDescent="0.25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</row>
    <row r="395" spans="1:27" ht="12.5" x14ac:dyDescent="0.2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</row>
    <row r="396" spans="1:27" ht="12.5" x14ac:dyDescent="0.25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</row>
    <row r="397" spans="1:27" ht="12.5" x14ac:dyDescent="0.25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</row>
    <row r="398" spans="1:27" ht="12.5" x14ac:dyDescent="0.25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</row>
    <row r="399" spans="1:27" ht="12.5" x14ac:dyDescent="0.25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</row>
    <row r="400" spans="1:27" ht="12.5" x14ac:dyDescent="0.25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</row>
    <row r="401" spans="1:27" ht="12.5" x14ac:dyDescent="0.25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</row>
    <row r="402" spans="1:27" ht="12.5" x14ac:dyDescent="0.25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</row>
    <row r="403" spans="1:27" ht="12.5" x14ac:dyDescent="0.25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</row>
    <row r="404" spans="1:27" ht="12.5" x14ac:dyDescent="0.25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</row>
    <row r="405" spans="1:27" ht="12.5" x14ac:dyDescent="0.2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</row>
    <row r="406" spans="1:27" ht="12.5" x14ac:dyDescent="0.25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</row>
    <row r="407" spans="1:27" ht="12.5" x14ac:dyDescent="0.25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</row>
    <row r="408" spans="1:27" ht="12.5" x14ac:dyDescent="0.25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</row>
    <row r="409" spans="1:27" ht="12.5" x14ac:dyDescent="0.25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</row>
    <row r="410" spans="1:27" ht="12.5" x14ac:dyDescent="0.25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</row>
    <row r="411" spans="1:27" ht="12.5" x14ac:dyDescent="0.25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</row>
    <row r="412" spans="1:27" ht="12.5" x14ac:dyDescent="0.25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</row>
    <row r="413" spans="1:27" ht="12.5" x14ac:dyDescent="0.25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</row>
    <row r="414" spans="1:27" ht="12.5" x14ac:dyDescent="0.25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</row>
    <row r="415" spans="1:27" ht="12.5" x14ac:dyDescent="0.2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</row>
    <row r="416" spans="1:27" ht="12.5" x14ac:dyDescent="0.25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</row>
    <row r="417" spans="1:27" ht="12.5" x14ac:dyDescent="0.25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</row>
    <row r="418" spans="1:27" ht="12.5" x14ac:dyDescent="0.25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</row>
    <row r="419" spans="1:27" ht="12.5" x14ac:dyDescent="0.25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</row>
    <row r="420" spans="1:27" ht="12.5" x14ac:dyDescent="0.25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</row>
    <row r="421" spans="1:27" ht="12.5" x14ac:dyDescent="0.25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</row>
    <row r="422" spans="1:27" ht="12.5" x14ac:dyDescent="0.25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</row>
    <row r="423" spans="1:27" ht="12.5" x14ac:dyDescent="0.25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</row>
    <row r="424" spans="1:27" ht="12.5" x14ac:dyDescent="0.25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</row>
    <row r="425" spans="1:27" ht="12.5" x14ac:dyDescent="0.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</row>
    <row r="426" spans="1:27" ht="12.5" x14ac:dyDescent="0.25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</row>
    <row r="427" spans="1:27" ht="12.5" x14ac:dyDescent="0.25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</row>
    <row r="428" spans="1:27" ht="12.5" x14ac:dyDescent="0.25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</row>
    <row r="429" spans="1:27" ht="12.5" x14ac:dyDescent="0.25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</row>
    <row r="430" spans="1:27" ht="12.5" x14ac:dyDescent="0.25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</row>
    <row r="431" spans="1:27" ht="12.5" x14ac:dyDescent="0.25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</row>
    <row r="432" spans="1:27" ht="12.5" x14ac:dyDescent="0.25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</row>
    <row r="433" spans="1:27" ht="12.5" x14ac:dyDescent="0.25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</row>
    <row r="434" spans="1:27" ht="12.5" x14ac:dyDescent="0.25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</row>
    <row r="435" spans="1:27" ht="12.5" x14ac:dyDescent="0.2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</row>
    <row r="436" spans="1:27" ht="12.5" x14ac:dyDescent="0.25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</row>
    <row r="437" spans="1:27" ht="12.5" x14ac:dyDescent="0.25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</row>
    <row r="438" spans="1:27" ht="12.5" x14ac:dyDescent="0.25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</row>
    <row r="439" spans="1:27" ht="12.5" x14ac:dyDescent="0.25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</row>
    <row r="440" spans="1:27" ht="12.5" x14ac:dyDescent="0.25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</row>
    <row r="441" spans="1:27" ht="12.5" x14ac:dyDescent="0.25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</row>
    <row r="442" spans="1:27" ht="12.5" x14ac:dyDescent="0.25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</row>
    <row r="443" spans="1:27" ht="12.5" x14ac:dyDescent="0.25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</row>
    <row r="444" spans="1:27" ht="12.5" x14ac:dyDescent="0.25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</row>
    <row r="445" spans="1:27" ht="12.5" x14ac:dyDescent="0.2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</row>
    <row r="446" spans="1:27" ht="12.5" x14ac:dyDescent="0.25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</row>
    <row r="447" spans="1:27" ht="12.5" x14ac:dyDescent="0.25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</row>
    <row r="448" spans="1:27" ht="12.5" x14ac:dyDescent="0.25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</row>
    <row r="449" spans="1:27" ht="12.5" x14ac:dyDescent="0.25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</row>
    <row r="450" spans="1:27" ht="12.5" x14ac:dyDescent="0.25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</row>
    <row r="451" spans="1:27" ht="12.5" x14ac:dyDescent="0.25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</row>
    <row r="452" spans="1:27" ht="12.5" x14ac:dyDescent="0.25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</row>
    <row r="453" spans="1:27" ht="12.5" x14ac:dyDescent="0.25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</row>
    <row r="454" spans="1:27" ht="12.5" x14ac:dyDescent="0.25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</row>
    <row r="455" spans="1:27" ht="12.5" x14ac:dyDescent="0.2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</row>
    <row r="456" spans="1:27" ht="12.5" x14ac:dyDescent="0.25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</row>
    <row r="457" spans="1:27" ht="12.5" x14ac:dyDescent="0.25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</row>
    <row r="458" spans="1:27" ht="12.5" x14ac:dyDescent="0.25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</row>
    <row r="459" spans="1:27" ht="12.5" x14ac:dyDescent="0.25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</row>
    <row r="460" spans="1:27" ht="12.5" x14ac:dyDescent="0.25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</row>
    <row r="461" spans="1:27" ht="12.5" x14ac:dyDescent="0.25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</row>
    <row r="462" spans="1:27" ht="12.5" x14ac:dyDescent="0.25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</row>
    <row r="463" spans="1:27" ht="12.5" x14ac:dyDescent="0.25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</row>
    <row r="464" spans="1:27" ht="12.5" x14ac:dyDescent="0.25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</row>
    <row r="465" spans="1:27" ht="12.5" x14ac:dyDescent="0.2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</row>
    <row r="466" spans="1:27" ht="12.5" x14ac:dyDescent="0.25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</row>
    <row r="467" spans="1:27" ht="12.5" x14ac:dyDescent="0.25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</row>
    <row r="468" spans="1:27" ht="12.5" x14ac:dyDescent="0.25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</row>
    <row r="469" spans="1:27" ht="12.5" x14ac:dyDescent="0.25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</row>
    <row r="470" spans="1:27" ht="12.5" x14ac:dyDescent="0.25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</row>
    <row r="471" spans="1:27" ht="12.5" x14ac:dyDescent="0.25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</row>
    <row r="472" spans="1:27" ht="12.5" x14ac:dyDescent="0.25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</row>
    <row r="473" spans="1:27" ht="12.5" x14ac:dyDescent="0.25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</row>
    <row r="474" spans="1:27" ht="12.5" x14ac:dyDescent="0.25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</row>
    <row r="475" spans="1:27" ht="12.5" x14ac:dyDescent="0.2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</row>
    <row r="476" spans="1:27" ht="12.5" x14ac:dyDescent="0.25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</row>
    <row r="477" spans="1:27" ht="12.5" x14ac:dyDescent="0.25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</row>
    <row r="478" spans="1:27" ht="12.5" x14ac:dyDescent="0.25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</row>
    <row r="479" spans="1:27" ht="12.5" x14ac:dyDescent="0.25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</row>
    <row r="480" spans="1:27" ht="12.5" x14ac:dyDescent="0.25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</row>
    <row r="481" spans="1:27" ht="12.5" x14ac:dyDescent="0.25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</row>
    <row r="482" spans="1:27" ht="12.5" x14ac:dyDescent="0.25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</row>
    <row r="483" spans="1:27" ht="12.5" x14ac:dyDescent="0.25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</row>
    <row r="484" spans="1:27" ht="12.5" x14ac:dyDescent="0.25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</row>
    <row r="485" spans="1:27" ht="12.5" x14ac:dyDescent="0.2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</row>
    <row r="486" spans="1:27" ht="12.5" x14ac:dyDescent="0.25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</row>
    <row r="487" spans="1:27" ht="12.5" x14ac:dyDescent="0.25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</row>
    <row r="488" spans="1:27" ht="12.5" x14ac:dyDescent="0.25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</row>
    <row r="489" spans="1:27" ht="12.5" x14ac:dyDescent="0.25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</row>
    <row r="490" spans="1:27" ht="12.5" x14ac:dyDescent="0.25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</row>
    <row r="491" spans="1:27" ht="12.5" x14ac:dyDescent="0.25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</row>
    <row r="492" spans="1:27" ht="12.5" x14ac:dyDescent="0.25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</row>
    <row r="493" spans="1:27" ht="12.5" x14ac:dyDescent="0.25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</row>
    <row r="494" spans="1:27" ht="12.5" x14ac:dyDescent="0.25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</row>
    <row r="495" spans="1:27" ht="12.5" x14ac:dyDescent="0.2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</row>
    <row r="496" spans="1:27" ht="12.5" x14ac:dyDescent="0.25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</row>
    <row r="497" spans="1:27" ht="12.5" x14ac:dyDescent="0.25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</row>
    <row r="498" spans="1:27" ht="12.5" x14ac:dyDescent="0.25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</row>
    <row r="499" spans="1:27" ht="12.5" x14ac:dyDescent="0.25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</row>
    <row r="500" spans="1:27" ht="12.5" x14ac:dyDescent="0.25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</row>
    <row r="501" spans="1:27" ht="12.5" x14ac:dyDescent="0.25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</row>
    <row r="502" spans="1:27" ht="12.5" x14ac:dyDescent="0.25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</row>
    <row r="503" spans="1:27" ht="12.5" x14ac:dyDescent="0.25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</row>
    <row r="504" spans="1:27" ht="12.5" x14ac:dyDescent="0.25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</row>
    <row r="505" spans="1:27" ht="12.5" x14ac:dyDescent="0.2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</row>
    <row r="506" spans="1:27" ht="12.5" x14ac:dyDescent="0.25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</row>
    <row r="507" spans="1:27" ht="12.5" x14ac:dyDescent="0.25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</row>
    <row r="508" spans="1:27" ht="12.5" x14ac:dyDescent="0.25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</row>
    <row r="509" spans="1:27" ht="12.5" x14ac:dyDescent="0.25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</row>
    <row r="510" spans="1:27" ht="12.5" x14ac:dyDescent="0.25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</row>
    <row r="511" spans="1:27" ht="12.5" x14ac:dyDescent="0.25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</row>
    <row r="512" spans="1:27" ht="12.5" x14ac:dyDescent="0.25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</row>
    <row r="513" spans="1:27" ht="12.5" x14ac:dyDescent="0.25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</row>
    <row r="514" spans="1:27" ht="12.5" x14ac:dyDescent="0.25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</row>
    <row r="515" spans="1:27" ht="12.5" x14ac:dyDescent="0.2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</row>
    <row r="516" spans="1:27" ht="12.5" x14ac:dyDescent="0.25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</row>
    <row r="517" spans="1:27" ht="12.5" x14ac:dyDescent="0.25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</row>
    <row r="518" spans="1:27" ht="12.5" x14ac:dyDescent="0.25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</row>
    <row r="519" spans="1:27" ht="12.5" x14ac:dyDescent="0.25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</row>
    <row r="520" spans="1:27" ht="12.5" x14ac:dyDescent="0.25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</row>
    <row r="521" spans="1:27" ht="12.5" x14ac:dyDescent="0.25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</row>
    <row r="522" spans="1:27" ht="12.5" x14ac:dyDescent="0.25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</row>
    <row r="523" spans="1:27" ht="12.5" x14ac:dyDescent="0.25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</row>
    <row r="524" spans="1:27" ht="12.5" x14ac:dyDescent="0.25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</row>
    <row r="525" spans="1:27" ht="12.5" x14ac:dyDescent="0.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</row>
    <row r="526" spans="1:27" ht="12.5" x14ac:dyDescent="0.25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</row>
    <row r="527" spans="1:27" ht="12.5" x14ac:dyDescent="0.25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</row>
    <row r="528" spans="1:27" ht="12.5" x14ac:dyDescent="0.25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</row>
    <row r="529" spans="1:27" ht="12.5" x14ac:dyDescent="0.25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</row>
    <row r="530" spans="1:27" ht="12.5" x14ac:dyDescent="0.25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</row>
    <row r="531" spans="1:27" ht="12.5" x14ac:dyDescent="0.25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</row>
    <row r="532" spans="1:27" ht="12.5" x14ac:dyDescent="0.25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</row>
    <row r="533" spans="1:27" ht="12.5" x14ac:dyDescent="0.25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</row>
    <row r="534" spans="1:27" ht="12.5" x14ac:dyDescent="0.25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</row>
    <row r="535" spans="1:27" ht="12.5" x14ac:dyDescent="0.2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</row>
    <row r="536" spans="1:27" ht="12.5" x14ac:dyDescent="0.25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</row>
    <row r="537" spans="1:27" ht="12.5" x14ac:dyDescent="0.25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</row>
    <row r="538" spans="1:27" ht="12.5" x14ac:dyDescent="0.25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</row>
    <row r="539" spans="1:27" ht="12.5" x14ac:dyDescent="0.25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</row>
    <row r="540" spans="1:27" ht="12.5" x14ac:dyDescent="0.25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</row>
    <row r="541" spans="1:27" ht="12.5" x14ac:dyDescent="0.25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</row>
    <row r="542" spans="1:27" ht="12.5" x14ac:dyDescent="0.25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</row>
    <row r="543" spans="1:27" ht="12.5" x14ac:dyDescent="0.25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</row>
    <row r="544" spans="1:27" ht="12.5" x14ac:dyDescent="0.25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</row>
    <row r="545" spans="1:27" ht="12.5" x14ac:dyDescent="0.2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</row>
    <row r="546" spans="1:27" ht="12.5" x14ac:dyDescent="0.25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</row>
    <row r="547" spans="1:27" ht="12.5" x14ac:dyDescent="0.25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</row>
    <row r="548" spans="1:27" ht="12.5" x14ac:dyDescent="0.25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</row>
    <row r="549" spans="1:27" ht="12.5" x14ac:dyDescent="0.25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</row>
    <row r="550" spans="1:27" ht="12.5" x14ac:dyDescent="0.25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</row>
    <row r="551" spans="1:27" ht="12.5" x14ac:dyDescent="0.25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</row>
    <row r="552" spans="1:27" ht="12.5" x14ac:dyDescent="0.25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</row>
    <row r="553" spans="1:27" ht="12.5" x14ac:dyDescent="0.25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</row>
    <row r="554" spans="1:27" ht="12.5" x14ac:dyDescent="0.25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</row>
    <row r="555" spans="1:27" ht="12.5" x14ac:dyDescent="0.2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</row>
    <row r="556" spans="1:27" ht="12.5" x14ac:dyDescent="0.25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</row>
    <row r="557" spans="1:27" ht="12.5" x14ac:dyDescent="0.25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</row>
    <row r="558" spans="1:27" ht="12.5" x14ac:dyDescent="0.25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</row>
    <row r="559" spans="1:27" ht="12.5" x14ac:dyDescent="0.25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</row>
    <row r="560" spans="1:27" ht="12.5" x14ac:dyDescent="0.25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</row>
    <row r="561" spans="1:27" ht="12.5" x14ac:dyDescent="0.25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</row>
    <row r="562" spans="1:27" ht="12.5" x14ac:dyDescent="0.25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</row>
    <row r="563" spans="1:27" ht="12.5" x14ac:dyDescent="0.25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</row>
    <row r="564" spans="1:27" ht="12.5" x14ac:dyDescent="0.25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</row>
    <row r="565" spans="1:27" ht="12.5" x14ac:dyDescent="0.2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</row>
    <row r="566" spans="1:27" ht="12.5" x14ac:dyDescent="0.25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</row>
    <row r="567" spans="1:27" ht="12.5" x14ac:dyDescent="0.25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</row>
    <row r="568" spans="1:27" ht="12.5" x14ac:dyDescent="0.25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</row>
    <row r="569" spans="1:27" ht="12.5" x14ac:dyDescent="0.25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</row>
    <row r="570" spans="1:27" ht="12.5" x14ac:dyDescent="0.25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</row>
    <row r="571" spans="1:27" ht="12.5" x14ac:dyDescent="0.25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</row>
    <row r="572" spans="1:27" ht="12.5" x14ac:dyDescent="0.25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</row>
    <row r="573" spans="1:27" ht="12.5" x14ac:dyDescent="0.25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</row>
    <row r="574" spans="1:27" ht="12.5" x14ac:dyDescent="0.25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</row>
    <row r="575" spans="1:27" ht="12.5" x14ac:dyDescent="0.2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</row>
    <row r="576" spans="1:27" ht="12.5" x14ac:dyDescent="0.25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</row>
    <row r="577" spans="1:27" ht="12.5" x14ac:dyDescent="0.25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</row>
    <row r="578" spans="1:27" ht="12.5" x14ac:dyDescent="0.25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</row>
    <row r="579" spans="1:27" ht="12.5" x14ac:dyDescent="0.25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</row>
    <row r="580" spans="1:27" ht="12.5" x14ac:dyDescent="0.25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</row>
    <row r="581" spans="1:27" ht="12.5" x14ac:dyDescent="0.25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</row>
    <row r="582" spans="1:27" ht="12.5" x14ac:dyDescent="0.25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</row>
    <row r="583" spans="1:27" ht="12.5" x14ac:dyDescent="0.25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</row>
    <row r="584" spans="1:27" ht="12.5" x14ac:dyDescent="0.25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</row>
    <row r="585" spans="1:27" ht="12.5" x14ac:dyDescent="0.2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</row>
    <row r="586" spans="1:27" ht="12.5" x14ac:dyDescent="0.25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</row>
    <row r="587" spans="1:27" ht="12.5" x14ac:dyDescent="0.25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</row>
    <row r="588" spans="1:27" ht="12.5" x14ac:dyDescent="0.25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</row>
    <row r="589" spans="1:27" ht="12.5" x14ac:dyDescent="0.25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</row>
    <row r="590" spans="1:27" ht="12.5" x14ac:dyDescent="0.25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</row>
    <row r="591" spans="1:27" ht="12.5" x14ac:dyDescent="0.25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</row>
    <row r="592" spans="1:27" ht="12.5" x14ac:dyDescent="0.25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</row>
    <row r="593" spans="1:27" ht="12.5" x14ac:dyDescent="0.25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</row>
    <row r="594" spans="1:27" ht="12.5" x14ac:dyDescent="0.25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</row>
    <row r="595" spans="1:27" ht="12.5" x14ac:dyDescent="0.2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</row>
    <row r="596" spans="1:27" ht="12.5" x14ac:dyDescent="0.25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</row>
    <row r="597" spans="1:27" ht="12.5" x14ac:dyDescent="0.25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</row>
    <row r="598" spans="1:27" ht="12.5" x14ac:dyDescent="0.25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</row>
    <row r="599" spans="1:27" ht="12.5" x14ac:dyDescent="0.25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</row>
    <row r="600" spans="1:27" ht="12.5" x14ac:dyDescent="0.25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</row>
    <row r="601" spans="1:27" ht="12.5" x14ac:dyDescent="0.25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</row>
    <row r="602" spans="1:27" ht="12.5" x14ac:dyDescent="0.25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</row>
    <row r="603" spans="1:27" ht="12.5" x14ac:dyDescent="0.25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</row>
    <row r="604" spans="1:27" ht="12.5" x14ac:dyDescent="0.25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</row>
    <row r="605" spans="1:27" ht="12.5" x14ac:dyDescent="0.2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</row>
    <row r="606" spans="1:27" ht="12.5" x14ac:dyDescent="0.25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</row>
    <row r="607" spans="1:27" ht="12.5" x14ac:dyDescent="0.25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</row>
    <row r="608" spans="1:27" ht="12.5" x14ac:dyDescent="0.25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</row>
    <row r="609" spans="1:27" ht="12.5" x14ac:dyDescent="0.25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</row>
    <row r="610" spans="1:27" ht="12.5" x14ac:dyDescent="0.25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</row>
    <row r="611" spans="1:27" ht="12.5" x14ac:dyDescent="0.25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</row>
    <row r="612" spans="1:27" ht="12.5" x14ac:dyDescent="0.25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</row>
    <row r="613" spans="1:27" ht="12.5" x14ac:dyDescent="0.25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</row>
    <row r="614" spans="1:27" ht="12.5" x14ac:dyDescent="0.25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</row>
    <row r="615" spans="1:27" ht="12.5" x14ac:dyDescent="0.2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</row>
    <row r="616" spans="1:27" ht="12.5" x14ac:dyDescent="0.25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</row>
    <row r="617" spans="1:27" ht="12.5" x14ac:dyDescent="0.25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</row>
    <row r="618" spans="1:27" ht="12.5" x14ac:dyDescent="0.25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</row>
    <row r="619" spans="1:27" ht="12.5" x14ac:dyDescent="0.25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</row>
    <row r="620" spans="1:27" ht="12.5" x14ac:dyDescent="0.25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</row>
    <row r="621" spans="1:27" ht="12.5" x14ac:dyDescent="0.25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</row>
    <row r="622" spans="1:27" ht="12.5" x14ac:dyDescent="0.25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</row>
    <row r="623" spans="1:27" ht="12.5" x14ac:dyDescent="0.25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</row>
    <row r="624" spans="1:27" ht="12.5" x14ac:dyDescent="0.25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</row>
    <row r="625" spans="1:27" ht="12.5" x14ac:dyDescent="0.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</row>
    <row r="626" spans="1:27" ht="12.5" x14ac:dyDescent="0.25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</row>
    <row r="627" spans="1:27" ht="12.5" x14ac:dyDescent="0.25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</row>
    <row r="628" spans="1:27" ht="12.5" x14ac:dyDescent="0.25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</row>
    <row r="629" spans="1:27" ht="12.5" x14ac:dyDescent="0.25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</row>
    <row r="630" spans="1:27" ht="12.5" x14ac:dyDescent="0.25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</row>
    <row r="631" spans="1:27" ht="12.5" x14ac:dyDescent="0.25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</row>
    <row r="632" spans="1:27" ht="12.5" x14ac:dyDescent="0.25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</row>
    <row r="633" spans="1:27" ht="12.5" x14ac:dyDescent="0.25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</row>
    <row r="634" spans="1:27" ht="12.5" x14ac:dyDescent="0.25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</row>
    <row r="635" spans="1:27" ht="12.5" x14ac:dyDescent="0.2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</row>
    <row r="636" spans="1:27" ht="12.5" x14ac:dyDescent="0.25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</row>
    <row r="637" spans="1:27" ht="12.5" x14ac:dyDescent="0.25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</row>
    <row r="638" spans="1:27" ht="12.5" x14ac:dyDescent="0.25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</row>
    <row r="639" spans="1:27" ht="12.5" x14ac:dyDescent="0.25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</row>
    <row r="640" spans="1:27" ht="12.5" x14ac:dyDescent="0.25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</row>
    <row r="641" spans="1:27" ht="12.5" x14ac:dyDescent="0.25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</row>
    <row r="642" spans="1:27" ht="12.5" x14ac:dyDescent="0.25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</row>
    <row r="643" spans="1:27" ht="12.5" x14ac:dyDescent="0.25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</row>
    <row r="644" spans="1:27" ht="12.5" x14ac:dyDescent="0.25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</row>
    <row r="645" spans="1:27" ht="12.5" x14ac:dyDescent="0.2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</row>
    <row r="646" spans="1:27" ht="12.5" x14ac:dyDescent="0.25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</row>
    <row r="647" spans="1:27" ht="12.5" x14ac:dyDescent="0.25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</row>
    <row r="648" spans="1:27" ht="12.5" x14ac:dyDescent="0.25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</row>
    <row r="649" spans="1:27" ht="12.5" x14ac:dyDescent="0.25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</row>
    <row r="650" spans="1:27" ht="12.5" x14ac:dyDescent="0.25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</row>
    <row r="651" spans="1:27" ht="12.5" x14ac:dyDescent="0.25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</row>
    <row r="652" spans="1:27" ht="12.5" x14ac:dyDescent="0.25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</row>
    <row r="653" spans="1:27" ht="12.5" x14ac:dyDescent="0.25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</row>
    <row r="654" spans="1:27" ht="12.5" x14ac:dyDescent="0.25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</row>
    <row r="655" spans="1:27" ht="12.5" x14ac:dyDescent="0.2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</row>
    <row r="656" spans="1:27" ht="12.5" x14ac:dyDescent="0.25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</row>
    <row r="657" spans="1:27" ht="12.5" x14ac:dyDescent="0.25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</row>
    <row r="658" spans="1:27" ht="12.5" x14ac:dyDescent="0.25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</row>
    <row r="659" spans="1:27" ht="12.5" x14ac:dyDescent="0.25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</row>
    <row r="660" spans="1:27" ht="12.5" x14ac:dyDescent="0.25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</row>
    <row r="661" spans="1:27" ht="12.5" x14ac:dyDescent="0.25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</row>
    <row r="662" spans="1:27" ht="12.5" x14ac:dyDescent="0.25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</row>
    <row r="663" spans="1:27" ht="12.5" x14ac:dyDescent="0.25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</row>
    <row r="664" spans="1:27" ht="12.5" x14ac:dyDescent="0.25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</row>
    <row r="665" spans="1:27" ht="12.5" x14ac:dyDescent="0.2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</row>
    <row r="666" spans="1:27" ht="12.5" x14ac:dyDescent="0.25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</row>
    <row r="667" spans="1:27" ht="12.5" x14ac:dyDescent="0.25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</row>
    <row r="668" spans="1:27" ht="12.5" x14ac:dyDescent="0.25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</row>
    <row r="669" spans="1:27" ht="12.5" x14ac:dyDescent="0.25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</row>
    <row r="670" spans="1:27" ht="12.5" x14ac:dyDescent="0.25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</row>
    <row r="671" spans="1:27" ht="12.5" x14ac:dyDescent="0.25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</row>
    <row r="672" spans="1:27" ht="12.5" x14ac:dyDescent="0.25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</row>
    <row r="673" spans="1:27" ht="12.5" x14ac:dyDescent="0.25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</row>
    <row r="674" spans="1:27" ht="12.5" x14ac:dyDescent="0.25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</row>
    <row r="675" spans="1:27" ht="12.5" x14ac:dyDescent="0.2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</row>
    <row r="676" spans="1:27" ht="12.5" x14ac:dyDescent="0.25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</row>
    <row r="677" spans="1:27" ht="12.5" x14ac:dyDescent="0.25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</row>
    <row r="678" spans="1:27" ht="12.5" x14ac:dyDescent="0.25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</row>
    <row r="679" spans="1:27" ht="12.5" x14ac:dyDescent="0.25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</row>
    <row r="680" spans="1:27" ht="12.5" x14ac:dyDescent="0.25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</row>
    <row r="681" spans="1:27" ht="12.5" x14ac:dyDescent="0.25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</row>
    <row r="682" spans="1:27" ht="12.5" x14ac:dyDescent="0.25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</row>
    <row r="683" spans="1:27" ht="12.5" x14ac:dyDescent="0.25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</row>
    <row r="684" spans="1:27" ht="12.5" x14ac:dyDescent="0.25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</row>
    <row r="685" spans="1:27" ht="12.5" x14ac:dyDescent="0.2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</row>
    <row r="686" spans="1:27" ht="12.5" x14ac:dyDescent="0.25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</row>
    <row r="687" spans="1:27" ht="12.5" x14ac:dyDescent="0.25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</row>
    <row r="688" spans="1:27" ht="12.5" x14ac:dyDescent="0.25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</row>
    <row r="689" spans="1:27" ht="12.5" x14ac:dyDescent="0.25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</row>
    <row r="690" spans="1:27" ht="12.5" x14ac:dyDescent="0.25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</row>
    <row r="691" spans="1:27" ht="12.5" x14ac:dyDescent="0.25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</row>
    <row r="692" spans="1:27" ht="12.5" x14ac:dyDescent="0.25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</row>
    <row r="693" spans="1:27" ht="12.5" x14ac:dyDescent="0.25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</row>
    <row r="694" spans="1:27" ht="12.5" x14ac:dyDescent="0.25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</row>
    <row r="695" spans="1:27" ht="12.5" x14ac:dyDescent="0.2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</row>
    <row r="696" spans="1:27" ht="12.5" x14ac:dyDescent="0.25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</row>
    <row r="697" spans="1:27" ht="12.5" x14ac:dyDescent="0.25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</row>
    <row r="698" spans="1:27" ht="12.5" x14ac:dyDescent="0.25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</row>
    <row r="699" spans="1:27" ht="12.5" x14ac:dyDescent="0.25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</row>
    <row r="700" spans="1:27" ht="12.5" x14ac:dyDescent="0.25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</row>
    <row r="701" spans="1:27" ht="12.5" x14ac:dyDescent="0.25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</row>
    <row r="702" spans="1:27" ht="12.5" x14ac:dyDescent="0.25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</row>
    <row r="703" spans="1:27" ht="12.5" x14ac:dyDescent="0.25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</row>
    <row r="704" spans="1:27" ht="12.5" x14ac:dyDescent="0.25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</row>
    <row r="705" spans="1:27" ht="12.5" x14ac:dyDescent="0.2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</row>
    <row r="706" spans="1:27" ht="12.5" x14ac:dyDescent="0.25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</row>
    <row r="707" spans="1:27" ht="12.5" x14ac:dyDescent="0.25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</row>
    <row r="708" spans="1:27" ht="12.5" x14ac:dyDescent="0.25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</row>
    <row r="709" spans="1:27" ht="12.5" x14ac:dyDescent="0.25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</row>
    <row r="710" spans="1:27" ht="12.5" x14ac:dyDescent="0.25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</row>
    <row r="711" spans="1:27" ht="12.5" x14ac:dyDescent="0.25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</row>
    <row r="712" spans="1:27" ht="12.5" x14ac:dyDescent="0.25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</row>
    <row r="713" spans="1:27" ht="12.5" x14ac:dyDescent="0.25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</row>
    <row r="714" spans="1:27" ht="12.5" x14ac:dyDescent="0.25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</row>
    <row r="715" spans="1:27" ht="12.5" x14ac:dyDescent="0.2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</row>
    <row r="716" spans="1:27" ht="12.5" x14ac:dyDescent="0.25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</row>
    <row r="717" spans="1:27" ht="12.5" x14ac:dyDescent="0.25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</row>
    <row r="718" spans="1:27" ht="12.5" x14ac:dyDescent="0.25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</row>
    <row r="719" spans="1:27" ht="12.5" x14ac:dyDescent="0.25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</row>
    <row r="720" spans="1:27" ht="12.5" x14ac:dyDescent="0.25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</row>
    <row r="721" spans="1:27" ht="12.5" x14ac:dyDescent="0.25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</row>
    <row r="722" spans="1:27" ht="12.5" x14ac:dyDescent="0.25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</row>
    <row r="723" spans="1:27" ht="12.5" x14ac:dyDescent="0.25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</row>
    <row r="724" spans="1:27" ht="12.5" x14ac:dyDescent="0.25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</row>
    <row r="725" spans="1:27" ht="12.5" x14ac:dyDescent="0.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</row>
    <row r="726" spans="1:27" ht="12.5" x14ac:dyDescent="0.25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</row>
    <row r="727" spans="1:27" ht="12.5" x14ac:dyDescent="0.25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</row>
    <row r="728" spans="1:27" ht="12.5" x14ac:dyDescent="0.25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</row>
    <row r="729" spans="1:27" ht="12.5" x14ac:dyDescent="0.25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</row>
    <row r="730" spans="1:27" ht="12.5" x14ac:dyDescent="0.25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</row>
    <row r="731" spans="1:27" ht="12.5" x14ac:dyDescent="0.25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</row>
    <row r="732" spans="1:27" ht="12.5" x14ac:dyDescent="0.25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</row>
    <row r="733" spans="1:27" ht="12.5" x14ac:dyDescent="0.25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</row>
    <row r="734" spans="1:27" ht="12.5" x14ac:dyDescent="0.25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</row>
    <row r="735" spans="1:27" ht="12.5" x14ac:dyDescent="0.2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</row>
    <row r="736" spans="1:27" ht="12.5" x14ac:dyDescent="0.25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</row>
    <row r="737" spans="1:27" ht="12.5" x14ac:dyDescent="0.25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</row>
    <row r="738" spans="1:27" ht="12.5" x14ac:dyDescent="0.25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</row>
    <row r="739" spans="1:27" ht="12.5" x14ac:dyDescent="0.25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</row>
    <row r="740" spans="1:27" ht="12.5" x14ac:dyDescent="0.25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</row>
    <row r="741" spans="1:27" ht="12.5" x14ac:dyDescent="0.25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</row>
    <row r="742" spans="1:27" ht="12.5" x14ac:dyDescent="0.25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</row>
    <row r="743" spans="1:27" ht="12.5" x14ac:dyDescent="0.25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</row>
    <row r="744" spans="1:27" ht="12.5" x14ac:dyDescent="0.25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</row>
    <row r="745" spans="1:27" ht="12.5" x14ac:dyDescent="0.2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</row>
    <row r="746" spans="1:27" ht="12.5" x14ac:dyDescent="0.25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</row>
    <row r="747" spans="1:27" ht="12.5" x14ac:dyDescent="0.25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</row>
    <row r="748" spans="1:27" ht="12.5" x14ac:dyDescent="0.25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</row>
    <row r="749" spans="1:27" ht="12.5" x14ac:dyDescent="0.25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</row>
    <row r="750" spans="1:27" ht="12.5" x14ac:dyDescent="0.25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</row>
    <row r="751" spans="1:27" ht="12.5" x14ac:dyDescent="0.25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</row>
    <row r="752" spans="1:27" ht="12.5" x14ac:dyDescent="0.25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</row>
    <row r="753" spans="1:27" ht="12.5" x14ac:dyDescent="0.25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</row>
    <row r="754" spans="1:27" ht="12.5" x14ac:dyDescent="0.25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</row>
    <row r="755" spans="1:27" ht="12.5" x14ac:dyDescent="0.2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</row>
    <row r="756" spans="1:27" ht="12.5" x14ac:dyDescent="0.25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</row>
    <row r="757" spans="1:27" ht="12.5" x14ac:dyDescent="0.25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</row>
    <row r="758" spans="1:27" ht="12.5" x14ac:dyDescent="0.25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</row>
    <row r="759" spans="1:27" ht="12.5" x14ac:dyDescent="0.25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</row>
    <row r="760" spans="1:27" ht="12.5" x14ac:dyDescent="0.25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</row>
    <row r="761" spans="1:27" ht="12.5" x14ac:dyDescent="0.25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</row>
    <row r="762" spans="1:27" ht="12.5" x14ac:dyDescent="0.25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</row>
    <row r="763" spans="1:27" ht="12.5" x14ac:dyDescent="0.25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</row>
    <row r="764" spans="1:27" ht="12.5" x14ac:dyDescent="0.25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</row>
    <row r="765" spans="1:27" ht="12.5" x14ac:dyDescent="0.25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</row>
    <row r="766" spans="1:27" ht="12.5" x14ac:dyDescent="0.25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</row>
    <row r="767" spans="1:27" ht="12.5" x14ac:dyDescent="0.25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</row>
    <row r="768" spans="1:27" ht="12.5" x14ac:dyDescent="0.25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</row>
    <row r="769" spans="1:27" ht="12.5" x14ac:dyDescent="0.25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</row>
    <row r="770" spans="1:27" ht="12.5" x14ac:dyDescent="0.25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</row>
    <row r="771" spans="1:27" ht="12.5" x14ac:dyDescent="0.25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</row>
    <row r="772" spans="1:27" ht="12.5" x14ac:dyDescent="0.25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</row>
    <row r="773" spans="1:27" ht="12.5" x14ac:dyDescent="0.25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</row>
    <row r="774" spans="1:27" ht="12.5" x14ac:dyDescent="0.25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</row>
    <row r="775" spans="1:27" ht="12.5" x14ac:dyDescent="0.25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</row>
    <row r="776" spans="1:27" ht="12.5" x14ac:dyDescent="0.25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</row>
    <row r="777" spans="1:27" ht="12.5" x14ac:dyDescent="0.25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</row>
    <row r="778" spans="1:27" ht="12.5" x14ac:dyDescent="0.25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</row>
    <row r="779" spans="1:27" ht="12.5" x14ac:dyDescent="0.25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</row>
    <row r="780" spans="1:27" ht="12.5" x14ac:dyDescent="0.25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</row>
    <row r="781" spans="1:27" ht="12.5" x14ac:dyDescent="0.25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</row>
    <row r="782" spans="1:27" ht="12.5" x14ac:dyDescent="0.25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</row>
    <row r="783" spans="1:27" ht="12.5" x14ac:dyDescent="0.25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</row>
    <row r="784" spans="1:27" ht="12.5" x14ac:dyDescent="0.25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</row>
    <row r="785" spans="1:27" ht="12.5" x14ac:dyDescent="0.25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</row>
    <row r="786" spans="1:27" ht="12.5" x14ac:dyDescent="0.25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</row>
    <row r="787" spans="1:27" ht="12.5" x14ac:dyDescent="0.25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</row>
    <row r="788" spans="1:27" ht="12.5" x14ac:dyDescent="0.25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</row>
    <row r="789" spans="1:27" ht="12.5" x14ac:dyDescent="0.25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</row>
    <row r="790" spans="1:27" ht="12.5" x14ac:dyDescent="0.25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</row>
    <row r="791" spans="1:27" ht="12.5" x14ac:dyDescent="0.25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</row>
    <row r="792" spans="1:27" ht="12.5" x14ac:dyDescent="0.25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</row>
    <row r="793" spans="1:27" ht="12.5" x14ac:dyDescent="0.25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</row>
    <row r="794" spans="1:27" ht="12.5" x14ac:dyDescent="0.25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</row>
    <row r="795" spans="1:27" ht="12.5" x14ac:dyDescent="0.25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</row>
    <row r="796" spans="1:27" ht="12.5" x14ac:dyDescent="0.25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</row>
    <row r="797" spans="1:27" ht="12.5" x14ac:dyDescent="0.25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</row>
    <row r="798" spans="1:27" ht="12.5" x14ac:dyDescent="0.25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</row>
    <row r="799" spans="1:27" ht="12.5" x14ac:dyDescent="0.25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</row>
    <row r="800" spans="1:27" ht="12.5" x14ac:dyDescent="0.25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</row>
    <row r="801" spans="1:27" ht="12.5" x14ac:dyDescent="0.25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</row>
    <row r="802" spans="1:27" ht="12.5" x14ac:dyDescent="0.25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</row>
    <row r="803" spans="1:27" ht="12.5" x14ac:dyDescent="0.25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</row>
    <row r="804" spans="1:27" ht="12.5" x14ac:dyDescent="0.25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</row>
    <row r="805" spans="1:27" ht="12.5" x14ac:dyDescent="0.25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</row>
    <row r="806" spans="1:27" ht="12.5" x14ac:dyDescent="0.25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</row>
    <row r="807" spans="1:27" ht="12.5" x14ac:dyDescent="0.25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</row>
    <row r="808" spans="1:27" ht="12.5" x14ac:dyDescent="0.25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</row>
    <row r="809" spans="1:27" ht="12.5" x14ac:dyDescent="0.25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</row>
    <row r="810" spans="1:27" ht="12.5" x14ac:dyDescent="0.25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</row>
    <row r="811" spans="1:27" ht="12.5" x14ac:dyDescent="0.25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</row>
    <row r="812" spans="1:27" ht="12.5" x14ac:dyDescent="0.25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</row>
    <row r="813" spans="1:27" ht="12.5" x14ac:dyDescent="0.25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</row>
    <row r="814" spans="1:27" ht="12.5" x14ac:dyDescent="0.25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</row>
    <row r="815" spans="1:27" ht="12.5" x14ac:dyDescent="0.25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</row>
    <row r="816" spans="1:27" ht="12.5" x14ac:dyDescent="0.25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</row>
    <row r="817" spans="1:27" ht="12.5" x14ac:dyDescent="0.25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</row>
    <row r="818" spans="1:27" ht="12.5" x14ac:dyDescent="0.25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</row>
    <row r="819" spans="1:27" ht="12.5" x14ac:dyDescent="0.25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</row>
    <row r="820" spans="1:27" ht="12.5" x14ac:dyDescent="0.25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</row>
    <row r="821" spans="1:27" ht="12.5" x14ac:dyDescent="0.25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</row>
    <row r="822" spans="1:27" ht="12.5" x14ac:dyDescent="0.25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</row>
    <row r="823" spans="1:27" ht="12.5" x14ac:dyDescent="0.25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</row>
    <row r="824" spans="1:27" ht="12.5" x14ac:dyDescent="0.25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</row>
    <row r="825" spans="1:27" ht="12.5" x14ac:dyDescent="0.25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</row>
    <row r="826" spans="1:27" ht="12.5" x14ac:dyDescent="0.25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</row>
    <row r="827" spans="1:27" ht="12.5" x14ac:dyDescent="0.25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</row>
    <row r="828" spans="1:27" ht="12.5" x14ac:dyDescent="0.25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</row>
    <row r="829" spans="1:27" ht="12.5" x14ac:dyDescent="0.25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</row>
    <row r="830" spans="1:27" ht="12.5" x14ac:dyDescent="0.25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</row>
    <row r="831" spans="1:27" ht="12.5" x14ac:dyDescent="0.25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</row>
    <row r="832" spans="1:27" ht="12.5" x14ac:dyDescent="0.25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</row>
    <row r="833" spans="1:27" ht="12.5" x14ac:dyDescent="0.25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</row>
    <row r="834" spans="1:27" ht="12.5" x14ac:dyDescent="0.25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</row>
    <row r="835" spans="1:27" ht="12.5" x14ac:dyDescent="0.25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</row>
    <row r="836" spans="1:27" ht="12.5" x14ac:dyDescent="0.25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</row>
    <row r="837" spans="1:27" ht="12.5" x14ac:dyDescent="0.25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</row>
    <row r="838" spans="1:27" ht="12.5" x14ac:dyDescent="0.25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</row>
    <row r="839" spans="1:27" ht="12.5" x14ac:dyDescent="0.25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</row>
    <row r="840" spans="1:27" ht="12.5" x14ac:dyDescent="0.25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</row>
    <row r="841" spans="1:27" ht="12.5" x14ac:dyDescent="0.25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</row>
    <row r="842" spans="1:27" ht="12.5" x14ac:dyDescent="0.25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</row>
    <row r="843" spans="1:27" ht="12.5" x14ac:dyDescent="0.25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</row>
    <row r="844" spans="1:27" ht="12.5" x14ac:dyDescent="0.25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</row>
    <row r="845" spans="1:27" ht="12.5" x14ac:dyDescent="0.25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</row>
    <row r="846" spans="1:27" ht="12.5" x14ac:dyDescent="0.25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</row>
    <row r="847" spans="1:27" ht="12.5" x14ac:dyDescent="0.25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</row>
    <row r="848" spans="1:27" ht="12.5" x14ac:dyDescent="0.25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</row>
    <row r="849" spans="1:27" ht="12.5" x14ac:dyDescent="0.25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</row>
    <row r="850" spans="1:27" ht="12.5" x14ac:dyDescent="0.25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</row>
    <row r="851" spans="1:27" ht="12.5" x14ac:dyDescent="0.25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</row>
    <row r="852" spans="1:27" ht="12.5" x14ac:dyDescent="0.25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</row>
    <row r="853" spans="1:27" ht="12.5" x14ac:dyDescent="0.25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</row>
    <row r="854" spans="1:27" ht="12.5" x14ac:dyDescent="0.25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</row>
    <row r="855" spans="1:27" ht="12.5" x14ac:dyDescent="0.25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</row>
    <row r="856" spans="1:27" ht="12.5" x14ac:dyDescent="0.25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</row>
    <row r="857" spans="1:27" ht="12.5" x14ac:dyDescent="0.25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</row>
    <row r="858" spans="1:27" ht="12.5" x14ac:dyDescent="0.25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</row>
    <row r="859" spans="1:27" ht="12.5" x14ac:dyDescent="0.25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</row>
    <row r="860" spans="1:27" ht="12.5" x14ac:dyDescent="0.25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</row>
    <row r="861" spans="1:27" ht="12.5" x14ac:dyDescent="0.25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</row>
    <row r="862" spans="1:27" ht="12.5" x14ac:dyDescent="0.25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</row>
    <row r="863" spans="1:27" ht="12.5" x14ac:dyDescent="0.25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</row>
    <row r="864" spans="1:27" ht="12.5" x14ac:dyDescent="0.25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</row>
    <row r="865" spans="1:27" ht="12.5" x14ac:dyDescent="0.25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</row>
    <row r="866" spans="1:27" ht="12.5" x14ac:dyDescent="0.25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</row>
    <row r="867" spans="1:27" ht="12.5" x14ac:dyDescent="0.25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</row>
    <row r="868" spans="1:27" ht="12.5" x14ac:dyDescent="0.25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</row>
    <row r="869" spans="1:27" ht="12.5" x14ac:dyDescent="0.25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</row>
    <row r="870" spans="1:27" ht="12.5" x14ac:dyDescent="0.25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</row>
    <row r="871" spans="1:27" ht="12.5" x14ac:dyDescent="0.25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</row>
    <row r="872" spans="1:27" ht="12.5" x14ac:dyDescent="0.25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</row>
    <row r="873" spans="1:27" ht="12.5" x14ac:dyDescent="0.25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</row>
    <row r="874" spans="1:27" ht="12.5" x14ac:dyDescent="0.25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</row>
    <row r="875" spans="1:27" ht="12.5" x14ac:dyDescent="0.25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</row>
    <row r="876" spans="1:27" ht="12.5" x14ac:dyDescent="0.25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</row>
    <row r="877" spans="1:27" ht="12.5" x14ac:dyDescent="0.25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</row>
    <row r="878" spans="1:27" ht="12.5" x14ac:dyDescent="0.25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</row>
    <row r="879" spans="1:27" ht="12.5" x14ac:dyDescent="0.25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</row>
    <row r="880" spans="1:27" ht="12.5" x14ac:dyDescent="0.25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</row>
    <row r="881" spans="1:27" ht="12.5" x14ac:dyDescent="0.25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</row>
    <row r="882" spans="1:27" ht="12.5" x14ac:dyDescent="0.25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</row>
    <row r="883" spans="1:27" ht="12.5" x14ac:dyDescent="0.25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</row>
    <row r="884" spans="1:27" ht="12.5" x14ac:dyDescent="0.25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</row>
    <row r="885" spans="1:27" ht="12.5" x14ac:dyDescent="0.25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</row>
    <row r="886" spans="1:27" ht="12.5" x14ac:dyDescent="0.25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</row>
    <row r="887" spans="1:27" ht="12.5" x14ac:dyDescent="0.25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</row>
    <row r="888" spans="1:27" ht="12.5" x14ac:dyDescent="0.25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</row>
    <row r="889" spans="1:27" ht="12.5" x14ac:dyDescent="0.25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</row>
    <row r="890" spans="1:27" ht="12.5" x14ac:dyDescent="0.25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</row>
    <row r="891" spans="1:27" ht="12.5" x14ac:dyDescent="0.25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</row>
    <row r="892" spans="1:27" ht="12.5" x14ac:dyDescent="0.25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</row>
    <row r="893" spans="1:27" ht="12.5" x14ac:dyDescent="0.25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</row>
    <row r="894" spans="1:27" ht="12.5" x14ac:dyDescent="0.25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</row>
    <row r="895" spans="1:27" ht="12.5" x14ac:dyDescent="0.25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</row>
    <row r="896" spans="1:27" ht="12.5" x14ac:dyDescent="0.25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</row>
    <row r="897" spans="1:27" ht="12.5" x14ac:dyDescent="0.25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</row>
    <row r="898" spans="1:27" ht="12.5" x14ac:dyDescent="0.25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</row>
    <row r="899" spans="1:27" ht="12.5" x14ac:dyDescent="0.25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</row>
    <row r="900" spans="1:27" ht="12.5" x14ac:dyDescent="0.25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</row>
    <row r="901" spans="1:27" ht="12.5" x14ac:dyDescent="0.25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</row>
    <row r="902" spans="1:27" ht="12.5" x14ac:dyDescent="0.25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</row>
    <row r="903" spans="1:27" ht="12.5" x14ac:dyDescent="0.25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</row>
    <row r="904" spans="1:27" ht="12.5" x14ac:dyDescent="0.25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</row>
    <row r="905" spans="1:27" ht="12.5" x14ac:dyDescent="0.25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</row>
    <row r="906" spans="1:27" ht="12.5" x14ac:dyDescent="0.25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</row>
    <row r="907" spans="1:27" ht="12.5" x14ac:dyDescent="0.25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</row>
    <row r="908" spans="1:27" ht="12.5" x14ac:dyDescent="0.25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</row>
    <row r="909" spans="1:27" ht="12.5" x14ac:dyDescent="0.25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</row>
    <row r="910" spans="1:27" ht="12.5" x14ac:dyDescent="0.25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</row>
    <row r="911" spans="1:27" ht="12.5" x14ac:dyDescent="0.25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</row>
    <row r="912" spans="1:27" ht="12.5" x14ac:dyDescent="0.25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</row>
    <row r="913" spans="1:27" ht="12.5" x14ac:dyDescent="0.25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</row>
    <row r="914" spans="1:27" ht="12.5" x14ac:dyDescent="0.25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</row>
    <row r="915" spans="1:27" ht="12.5" x14ac:dyDescent="0.25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</row>
    <row r="916" spans="1:27" ht="12.5" x14ac:dyDescent="0.25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</row>
    <row r="917" spans="1:27" ht="12.5" x14ac:dyDescent="0.25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</row>
    <row r="918" spans="1:27" ht="12.5" x14ac:dyDescent="0.25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</row>
    <row r="919" spans="1:27" ht="12.5" x14ac:dyDescent="0.25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</row>
    <row r="920" spans="1:27" ht="12.5" x14ac:dyDescent="0.25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</row>
    <row r="921" spans="1:27" ht="12.5" x14ac:dyDescent="0.25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</row>
    <row r="922" spans="1:27" ht="12.5" x14ac:dyDescent="0.25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</row>
    <row r="923" spans="1:27" ht="12.5" x14ac:dyDescent="0.25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</row>
    <row r="924" spans="1:27" ht="12.5" x14ac:dyDescent="0.25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</row>
    <row r="925" spans="1:27" ht="12.5" x14ac:dyDescent="0.25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</row>
    <row r="926" spans="1:27" ht="12.5" x14ac:dyDescent="0.25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</row>
    <row r="927" spans="1:27" ht="12.5" x14ac:dyDescent="0.25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</row>
    <row r="928" spans="1:27" ht="12.5" x14ac:dyDescent="0.25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</row>
    <row r="929" spans="1:27" ht="12.5" x14ac:dyDescent="0.25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</row>
    <row r="930" spans="1:27" ht="12.5" x14ac:dyDescent="0.25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</row>
    <row r="931" spans="1:27" ht="12.5" x14ac:dyDescent="0.25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</row>
    <row r="932" spans="1:27" ht="12.5" x14ac:dyDescent="0.25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</row>
    <row r="933" spans="1:27" ht="12.5" x14ac:dyDescent="0.25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</row>
    <row r="934" spans="1:27" ht="12.5" x14ac:dyDescent="0.25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</row>
    <row r="935" spans="1:27" ht="12.5" x14ac:dyDescent="0.25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</row>
    <row r="936" spans="1:27" ht="12.5" x14ac:dyDescent="0.25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</row>
    <row r="937" spans="1:27" ht="12.5" x14ac:dyDescent="0.25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</row>
    <row r="938" spans="1:27" ht="12.5" x14ac:dyDescent="0.25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</row>
    <row r="939" spans="1:27" ht="12.5" x14ac:dyDescent="0.25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</row>
    <row r="940" spans="1:27" ht="12.5" x14ac:dyDescent="0.25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</row>
    <row r="941" spans="1:27" ht="12.5" x14ac:dyDescent="0.25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</row>
    <row r="942" spans="1:27" ht="12.5" x14ac:dyDescent="0.25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</row>
    <row r="943" spans="1:27" ht="12.5" x14ac:dyDescent="0.25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</row>
    <row r="944" spans="1:27" ht="12.5" x14ac:dyDescent="0.25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</row>
    <row r="945" spans="1:27" ht="12.5" x14ac:dyDescent="0.25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</row>
    <row r="946" spans="1:27" ht="12.5" x14ac:dyDescent="0.25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</row>
    <row r="947" spans="1:27" ht="12.5" x14ac:dyDescent="0.25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</row>
    <row r="948" spans="1:27" ht="12.5" x14ac:dyDescent="0.25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</row>
    <row r="949" spans="1:27" ht="12.5" x14ac:dyDescent="0.25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</row>
    <row r="950" spans="1:27" ht="12.5" x14ac:dyDescent="0.25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</row>
    <row r="951" spans="1:27" ht="12.5" x14ac:dyDescent="0.25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</row>
    <row r="952" spans="1:27" ht="12.5" x14ac:dyDescent="0.25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</row>
    <row r="953" spans="1:27" ht="12.5" x14ac:dyDescent="0.25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</row>
    <row r="954" spans="1:27" ht="12.5" x14ac:dyDescent="0.25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</row>
    <row r="955" spans="1:27" ht="12.5" x14ac:dyDescent="0.25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</row>
    <row r="956" spans="1:27" ht="12.5" x14ac:dyDescent="0.25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</row>
    <row r="957" spans="1:27" ht="12.5" x14ac:dyDescent="0.25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</row>
    <row r="958" spans="1:27" ht="12.5" x14ac:dyDescent="0.25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</row>
    <row r="959" spans="1:27" ht="12.5" x14ac:dyDescent="0.25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</row>
    <row r="960" spans="1:27" ht="12.5" x14ac:dyDescent="0.25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</row>
    <row r="961" spans="1:27" ht="12.5" x14ac:dyDescent="0.25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</row>
    <row r="962" spans="1:27" ht="12.5" x14ac:dyDescent="0.25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</row>
    <row r="963" spans="1:27" ht="12.5" x14ac:dyDescent="0.25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</row>
    <row r="964" spans="1:27" ht="12.5" x14ac:dyDescent="0.25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</row>
    <row r="965" spans="1:27" ht="12.5" x14ac:dyDescent="0.25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</row>
    <row r="966" spans="1:27" ht="12.5" x14ac:dyDescent="0.25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</row>
    <row r="967" spans="1:27" ht="12.5" x14ac:dyDescent="0.25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</row>
    <row r="968" spans="1:27" ht="12.5" x14ac:dyDescent="0.25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</row>
    <row r="969" spans="1:27" ht="12.5" x14ac:dyDescent="0.25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</row>
    <row r="970" spans="1:27" ht="12.5" x14ac:dyDescent="0.25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</row>
    <row r="971" spans="1:27" ht="12.5" x14ac:dyDescent="0.25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</row>
    <row r="972" spans="1:27" ht="12.5" x14ac:dyDescent="0.25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</row>
    <row r="973" spans="1:27" ht="12.5" x14ac:dyDescent="0.25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</row>
    <row r="974" spans="1:27" ht="12.5" x14ac:dyDescent="0.25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</row>
    <row r="975" spans="1:27" ht="12.5" x14ac:dyDescent="0.25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</row>
    <row r="976" spans="1:27" ht="12.5" x14ac:dyDescent="0.25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  <c r="AA976" s="42"/>
    </row>
    <row r="977" spans="1:27" ht="12.5" x14ac:dyDescent="0.25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  <c r="AA977" s="42"/>
    </row>
    <row r="978" spans="1:27" ht="12.5" x14ac:dyDescent="0.25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  <c r="AA978" s="42"/>
    </row>
    <row r="979" spans="1:27" ht="12.5" x14ac:dyDescent="0.25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  <c r="AA979" s="42"/>
    </row>
    <row r="980" spans="1:27" ht="12.5" x14ac:dyDescent="0.25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  <c r="AA980" s="42"/>
    </row>
    <row r="981" spans="1:27" ht="12.5" x14ac:dyDescent="0.25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  <c r="AA981" s="42"/>
    </row>
    <row r="982" spans="1:27" ht="12.5" x14ac:dyDescent="0.25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  <c r="AA982" s="42"/>
    </row>
    <row r="983" spans="1:27" ht="12.5" x14ac:dyDescent="0.25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  <c r="AA983" s="42"/>
    </row>
    <row r="984" spans="1:27" ht="12.5" x14ac:dyDescent="0.25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  <c r="AA984" s="42"/>
    </row>
    <row r="985" spans="1:27" ht="12.5" x14ac:dyDescent="0.25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  <c r="AA985" s="42"/>
    </row>
    <row r="986" spans="1:27" ht="12.5" x14ac:dyDescent="0.25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  <c r="AA986" s="42"/>
    </row>
    <row r="987" spans="1:27" ht="12.5" x14ac:dyDescent="0.25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  <c r="AA987" s="42"/>
    </row>
    <row r="988" spans="1:27" ht="12.5" x14ac:dyDescent="0.25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  <c r="AA988" s="42"/>
    </row>
    <row r="989" spans="1:27" ht="12.5" x14ac:dyDescent="0.25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  <c r="AA989" s="42"/>
    </row>
    <row r="990" spans="1:27" ht="12.5" x14ac:dyDescent="0.25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  <c r="AA990" s="42"/>
    </row>
    <row r="991" spans="1:27" ht="12.5" x14ac:dyDescent="0.25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  <c r="AA991" s="42"/>
    </row>
    <row r="992" spans="1:27" ht="12.5" x14ac:dyDescent="0.25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  <c r="AA992" s="42"/>
    </row>
    <row r="993" spans="1:27" ht="12.5" x14ac:dyDescent="0.25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  <c r="AA993" s="42"/>
    </row>
    <row r="994" spans="1:27" ht="12.5" x14ac:dyDescent="0.25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  <c r="AA994" s="42"/>
    </row>
    <row r="995" spans="1:27" ht="12.5" x14ac:dyDescent="0.25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  <c r="AA995" s="42"/>
    </row>
    <row r="996" spans="1:27" ht="12.5" x14ac:dyDescent="0.25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  <c r="AA996" s="42"/>
    </row>
    <row r="997" spans="1:27" ht="12.5" x14ac:dyDescent="0.25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  <c r="AA997" s="42"/>
    </row>
    <row r="998" spans="1:27" ht="12.5" x14ac:dyDescent="0.25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  <c r="AA998" s="42"/>
    </row>
    <row r="999" spans="1:27" ht="12.5" x14ac:dyDescent="0.25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  <c r="AA999" s="42"/>
    </row>
    <row r="1000" spans="1:27" ht="12.5" x14ac:dyDescent="0.25">
      <c r="A1000" s="42"/>
      <c r="B1000" s="42"/>
      <c r="C1000" s="42"/>
      <c r="D1000" s="42"/>
      <c r="E1000" s="42"/>
      <c r="F1000" s="42"/>
      <c r="G1000" s="42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  <c r="AA1000" s="42"/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G9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328125" defaultRowHeight="15.75" customHeight="1" x14ac:dyDescent="0.25"/>
  <cols>
    <col min="1" max="1" width="19.6328125" customWidth="1"/>
    <col min="2" max="4" width="12.6328125" customWidth="1"/>
    <col min="5" max="7" width="13.453125" customWidth="1"/>
    <col min="8" max="10" width="14.36328125" customWidth="1"/>
    <col min="11" max="12" width="12.453125" customWidth="1"/>
    <col min="13" max="13" width="12.36328125" customWidth="1"/>
    <col min="14" max="16" width="11.7265625" customWidth="1"/>
    <col min="17" max="17" width="16.453125" customWidth="1"/>
    <col min="18" max="18" width="17.6328125" customWidth="1"/>
    <col min="19" max="19" width="16.453125" customWidth="1"/>
  </cols>
  <sheetData>
    <row r="1" spans="1:33" x14ac:dyDescent="0.3">
      <c r="A1" s="1" t="str">
        <f>Specs!I1</f>
        <v>SFP</v>
      </c>
      <c r="B1" s="4" t="s">
        <v>221</v>
      </c>
      <c r="C1" s="4" t="s">
        <v>222</v>
      </c>
      <c r="D1" s="4" t="s">
        <v>223</v>
      </c>
      <c r="E1" s="4" t="s">
        <v>224</v>
      </c>
      <c r="F1" s="4" t="s">
        <v>225</v>
      </c>
      <c r="G1" s="4" t="s">
        <v>226</v>
      </c>
      <c r="H1" s="4" t="s">
        <v>227</v>
      </c>
      <c r="I1" s="4" t="s">
        <v>228</v>
      </c>
      <c r="J1" s="4" t="s">
        <v>229</v>
      </c>
      <c r="K1" s="4" t="s">
        <v>230</v>
      </c>
      <c r="L1" s="4" t="s">
        <v>231</v>
      </c>
      <c r="M1" s="4" t="s">
        <v>232</v>
      </c>
      <c r="N1" s="4" t="s">
        <v>233</v>
      </c>
      <c r="O1" s="4" t="s">
        <v>234</v>
      </c>
      <c r="P1" s="4" t="s">
        <v>235</v>
      </c>
      <c r="Q1" s="4" t="s">
        <v>236</v>
      </c>
      <c r="R1" s="4" t="s">
        <v>237</v>
      </c>
      <c r="S1" s="4" t="s">
        <v>238</v>
      </c>
      <c r="T1" s="4" t="s">
        <v>239</v>
      </c>
      <c r="U1" s="4" t="s">
        <v>240</v>
      </c>
      <c r="V1" s="4" t="s">
        <v>241</v>
      </c>
      <c r="W1" s="4" t="s">
        <v>242</v>
      </c>
      <c r="X1" s="4" t="s">
        <v>243</v>
      </c>
      <c r="Y1" s="4" t="s">
        <v>244</v>
      </c>
      <c r="Z1" s="4" t="s">
        <v>245</v>
      </c>
      <c r="AA1" s="7"/>
      <c r="AB1" s="7"/>
      <c r="AC1" s="7"/>
      <c r="AD1" s="7"/>
      <c r="AE1" s="7"/>
      <c r="AF1" s="7"/>
      <c r="AG1" s="7"/>
    </row>
    <row r="2" spans="1:33" ht="15.75" customHeight="1" x14ac:dyDescent="0.25">
      <c r="A2" s="8" t="str">
        <f>Specs!I2</f>
        <v>Tốc độ (1G/10G/100G)</v>
      </c>
      <c r="B2" s="28">
        <v>1</v>
      </c>
      <c r="C2" s="28">
        <v>1</v>
      </c>
      <c r="D2" s="28">
        <v>1</v>
      </c>
      <c r="E2" s="28">
        <v>10</v>
      </c>
      <c r="F2" s="28">
        <v>10</v>
      </c>
      <c r="G2" s="28">
        <v>10</v>
      </c>
      <c r="H2" s="28">
        <v>100</v>
      </c>
      <c r="I2" s="28">
        <v>100</v>
      </c>
      <c r="J2" s="28">
        <v>100</v>
      </c>
      <c r="K2" s="28">
        <v>1</v>
      </c>
      <c r="L2" s="28">
        <v>1</v>
      </c>
      <c r="M2" s="28">
        <v>1</v>
      </c>
      <c r="N2" s="28">
        <v>1</v>
      </c>
      <c r="O2" s="28">
        <v>10</v>
      </c>
      <c r="P2" s="28">
        <v>10</v>
      </c>
      <c r="Q2" s="28">
        <v>10</v>
      </c>
      <c r="R2" s="28">
        <v>10</v>
      </c>
      <c r="S2" s="28">
        <v>10</v>
      </c>
      <c r="T2" s="28">
        <v>10</v>
      </c>
      <c r="U2" s="28">
        <v>10</v>
      </c>
      <c r="V2" s="28">
        <v>10</v>
      </c>
      <c r="W2" s="28">
        <v>100</v>
      </c>
      <c r="X2" s="28">
        <v>100</v>
      </c>
      <c r="Y2" s="28">
        <v>100</v>
      </c>
      <c r="Z2" s="28">
        <v>100</v>
      </c>
      <c r="AA2" s="7"/>
      <c r="AB2" s="7"/>
      <c r="AC2" s="7"/>
      <c r="AD2" s="7"/>
      <c r="AE2" s="7"/>
      <c r="AF2" s="7"/>
      <c r="AG2" s="7"/>
    </row>
    <row r="3" spans="1:33" ht="15.75" customHeight="1" x14ac:dyDescent="0.25">
      <c r="A3" s="8" t="str">
        <f>Specs!I3</f>
        <v>Khoảng cách truyền (km)</v>
      </c>
      <c r="B3" s="28">
        <v>10</v>
      </c>
      <c r="C3" s="28">
        <v>40</v>
      </c>
      <c r="D3" s="28">
        <v>80</v>
      </c>
      <c r="E3" s="28">
        <v>10</v>
      </c>
      <c r="F3" s="28">
        <v>40</v>
      </c>
      <c r="G3" s="28">
        <v>80</v>
      </c>
      <c r="H3" s="28">
        <v>10</v>
      </c>
      <c r="I3" s="28">
        <v>40</v>
      </c>
      <c r="J3" s="28">
        <v>80</v>
      </c>
      <c r="K3" s="28">
        <v>0.5</v>
      </c>
      <c r="L3" s="28">
        <v>10</v>
      </c>
      <c r="M3" s="28">
        <v>40</v>
      </c>
      <c r="N3" s="28">
        <v>70</v>
      </c>
      <c r="O3" s="28">
        <v>0.5</v>
      </c>
      <c r="P3" s="28">
        <v>0.5</v>
      </c>
      <c r="Q3" s="28">
        <v>10</v>
      </c>
      <c r="R3" s="28">
        <v>10</v>
      </c>
      <c r="S3" s="28">
        <v>40</v>
      </c>
      <c r="T3" s="28">
        <v>40</v>
      </c>
      <c r="U3" s="28">
        <v>80</v>
      </c>
      <c r="V3" s="28">
        <v>80</v>
      </c>
      <c r="W3" s="28">
        <v>10</v>
      </c>
      <c r="X3" s="28">
        <v>10</v>
      </c>
      <c r="Y3" s="28">
        <v>40</v>
      </c>
      <c r="Z3" s="28">
        <v>80</v>
      </c>
      <c r="AA3" s="7"/>
      <c r="AB3" s="7"/>
      <c r="AC3" s="7"/>
      <c r="AD3" s="7"/>
      <c r="AE3" s="7"/>
      <c r="AF3" s="7"/>
      <c r="AG3" s="7"/>
    </row>
    <row r="4" spans="1:33" ht="15.75" customHeight="1" x14ac:dyDescent="0.25">
      <c r="A4" s="7" t="s">
        <v>246</v>
      </c>
      <c r="B4" s="19" t="s">
        <v>23</v>
      </c>
      <c r="C4" s="19" t="s">
        <v>23</v>
      </c>
      <c r="D4" s="19" t="s">
        <v>23</v>
      </c>
      <c r="E4" s="19" t="s">
        <v>23</v>
      </c>
      <c r="F4" s="19" t="s">
        <v>23</v>
      </c>
      <c r="G4" s="19" t="s">
        <v>23</v>
      </c>
      <c r="H4" s="19" t="s">
        <v>23</v>
      </c>
      <c r="I4" s="19" t="s">
        <v>23</v>
      </c>
      <c r="J4" s="19" t="s">
        <v>23</v>
      </c>
      <c r="K4" s="19" t="s">
        <v>25</v>
      </c>
      <c r="L4" s="19" t="s">
        <v>25</v>
      </c>
      <c r="M4" s="19" t="s">
        <v>25</v>
      </c>
      <c r="N4" s="19" t="s">
        <v>25</v>
      </c>
      <c r="O4" s="19" t="s">
        <v>25</v>
      </c>
      <c r="P4" s="19" t="s">
        <v>25</v>
      </c>
      <c r="Q4" s="19" t="s">
        <v>25</v>
      </c>
      <c r="R4" s="19" t="s">
        <v>25</v>
      </c>
      <c r="S4" s="19" t="s">
        <v>25</v>
      </c>
      <c r="T4" s="19" t="s">
        <v>25</v>
      </c>
      <c r="U4" s="19" t="s">
        <v>25</v>
      </c>
      <c r="V4" s="19" t="s">
        <v>25</v>
      </c>
      <c r="W4" s="19" t="s">
        <v>25</v>
      </c>
      <c r="X4" s="19" t="s">
        <v>25</v>
      </c>
      <c r="Y4" s="19" t="s">
        <v>25</v>
      </c>
      <c r="Z4" s="19" t="s">
        <v>25</v>
      </c>
      <c r="AA4" s="7"/>
      <c r="AB4" s="7"/>
      <c r="AC4" s="7"/>
      <c r="AD4" s="7"/>
      <c r="AE4" s="7"/>
      <c r="AF4" s="7"/>
      <c r="AG4" s="7"/>
    </row>
    <row r="5" spans="1:33" ht="15.75" customHeight="1" x14ac:dyDescent="0.25">
      <c r="A5" s="7" t="s">
        <v>27</v>
      </c>
      <c r="B5" s="22">
        <f ca="1">IFERROR(VLOOKUP(B1,AllListPrice!$A$2:$D$1000,4,0),0)</f>
        <v>9</v>
      </c>
      <c r="C5" s="22">
        <f ca="1">IFERROR(VLOOKUP(C1,AllListPrice!$A$2:$D$1000,4,0),0)</f>
        <v>21</v>
      </c>
      <c r="D5" s="22">
        <f ca="1">IFERROR(VLOOKUP(D1,AllListPrice!$A$2:$D$1000,4,0),0)</f>
        <v>35</v>
      </c>
      <c r="E5" s="22">
        <f ca="1">IFERROR(VLOOKUP(E1,AllListPrice!$A$2:$D$1000,4,0),0)</f>
        <v>32</v>
      </c>
      <c r="F5" s="22">
        <f ca="1">IFERROR(VLOOKUP(F1,AllListPrice!$A$2:$D$1000,4,0),0)</f>
        <v>150</v>
      </c>
      <c r="G5" s="22">
        <f ca="1">IFERROR(VLOOKUP(G1,AllListPrice!$A$2:$D$1000,4,0),0)</f>
        <v>290</v>
      </c>
      <c r="H5" s="22">
        <f ca="1">IFERROR(VLOOKUP(H1,AllListPrice!$A$2:$D$1000,4,0),0)</f>
        <v>500</v>
      </c>
      <c r="I5" s="22">
        <f ca="1">IFERROR(VLOOKUP(I1,AllListPrice!$A$2:$D$1000,4,0),0)</f>
        <v>800</v>
      </c>
      <c r="J5" s="22">
        <f ca="1">IFERROR(VLOOKUP(J1,AllListPrice!$A$2:$D$1000,4,0),0)</f>
        <v>1000</v>
      </c>
      <c r="K5" s="22">
        <f ca="1">IFERROR(VLOOKUP(K1,AllListPrice!$A$2:$D$1000,4,0),0)</f>
        <v>608.51</v>
      </c>
      <c r="L5" s="22">
        <f ca="1">IFERROR(VLOOKUP(L1,AllListPrice!$A$2:$D$1000,4,0),0)</f>
        <v>1210.94</v>
      </c>
      <c r="M5" s="22">
        <f ca="1">IFERROR(VLOOKUP(M1,AllListPrice!$A$2:$D$1000,4,0),0)</f>
        <v>2427.96</v>
      </c>
      <c r="N5" s="22">
        <f ca="1">IFERROR(VLOOKUP(N1,AllListPrice!$A$2:$D$1000,4,0),0)</f>
        <v>4861.99</v>
      </c>
      <c r="O5" s="22">
        <f ca="1">IFERROR(VLOOKUP(O1,AllListPrice!$A$2:$D$1000,4,0),0)</f>
        <v>851.91</v>
      </c>
      <c r="P5" s="22">
        <f ca="1">IFERROR(VLOOKUP(P1,AllListPrice!$A$2:$D$1000,4,0),0)</f>
        <v>1210.94</v>
      </c>
      <c r="Q5" s="22">
        <f ca="1">IFERROR(VLOOKUP(Q1,AllListPrice!$A$2:$D$1000,4,0),0)</f>
        <v>2434.04</v>
      </c>
      <c r="R5" s="22">
        <f ca="1">IFERROR(VLOOKUP(R1,AllListPrice!$A$2:$D$1000,4,0),0)</f>
        <v>4861.99</v>
      </c>
      <c r="S5" s="22">
        <f ca="1">IFERROR(VLOOKUP(S1,AllListPrice!$A$2:$D$1000,4,0),0)</f>
        <v>9614.44</v>
      </c>
      <c r="T5" s="22">
        <f ca="1">IFERROR(VLOOKUP(T1,AllListPrice!$A$2:$D$1000,4,0),0)</f>
        <v>12170.18</v>
      </c>
      <c r="U5" s="22">
        <f ca="1">IFERROR(VLOOKUP(U1,AllListPrice!$A$2:$D$1000,4,0),0)</f>
        <v>13265.5</v>
      </c>
      <c r="V5" s="22">
        <f ca="1">IFERROR(VLOOKUP(V1,AllListPrice!$A$2:$D$1000,4,0),0)</f>
        <v>19472.29</v>
      </c>
      <c r="W5" s="22">
        <f ca="1">IFERROR(VLOOKUP("100GQSFP-LR4-4=",AllListPrice!$A$2:$D$1000,4,0)/4,0)</f>
        <v>9127.6350000000002</v>
      </c>
      <c r="X5" s="22">
        <f ca="1">IFERROR(VLOOKUP(X1,AllListPrice!$A$2:$D$1000,4,0),0)</f>
        <v>4130.83</v>
      </c>
      <c r="Y5" s="22">
        <f ca="1">IFERROR(VLOOKUP(Y1,AllListPrice!$A$2:$D$1000,4,0),0)</f>
        <v>91270.27</v>
      </c>
      <c r="Z5" s="22">
        <f ca="1">IFERROR(VLOOKUP(Z1,AllListPrice!$A$2:$D$1000,4,0),0)</f>
        <v>36190</v>
      </c>
      <c r="AA5" s="7"/>
      <c r="AB5" s="7"/>
      <c r="AC5" s="7"/>
      <c r="AD5" s="7"/>
      <c r="AE5" s="7"/>
      <c r="AF5" s="7"/>
      <c r="AG5" s="7"/>
    </row>
    <row r="6" spans="1:33" ht="15.75" customHeight="1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 spans="1:33" ht="15.75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 spans="1:33" ht="15.75" customHeight="1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 spans="1:33" ht="15.75" customHeight="1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 spans="1:33" ht="15.75" customHeight="1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 spans="1:33" ht="15.75" customHeight="1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 spans="1:33" ht="15.75" customHeight="1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 spans="1:33" ht="15.75" customHeight="1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 spans="1:33" ht="15.75" customHeight="1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 spans="1:33" ht="15.75" customHeight="1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 spans="1:33" ht="15.75" customHeight="1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 spans="1:33" ht="15.75" customHeight="1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 spans="1:33" ht="15.75" customHeight="1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1:33" ht="15.75" customHeight="1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1:33" ht="15.75" customHeight="1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 spans="1:33" ht="15.75" customHeight="1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 spans="1:33" ht="12.5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 spans="1:33" ht="12.5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 spans="1:33" ht="12.5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 spans="1:33" ht="12.5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 spans="1:33" ht="12.5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 spans="1:33" ht="12.5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 spans="1:33" ht="12.5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 spans="1:33" ht="12.5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 spans="1:33" ht="12.5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 spans="1:33" ht="12.5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 spans="1:33" ht="12.5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 spans="1:33" ht="12.5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 spans="1:33" ht="12.5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 spans="1:33" ht="12.5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 spans="1:33" ht="12.5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 spans="1:33" ht="12.5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 spans="1:33" ht="12.5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spans="1:33" ht="12.5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1:33" ht="12.5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spans="1:33" ht="12.5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spans="1:33" ht="12.5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spans="1:33" ht="12.5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spans="1:33" ht="12.5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spans="1:33" ht="12.5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spans="1:33" ht="12.5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1:33" ht="12.5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1:33" ht="12.5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1:33" ht="12.5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 spans="1:33" ht="12.5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 spans="1:33" ht="12.5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 spans="1:33" ht="12.5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 spans="1:33" ht="12.5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 spans="1:33" ht="12.5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 spans="1:33" ht="12.5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 spans="1:33" ht="12.5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 spans="1:33" ht="12.5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 spans="1:33" ht="12.5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 spans="1:33" ht="12.5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 spans="1:33" ht="12.5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 spans="1:33" ht="12.5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 spans="1:33" ht="12.5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 spans="1:33" ht="12.5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 spans="1:33" ht="12.5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 spans="1:33" ht="12.5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 spans="1:33" ht="12.5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 spans="1:33" ht="12.5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 spans="1:33" ht="12.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 spans="1:33" ht="12.5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 spans="1:33" ht="12.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 spans="1:33" ht="12.5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 spans="1:33" ht="12.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 spans="1:33" ht="12.5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 spans="1:33" ht="12.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 spans="1:33" ht="12.5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 spans="1:33" ht="12.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 spans="1:33" ht="12.5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 spans="1:33" ht="12.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 spans="1:33" ht="12.5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 spans="1:33" ht="12.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2.5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2.5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2.5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 spans="1:33" ht="12.5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 spans="1:33" ht="12.5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 spans="1:33" ht="12.5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 spans="1:33" ht="12.5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 spans="1:33" ht="12.5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 spans="1:33" ht="12.5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 spans="1:33" ht="12.5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 spans="1:33" ht="12.5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 spans="1:33" ht="12.5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 spans="1:33" ht="12.5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 spans="1:33" ht="12.5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 spans="1:33" ht="12.5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 spans="1:33" ht="12.5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 spans="1:33" ht="12.5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 spans="1:33" ht="12.5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 spans="1:33" ht="12.5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 spans="1:33" ht="12.5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 spans="1:33" ht="12.5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 spans="1:33" ht="12.5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 spans="1:33" ht="12.5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 spans="1:33" ht="12.5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 spans="1:33" ht="12.5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 spans="1:33" ht="12.5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 spans="1:33" ht="12.5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 spans="1:33" ht="12.5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 spans="1:33" ht="12.5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 spans="1:33" ht="12.5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 spans="1:33" ht="12.5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 spans="1:33" ht="12.5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 spans="1:33" ht="12.5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 spans="1:33" ht="12.5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 spans="1:33" ht="12.5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 spans="1:33" ht="12.5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 spans="1:33" ht="12.5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 spans="1:33" ht="12.5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 spans="1:33" ht="12.5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 spans="1:33" ht="12.5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 spans="1:33" ht="12.5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 spans="1:33" ht="12.5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 spans="1:33" ht="12.5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 spans="1:33" ht="12.5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 spans="1:33" ht="12.5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 spans="1:33" ht="12.5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 spans="1:33" ht="12.5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 spans="1:33" ht="12.5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 spans="1:33" ht="12.5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 spans="1:33" ht="12.5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 spans="1:33" ht="12.5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 spans="1:33" ht="12.5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 spans="1:33" ht="12.5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 spans="1:33" ht="12.5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 spans="1:33" ht="12.5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 spans="1:33" ht="12.5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 spans="1:33" ht="12.5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 spans="1:33" ht="12.5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 spans="1:33" ht="12.5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 spans="1:33" ht="12.5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 spans="1:33" ht="12.5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 spans="1:33" ht="12.5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 spans="1:33" ht="12.5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 spans="1:33" ht="12.5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 spans="1:33" ht="12.5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 spans="1:33" ht="12.5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 spans="1:33" ht="12.5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 spans="1:33" ht="12.5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 spans="1:33" ht="12.5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 spans="1:33" ht="12.5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 spans="1:33" ht="12.5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 spans="1:33" ht="12.5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 spans="1:33" ht="12.5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 spans="1:33" ht="12.5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 spans="1:33" ht="12.5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 spans="1:33" ht="12.5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 spans="1:33" ht="12.5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 spans="1:33" ht="12.5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 spans="1:33" ht="12.5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 spans="1:33" ht="12.5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 spans="1:33" ht="12.5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 spans="1:33" ht="12.5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 spans="1:33" ht="12.5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 spans="1:33" ht="12.5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 spans="1:33" ht="12.5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 spans="1:33" ht="12.5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 spans="1:33" ht="12.5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 spans="1:33" ht="12.5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 spans="1:33" ht="12.5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 spans="1:33" ht="12.5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 spans="1:33" ht="12.5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 spans="1:33" ht="12.5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 spans="1:33" ht="12.5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 spans="1:33" ht="12.5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 spans="1:33" ht="12.5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 spans="1:33" ht="12.5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 spans="1:33" ht="12.5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 spans="1:33" ht="12.5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 spans="1:33" ht="12.5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 spans="1:33" ht="12.5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 spans="1:33" ht="12.5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 spans="1:33" ht="12.5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 spans="1:33" ht="12.5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 spans="1:33" ht="12.5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 spans="1:33" ht="12.5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 spans="1:33" ht="12.5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 spans="1:33" ht="12.5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 spans="1:33" ht="12.5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 spans="1:33" ht="12.5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 spans="1:33" ht="12.5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 spans="1:33" ht="12.5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 spans="1:33" ht="12.5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 spans="1:33" ht="12.5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 spans="1:33" ht="12.5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 spans="1:33" ht="12.5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 spans="1:33" ht="12.5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 spans="1:33" ht="12.5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 spans="1:33" ht="12.5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 spans="1:33" ht="12.5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 spans="1:33" ht="12.5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 spans="1:33" ht="12.5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 spans="1:33" ht="12.5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 spans="1:33" ht="12.5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 spans="1:33" ht="12.5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 spans="1:33" ht="12.5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 spans="1:33" ht="12.5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 spans="1:33" ht="12.5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 spans="1:33" ht="12.5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 spans="1:33" ht="12.5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 spans="1:33" ht="12.5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 spans="1:33" ht="12.5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 spans="1:33" ht="12.5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 spans="1:33" ht="12.5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 spans="1:33" ht="12.5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 spans="1:33" ht="12.5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 spans="1:33" ht="12.5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 spans="1:33" ht="12.5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 spans="1:33" ht="12.5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 spans="1:33" ht="12.5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 spans="1:33" ht="12.5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 spans="1:33" ht="12.5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 spans="1:33" ht="12.5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 spans="1:33" ht="12.5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 spans="1:33" ht="12.5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 spans="1:33" ht="12.5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 spans="1:33" ht="12.5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 spans="1:33" ht="12.5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 spans="1:33" ht="12.5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 spans="1:33" ht="12.5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 spans="1:33" ht="12.5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 spans="1:33" ht="12.5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 spans="1:33" ht="12.5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 spans="1:33" ht="12.5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 spans="1:33" ht="12.5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 spans="1:33" ht="12.5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 spans="1:33" ht="12.5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 spans="1:33" ht="12.5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 spans="1:33" ht="12.5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 spans="1:33" ht="12.5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 spans="1:33" ht="12.5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 spans="1:33" ht="12.5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 spans="1:33" ht="12.5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 spans="1:33" ht="12.5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 spans="1:33" ht="12.5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 spans="1:33" ht="12.5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 spans="1:33" ht="12.5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 spans="1:33" ht="12.5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 spans="1:33" ht="12.5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 spans="1:33" ht="12.5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 spans="1:33" ht="12.5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 spans="1:33" ht="12.5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 spans="1:33" ht="12.5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 spans="1:33" ht="12.5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 spans="1:33" ht="12.5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 spans="1:33" ht="12.5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 spans="1:33" ht="12.5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 spans="1:33" ht="12.5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 spans="1:33" ht="12.5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 spans="1:33" ht="12.5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 spans="1:33" ht="12.5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 spans="1:33" ht="12.5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 spans="1:33" ht="12.5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 spans="1:33" ht="12.5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 spans="1:33" ht="12.5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 spans="1:33" ht="12.5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 spans="1:33" ht="12.5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 spans="1:33" ht="12.5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 spans="1:33" ht="12.5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 spans="1:33" ht="12.5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 spans="1:33" ht="12.5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 spans="1:33" ht="12.5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 spans="1:33" ht="12.5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 spans="1:33" ht="12.5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 spans="1:33" ht="12.5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 spans="1:33" ht="12.5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 spans="1:33" ht="12.5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 spans="1:33" ht="12.5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 spans="1:33" ht="12.5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 spans="1:33" ht="12.5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 spans="1:33" ht="12.5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 spans="1:33" ht="12.5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 spans="1:33" ht="12.5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 spans="1:33" ht="12.5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 spans="1:33" ht="12.5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 spans="1:33" ht="12.5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 spans="1:33" ht="12.5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 spans="1:33" ht="12.5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 spans="1:33" ht="12.5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 spans="1:33" ht="12.5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 spans="1:33" ht="12.5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 spans="1:33" ht="12.5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 spans="1:33" ht="12.5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 spans="1:33" ht="12.5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 spans="1:33" ht="12.5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 spans="1:33" ht="12.5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 spans="1:33" ht="12.5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 spans="1:33" ht="12.5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 spans="1:33" ht="12.5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 spans="1:33" ht="12.5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 spans="1:33" ht="12.5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 spans="1:33" ht="12.5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 spans="1:33" ht="12.5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 spans="1:33" ht="12.5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 spans="1:33" ht="12.5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 spans="1:33" ht="12.5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 spans="1:33" ht="12.5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 spans="1:33" ht="12.5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 spans="1:33" ht="12.5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 spans="1:33" ht="12.5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 spans="1:33" ht="12.5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 spans="1:33" ht="12.5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 spans="1:33" ht="12.5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 spans="1:33" ht="12.5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 spans="1:33" ht="12.5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 spans="1:33" ht="12.5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 spans="1:33" ht="12.5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 spans="1:33" ht="12.5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 spans="1:33" ht="12.5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 spans="1:33" ht="12.5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 spans="1:33" ht="12.5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 spans="1:33" ht="12.5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 spans="1:33" ht="12.5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 spans="1:33" ht="12.5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 spans="1:33" ht="12.5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 spans="1:33" ht="12.5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 spans="1:33" ht="12.5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 spans="1:33" ht="12.5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 spans="1:33" ht="12.5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 spans="1:33" ht="12.5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 spans="1:33" ht="12.5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 spans="1:33" ht="12.5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 spans="1:33" ht="12.5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 spans="1:33" ht="12.5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 spans="1:33" ht="12.5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 spans="1:33" ht="12.5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 spans="1:33" ht="12.5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 spans="1:33" ht="12.5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 spans="1:33" ht="12.5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 spans="1:33" ht="12.5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 spans="1:33" ht="12.5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 spans="1:33" ht="12.5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 spans="1:33" ht="12.5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 spans="1:33" ht="12.5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 spans="1:33" ht="12.5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 spans="1:33" ht="12.5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 spans="1:33" ht="12.5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 spans="1:33" ht="12.5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 spans="1:33" ht="12.5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 spans="1:33" ht="12.5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 spans="1:33" ht="12.5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 spans="1:33" ht="12.5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 spans="1:33" ht="12.5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 spans="1:33" ht="12.5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 spans="1:33" ht="12.5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 spans="1:33" ht="12.5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 spans="1:33" ht="12.5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 spans="1:33" ht="12.5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 spans="1:33" ht="12.5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 spans="1:33" ht="12.5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 spans="1:33" ht="12.5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 spans="1:33" ht="12.5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 spans="1:33" ht="12.5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 spans="1:33" ht="12.5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 spans="1:33" ht="12.5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 spans="1:33" ht="12.5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 spans="1:33" ht="12.5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 spans="1:33" ht="12.5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 spans="1:33" ht="12.5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 spans="1:33" ht="12.5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 spans="1:33" ht="12.5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 spans="1:33" ht="12.5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 spans="1:33" ht="12.5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 spans="1:33" ht="12.5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 spans="1:33" ht="12.5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 spans="1:33" ht="12.5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 spans="1:33" ht="12.5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 spans="1:33" ht="12.5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 spans="1:33" ht="12.5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 spans="1:33" ht="12.5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 spans="1:33" ht="12.5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 spans="1:33" ht="12.5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 spans="1:33" ht="12.5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 spans="1:33" ht="12.5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 spans="1:33" ht="12.5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 spans="1:33" ht="12.5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 spans="1:33" ht="12.5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 spans="1:33" ht="12.5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 spans="1:33" ht="12.5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 spans="1:33" ht="12.5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 spans="1:33" ht="12.5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 spans="1:33" ht="12.5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 spans="1:33" ht="12.5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 spans="1:33" ht="12.5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 spans="1:33" ht="12.5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 spans="1:33" ht="12.5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 spans="1:33" ht="12.5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 spans="1:33" ht="12.5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 spans="1:33" ht="12.5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 spans="1:33" ht="12.5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 spans="1:33" ht="12.5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 spans="1:33" ht="12.5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 spans="1:33" ht="12.5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 spans="1:33" ht="12.5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 spans="1:33" ht="12.5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 spans="1:33" ht="12.5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 spans="1:33" ht="12.5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 spans="1:33" ht="12.5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 spans="1:33" ht="12.5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 spans="1:33" ht="12.5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 spans="1:33" ht="12.5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 spans="1:33" ht="12.5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 spans="1:33" ht="12.5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 spans="1:33" ht="12.5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 spans="1:33" ht="12.5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 spans="1:33" ht="12.5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 spans="1:33" ht="12.5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 spans="1:33" ht="12.5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 spans="1:33" ht="12.5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 spans="1:33" ht="12.5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 spans="1:33" ht="12.5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 spans="1:33" ht="12.5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 spans="1:33" ht="12.5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 spans="1:33" ht="12.5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 spans="1:33" ht="12.5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 spans="1:33" ht="12.5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 spans="1:33" ht="12.5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 spans="1:33" ht="12.5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 spans="1:33" ht="12.5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 spans="1:33" ht="12.5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 spans="1:33" ht="12.5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 spans="1:33" ht="12.5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 spans="1:33" ht="12.5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 spans="1:33" ht="12.5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 spans="1:33" ht="12.5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 spans="1:33" ht="12.5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 spans="1:33" ht="12.5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 spans="1:33" ht="12.5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 spans="1:33" ht="12.5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 spans="1:33" ht="12.5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 spans="1:33" ht="12.5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 spans="1:33" ht="12.5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 spans="1:33" ht="12.5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 spans="1:33" ht="12.5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 spans="1:33" ht="12.5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 spans="1:33" ht="12.5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 spans="1:33" ht="12.5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 spans="1:33" ht="12.5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 spans="1:33" ht="12.5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 spans="1:33" ht="12.5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 spans="1:33" ht="12.5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 spans="1:33" ht="12.5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 spans="1:33" ht="12.5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 spans="1:33" ht="12.5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 spans="1:33" ht="12.5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 spans="1:33" ht="12.5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 spans="1:33" ht="12.5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 spans="1:33" ht="12.5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 spans="1:33" ht="12.5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 spans="1:33" ht="12.5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 spans="1:33" ht="12.5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 spans="1:33" ht="12.5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 spans="1:33" ht="12.5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 spans="1:33" ht="12.5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 spans="1:33" ht="12.5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 spans="1:33" ht="12.5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 spans="1:33" ht="12.5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 spans="1:33" ht="12.5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 spans="1:33" ht="12.5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 spans="1:33" ht="12.5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 spans="1:33" ht="12.5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 spans="1:33" ht="12.5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 spans="1:33" ht="12.5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 spans="1:33" ht="12.5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 spans="1:33" ht="12.5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 spans="1:33" ht="12.5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 spans="1:33" ht="12.5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 spans="1:33" ht="12.5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 spans="1:33" ht="12.5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 spans="1:33" ht="12.5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 spans="1:33" ht="12.5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 spans="1:33" ht="12.5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 spans="1:33" ht="12.5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 spans="1:33" ht="12.5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 spans="1:33" ht="12.5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 spans="1:33" ht="12.5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 spans="1:33" ht="12.5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 spans="1:33" ht="12.5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 spans="1:33" ht="12.5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 spans="1:33" ht="12.5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 spans="1:33" ht="12.5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 spans="1:33" ht="12.5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 spans="1:33" ht="12.5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 spans="1:33" ht="12.5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 spans="1:33" ht="12.5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 spans="1:33" ht="12.5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 spans="1:33" ht="12.5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 spans="1:33" ht="12.5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 spans="1:33" ht="12.5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 spans="1:33" ht="12.5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 spans="1:33" ht="12.5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 spans="1:33" ht="12.5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 spans="1:33" ht="12.5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 spans="1:33" ht="12.5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 spans="1:33" ht="12.5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 spans="1:33" ht="12.5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 spans="1:33" ht="12.5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 spans="1:33" ht="12.5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 spans="1:33" ht="12.5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 spans="1:33" ht="12.5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 spans="1:33" ht="12.5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 spans="1:33" ht="12.5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 spans="1:33" ht="12.5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 spans="1:33" ht="12.5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 spans="1:33" ht="12.5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 spans="1:33" ht="12.5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 spans="1:33" ht="12.5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 spans="1:33" ht="12.5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 spans="1:33" ht="12.5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 spans="1:33" ht="12.5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 spans="1:33" ht="12.5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 spans="1:33" ht="12.5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 spans="1:33" ht="12.5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 spans="1:33" ht="12.5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 spans="1:33" ht="12.5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 spans="1:33" ht="12.5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 spans="1:33" ht="12.5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 spans="1:33" ht="12.5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 spans="1:33" ht="12.5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 spans="1:33" ht="12.5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 spans="1:33" ht="12.5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 spans="1:33" ht="12.5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 spans="1:33" ht="12.5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 spans="1:33" ht="12.5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 spans="1:33" ht="12.5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 spans="1:33" ht="12.5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 spans="1:33" ht="12.5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 spans="1:33" ht="12.5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 spans="1:33" ht="12.5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 spans="1:33" ht="12.5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 spans="1:33" ht="12.5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 spans="1:33" ht="12.5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 spans="1:33" ht="12.5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 spans="1:33" ht="12.5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 spans="1:33" ht="12.5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 spans="1:33" ht="12.5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 spans="1:33" ht="12.5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 spans="1:33" ht="12.5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 spans="1:33" ht="12.5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 spans="1:33" ht="12.5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 spans="1:33" ht="12.5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 spans="1:33" ht="12.5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 spans="1:33" ht="12.5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 spans="1:33" ht="12.5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 spans="1:33" ht="12.5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 spans="1:33" ht="12.5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 spans="1:33" ht="12.5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 spans="1:33" ht="12.5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 spans="1:33" ht="12.5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 spans="1:33" ht="12.5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 spans="1:33" ht="12.5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 spans="1:33" ht="12.5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 spans="1:33" ht="12.5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 spans="1:33" ht="12.5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 spans="1:33" ht="12.5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 spans="1:33" ht="12.5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 spans="1:33" ht="12.5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 spans="1:33" ht="12.5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 spans="1:33" ht="12.5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 spans="1:33" ht="12.5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 spans="1:33" ht="12.5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 spans="1:33" ht="12.5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 spans="1:33" ht="12.5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 spans="1:33" ht="12.5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 spans="1:33" ht="12.5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 spans="1:33" ht="12.5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 spans="1:33" ht="12.5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 spans="1:33" ht="12.5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 spans="1:33" ht="12.5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 spans="1:33" ht="12.5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 spans="1:33" ht="12.5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 spans="1:33" ht="12.5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 spans="1:33" ht="12.5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 spans="1:33" ht="12.5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 spans="1:33" ht="12.5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 spans="1:33" ht="12.5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 spans="1:33" ht="12.5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 spans="1:33" ht="12.5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 spans="1:33" ht="12.5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 spans="1:33" ht="12.5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 spans="1:33" ht="12.5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 spans="1:33" ht="12.5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 spans="1:33" ht="12.5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 spans="1:33" ht="12.5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 spans="1:33" ht="12.5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 spans="1:33" ht="12.5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 spans="1:33" ht="12.5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 spans="1:33" ht="12.5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 spans="1:33" ht="12.5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 spans="1:33" ht="12.5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 spans="1:33" ht="12.5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 spans="1:33" ht="12.5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 spans="1:33" ht="12.5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 spans="1:33" ht="12.5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 spans="1:33" ht="12.5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 spans="1:33" ht="12.5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 spans="1:33" ht="12.5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 spans="1:33" ht="12.5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 spans="1:33" ht="12.5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 spans="1:33" ht="12.5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 spans="1:33" ht="12.5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 spans="1:33" ht="12.5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 spans="1:33" ht="12.5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 spans="1:33" ht="12.5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 spans="1:33" ht="12.5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 spans="1:33" ht="12.5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 spans="1:33" ht="12.5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 spans="1:33" ht="12.5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 spans="1:33" ht="12.5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 spans="1:33" ht="12.5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 spans="1:33" ht="12.5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 spans="1:33" ht="12.5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 spans="1:33" ht="12.5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 spans="1:33" ht="12.5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 spans="1:33" ht="12.5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 spans="1:33" ht="12.5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 spans="1:33" ht="12.5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 spans="1:33" ht="12.5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 spans="1:33" ht="12.5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 spans="1:33" ht="12.5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 spans="1:33" ht="12.5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 spans="1:33" ht="12.5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 spans="1:33" ht="12.5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 spans="1:33" ht="12.5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 spans="1:33" ht="12.5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 spans="1:33" ht="12.5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 spans="1:33" ht="12.5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 spans="1:33" ht="12.5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 spans="1:33" ht="12.5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 spans="1:33" ht="12.5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 spans="1:33" ht="12.5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 spans="1:33" ht="12.5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 spans="1:33" ht="12.5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 spans="1:33" ht="12.5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 spans="1:33" ht="12.5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 spans="1:33" ht="12.5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 spans="1:33" ht="12.5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 spans="1:33" ht="12.5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 spans="1:33" ht="12.5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 spans="1:33" ht="12.5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 spans="1:33" ht="12.5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 spans="1:33" ht="12.5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 spans="1:33" ht="12.5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 spans="1:33" ht="12.5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 spans="1:33" ht="12.5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 spans="1:33" ht="12.5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 spans="1:33" ht="12.5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 spans="1:33" ht="12.5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 spans="1:33" ht="12.5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 spans="1:33" ht="12.5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 spans="1:33" ht="12.5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 spans="1:33" ht="12.5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 spans="1:33" ht="12.5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 spans="1:33" ht="12.5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 spans="1:33" ht="12.5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 spans="1:33" ht="12.5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 spans="1:33" ht="12.5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 spans="1:33" ht="12.5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 spans="1:33" ht="12.5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 spans="1:33" ht="12.5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 spans="1:33" ht="12.5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 spans="1:33" ht="12.5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 spans="1:33" ht="12.5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 spans="1:33" ht="12.5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 spans="1:33" ht="12.5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 spans="1:33" ht="12.5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 spans="1:33" ht="12.5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 spans="1:33" ht="12.5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 spans="1:33" ht="12.5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 spans="1:33" ht="12.5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 spans="1:33" ht="12.5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 spans="1:33" ht="12.5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 spans="1:33" ht="12.5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 spans="1:33" ht="12.5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 spans="1:33" ht="12.5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 spans="1:33" ht="12.5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 spans="1:33" ht="12.5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 spans="1:33" ht="12.5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 spans="1:33" ht="12.5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 spans="1:33" ht="12.5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 spans="1:33" ht="12.5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 spans="1:33" ht="12.5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 spans="1:33" ht="12.5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 spans="1:33" ht="12.5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 spans="1:33" ht="12.5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 spans="1:33" ht="12.5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 spans="1:33" ht="12.5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 spans="1:33" ht="12.5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 spans="1:33" ht="12.5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 spans="1:33" ht="12.5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 spans="1:33" ht="12.5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 spans="1:33" ht="12.5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 spans="1:33" ht="12.5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 spans="1:33" ht="12.5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 spans="1:33" ht="12.5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 spans="1:33" ht="12.5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 spans="1:33" ht="12.5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 spans="1:33" ht="12.5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 spans="1:33" ht="12.5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 spans="1:33" ht="12.5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 spans="1:33" ht="12.5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 spans="1:33" ht="12.5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 spans="1:33" ht="12.5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 spans="1:33" ht="12.5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 spans="1:33" ht="12.5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 spans="1:33" ht="12.5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 spans="1:33" ht="12.5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 spans="1:33" ht="12.5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 spans="1:33" ht="12.5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 spans="1:33" ht="12.5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 spans="1:33" ht="12.5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 spans="1:33" ht="12.5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 spans="1:33" ht="12.5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 spans="1:33" ht="12.5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 spans="1:33" ht="12.5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 spans="1:33" ht="12.5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 spans="1:33" ht="12.5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 spans="1:33" ht="12.5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 spans="1:33" ht="12.5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 spans="1:33" ht="12.5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 spans="1:33" ht="12.5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 spans="1:33" ht="12.5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 spans="1:33" ht="12.5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 spans="1:33" ht="12.5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 spans="1:33" ht="12.5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 spans="1:33" ht="12.5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 spans="1:33" ht="12.5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 spans="1:33" ht="12.5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 spans="1:33" ht="12.5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 spans="1:33" ht="12.5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 spans="1:33" ht="12.5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 spans="1:33" ht="12.5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 spans="1:33" ht="12.5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 spans="1:33" ht="12.5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 spans="1:33" ht="12.5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 spans="1:33" ht="12.5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 spans="1:33" ht="12.5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 spans="1:33" ht="12.5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 spans="1:33" ht="12.5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 spans="1:33" ht="12.5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 spans="1:33" ht="12.5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 spans="1:33" ht="12.5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 spans="1:33" ht="12.5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 spans="1:33" ht="12.5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 spans="1:33" ht="12.5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 spans="1:33" ht="12.5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 spans="1:33" ht="12.5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 spans="1:33" ht="12.5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 spans="1:33" ht="12.5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 spans="1:33" ht="12.5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 spans="1:33" ht="12.5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 spans="1:33" ht="12.5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 spans="1:33" ht="12.5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 spans="1:33" ht="12.5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 spans="1:33" ht="12.5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 spans="1:33" ht="12.5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 spans="1:33" ht="12.5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 spans="1:33" ht="12.5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 spans="1:33" ht="12.5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 spans="1:33" ht="12.5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 spans="1:33" ht="12.5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 spans="1:33" ht="12.5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 spans="1:33" ht="12.5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 spans="1:33" ht="12.5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 spans="1:33" ht="12.5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 spans="1:33" ht="12.5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 spans="1:33" ht="12.5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 spans="1:33" ht="12.5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 spans="1:33" ht="12.5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 spans="1:33" ht="12.5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 spans="1:33" ht="12.5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 spans="1:33" ht="12.5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 spans="1:33" ht="12.5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 spans="1:33" ht="12.5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 spans="1:33" ht="12.5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 spans="1:33" ht="12.5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 spans="1:33" ht="12.5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 spans="1:33" ht="12.5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 spans="1:33" ht="12.5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 spans="1:33" ht="12.5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 spans="1:33" ht="12.5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 spans="1:33" ht="12.5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 spans="1:33" ht="12.5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 spans="1:33" ht="12.5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 spans="1:33" ht="12.5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 spans="1:33" ht="12.5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 spans="1:33" ht="12.5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 spans="1:33" ht="12.5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 spans="1:33" ht="12.5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 spans="1:33" ht="12.5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 spans="1:33" ht="12.5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 spans="1:33" ht="12.5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 spans="1:33" ht="12.5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 spans="1:33" ht="12.5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 spans="1:33" ht="12.5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 spans="1:33" ht="12.5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 spans="1:33" ht="12.5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 spans="1:33" ht="12.5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 spans="1:33" ht="12.5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 spans="1:33" ht="12.5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 spans="1:33" ht="12.5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 spans="1:33" ht="12.5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 spans="1:33" ht="12.5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 spans="1:33" ht="12.5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 spans="1:33" ht="12.5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 spans="1:33" ht="12.5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 spans="1:33" ht="12.5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 spans="1:33" ht="12.5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 spans="1:33" ht="12.5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 spans="1:33" ht="12.5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 spans="1:33" ht="12.5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 spans="1:33" ht="12.5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 spans="1:33" ht="12.5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 spans="1:33" ht="12.5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 spans="1:33" ht="12.5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 spans="1:33" ht="12.5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 spans="1:33" ht="12.5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 spans="1:33" ht="12.5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 spans="1:33" ht="12.5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 spans="1:33" ht="12.5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 spans="1:33" ht="12.5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 spans="1:33" ht="12.5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 spans="1:33" ht="12.5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 spans="1:33" ht="12.5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 spans="1:33" ht="12.5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 spans="1:33" ht="12.5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 spans="1:33" ht="12.5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 spans="1:33" ht="12.5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 spans="1:33" ht="12.5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 spans="1:33" ht="12.5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 spans="1:33" ht="12.5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 spans="1:33" ht="12.5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 spans="1:33" ht="12.5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 spans="1:33" ht="12.5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 spans="1:33" ht="12.5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 spans="1:33" ht="12.5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 spans="1:33" ht="12.5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 spans="1:33" ht="12.5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 spans="1:33" ht="12.5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 spans="1:33" ht="12.5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 spans="1:33" ht="12.5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 spans="1:33" ht="12.5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 spans="1:33" ht="12.5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 spans="1:33" ht="12.5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 spans="1:33" ht="12.5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 spans="1:33" ht="12.5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 spans="1:33" ht="12.5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 spans="1:33" ht="12.5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 spans="1:33" ht="12.5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 spans="1:33" ht="12.5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 spans="1:33" ht="12.5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 spans="1:33" ht="12.5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 spans="1:33" ht="12.5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 spans="1:33" ht="12.5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 spans="1:33" ht="12.5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 spans="1:33" ht="12.5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 spans="1:33" ht="12.5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 spans="1:33" ht="12.5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 spans="1:33" ht="12.5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 spans="1:33" ht="12.5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 spans="1:33" ht="12.5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 spans="1:33" ht="12.5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 spans="1:33" ht="12.5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 spans="1:33" ht="12.5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 spans="1:33" ht="12.5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 spans="1:33" ht="12.5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 spans="1:33" ht="12.5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 spans="1:33" ht="12.5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 spans="1:33" ht="12.5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 spans="1:33" ht="12.5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 spans="1:33" ht="12.5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 spans="1:33" ht="12.5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 spans="1:33" ht="12.5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 spans="1:33" ht="12.5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 spans="1:33" ht="12.5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 spans="1:33" ht="12.5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 spans="1:33" ht="12.5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 spans="1:33" ht="12.5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 spans="1:33" ht="12.5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 spans="1:33" ht="12.5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 spans="1:33" ht="12.5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 spans="1:33" ht="12.5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 spans="1:33" ht="12.5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 spans="1:33" ht="12.5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 spans="1:33" ht="12.5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 spans="1:33" ht="12.5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 spans="1:33" ht="12.5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 spans="1:33" ht="12.5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 spans="1:33" ht="12.5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 spans="1:33" ht="12.5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 spans="1:33" ht="12.5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 spans="1:33" ht="12.5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 spans="1:33" ht="12.5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 spans="1:33" ht="12.5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 spans="1:33" ht="12.5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 spans="1:33" ht="12.5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 spans="1:33" ht="12.5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 spans="1:33" ht="12.5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 spans="1:33" ht="12.5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 spans="1:33" ht="12.5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 spans="1:33" ht="12.5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 spans="1:33" ht="12.5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 spans="1:33" ht="12.5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 spans="1:33" ht="12.5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 spans="1:33" ht="12.5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 spans="1:33" ht="12.5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 spans="1:33" ht="12.5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 spans="1:33" ht="12.5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 spans="1:33" ht="12.5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 spans="1:33" ht="12.5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 spans="1:33" ht="12.5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 spans="1:33" ht="12.5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 spans="1:33" ht="12.5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 spans="1:33" ht="12.5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 spans="1:33" ht="12.5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 spans="1:33" ht="12.5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 spans="1:33" ht="12.5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 spans="1:33" ht="12.5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 spans="1:33" ht="12.5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 spans="1:33" ht="12.5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 spans="1:33" ht="12.5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 spans="1:33" ht="12.5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 spans="1:33" ht="12.5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 spans="1:33" ht="12.5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 spans="1:33" ht="12.5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 spans="1:33" ht="12.5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 spans="1:33" ht="12.5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 spans="1:33" ht="12.5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 spans="1:33" ht="12.5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 spans="1:33" ht="12.5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 spans="1:33" ht="12.5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 spans="1:33" ht="12.5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 spans="1:33" ht="12.5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 spans="1:33" ht="12.5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 spans="1:33" ht="12.5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 spans="1:33" ht="12.5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 spans="1:33" ht="12.5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 spans="1:33" ht="12.5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 spans="1:33" ht="12.5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 spans="1:33" ht="12.5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 spans="1:33" ht="12.5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 spans="1:33" ht="12.5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 spans="1:33" ht="12.5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 spans="1:33" ht="12.5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 spans="1:33" ht="12.5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 spans="1:33" ht="12.5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 spans="1:33" ht="12.5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 spans="1:33" ht="12.5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 spans="1:33" ht="12.5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 spans="1:33" ht="12.5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 spans="1:33" ht="12.5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 spans="1:33" ht="12.5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 spans="1:33" ht="12.5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 spans="1:33" ht="12.5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 spans="1:33" ht="12.5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 spans="1:33" ht="12.5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 spans="1:33" ht="12.5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 spans="1:33" ht="12.5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 spans="1:33" ht="12.5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 spans="1:33" ht="12.5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 spans="1:33" ht="12.5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 spans="1:33" ht="12.5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 spans="1:33" ht="12.5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 spans="1:33" ht="12.5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 spans="1:33" ht="12.5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 spans="1:33" ht="12.5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 spans="1:33" ht="12.5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 spans="1:33" ht="12.5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 spans="1:33" ht="12.5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 spans="1:33" ht="12.5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 spans="1:33" ht="12.5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 spans="1:33" ht="12.5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 spans="1:33" ht="12.5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 spans="1:33" ht="12.5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 spans="1:33" ht="12.5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 spans="1:33" ht="12.5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 spans="1:33" ht="12.5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 spans="1:33" ht="12.5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 spans="1:33" ht="12.5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 spans="1:33" ht="12.5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 spans="1:33" ht="12.5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 spans="1:33" ht="12.5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 spans="1:33" ht="12.5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 spans="1:33" ht="12.5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 spans="1:33" ht="12.5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 spans="1:33" ht="12.5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D1000"/>
  <sheetViews>
    <sheetView workbookViewId="0"/>
  </sheetViews>
  <sheetFormatPr defaultColWidth="12.6328125" defaultRowHeight="15.75" customHeight="1" x14ac:dyDescent="0.25"/>
  <sheetData>
    <row r="1" spans="1:4" x14ac:dyDescent="0.3">
      <c r="A1" s="36" t="str">
        <f ca="1">IFERROR(__xludf.DUMMYFUNCTION("IMPORTRANGE(""https://docs.google.com/spreadsheets/d/1ZF-QDGfmo_fBzzZWWfaYOCy9-vh0mMaR1tyOWyJgUt4/edit?gid=893872081#gid=893872081"",""3rdSFP!A1:D1000"")"),"Devices")</f>
        <v>Devices</v>
      </c>
      <c r="B1" s="38" t="str">
        <f ca="1">IFERROR(__xludf.DUMMYFUNCTION("""COMPUTED_VALUE"""),"List Price")</f>
        <v>List Price</v>
      </c>
      <c r="C1" s="38" t="str">
        <f ca="1">IFERROR(__xludf.DUMMYFUNCTION("""COMPUTED_VALUE"""),"Giá AM nhập")</f>
        <v>Giá AM nhập</v>
      </c>
      <c r="D1" s="38" t="str">
        <f ca="1">IFERROR(__xludf.DUMMYFUNCTION("""COMPUTED_VALUE"""),"Final Price")</f>
        <v>Final Price</v>
      </c>
    </row>
    <row r="2" spans="1:4" ht="15.75" customHeight="1" x14ac:dyDescent="0.25">
      <c r="A2" s="33" t="str">
        <f ca="1">IFERROR(__xludf.DUMMYFUNCTION("""COMPUTED_VALUE"""),"Ficer-1G-0.5km")</f>
        <v>Ficer-1G-0.5km</v>
      </c>
      <c r="B2" s="37">
        <f ca="1">IFERROR(__xludf.DUMMYFUNCTION("""COMPUTED_VALUE"""),8)</f>
        <v>8</v>
      </c>
      <c r="C2" s="33"/>
      <c r="D2" s="37">
        <f ca="1">IFERROR(__xludf.DUMMYFUNCTION("""COMPUTED_VALUE"""),8)</f>
        <v>8</v>
      </c>
    </row>
    <row r="3" spans="1:4" ht="15.75" customHeight="1" x14ac:dyDescent="0.25">
      <c r="A3" s="33" t="str">
        <f ca="1">IFERROR(__xludf.DUMMYFUNCTION("""COMPUTED_VALUE"""),"Ficer-1G-10km")</f>
        <v>Ficer-1G-10km</v>
      </c>
      <c r="B3" s="37">
        <f ca="1">IFERROR(__xludf.DUMMYFUNCTION("""COMPUTED_VALUE"""),9)</f>
        <v>9</v>
      </c>
      <c r="C3" s="33"/>
      <c r="D3" s="37">
        <f ca="1">IFERROR(__xludf.DUMMYFUNCTION("""COMPUTED_VALUE"""),9)</f>
        <v>9</v>
      </c>
    </row>
    <row r="4" spans="1:4" ht="15.75" customHeight="1" x14ac:dyDescent="0.25">
      <c r="A4" s="33" t="str">
        <f ca="1">IFERROR(__xludf.DUMMYFUNCTION("""COMPUTED_VALUE"""),"Ficer-1G-40km")</f>
        <v>Ficer-1G-40km</v>
      </c>
      <c r="B4" s="37">
        <f ca="1">IFERROR(__xludf.DUMMYFUNCTION("""COMPUTED_VALUE"""),21)</f>
        <v>21</v>
      </c>
      <c r="C4" s="33"/>
      <c r="D4" s="37">
        <f ca="1">IFERROR(__xludf.DUMMYFUNCTION("""COMPUTED_VALUE"""),21)</f>
        <v>21</v>
      </c>
    </row>
    <row r="5" spans="1:4" ht="15.75" customHeight="1" x14ac:dyDescent="0.25">
      <c r="A5" s="33" t="str">
        <f ca="1">IFERROR(__xludf.DUMMYFUNCTION("""COMPUTED_VALUE"""),"Ficer-1G-80km")</f>
        <v>Ficer-1G-80km</v>
      </c>
      <c r="B5" s="37">
        <f ca="1">IFERROR(__xludf.DUMMYFUNCTION("""COMPUTED_VALUE"""),35)</f>
        <v>35</v>
      </c>
      <c r="C5" s="33"/>
      <c r="D5" s="37">
        <f ca="1">IFERROR(__xludf.DUMMYFUNCTION("""COMPUTED_VALUE"""),35)</f>
        <v>35</v>
      </c>
    </row>
    <row r="6" spans="1:4" ht="15.75" customHeight="1" x14ac:dyDescent="0.25">
      <c r="A6" s="33" t="str">
        <f ca="1">IFERROR(__xludf.DUMMYFUNCTION("""COMPUTED_VALUE"""),"Ficer-10G-0.5km")</f>
        <v>Ficer-10G-0.5km</v>
      </c>
      <c r="B6" s="37">
        <f ca="1">IFERROR(__xludf.DUMMYFUNCTION("""COMPUTED_VALUE"""),12.5)</f>
        <v>12.5</v>
      </c>
      <c r="C6" s="33"/>
      <c r="D6" s="37">
        <f ca="1">IFERROR(__xludf.DUMMYFUNCTION("""COMPUTED_VALUE"""),12.5)</f>
        <v>12.5</v>
      </c>
    </row>
    <row r="7" spans="1:4" ht="15.75" customHeight="1" x14ac:dyDescent="0.25">
      <c r="A7" s="33" t="str">
        <f ca="1">IFERROR(__xludf.DUMMYFUNCTION("""COMPUTED_VALUE"""),"Ficer-10G-10km")</f>
        <v>Ficer-10G-10km</v>
      </c>
      <c r="B7" s="37">
        <f ca="1">IFERROR(__xludf.DUMMYFUNCTION("""COMPUTED_VALUE"""),32)</f>
        <v>32</v>
      </c>
      <c r="C7" s="33"/>
      <c r="D7" s="37">
        <f ca="1">IFERROR(__xludf.DUMMYFUNCTION("""COMPUTED_VALUE"""),32)</f>
        <v>32</v>
      </c>
    </row>
    <row r="8" spans="1:4" ht="15.75" customHeight="1" x14ac:dyDescent="0.25">
      <c r="A8" s="33" t="str">
        <f ca="1">IFERROR(__xludf.DUMMYFUNCTION("""COMPUTED_VALUE"""),"Ficer-10G-40km")</f>
        <v>Ficer-10G-40km</v>
      </c>
      <c r="B8" s="37">
        <f ca="1">IFERROR(__xludf.DUMMYFUNCTION("""COMPUTED_VALUE"""),150)</f>
        <v>150</v>
      </c>
      <c r="C8" s="33"/>
      <c r="D8" s="37">
        <f ca="1">IFERROR(__xludf.DUMMYFUNCTION("""COMPUTED_VALUE"""),150)</f>
        <v>150</v>
      </c>
    </row>
    <row r="9" spans="1:4" ht="15.75" customHeight="1" x14ac:dyDescent="0.25">
      <c r="A9" s="33" t="str">
        <f ca="1">IFERROR(__xludf.DUMMYFUNCTION("""COMPUTED_VALUE"""),"Ficer-10G-80km")</f>
        <v>Ficer-10G-80km</v>
      </c>
      <c r="B9" s="37">
        <f ca="1">IFERROR(__xludf.DUMMYFUNCTION("""COMPUTED_VALUE"""),290)</f>
        <v>290</v>
      </c>
      <c r="C9" s="33"/>
      <c r="D9" s="37">
        <f ca="1">IFERROR(__xludf.DUMMYFUNCTION("""COMPUTED_VALUE"""),290)</f>
        <v>290</v>
      </c>
    </row>
    <row r="10" spans="1:4" ht="15.75" customHeight="1" x14ac:dyDescent="0.25">
      <c r="A10" s="33" t="str">
        <f ca="1">IFERROR(__xludf.DUMMYFUNCTION("""COMPUTED_VALUE"""),"Ficer-100G-10km")</f>
        <v>Ficer-100G-10km</v>
      </c>
      <c r="B10" s="33"/>
      <c r="C10" s="37">
        <f ca="1">IFERROR(__xludf.DUMMYFUNCTION("""COMPUTED_VALUE"""),500)</f>
        <v>500</v>
      </c>
      <c r="D10" s="37">
        <f ca="1">IFERROR(__xludf.DUMMYFUNCTION("""COMPUTED_VALUE"""),500)</f>
        <v>500</v>
      </c>
    </row>
    <row r="11" spans="1:4" ht="15.75" customHeight="1" x14ac:dyDescent="0.25">
      <c r="A11" s="33" t="str">
        <f ca="1">IFERROR(__xludf.DUMMYFUNCTION("""COMPUTED_VALUE"""),"Ficer-100G-40km")</f>
        <v>Ficer-100G-40km</v>
      </c>
      <c r="B11" s="33"/>
      <c r="C11" s="37">
        <f ca="1">IFERROR(__xludf.DUMMYFUNCTION("""COMPUTED_VALUE"""),800)</f>
        <v>800</v>
      </c>
      <c r="D11" s="37">
        <f ca="1">IFERROR(__xludf.DUMMYFUNCTION("""COMPUTED_VALUE"""),800)</f>
        <v>800</v>
      </c>
    </row>
    <row r="12" spans="1:4" ht="15.75" customHeight="1" x14ac:dyDescent="0.25">
      <c r="A12" s="33" t="str">
        <f ca="1">IFERROR(__xludf.DUMMYFUNCTION("""COMPUTED_VALUE"""),"Ficer-100G-80km")</f>
        <v>Ficer-100G-80km</v>
      </c>
      <c r="B12" s="33"/>
      <c r="C12" s="37">
        <f ca="1">IFERROR(__xludf.DUMMYFUNCTION("""COMPUTED_VALUE"""),1000)</f>
        <v>1000</v>
      </c>
      <c r="D12" s="37">
        <f ca="1">IFERROR(__xludf.DUMMYFUNCTION("""COMPUTED_VALUE"""),1000)</f>
        <v>1000</v>
      </c>
    </row>
    <row r="13" spans="1:4" ht="15.75" customHeight="1" x14ac:dyDescent="0.25">
      <c r="A13" s="33"/>
      <c r="B13" s="33"/>
      <c r="C13" s="33"/>
      <c r="D13" s="33"/>
    </row>
    <row r="14" spans="1:4" ht="15.75" customHeight="1" x14ac:dyDescent="0.25">
      <c r="A14" s="33"/>
      <c r="B14" s="33"/>
      <c r="C14" s="33"/>
      <c r="D14" s="33"/>
    </row>
    <row r="15" spans="1:4" ht="15.75" customHeight="1" x14ac:dyDescent="0.25">
      <c r="A15" s="33"/>
      <c r="B15" s="33"/>
      <c r="C15" s="33"/>
      <c r="D15" s="33"/>
    </row>
    <row r="16" spans="1:4" ht="15.75" customHeight="1" x14ac:dyDescent="0.25">
      <c r="A16" s="33"/>
      <c r="B16" s="33"/>
      <c r="C16" s="33"/>
      <c r="D16" s="33"/>
    </row>
    <row r="17" spans="1:4" ht="15.75" customHeight="1" x14ac:dyDescent="0.25">
      <c r="A17" s="33"/>
      <c r="B17" s="33"/>
      <c r="C17" s="33"/>
      <c r="D17" s="33"/>
    </row>
    <row r="18" spans="1:4" ht="15.75" customHeight="1" x14ac:dyDescent="0.25">
      <c r="A18" s="33"/>
      <c r="B18" s="33"/>
      <c r="C18" s="33"/>
      <c r="D18" s="33"/>
    </row>
    <row r="19" spans="1:4" ht="15.75" customHeight="1" x14ac:dyDescent="0.25">
      <c r="A19" s="33"/>
      <c r="B19" s="33"/>
      <c r="C19" s="33"/>
      <c r="D19" s="33"/>
    </row>
    <row r="20" spans="1:4" ht="12.5" x14ac:dyDescent="0.25">
      <c r="A20" s="33"/>
      <c r="B20" s="33"/>
      <c r="C20" s="33"/>
      <c r="D20" s="33"/>
    </row>
    <row r="21" spans="1:4" ht="12.5" x14ac:dyDescent="0.25">
      <c r="A21" s="33"/>
      <c r="B21" s="33"/>
      <c r="C21" s="33"/>
      <c r="D21" s="33"/>
    </row>
    <row r="22" spans="1:4" ht="12.5" x14ac:dyDescent="0.25">
      <c r="A22" s="33"/>
      <c r="B22" s="33"/>
      <c r="C22" s="33"/>
      <c r="D22" s="33"/>
    </row>
    <row r="23" spans="1:4" ht="12.5" x14ac:dyDescent="0.25">
      <c r="A23" s="33"/>
      <c r="B23" s="33"/>
      <c r="C23" s="33"/>
      <c r="D23" s="33"/>
    </row>
    <row r="24" spans="1:4" ht="12.5" x14ac:dyDescent="0.25">
      <c r="A24" s="33"/>
      <c r="B24" s="33"/>
      <c r="C24" s="33"/>
      <c r="D24" s="33"/>
    </row>
    <row r="25" spans="1:4" ht="12.5" x14ac:dyDescent="0.25">
      <c r="A25" s="33"/>
      <c r="B25" s="33"/>
      <c r="C25" s="33"/>
      <c r="D25" s="33"/>
    </row>
    <row r="26" spans="1:4" ht="12.5" x14ac:dyDescent="0.25">
      <c r="A26" s="33"/>
      <c r="B26" s="33"/>
      <c r="C26" s="33"/>
      <c r="D26" s="33"/>
    </row>
    <row r="27" spans="1:4" ht="12.5" x14ac:dyDescent="0.25">
      <c r="A27" s="33"/>
      <c r="B27" s="33"/>
      <c r="C27" s="33"/>
      <c r="D27" s="33"/>
    </row>
    <row r="28" spans="1:4" ht="12.5" x14ac:dyDescent="0.25">
      <c r="A28" s="33"/>
      <c r="B28" s="33"/>
      <c r="C28" s="33"/>
      <c r="D28" s="33"/>
    </row>
    <row r="29" spans="1:4" ht="12.5" x14ac:dyDescent="0.25">
      <c r="A29" s="33"/>
      <c r="B29" s="33"/>
      <c r="C29" s="33"/>
      <c r="D29" s="33"/>
    </row>
    <row r="30" spans="1:4" ht="12.5" x14ac:dyDescent="0.25">
      <c r="A30" s="33"/>
      <c r="B30" s="33"/>
      <c r="C30" s="33"/>
      <c r="D30" s="33"/>
    </row>
    <row r="31" spans="1:4" ht="12.5" x14ac:dyDescent="0.25">
      <c r="A31" s="33"/>
      <c r="B31" s="33"/>
      <c r="C31" s="33"/>
      <c r="D31" s="33"/>
    </row>
    <row r="32" spans="1:4" ht="12.5" x14ac:dyDescent="0.25">
      <c r="A32" s="33"/>
      <c r="B32" s="33"/>
      <c r="C32" s="33"/>
      <c r="D32" s="33"/>
    </row>
    <row r="33" spans="1:4" ht="12.5" x14ac:dyDescent="0.25">
      <c r="A33" s="33"/>
      <c r="B33" s="33"/>
      <c r="C33" s="33"/>
      <c r="D33" s="33"/>
    </row>
    <row r="34" spans="1:4" ht="12.5" x14ac:dyDescent="0.25">
      <c r="A34" s="33"/>
      <c r="B34" s="33"/>
      <c r="C34" s="33"/>
      <c r="D34" s="33"/>
    </row>
    <row r="35" spans="1:4" ht="12.5" x14ac:dyDescent="0.25">
      <c r="A35" s="33"/>
      <c r="B35" s="33"/>
      <c r="C35" s="33"/>
      <c r="D35" s="33"/>
    </row>
    <row r="36" spans="1:4" ht="12.5" x14ac:dyDescent="0.25">
      <c r="A36" s="33"/>
      <c r="B36" s="33"/>
      <c r="C36" s="33"/>
      <c r="D36" s="33"/>
    </row>
    <row r="37" spans="1:4" ht="12.5" x14ac:dyDescent="0.25">
      <c r="A37" s="33"/>
      <c r="B37" s="33"/>
      <c r="C37" s="33"/>
      <c r="D37" s="33"/>
    </row>
    <row r="38" spans="1:4" ht="12.5" x14ac:dyDescent="0.25">
      <c r="A38" s="33"/>
      <c r="B38" s="33"/>
      <c r="C38" s="33"/>
      <c r="D38" s="33"/>
    </row>
    <row r="39" spans="1:4" ht="12.5" x14ac:dyDescent="0.25">
      <c r="A39" s="33"/>
      <c r="B39" s="33"/>
      <c r="C39" s="33"/>
      <c r="D39" s="33"/>
    </row>
    <row r="40" spans="1:4" ht="12.5" x14ac:dyDescent="0.25">
      <c r="A40" s="33"/>
      <c r="B40" s="33"/>
      <c r="C40" s="33"/>
      <c r="D40" s="33"/>
    </row>
    <row r="41" spans="1:4" ht="12.5" x14ac:dyDescent="0.25">
      <c r="A41" s="33"/>
      <c r="B41" s="33"/>
      <c r="C41" s="33"/>
      <c r="D41" s="33"/>
    </row>
    <row r="42" spans="1:4" ht="12.5" x14ac:dyDescent="0.25">
      <c r="A42" s="33"/>
      <c r="B42" s="33"/>
      <c r="C42" s="33"/>
      <c r="D42" s="33"/>
    </row>
    <row r="43" spans="1:4" ht="12.5" x14ac:dyDescent="0.25">
      <c r="A43" s="33"/>
      <c r="B43" s="33"/>
      <c r="C43" s="33"/>
      <c r="D43" s="33"/>
    </row>
    <row r="44" spans="1:4" ht="12.5" x14ac:dyDescent="0.25">
      <c r="A44" s="33"/>
      <c r="B44" s="33"/>
      <c r="C44" s="33"/>
      <c r="D44" s="33"/>
    </row>
    <row r="45" spans="1:4" ht="12.5" x14ac:dyDescent="0.25">
      <c r="A45" s="33"/>
      <c r="B45" s="33"/>
      <c r="C45" s="33"/>
      <c r="D45" s="33"/>
    </row>
    <row r="46" spans="1:4" ht="12.5" x14ac:dyDescent="0.25">
      <c r="A46" s="33"/>
      <c r="B46" s="33"/>
      <c r="C46" s="33"/>
      <c r="D46" s="33"/>
    </row>
    <row r="47" spans="1:4" ht="12.5" x14ac:dyDescent="0.25">
      <c r="A47" s="33"/>
      <c r="B47" s="33"/>
      <c r="C47" s="33"/>
      <c r="D47" s="33"/>
    </row>
    <row r="48" spans="1:4" ht="12.5" x14ac:dyDescent="0.25">
      <c r="A48" s="33"/>
      <c r="B48" s="33"/>
      <c r="C48" s="33"/>
      <c r="D48" s="33"/>
    </row>
    <row r="49" spans="1:4" ht="12.5" x14ac:dyDescent="0.25">
      <c r="A49" s="33"/>
      <c r="B49" s="33"/>
      <c r="C49" s="33"/>
      <c r="D49" s="33"/>
    </row>
    <row r="50" spans="1:4" ht="12.5" x14ac:dyDescent="0.25">
      <c r="A50" s="33"/>
      <c r="B50" s="33"/>
      <c r="C50" s="33"/>
      <c r="D50" s="33"/>
    </row>
    <row r="51" spans="1:4" ht="12.5" x14ac:dyDescent="0.25">
      <c r="A51" s="33"/>
      <c r="B51" s="33"/>
      <c r="C51" s="33"/>
      <c r="D51" s="33"/>
    </row>
    <row r="52" spans="1:4" ht="12.5" x14ac:dyDescent="0.25">
      <c r="A52" s="33"/>
      <c r="B52" s="33"/>
      <c r="C52" s="33"/>
      <c r="D52" s="33"/>
    </row>
    <row r="53" spans="1:4" ht="12.5" x14ac:dyDescent="0.25">
      <c r="A53" s="33"/>
      <c r="B53" s="33"/>
      <c r="C53" s="33"/>
      <c r="D53" s="33"/>
    </row>
    <row r="54" spans="1:4" ht="12.5" x14ac:dyDescent="0.25">
      <c r="A54" s="33"/>
      <c r="B54" s="33"/>
      <c r="C54" s="33"/>
      <c r="D54" s="33"/>
    </row>
    <row r="55" spans="1:4" ht="12.5" x14ac:dyDescent="0.25">
      <c r="A55" s="33"/>
      <c r="B55" s="33"/>
      <c r="C55" s="33"/>
      <c r="D55" s="33"/>
    </row>
    <row r="56" spans="1:4" ht="12.5" x14ac:dyDescent="0.25">
      <c r="A56" s="33"/>
      <c r="B56" s="33"/>
      <c r="C56" s="33"/>
      <c r="D56" s="33"/>
    </row>
    <row r="57" spans="1:4" ht="12.5" x14ac:dyDescent="0.25">
      <c r="A57" s="33"/>
      <c r="B57" s="33"/>
      <c r="C57" s="33"/>
      <c r="D57" s="33"/>
    </row>
    <row r="58" spans="1:4" ht="12.5" x14ac:dyDescent="0.25">
      <c r="A58" s="33"/>
      <c r="B58" s="33"/>
      <c r="C58" s="33"/>
      <c r="D58" s="33"/>
    </row>
    <row r="59" spans="1:4" ht="12.5" x14ac:dyDescent="0.25">
      <c r="A59" s="33"/>
      <c r="B59" s="33"/>
      <c r="C59" s="33"/>
      <c r="D59" s="33"/>
    </row>
    <row r="60" spans="1:4" ht="12.5" x14ac:dyDescent="0.25">
      <c r="A60" s="33"/>
      <c r="B60" s="33"/>
      <c r="C60" s="33"/>
      <c r="D60" s="33"/>
    </row>
    <row r="61" spans="1:4" ht="12.5" x14ac:dyDescent="0.25">
      <c r="A61" s="33"/>
      <c r="B61" s="33"/>
      <c r="C61" s="33"/>
      <c r="D61" s="33"/>
    </row>
    <row r="62" spans="1:4" ht="12.5" x14ac:dyDescent="0.25">
      <c r="A62" s="33"/>
      <c r="B62" s="33"/>
      <c r="C62" s="33"/>
      <c r="D62" s="33"/>
    </row>
    <row r="63" spans="1:4" ht="12.5" x14ac:dyDescent="0.25">
      <c r="A63" s="33"/>
      <c r="B63" s="33"/>
      <c r="C63" s="33"/>
      <c r="D63" s="33"/>
    </row>
    <row r="64" spans="1:4" ht="12.5" x14ac:dyDescent="0.25">
      <c r="A64" s="33"/>
      <c r="B64" s="33"/>
      <c r="C64" s="33"/>
      <c r="D64" s="33"/>
    </row>
    <row r="65" spans="1:4" ht="12.5" x14ac:dyDescent="0.25">
      <c r="A65" s="33"/>
      <c r="B65" s="33"/>
      <c r="C65" s="33"/>
      <c r="D65" s="33"/>
    </row>
    <row r="66" spans="1:4" ht="12.5" x14ac:dyDescent="0.25">
      <c r="A66" s="33"/>
      <c r="B66" s="33"/>
      <c r="C66" s="33"/>
      <c r="D66" s="33"/>
    </row>
    <row r="67" spans="1:4" ht="12.5" x14ac:dyDescent="0.25">
      <c r="A67" s="33"/>
      <c r="B67" s="33"/>
      <c r="C67" s="33"/>
      <c r="D67" s="33"/>
    </row>
    <row r="68" spans="1:4" ht="12.5" x14ac:dyDescent="0.25">
      <c r="A68" s="33"/>
      <c r="B68" s="33"/>
      <c r="C68" s="33"/>
      <c r="D68" s="33"/>
    </row>
    <row r="69" spans="1:4" ht="12.5" x14ac:dyDescent="0.25">
      <c r="A69" s="33"/>
      <c r="B69" s="33"/>
      <c r="C69" s="33"/>
      <c r="D69" s="33"/>
    </row>
    <row r="70" spans="1:4" ht="12.5" x14ac:dyDescent="0.25">
      <c r="A70" s="33"/>
      <c r="B70" s="33"/>
      <c r="C70" s="33"/>
      <c r="D70" s="33"/>
    </row>
    <row r="71" spans="1:4" ht="12.5" x14ac:dyDescent="0.25">
      <c r="A71" s="33"/>
      <c r="B71" s="33"/>
      <c r="C71" s="33"/>
      <c r="D71" s="33"/>
    </row>
    <row r="72" spans="1:4" ht="12.5" x14ac:dyDescent="0.25">
      <c r="A72" s="33"/>
      <c r="B72" s="33"/>
      <c r="C72" s="33"/>
      <c r="D72" s="33"/>
    </row>
    <row r="73" spans="1:4" ht="12.5" x14ac:dyDescent="0.25">
      <c r="A73" s="33"/>
      <c r="B73" s="33"/>
      <c r="C73" s="33"/>
      <c r="D73" s="33"/>
    </row>
    <row r="74" spans="1:4" ht="12.5" x14ac:dyDescent="0.25">
      <c r="A74" s="33"/>
      <c r="B74" s="33"/>
      <c r="C74" s="33"/>
      <c r="D74" s="33"/>
    </row>
    <row r="75" spans="1:4" ht="12.5" x14ac:dyDescent="0.25">
      <c r="A75" s="33"/>
      <c r="B75" s="33"/>
      <c r="C75" s="33"/>
      <c r="D75" s="33"/>
    </row>
    <row r="76" spans="1:4" ht="12.5" x14ac:dyDescent="0.25">
      <c r="A76" s="33"/>
      <c r="B76" s="33"/>
      <c r="C76" s="33"/>
      <c r="D76" s="33"/>
    </row>
    <row r="77" spans="1:4" ht="12.5" x14ac:dyDescent="0.25">
      <c r="A77" s="33"/>
      <c r="B77" s="33"/>
      <c r="C77" s="33"/>
      <c r="D77" s="33"/>
    </row>
    <row r="78" spans="1:4" ht="12.5" x14ac:dyDescent="0.25">
      <c r="A78" s="33"/>
      <c r="B78" s="33"/>
      <c r="C78" s="33"/>
      <c r="D78" s="33"/>
    </row>
    <row r="79" spans="1:4" ht="12.5" x14ac:dyDescent="0.25">
      <c r="A79" s="33"/>
      <c r="B79" s="33"/>
      <c r="C79" s="33"/>
      <c r="D79" s="33"/>
    </row>
    <row r="80" spans="1:4" ht="12.5" x14ac:dyDescent="0.25">
      <c r="A80" s="33"/>
      <c r="B80" s="33"/>
      <c r="C80" s="33"/>
      <c r="D80" s="33"/>
    </row>
    <row r="81" spans="1:4" ht="12.5" x14ac:dyDescent="0.25">
      <c r="A81" s="33"/>
      <c r="B81" s="33"/>
      <c r="C81" s="33"/>
      <c r="D81" s="33"/>
    </row>
    <row r="82" spans="1:4" ht="12.5" x14ac:dyDescent="0.25">
      <c r="A82" s="33"/>
      <c r="B82" s="33"/>
      <c r="C82" s="33"/>
      <c r="D82" s="33"/>
    </row>
    <row r="83" spans="1:4" ht="12.5" x14ac:dyDescent="0.25">
      <c r="A83" s="33"/>
      <c r="B83" s="33"/>
      <c r="C83" s="33"/>
      <c r="D83" s="33"/>
    </row>
    <row r="84" spans="1:4" ht="12.5" x14ac:dyDescent="0.25">
      <c r="A84" s="33"/>
      <c r="B84" s="33"/>
      <c r="C84" s="33"/>
      <c r="D84" s="33"/>
    </row>
    <row r="85" spans="1:4" ht="12.5" x14ac:dyDescent="0.25">
      <c r="A85" s="33"/>
      <c r="B85" s="33"/>
      <c r="C85" s="33"/>
      <c r="D85" s="33"/>
    </row>
    <row r="86" spans="1:4" ht="12.5" x14ac:dyDescent="0.25">
      <c r="A86" s="33"/>
      <c r="B86" s="33"/>
      <c r="C86" s="33"/>
      <c r="D86" s="33"/>
    </row>
    <row r="87" spans="1:4" ht="12.5" x14ac:dyDescent="0.25">
      <c r="A87" s="33"/>
      <c r="B87" s="33"/>
      <c r="C87" s="33"/>
      <c r="D87" s="33"/>
    </row>
    <row r="88" spans="1:4" ht="12.5" x14ac:dyDescent="0.25">
      <c r="A88" s="33"/>
      <c r="B88" s="33"/>
      <c r="C88" s="33"/>
      <c r="D88" s="33"/>
    </row>
    <row r="89" spans="1:4" ht="12.5" x14ac:dyDescent="0.25">
      <c r="A89" s="33"/>
      <c r="B89" s="33"/>
      <c r="C89" s="33"/>
      <c r="D89" s="33"/>
    </row>
    <row r="90" spans="1:4" ht="12.5" x14ac:dyDescent="0.25">
      <c r="A90" s="33"/>
      <c r="B90" s="33"/>
      <c r="C90" s="33"/>
      <c r="D90" s="33"/>
    </row>
    <row r="91" spans="1:4" ht="12.5" x14ac:dyDescent="0.25">
      <c r="A91" s="33"/>
      <c r="B91" s="33"/>
      <c r="C91" s="33"/>
      <c r="D91" s="33"/>
    </row>
    <row r="92" spans="1:4" ht="12.5" x14ac:dyDescent="0.25">
      <c r="A92" s="33"/>
      <c r="B92" s="33"/>
      <c r="C92" s="33"/>
      <c r="D92" s="33"/>
    </row>
    <row r="93" spans="1:4" ht="12.5" x14ac:dyDescent="0.25">
      <c r="A93" s="33"/>
      <c r="B93" s="33"/>
      <c r="C93" s="33"/>
      <c r="D93" s="33"/>
    </row>
    <row r="94" spans="1:4" ht="12.5" x14ac:dyDescent="0.25">
      <c r="A94" s="33"/>
      <c r="B94" s="33"/>
      <c r="C94" s="33"/>
      <c r="D94" s="33"/>
    </row>
    <row r="95" spans="1:4" ht="12.5" x14ac:dyDescent="0.25">
      <c r="A95" s="33"/>
      <c r="B95" s="33"/>
      <c r="C95" s="33"/>
      <c r="D95" s="33"/>
    </row>
    <row r="96" spans="1:4" ht="12.5" x14ac:dyDescent="0.25">
      <c r="A96" s="33"/>
      <c r="B96" s="33"/>
      <c r="C96" s="33"/>
      <c r="D96" s="33"/>
    </row>
    <row r="97" spans="1:4" ht="12.5" x14ac:dyDescent="0.25">
      <c r="A97" s="33"/>
      <c r="B97" s="33"/>
      <c r="C97" s="33"/>
      <c r="D97" s="33"/>
    </row>
    <row r="98" spans="1:4" ht="12.5" x14ac:dyDescent="0.25">
      <c r="A98" s="33"/>
      <c r="B98" s="33"/>
      <c r="C98" s="33"/>
      <c r="D98" s="33"/>
    </row>
    <row r="99" spans="1:4" ht="12.5" x14ac:dyDescent="0.25">
      <c r="A99" s="33"/>
      <c r="B99" s="33"/>
      <c r="C99" s="33"/>
      <c r="D99" s="33"/>
    </row>
    <row r="100" spans="1:4" ht="12.5" x14ac:dyDescent="0.25">
      <c r="A100" s="33"/>
      <c r="B100" s="33"/>
      <c r="C100" s="33"/>
      <c r="D100" s="33"/>
    </row>
    <row r="101" spans="1:4" ht="12.5" x14ac:dyDescent="0.25">
      <c r="A101" s="33"/>
      <c r="B101" s="33"/>
      <c r="C101" s="33"/>
      <c r="D101" s="33"/>
    </row>
    <row r="102" spans="1:4" ht="12.5" x14ac:dyDescent="0.25">
      <c r="A102" s="33"/>
      <c r="B102" s="33"/>
      <c r="C102" s="33"/>
      <c r="D102" s="33"/>
    </row>
    <row r="103" spans="1:4" ht="12.5" x14ac:dyDescent="0.25">
      <c r="A103" s="33"/>
      <c r="B103" s="33"/>
      <c r="C103" s="33"/>
      <c r="D103" s="33"/>
    </row>
    <row r="104" spans="1:4" ht="12.5" x14ac:dyDescent="0.25">
      <c r="A104" s="33"/>
      <c r="B104" s="33"/>
      <c r="C104" s="33"/>
      <c r="D104" s="33"/>
    </row>
    <row r="105" spans="1:4" ht="12.5" x14ac:dyDescent="0.25">
      <c r="A105" s="33"/>
      <c r="B105" s="33"/>
      <c r="C105" s="33"/>
      <c r="D105" s="33"/>
    </row>
    <row r="106" spans="1:4" ht="12.5" x14ac:dyDescent="0.25">
      <c r="A106" s="33"/>
      <c r="B106" s="33"/>
      <c r="C106" s="33"/>
      <c r="D106" s="33"/>
    </row>
    <row r="107" spans="1:4" ht="12.5" x14ac:dyDescent="0.25">
      <c r="A107" s="33"/>
      <c r="B107" s="33"/>
      <c r="C107" s="33"/>
      <c r="D107" s="33"/>
    </row>
    <row r="108" spans="1:4" ht="12.5" x14ac:dyDescent="0.25">
      <c r="A108" s="33"/>
      <c r="B108" s="33"/>
      <c r="C108" s="33"/>
      <c r="D108" s="33"/>
    </row>
    <row r="109" spans="1:4" ht="12.5" x14ac:dyDescent="0.25">
      <c r="A109" s="33"/>
      <c r="B109" s="33"/>
      <c r="C109" s="33"/>
      <c r="D109" s="33"/>
    </row>
    <row r="110" spans="1:4" ht="12.5" x14ac:dyDescent="0.25">
      <c r="A110" s="33"/>
      <c r="B110" s="33"/>
      <c r="C110" s="33"/>
      <c r="D110" s="33"/>
    </row>
    <row r="111" spans="1:4" ht="12.5" x14ac:dyDescent="0.25">
      <c r="A111" s="33"/>
      <c r="B111" s="33"/>
      <c r="C111" s="33"/>
      <c r="D111" s="33"/>
    </row>
    <row r="112" spans="1:4" ht="12.5" x14ac:dyDescent="0.25">
      <c r="A112" s="33"/>
      <c r="B112" s="33"/>
      <c r="C112" s="33"/>
      <c r="D112" s="33"/>
    </row>
    <row r="113" spans="1:4" ht="12.5" x14ac:dyDescent="0.25">
      <c r="A113" s="33"/>
      <c r="B113" s="33"/>
      <c r="C113" s="33"/>
      <c r="D113" s="33"/>
    </row>
    <row r="114" spans="1:4" ht="12.5" x14ac:dyDescent="0.25">
      <c r="A114" s="33"/>
      <c r="B114" s="33"/>
      <c r="C114" s="33"/>
      <c r="D114" s="33"/>
    </row>
    <row r="115" spans="1:4" ht="12.5" x14ac:dyDescent="0.25">
      <c r="A115" s="33"/>
      <c r="B115" s="33"/>
      <c r="C115" s="33"/>
      <c r="D115" s="33"/>
    </row>
    <row r="116" spans="1:4" ht="12.5" x14ac:dyDescent="0.25">
      <c r="A116" s="33"/>
      <c r="B116" s="33"/>
      <c r="C116" s="33"/>
      <c r="D116" s="33"/>
    </row>
    <row r="117" spans="1:4" ht="12.5" x14ac:dyDescent="0.25">
      <c r="A117" s="33"/>
      <c r="B117" s="33"/>
      <c r="C117" s="33"/>
      <c r="D117" s="33"/>
    </row>
    <row r="118" spans="1:4" ht="12.5" x14ac:dyDescent="0.25">
      <c r="A118" s="33"/>
      <c r="B118" s="33"/>
      <c r="C118" s="33"/>
      <c r="D118" s="33"/>
    </row>
    <row r="119" spans="1:4" ht="12.5" x14ac:dyDescent="0.25">
      <c r="A119" s="33"/>
      <c r="B119" s="33"/>
      <c r="C119" s="33"/>
      <c r="D119" s="33"/>
    </row>
    <row r="120" spans="1:4" ht="12.5" x14ac:dyDescent="0.25">
      <c r="A120" s="33"/>
      <c r="B120" s="33"/>
      <c r="C120" s="33"/>
      <c r="D120" s="33"/>
    </row>
    <row r="121" spans="1:4" ht="12.5" x14ac:dyDescent="0.25">
      <c r="A121" s="33"/>
      <c r="B121" s="33"/>
      <c r="C121" s="33"/>
      <c r="D121" s="33"/>
    </row>
    <row r="122" spans="1:4" ht="12.5" x14ac:dyDescent="0.25">
      <c r="A122" s="33"/>
      <c r="B122" s="33"/>
      <c r="C122" s="33"/>
      <c r="D122" s="33"/>
    </row>
    <row r="123" spans="1:4" ht="12.5" x14ac:dyDescent="0.25">
      <c r="A123" s="33"/>
      <c r="B123" s="33"/>
      <c r="C123" s="33"/>
      <c r="D123" s="33"/>
    </row>
    <row r="124" spans="1:4" ht="12.5" x14ac:dyDescent="0.25">
      <c r="A124" s="33"/>
      <c r="B124" s="33"/>
      <c r="C124" s="33"/>
      <c r="D124" s="33"/>
    </row>
    <row r="125" spans="1:4" ht="12.5" x14ac:dyDescent="0.25">
      <c r="A125" s="33"/>
      <c r="B125" s="33"/>
      <c r="C125" s="33"/>
      <c r="D125" s="33"/>
    </row>
    <row r="126" spans="1:4" ht="12.5" x14ac:dyDescent="0.25">
      <c r="A126" s="33"/>
      <c r="B126" s="33"/>
      <c r="C126" s="33"/>
      <c r="D126" s="33"/>
    </row>
    <row r="127" spans="1:4" ht="12.5" x14ac:dyDescent="0.25">
      <c r="A127" s="33"/>
      <c r="B127" s="33"/>
      <c r="C127" s="33"/>
      <c r="D127" s="33"/>
    </row>
    <row r="128" spans="1:4" ht="12.5" x14ac:dyDescent="0.25">
      <c r="A128" s="33"/>
      <c r="B128" s="33"/>
      <c r="C128" s="33"/>
      <c r="D128" s="33"/>
    </row>
    <row r="129" spans="1:4" ht="12.5" x14ac:dyDescent="0.25">
      <c r="A129" s="33"/>
      <c r="B129" s="33"/>
      <c r="C129" s="33"/>
      <c r="D129" s="33"/>
    </row>
    <row r="130" spans="1:4" ht="12.5" x14ac:dyDescent="0.25">
      <c r="A130" s="33"/>
      <c r="B130" s="33"/>
      <c r="C130" s="33"/>
      <c r="D130" s="33"/>
    </row>
    <row r="131" spans="1:4" ht="12.5" x14ac:dyDescent="0.25">
      <c r="A131" s="33"/>
      <c r="B131" s="33"/>
      <c r="C131" s="33"/>
      <c r="D131" s="33"/>
    </row>
    <row r="132" spans="1:4" ht="12.5" x14ac:dyDescent="0.25">
      <c r="A132" s="33"/>
      <c r="B132" s="33"/>
      <c r="C132" s="33"/>
      <c r="D132" s="33"/>
    </row>
    <row r="133" spans="1:4" ht="12.5" x14ac:dyDescent="0.25">
      <c r="A133" s="33"/>
      <c r="B133" s="33"/>
      <c r="C133" s="33"/>
      <c r="D133" s="33"/>
    </row>
    <row r="134" spans="1:4" ht="12.5" x14ac:dyDescent="0.25">
      <c r="A134" s="33"/>
      <c r="B134" s="33"/>
      <c r="C134" s="33"/>
      <c r="D134" s="33"/>
    </row>
    <row r="135" spans="1:4" ht="12.5" x14ac:dyDescent="0.25">
      <c r="A135" s="33"/>
      <c r="B135" s="33"/>
      <c r="C135" s="33"/>
      <c r="D135" s="33"/>
    </row>
    <row r="136" spans="1:4" ht="12.5" x14ac:dyDescent="0.25">
      <c r="A136" s="33"/>
      <c r="B136" s="33"/>
      <c r="C136" s="33"/>
      <c r="D136" s="33"/>
    </row>
    <row r="137" spans="1:4" ht="12.5" x14ac:dyDescent="0.25">
      <c r="A137" s="33"/>
      <c r="B137" s="33"/>
      <c r="C137" s="33"/>
      <c r="D137" s="33"/>
    </row>
    <row r="138" spans="1:4" ht="12.5" x14ac:dyDescent="0.25">
      <c r="A138" s="33"/>
      <c r="B138" s="33"/>
      <c r="C138" s="33"/>
      <c r="D138" s="33"/>
    </row>
    <row r="139" spans="1:4" ht="12.5" x14ac:dyDescent="0.25">
      <c r="A139" s="33"/>
      <c r="B139" s="33"/>
      <c r="C139" s="33"/>
      <c r="D139" s="33"/>
    </row>
    <row r="140" spans="1:4" ht="12.5" x14ac:dyDescent="0.25">
      <c r="A140" s="33"/>
      <c r="B140" s="33"/>
      <c r="C140" s="33"/>
      <c r="D140" s="33"/>
    </row>
    <row r="141" spans="1:4" ht="12.5" x14ac:dyDescent="0.25">
      <c r="A141" s="33"/>
      <c r="B141" s="33"/>
      <c r="C141" s="33"/>
      <c r="D141" s="33"/>
    </row>
    <row r="142" spans="1:4" ht="12.5" x14ac:dyDescent="0.25">
      <c r="A142" s="33"/>
      <c r="B142" s="33"/>
      <c r="C142" s="33"/>
      <c r="D142" s="33"/>
    </row>
    <row r="143" spans="1:4" ht="12.5" x14ac:dyDescent="0.25">
      <c r="A143" s="33"/>
      <c r="B143" s="33"/>
      <c r="C143" s="33"/>
      <c r="D143" s="33"/>
    </row>
    <row r="144" spans="1:4" ht="12.5" x14ac:dyDescent="0.25">
      <c r="A144" s="33"/>
      <c r="B144" s="33"/>
      <c r="C144" s="33"/>
      <c r="D144" s="33"/>
    </row>
    <row r="145" spans="1:4" ht="12.5" x14ac:dyDescent="0.25">
      <c r="A145" s="33"/>
      <c r="B145" s="33"/>
      <c r="C145" s="33"/>
      <c r="D145" s="33"/>
    </row>
    <row r="146" spans="1:4" ht="12.5" x14ac:dyDescent="0.25">
      <c r="A146" s="33"/>
      <c r="B146" s="33"/>
      <c r="C146" s="33"/>
      <c r="D146" s="33"/>
    </row>
    <row r="147" spans="1:4" ht="12.5" x14ac:dyDescent="0.25">
      <c r="A147" s="33"/>
      <c r="B147" s="33"/>
      <c r="C147" s="33"/>
      <c r="D147" s="33"/>
    </row>
    <row r="148" spans="1:4" ht="12.5" x14ac:dyDescent="0.25">
      <c r="A148" s="33"/>
      <c r="B148" s="33"/>
      <c r="C148" s="33"/>
      <c r="D148" s="33"/>
    </row>
    <row r="149" spans="1:4" ht="12.5" x14ac:dyDescent="0.25">
      <c r="A149" s="33"/>
      <c r="B149" s="33"/>
      <c r="C149" s="33"/>
      <c r="D149" s="33"/>
    </row>
    <row r="150" spans="1:4" ht="12.5" x14ac:dyDescent="0.25">
      <c r="A150" s="33"/>
      <c r="B150" s="33"/>
      <c r="C150" s="33"/>
      <c r="D150" s="33"/>
    </row>
    <row r="151" spans="1:4" ht="12.5" x14ac:dyDescent="0.25">
      <c r="A151" s="33"/>
      <c r="B151" s="33"/>
      <c r="C151" s="33"/>
      <c r="D151" s="33"/>
    </row>
    <row r="152" spans="1:4" ht="12.5" x14ac:dyDescent="0.25">
      <c r="A152" s="33"/>
      <c r="B152" s="33"/>
      <c r="C152" s="33"/>
      <c r="D152" s="33"/>
    </row>
    <row r="153" spans="1:4" ht="12.5" x14ac:dyDescent="0.25">
      <c r="A153" s="33"/>
      <c r="B153" s="33"/>
      <c r="C153" s="33"/>
      <c r="D153" s="33"/>
    </row>
    <row r="154" spans="1:4" ht="12.5" x14ac:dyDescent="0.25">
      <c r="A154" s="33"/>
      <c r="B154" s="33"/>
      <c r="C154" s="33"/>
      <c r="D154" s="33"/>
    </row>
    <row r="155" spans="1:4" ht="12.5" x14ac:dyDescent="0.25">
      <c r="A155" s="33"/>
      <c r="B155" s="33"/>
      <c r="C155" s="33"/>
      <c r="D155" s="33"/>
    </row>
    <row r="156" spans="1:4" ht="12.5" x14ac:dyDescent="0.25">
      <c r="A156" s="33"/>
      <c r="B156" s="33"/>
      <c r="C156" s="33"/>
      <c r="D156" s="33"/>
    </row>
    <row r="157" spans="1:4" ht="12.5" x14ac:dyDescent="0.25">
      <c r="A157" s="33"/>
      <c r="B157" s="33"/>
      <c r="C157" s="33"/>
      <c r="D157" s="33"/>
    </row>
    <row r="158" spans="1:4" ht="12.5" x14ac:dyDescent="0.25">
      <c r="A158" s="33"/>
      <c r="B158" s="33"/>
      <c r="C158" s="33"/>
      <c r="D158" s="33"/>
    </row>
    <row r="159" spans="1:4" ht="12.5" x14ac:dyDescent="0.25">
      <c r="A159" s="33"/>
      <c r="B159" s="33"/>
      <c r="C159" s="33"/>
      <c r="D159" s="33"/>
    </row>
    <row r="160" spans="1:4" ht="12.5" x14ac:dyDescent="0.25">
      <c r="A160" s="33"/>
      <c r="B160" s="33"/>
      <c r="C160" s="33"/>
      <c r="D160" s="33"/>
    </row>
    <row r="161" spans="1:4" ht="12.5" x14ac:dyDescent="0.25">
      <c r="A161" s="33"/>
      <c r="B161" s="33"/>
      <c r="C161" s="33"/>
      <c r="D161" s="33"/>
    </row>
    <row r="162" spans="1:4" ht="12.5" x14ac:dyDescent="0.25">
      <c r="A162" s="33"/>
      <c r="B162" s="33"/>
      <c r="C162" s="33"/>
      <c r="D162" s="33"/>
    </row>
    <row r="163" spans="1:4" ht="12.5" x14ac:dyDescent="0.25">
      <c r="A163" s="33"/>
      <c r="B163" s="33"/>
      <c r="C163" s="33"/>
      <c r="D163" s="33"/>
    </row>
    <row r="164" spans="1:4" ht="12.5" x14ac:dyDescent="0.25">
      <c r="A164" s="33"/>
      <c r="B164" s="33"/>
      <c r="C164" s="33"/>
      <c r="D164" s="33"/>
    </row>
    <row r="165" spans="1:4" ht="12.5" x14ac:dyDescent="0.25">
      <c r="A165" s="33"/>
      <c r="B165" s="33"/>
      <c r="C165" s="33"/>
      <c r="D165" s="33"/>
    </row>
    <row r="166" spans="1:4" ht="12.5" x14ac:dyDescent="0.25">
      <c r="A166" s="33"/>
      <c r="B166" s="33"/>
      <c r="C166" s="33"/>
      <c r="D166" s="33"/>
    </row>
    <row r="167" spans="1:4" ht="12.5" x14ac:dyDescent="0.25">
      <c r="A167" s="33"/>
      <c r="B167" s="33"/>
      <c r="C167" s="33"/>
      <c r="D167" s="33"/>
    </row>
    <row r="168" spans="1:4" ht="12.5" x14ac:dyDescent="0.25">
      <c r="A168" s="33"/>
      <c r="B168" s="33"/>
      <c r="C168" s="33"/>
      <c r="D168" s="33"/>
    </row>
    <row r="169" spans="1:4" ht="12.5" x14ac:dyDescent="0.25">
      <c r="A169" s="33"/>
      <c r="B169" s="33"/>
      <c r="C169" s="33"/>
      <c r="D169" s="33"/>
    </row>
    <row r="170" spans="1:4" ht="12.5" x14ac:dyDescent="0.25">
      <c r="A170" s="33"/>
      <c r="B170" s="33"/>
      <c r="C170" s="33"/>
      <c r="D170" s="33"/>
    </row>
    <row r="171" spans="1:4" ht="12.5" x14ac:dyDescent="0.25">
      <c r="A171" s="33"/>
      <c r="B171" s="33"/>
      <c r="C171" s="33"/>
      <c r="D171" s="33"/>
    </row>
    <row r="172" spans="1:4" ht="12.5" x14ac:dyDescent="0.25">
      <c r="A172" s="33"/>
      <c r="B172" s="33"/>
      <c r="C172" s="33"/>
      <c r="D172" s="33"/>
    </row>
    <row r="173" spans="1:4" ht="12.5" x14ac:dyDescent="0.25">
      <c r="A173" s="33"/>
      <c r="B173" s="33"/>
      <c r="C173" s="33"/>
      <c r="D173" s="33"/>
    </row>
    <row r="174" spans="1:4" ht="12.5" x14ac:dyDescent="0.25">
      <c r="A174" s="33"/>
      <c r="B174" s="33"/>
      <c r="C174" s="33"/>
      <c r="D174" s="33"/>
    </row>
    <row r="175" spans="1:4" ht="12.5" x14ac:dyDescent="0.25">
      <c r="A175" s="33"/>
      <c r="B175" s="33"/>
      <c r="C175" s="33"/>
      <c r="D175" s="33"/>
    </row>
    <row r="176" spans="1:4" ht="12.5" x14ac:dyDescent="0.25">
      <c r="A176" s="33"/>
      <c r="B176" s="33"/>
      <c r="C176" s="33"/>
      <c r="D176" s="33"/>
    </row>
    <row r="177" spans="1:4" ht="12.5" x14ac:dyDescent="0.25">
      <c r="A177" s="33"/>
      <c r="B177" s="33"/>
      <c r="C177" s="33"/>
      <c r="D177" s="33"/>
    </row>
    <row r="178" spans="1:4" ht="12.5" x14ac:dyDescent="0.25">
      <c r="A178" s="33"/>
      <c r="B178" s="33"/>
      <c r="C178" s="33"/>
      <c r="D178" s="33"/>
    </row>
    <row r="179" spans="1:4" ht="12.5" x14ac:dyDescent="0.25">
      <c r="A179" s="33"/>
      <c r="B179" s="33"/>
      <c r="C179" s="33"/>
      <c r="D179" s="33"/>
    </row>
    <row r="180" spans="1:4" ht="12.5" x14ac:dyDescent="0.25">
      <c r="A180" s="33"/>
      <c r="B180" s="33"/>
      <c r="C180" s="33"/>
      <c r="D180" s="33"/>
    </row>
    <row r="181" spans="1:4" ht="12.5" x14ac:dyDescent="0.25">
      <c r="A181" s="33"/>
      <c r="B181" s="33"/>
      <c r="C181" s="33"/>
      <c r="D181" s="33"/>
    </row>
    <row r="182" spans="1:4" ht="12.5" x14ac:dyDescent="0.25">
      <c r="A182" s="33"/>
      <c r="B182" s="33"/>
      <c r="C182" s="33"/>
      <c r="D182" s="33"/>
    </row>
    <row r="183" spans="1:4" ht="12.5" x14ac:dyDescent="0.25">
      <c r="A183" s="33"/>
      <c r="B183" s="33"/>
      <c r="C183" s="33"/>
      <c r="D183" s="33"/>
    </row>
    <row r="184" spans="1:4" ht="12.5" x14ac:dyDescent="0.25">
      <c r="A184" s="33"/>
      <c r="B184" s="33"/>
      <c r="C184" s="33"/>
      <c r="D184" s="33"/>
    </row>
    <row r="185" spans="1:4" ht="12.5" x14ac:dyDescent="0.25">
      <c r="A185" s="33"/>
      <c r="B185" s="33"/>
      <c r="C185" s="33"/>
      <c r="D185" s="33"/>
    </row>
    <row r="186" spans="1:4" ht="12.5" x14ac:dyDescent="0.25">
      <c r="A186" s="33"/>
      <c r="B186" s="33"/>
      <c r="C186" s="33"/>
      <c r="D186" s="33"/>
    </row>
    <row r="187" spans="1:4" ht="12.5" x14ac:dyDescent="0.25">
      <c r="A187" s="33"/>
      <c r="B187" s="33"/>
      <c r="C187" s="33"/>
      <c r="D187" s="33"/>
    </row>
    <row r="188" spans="1:4" ht="12.5" x14ac:dyDescent="0.25">
      <c r="A188" s="33"/>
      <c r="B188" s="33"/>
      <c r="C188" s="33"/>
      <c r="D188" s="33"/>
    </row>
    <row r="189" spans="1:4" ht="12.5" x14ac:dyDescent="0.25">
      <c r="A189" s="33"/>
      <c r="B189" s="33"/>
      <c r="C189" s="33"/>
      <c r="D189" s="33"/>
    </row>
    <row r="190" spans="1:4" ht="12.5" x14ac:dyDescent="0.25">
      <c r="A190" s="33"/>
      <c r="B190" s="33"/>
      <c r="C190" s="33"/>
      <c r="D190" s="33"/>
    </row>
    <row r="191" spans="1:4" ht="12.5" x14ac:dyDescent="0.25">
      <c r="A191" s="33"/>
      <c r="B191" s="33"/>
      <c r="C191" s="33"/>
      <c r="D191" s="33"/>
    </row>
    <row r="192" spans="1:4" ht="12.5" x14ac:dyDescent="0.25">
      <c r="A192" s="33"/>
      <c r="B192" s="33"/>
      <c r="C192" s="33"/>
      <c r="D192" s="33"/>
    </row>
    <row r="193" spans="1:4" ht="12.5" x14ac:dyDescent="0.25">
      <c r="A193" s="33"/>
      <c r="B193" s="33"/>
      <c r="C193" s="33"/>
      <c r="D193" s="33"/>
    </row>
    <row r="194" spans="1:4" ht="12.5" x14ac:dyDescent="0.25">
      <c r="A194" s="33"/>
      <c r="B194" s="33"/>
      <c r="C194" s="33"/>
      <c r="D194" s="33"/>
    </row>
    <row r="195" spans="1:4" ht="12.5" x14ac:dyDescent="0.25">
      <c r="A195" s="33"/>
      <c r="B195" s="33"/>
      <c r="C195" s="33"/>
      <c r="D195" s="33"/>
    </row>
    <row r="196" spans="1:4" ht="12.5" x14ac:dyDescent="0.25">
      <c r="A196" s="33"/>
      <c r="B196" s="33"/>
      <c r="C196" s="33"/>
      <c r="D196" s="33"/>
    </row>
    <row r="197" spans="1:4" ht="12.5" x14ac:dyDescent="0.25">
      <c r="A197" s="33"/>
      <c r="B197" s="33"/>
      <c r="C197" s="33"/>
      <c r="D197" s="33"/>
    </row>
    <row r="198" spans="1:4" ht="12.5" x14ac:dyDescent="0.25">
      <c r="A198" s="33"/>
      <c r="B198" s="33"/>
      <c r="C198" s="33"/>
      <c r="D198" s="33"/>
    </row>
    <row r="199" spans="1:4" ht="12.5" x14ac:dyDescent="0.25">
      <c r="A199" s="33"/>
      <c r="B199" s="33"/>
      <c r="C199" s="33"/>
      <c r="D199" s="33"/>
    </row>
    <row r="200" spans="1:4" ht="12.5" x14ac:dyDescent="0.25">
      <c r="A200" s="33"/>
      <c r="B200" s="33"/>
      <c r="C200" s="33"/>
      <c r="D200" s="33"/>
    </row>
    <row r="201" spans="1:4" ht="12.5" x14ac:dyDescent="0.25">
      <c r="A201" s="33"/>
      <c r="B201" s="33"/>
      <c r="C201" s="33"/>
      <c r="D201" s="33"/>
    </row>
    <row r="202" spans="1:4" ht="12.5" x14ac:dyDescent="0.25">
      <c r="A202" s="33"/>
      <c r="B202" s="33"/>
      <c r="C202" s="33"/>
      <c r="D202" s="33"/>
    </row>
    <row r="203" spans="1:4" ht="12.5" x14ac:dyDescent="0.25">
      <c r="A203" s="33"/>
      <c r="B203" s="33"/>
      <c r="C203" s="33"/>
      <c r="D203" s="33"/>
    </row>
    <row r="204" spans="1:4" ht="12.5" x14ac:dyDescent="0.25">
      <c r="A204" s="33"/>
      <c r="B204" s="33"/>
      <c r="C204" s="33"/>
      <c r="D204" s="33"/>
    </row>
    <row r="205" spans="1:4" ht="12.5" x14ac:dyDescent="0.25">
      <c r="A205" s="33"/>
      <c r="B205" s="33"/>
      <c r="C205" s="33"/>
      <c r="D205" s="33"/>
    </row>
    <row r="206" spans="1:4" ht="12.5" x14ac:dyDescent="0.25">
      <c r="A206" s="33"/>
      <c r="B206" s="33"/>
      <c r="C206" s="33"/>
      <c r="D206" s="33"/>
    </row>
    <row r="207" spans="1:4" ht="12.5" x14ac:dyDescent="0.25">
      <c r="A207" s="33"/>
      <c r="B207" s="33"/>
      <c r="C207" s="33"/>
      <c r="D207" s="33"/>
    </row>
    <row r="208" spans="1:4" ht="12.5" x14ac:dyDescent="0.25">
      <c r="A208" s="33"/>
      <c r="B208" s="33"/>
      <c r="C208" s="33"/>
      <c r="D208" s="33"/>
    </row>
    <row r="209" spans="1:4" ht="12.5" x14ac:dyDescent="0.25">
      <c r="A209" s="33"/>
      <c r="B209" s="33"/>
      <c r="C209" s="33"/>
      <c r="D209" s="33"/>
    </row>
    <row r="210" spans="1:4" ht="12.5" x14ac:dyDescent="0.25">
      <c r="A210" s="33"/>
      <c r="B210" s="33"/>
      <c r="C210" s="33"/>
      <c r="D210" s="33"/>
    </row>
    <row r="211" spans="1:4" ht="12.5" x14ac:dyDescent="0.25">
      <c r="A211" s="33"/>
      <c r="B211" s="33"/>
      <c r="C211" s="33"/>
      <c r="D211" s="33"/>
    </row>
    <row r="212" spans="1:4" ht="12.5" x14ac:dyDescent="0.25">
      <c r="A212" s="33"/>
      <c r="B212" s="33"/>
      <c r="C212" s="33"/>
      <c r="D212" s="33"/>
    </row>
    <row r="213" spans="1:4" ht="12.5" x14ac:dyDescent="0.25">
      <c r="A213" s="33"/>
      <c r="B213" s="33"/>
      <c r="C213" s="33"/>
      <c r="D213" s="33"/>
    </row>
    <row r="214" spans="1:4" ht="12.5" x14ac:dyDescent="0.25">
      <c r="A214" s="33"/>
      <c r="B214" s="33"/>
      <c r="C214" s="33"/>
      <c r="D214" s="33"/>
    </row>
    <row r="215" spans="1:4" ht="12.5" x14ac:dyDescent="0.25">
      <c r="A215" s="33"/>
      <c r="B215" s="33"/>
      <c r="C215" s="33"/>
      <c r="D215" s="33"/>
    </row>
    <row r="216" spans="1:4" ht="12.5" x14ac:dyDescent="0.25">
      <c r="A216" s="33"/>
      <c r="B216" s="33"/>
      <c r="C216" s="33"/>
      <c r="D216" s="33"/>
    </row>
    <row r="217" spans="1:4" ht="12.5" x14ac:dyDescent="0.25">
      <c r="A217" s="33"/>
      <c r="B217" s="33"/>
      <c r="C217" s="33"/>
      <c r="D217" s="33"/>
    </row>
    <row r="218" spans="1:4" ht="12.5" x14ac:dyDescent="0.25">
      <c r="A218" s="33"/>
      <c r="B218" s="33"/>
      <c r="C218" s="33"/>
      <c r="D218" s="33"/>
    </row>
    <row r="219" spans="1:4" ht="12.5" x14ac:dyDescent="0.25">
      <c r="A219" s="33"/>
      <c r="B219" s="33"/>
      <c r="C219" s="33"/>
      <c r="D219" s="33"/>
    </row>
    <row r="220" spans="1:4" ht="12.5" x14ac:dyDescent="0.25">
      <c r="A220" s="33"/>
      <c r="B220" s="33"/>
      <c r="C220" s="33"/>
      <c r="D220" s="33"/>
    </row>
    <row r="221" spans="1:4" ht="12.5" x14ac:dyDescent="0.25">
      <c r="A221" s="33"/>
      <c r="B221" s="33"/>
      <c r="C221" s="33"/>
      <c r="D221" s="33"/>
    </row>
    <row r="222" spans="1:4" ht="12.5" x14ac:dyDescent="0.25">
      <c r="A222" s="33"/>
      <c r="B222" s="33"/>
      <c r="C222" s="33"/>
      <c r="D222" s="33"/>
    </row>
    <row r="223" spans="1:4" ht="12.5" x14ac:dyDescent="0.25">
      <c r="A223" s="33"/>
      <c r="B223" s="33"/>
      <c r="C223" s="33"/>
      <c r="D223" s="33"/>
    </row>
    <row r="224" spans="1:4" ht="12.5" x14ac:dyDescent="0.25">
      <c r="A224" s="33"/>
      <c r="B224" s="33"/>
      <c r="C224" s="33"/>
      <c r="D224" s="33"/>
    </row>
    <row r="225" spans="1:4" ht="12.5" x14ac:dyDescent="0.25">
      <c r="A225" s="33"/>
      <c r="B225" s="33"/>
      <c r="C225" s="33"/>
      <c r="D225" s="33"/>
    </row>
    <row r="226" spans="1:4" ht="12.5" x14ac:dyDescent="0.25">
      <c r="A226" s="33"/>
      <c r="B226" s="33"/>
      <c r="C226" s="33"/>
      <c r="D226" s="33"/>
    </row>
    <row r="227" spans="1:4" ht="12.5" x14ac:dyDescent="0.25">
      <c r="A227" s="33"/>
      <c r="B227" s="33"/>
      <c r="C227" s="33"/>
      <c r="D227" s="33"/>
    </row>
    <row r="228" spans="1:4" ht="12.5" x14ac:dyDescent="0.25">
      <c r="A228" s="33"/>
      <c r="B228" s="33"/>
      <c r="C228" s="33"/>
      <c r="D228" s="33"/>
    </row>
    <row r="229" spans="1:4" ht="12.5" x14ac:dyDescent="0.25">
      <c r="A229" s="33"/>
      <c r="B229" s="33"/>
      <c r="C229" s="33"/>
      <c r="D229" s="33"/>
    </row>
    <row r="230" spans="1:4" ht="12.5" x14ac:dyDescent="0.25">
      <c r="A230" s="33"/>
      <c r="B230" s="33"/>
      <c r="C230" s="33"/>
      <c r="D230" s="33"/>
    </row>
    <row r="231" spans="1:4" ht="12.5" x14ac:dyDescent="0.25">
      <c r="A231" s="33"/>
      <c r="B231" s="33"/>
      <c r="C231" s="33"/>
      <c r="D231" s="33"/>
    </row>
    <row r="232" spans="1:4" ht="12.5" x14ac:dyDescent="0.25">
      <c r="A232" s="33"/>
      <c r="B232" s="33"/>
      <c r="C232" s="33"/>
      <c r="D232" s="33"/>
    </row>
    <row r="233" spans="1:4" ht="12.5" x14ac:dyDescent="0.25">
      <c r="A233" s="33"/>
      <c r="B233" s="33"/>
      <c r="C233" s="33"/>
      <c r="D233" s="33"/>
    </row>
    <row r="234" spans="1:4" ht="12.5" x14ac:dyDescent="0.25">
      <c r="A234" s="33"/>
      <c r="B234" s="33"/>
      <c r="C234" s="33"/>
      <c r="D234" s="33"/>
    </row>
    <row r="235" spans="1:4" ht="12.5" x14ac:dyDescent="0.25">
      <c r="A235" s="33"/>
      <c r="B235" s="33"/>
      <c r="C235" s="33"/>
      <c r="D235" s="33"/>
    </row>
    <row r="236" spans="1:4" ht="12.5" x14ac:dyDescent="0.25">
      <c r="A236" s="33"/>
      <c r="B236" s="33"/>
      <c r="C236" s="33"/>
      <c r="D236" s="33"/>
    </row>
    <row r="237" spans="1:4" ht="12.5" x14ac:dyDescent="0.25">
      <c r="A237" s="33"/>
      <c r="B237" s="33"/>
      <c r="C237" s="33"/>
      <c r="D237" s="33"/>
    </row>
    <row r="238" spans="1:4" ht="12.5" x14ac:dyDescent="0.25">
      <c r="A238" s="33"/>
      <c r="B238" s="33"/>
      <c r="C238" s="33"/>
      <c r="D238" s="33"/>
    </row>
    <row r="239" spans="1:4" ht="12.5" x14ac:dyDescent="0.25">
      <c r="A239" s="33"/>
      <c r="B239" s="33"/>
      <c r="C239" s="33"/>
      <c r="D239" s="33"/>
    </row>
    <row r="240" spans="1:4" ht="12.5" x14ac:dyDescent="0.25">
      <c r="A240" s="33"/>
      <c r="B240" s="33"/>
      <c r="C240" s="33"/>
      <c r="D240" s="33"/>
    </row>
    <row r="241" spans="1:4" ht="12.5" x14ac:dyDescent="0.25">
      <c r="A241" s="33"/>
      <c r="B241" s="33"/>
      <c r="C241" s="33"/>
      <c r="D241" s="33"/>
    </row>
    <row r="242" spans="1:4" ht="12.5" x14ac:dyDescent="0.25">
      <c r="A242" s="33"/>
      <c r="B242" s="33"/>
      <c r="C242" s="33"/>
      <c r="D242" s="33"/>
    </row>
    <row r="243" spans="1:4" ht="12.5" x14ac:dyDescent="0.25">
      <c r="A243" s="33"/>
      <c r="B243" s="33"/>
      <c r="C243" s="33"/>
      <c r="D243" s="33"/>
    </row>
    <row r="244" spans="1:4" ht="12.5" x14ac:dyDescent="0.25">
      <c r="A244" s="33"/>
      <c r="B244" s="33"/>
      <c r="C244" s="33"/>
      <c r="D244" s="33"/>
    </row>
    <row r="245" spans="1:4" ht="12.5" x14ac:dyDescent="0.25">
      <c r="A245" s="33"/>
      <c r="B245" s="33"/>
      <c r="C245" s="33"/>
      <c r="D245" s="33"/>
    </row>
    <row r="246" spans="1:4" ht="12.5" x14ac:dyDescent="0.25">
      <c r="A246" s="33"/>
      <c r="B246" s="33"/>
      <c r="C246" s="33"/>
      <c r="D246" s="33"/>
    </row>
    <row r="247" spans="1:4" ht="12.5" x14ac:dyDescent="0.25">
      <c r="A247" s="33"/>
      <c r="B247" s="33"/>
      <c r="C247" s="33"/>
      <c r="D247" s="33"/>
    </row>
    <row r="248" spans="1:4" ht="12.5" x14ac:dyDescent="0.25">
      <c r="A248" s="33"/>
      <c r="B248" s="33"/>
      <c r="C248" s="33"/>
      <c r="D248" s="33"/>
    </row>
    <row r="249" spans="1:4" ht="12.5" x14ac:dyDescent="0.25">
      <c r="A249" s="33"/>
      <c r="B249" s="33"/>
      <c r="C249" s="33"/>
      <c r="D249" s="33"/>
    </row>
    <row r="250" spans="1:4" ht="12.5" x14ac:dyDescent="0.25">
      <c r="A250" s="33"/>
      <c r="B250" s="33"/>
      <c r="C250" s="33"/>
      <c r="D250" s="33"/>
    </row>
    <row r="251" spans="1:4" ht="12.5" x14ac:dyDescent="0.25">
      <c r="A251" s="33"/>
      <c r="B251" s="33"/>
      <c r="C251" s="33"/>
      <c r="D251" s="33"/>
    </row>
    <row r="252" spans="1:4" ht="12.5" x14ac:dyDescent="0.25">
      <c r="A252" s="33"/>
      <c r="B252" s="33"/>
      <c r="C252" s="33"/>
      <c r="D252" s="33"/>
    </row>
    <row r="253" spans="1:4" ht="12.5" x14ac:dyDescent="0.25">
      <c r="A253" s="33"/>
      <c r="B253" s="33"/>
      <c r="C253" s="33"/>
      <c r="D253" s="33"/>
    </row>
    <row r="254" spans="1:4" ht="12.5" x14ac:dyDescent="0.25">
      <c r="A254" s="33"/>
      <c r="B254" s="33"/>
      <c r="C254" s="33"/>
      <c r="D254" s="33"/>
    </row>
    <row r="255" spans="1:4" ht="12.5" x14ac:dyDescent="0.25">
      <c r="A255" s="33"/>
      <c r="B255" s="33"/>
      <c r="C255" s="33"/>
      <c r="D255" s="33"/>
    </row>
    <row r="256" spans="1:4" ht="12.5" x14ac:dyDescent="0.25">
      <c r="A256" s="33"/>
      <c r="B256" s="33"/>
      <c r="C256" s="33"/>
      <c r="D256" s="33"/>
    </row>
    <row r="257" spans="1:4" ht="12.5" x14ac:dyDescent="0.25">
      <c r="A257" s="33"/>
      <c r="B257" s="33"/>
      <c r="C257" s="33"/>
      <c r="D257" s="33"/>
    </row>
    <row r="258" spans="1:4" ht="12.5" x14ac:dyDescent="0.25">
      <c r="A258" s="33"/>
      <c r="B258" s="33"/>
      <c r="C258" s="33"/>
      <c r="D258" s="33"/>
    </row>
    <row r="259" spans="1:4" ht="12.5" x14ac:dyDescent="0.25">
      <c r="A259" s="33"/>
      <c r="B259" s="33"/>
      <c r="C259" s="33"/>
      <c r="D259" s="33"/>
    </row>
    <row r="260" spans="1:4" ht="12.5" x14ac:dyDescent="0.25">
      <c r="A260" s="33"/>
      <c r="B260" s="33"/>
      <c r="C260" s="33"/>
      <c r="D260" s="33"/>
    </row>
    <row r="261" spans="1:4" ht="12.5" x14ac:dyDescent="0.25">
      <c r="A261" s="33"/>
      <c r="B261" s="33"/>
      <c r="C261" s="33"/>
      <c r="D261" s="33"/>
    </row>
    <row r="262" spans="1:4" ht="12.5" x14ac:dyDescent="0.25">
      <c r="A262" s="33"/>
      <c r="B262" s="33"/>
      <c r="C262" s="33"/>
      <c r="D262" s="33"/>
    </row>
    <row r="263" spans="1:4" ht="12.5" x14ac:dyDescent="0.25">
      <c r="A263" s="33"/>
      <c r="B263" s="33"/>
      <c r="C263" s="33"/>
      <c r="D263" s="33"/>
    </row>
    <row r="264" spans="1:4" ht="12.5" x14ac:dyDescent="0.25">
      <c r="A264" s="33"/>
      <c r="B264" s="33"/>
      <c r="C264" s="33"/>
      <c r="D264" s="33"/>
    </row>
    <row r="265" spans="1:4" ht="12.5" x14ac:dyDescent="0.25">
      <c r="A265" s="33"/>
      <c r="B265" s="33"/>
      <c r="C265" s="33"/>
      <c r="D265" s="33"/>
    </row>
    <row r="266" spans="1:4" ht="12.5" x14ac:dyDescent="0.25">
      <c r="A266" s="33"/>
      <c r="B266" s="33"/>
      <c r="C266" s="33"/>
      <c r="D266" s="33"/>
    </row>
    <row r="267" spans="1:4" ht="12.5" x14ac:dyDescent="0.25">
      <c r="A267" s="33"/>
      <c r="B267" s="33"/>
      <c r="C267" s="33"/>
      <c r="D267" s="33"/>
    </row>
    <row r="268" spans="1:4" ht="12.5" x14ac:dyDescent="0.25">
      <c r="A268" s="33"/>
      <c r="B268" s="33"/>
      <c r="C268" s="33"/>
      <c r="D268" s="33"/>
    </row>
    <row r="269" spans="1:4" ht="12.5" x14ac:dyDescent="0.25">
      <c r="A269" s="33"/>
      <c r="B269" s="33"/>
      <c r="C269" s="33"/>
      <c r="D269" s="33"/>
    </row>
    <row r="270" spans="1:4" ht="12.5" x14ac:dyDescent="0.25">
      <c r="A270" s="33"/>
      <c r="B270" s="33"/>
      <c r="C270" s="33"/>
      <c r="D270" s="33"/>
    </row>
    <row r="271" spans="1:4" ht="12.5" x14ac:dyDescent="0.25">
      <c r="A271" s="33"/>
      <c r="B271" s="33"/>
      <c r="C271" s="33"/>
      <c r="D271" s="33"/>
    </row>
    <row r="272" spans="1:4" ht="12.5" x14ac:dyDescent="0.25">
      <c r="A272" s="33"/>
      <c r="B272" s="33"/>
      <c r="C272" s="33"/>
      <c r="D272" s="33"/>
    </row>
    <row r="273" spans="1:4" ht="12.5" x14ac:dyDescent="0.25">
      <c r="A273" s="33"/>
      <c r="B273" s="33"/>
      <c r="C273" s="33"/>
      <c r="D273" s="33"/>
    </row>
    <row r="274" spans="1:4" ht="12.5" x14ac:dyDescent="0.25">
      <c r="A274" s="33"/>
      <c r="B274" s="33"/>
      <c r="C274" s="33"/>
      <c r="D274" s="33"/>
    </row>
    <row r="275" spans="1:4" ht="12.5" x14ac:dyDescent="0.25">
      <c r="A275" s="33"/>
      <c r="B275" s="33"/>
      <c r="C275" s="33"/>
      <c r="D275" s="33"/>
    </row>
    <row r="276" spans="1:4" ht="12.5" x14ac:dyDescent="0.25">
      <c r="A276" s="33"/>
      <c r="B276" s="33"/>
      <c r="C276" s="33"/>
      <c r="D276" s="33"/>
    </row>
    <row r="277" spans="1:4" ht="12.5" x14ac:dyDescent="0.25">
      <c r="A277" s="33"/>
      <c r="B277" s="33"/>
      <c r="C277" s="33"/>
      <c r="D277" s="33"/>
    </row>
    <row r="278" spans="1:4" ht="12.5" x14ac:dyDescent="0.25">
      <c r="A278" s="33"/>
      <c r="B278" s="33"/>
      <c r="C278" s="33"/>
      <c r="D278" s="33"/>
    </row>
    <row r="279" spans="1:4" ht="12.5" x14ac:dyDescent="0.25">
      <c r="A279" s="33"/>
      <c r="B279" s="33"/>
      <c r="C279" s="33"/>
      <c r="D279" s="33"/>
    </row>
    <row r="280" spans="1:4" ht="12.5" x14ac:dyDescent="0.25">
      <c r="A280" s="33"/>
      <c r="B280" s="33"/>
      <c r="C280" s="33"/>
      <c r="D280" s="33"/>
    </row>
    <row r="281" spans="1:4" ht="12.5" x14ac:dyDescent="0.25">
      <c r="A281" s="33"/>
      <c r="B281" s="33"/>
      <c r="C281" s="33"/>
      <c r="D281" s="33"/>
    </row>
    <row r="282" spans="1:4" ht="12.5" x14ac:dyDescent="0.25">
      <c r="A282" s="33"/>
      <c r="B282" s="33"/>
      <c r="C282" s="33"/>
      <c r="D282" s="33"/>
    </row>
    <row r="283" spans="1:4" ht="12.5" x14ac:dyDescent="0.25">
      <c r="A283" s="33"/>
      <c r="B283" s="33"/>
      <c r="C283" s="33"/>
      <c r="D283" s="33"/>
    </row>
    <row r="284" spans="1:4" ht="12.5" x14ac:dyDescent="0.25">
      <c r="A284" s="33"/>
      <c r="B284" s="33"/>
      <c r="C284" s="33"/>
      <c r="D284" s="33"/>
    </row>
    <row r="285" spans="1:4" ht="12.5" x14ac:dyDescent="0.25">
      <c r="A285" s="33"/>
      <c r="B285" s="33"/>
      <c r="C285" s="33"/>
      <c r="D285" s="33"/>
    </row>
    <row r="286" spans="1:4" ht="12.5" x14ac:dyDescent="0.25">
      <c r="A286" s="33"/>
      <c r="B286" s="33"/>
      <c r="C286" s="33"/>
      <c r="D286" s="33"/>
    </row>
    <row r="287" spans="1:4" ht="12.5" x14ac:dyDescent="0.25">
      <c r="A287" s="33"/>
      <c r="B287" s="33"/>
      <c r="C287" s="33"/>
      <c r="D287" s="33"/>
    </row>
    <row r="288" spans="1:4" ht="12.5" x14ac:dyDescent="0.25">
      <c r="A288" s="33"/>
      <c r="B288" s="33"/>
      <c r="C288" s="33"/>
      <c r="D288" s="33"/>
    </row>
    <row r="289" spans="1:4" ht="12.5" x14ac:dyDescent="0.25">
      <c r="A289" s="33"/>
      <c r="B289" s="33"/>
      <c r="C289" s="33"/>
      <c r="D289" s="33"/>
    </row>
    <row r="290" spans="1:4" ht="12.5" x14ac:dyDescent="0.25">
      <c r="A290" s="33"/>
      <c r="B290" s="33"/>
      <c r="C290" s="33"/>
      <c r="D290" s="33"/>
    </row>
    <row r="291" spans="1:4" ht="12.5" x14ac:dyDescent="0.25">
      <c r="A291" s="33"/>
      <c r="B291" s="33"/>
      <c r="C291" s="33"/>
      <c r="D291" s="33"/>
    </row>
    <row r="292" spans="1:4" ht="12.5" x14ac:dyDescent="0.25">
      <c r="A292" s="33"/>
      <c r="B292" s="33"/>
      <c r="C292" s="33"/>
      <c r="D292" s="33"/>
    </row>
    <row r="293" spans="1:4" ht="12.5" x14ac:dyDescent="0.25">
      <c r="A293" s="33"/>
      <c r="B293" s="33"/>
      <c r="C293" s="33"/>
      <c r="D293" s="33"/>
    </row>
    <row r="294" spans="1:4" ht="12.5" x14ac:dyDescent="0.25">
      <c r="A294" s="33"/>
      <c r="B294" s="33"/>
      <c r="C294" s="33"/>
      <c r="D294" s="33"/>
    </row>
    <row r="295" spans="1:4" ht="12.5" x14ac:dyDescent="0.25">
      <c r="A295" s="33"/>
      <c r="B295" s="33"/>
      <c r="C295" s="33"/>
      <c r="D295" s="33"/>
    </row>
    <row r="296" spans="1:4" ht="12.5" x14ac:dyDescent="0.25">
      <c r="A296" s="33"/>
      <c r="B296" s="33"/>
      <c r="C296" s="33"/>
      <c r="D296" s="33"/>
    </row>
    <row r="297" spans="1:4" ht="12.5" x14ac:dyDescent="0.25">
      <c r="A297" s="33"/>
      <c r="B297" s="33"/>
      <c r="C297" s="33"/>
      <c r="D297" s="33"/>
    </row>
    <row r="298" spans="1:4" ht="12.5" x14ac:dyDescent="0.25">
      <c r="A298" s="33"/>
      <c r="B298" s="33"/>
      <c r="C298" s="33"/>
      <c r="D298" s="33"/>
    </row>
    <row r="299" spans="1:4" ht="12.5" x14ac:dyDescent="0.25">
      <c r="A299" s="33"/>
      <c r="B299" s="33"/>
      <c r="C299" s="33"/>
      <c r="D299" s="33"/>
    </row>
    <row r="300" spans="1:4" ht="12.5" x14ac:dyDescent="0.25">
      <c r="A300" s="33"/>
      <c r="B300" s="33"/>
      <c r="C300" s="33"/>
      <c r="D300" s="33"/>
    </row>
    <row r="301" spans="1:4" ht="12.5" x14ac:dyDescent="0.25">
      <c r="A301" s="33"/>
      <c r="B301" s="33"/>
      <c r="C301" s="33"/>
      <c r="D301" s="33"/>
    </row>
    <row r="302" spans="1:4" ht="12.5" x14ac:dyDescent="0.25">
      <c r="A302" s="33"/>
      <c r="B302" s="33"/>
      <c r="C302" s="33"/>
      <c r="D302" s="33"/>
    </row>
    <row r="303" spans="1:4" ht="12.5" x14ac:dyDescent="0.25">
      <c r="A303" s="33"/>
      <c r="B303" s="33"/>
      <c r="C303" s="33"/>
      <c r="D303" s="33"/>
    </row>
    <row r="304" spans="1:4" ht="12.5" x14ac:dyDescent="0.25">
      <c r="A304" s="33"/>
      <c r="B304" s="33"/>
      <c r="C304" s="33"/>
      <c r="D304" s="33"/>
    </row>
    <row r="305" spans="1:4" ht="12.5" x14ac:dyDescent="0.25">
      <c r="A305" s="33"/>
      <c r="B305" s="33"/>
      <c r="C305" s="33"/>
      <c r="D305" s="33"/>
    </row>
    <row r="306" spans="1:4" ht="12.5" x14ac:dyDescent="0.25">
      <c r="A306" s="33"/>
      <c r="B306" s="33"/>
      <c r="C306" s="33"/>
      <c r="D306" s="33"/>
    </row>
    <row r="307" spans="1:4" ht="12.5" x14ac:dyDescent="0.25">
      <c r="A307" s="33"/>
      <c r="B307" s="33"/>
      <c r="C307" s="33"/>
      <c r="D307" s="33"/>
    </row>
    <row r="308" spans="1:4" ht="12.5" x14ac:dyDescent="0.25">
      <c r="A308" s="33"/>
      <c r="B308" s="33"/>
      <c r="C308" s="33"/>
      <c r="D308" s="33"/>
    </row>
    <row r="309" spans="1:4" ht="12.5" x14ac:dyDescent="0.25">
      <c r="A309" s="33"/>
      <c r="B309" s="33"/>
      <c r="C309" s="33"/>
      <c r="D309" s="33"/>
    </row>
    <row r="310" spans="1:4" ht="12.5" x14ac:dyDescent="0.25">
      <c r="A310" s="33"/>
      <c r="B310" s="33"/>
      <c r="C310" s="33"/>
      <c r="D310" s="33"/>
    </row>
    <row r="311" spans="1:4" ht="12.5" x14ac:dyDescent="0.25">
      <c r="A311" s="33"/>
      <c r="B311" s="33"/>
      <c r="C311" s="33"/>
      <c r="D311" s="33"/>
    </row>
    <row r="312" spans="1:4" ht="12.5" x14ac:dyDescent="0.25">
      <c r="A312" s="33"/>
      <c r="B312" s="33"/>
      <c r="C312" s="33"/>
      <c r="D312" s="33"/>
    </row>
    <row r="313" spans="1:4" ht="12.5" x14ac:dyDescent="0.25">
      <c r="A313" s="33"/>
      <c r="B313" s="33"/>
      <c r="C313" s="33"/>
      <c r="D313" s="33"/>
    </row>
    <row r="314" spans="1:4" ht="12.5" x14ac:dyDescent="0.25">
      <c r="A314" s="33"/>
      <c r="B314" s="33"/>
      <c r="C314" s="33"/>
      <c r="D314" s="33"/>
    </row>
    <row r="315" spans="1:4" ht="12.5" x14ac:dyDescent="0.25">
      <c r="A315" s="33"/>
      <c r="B315" s="33"/>
      <c r="C315" s="33"/>
      <c r="D315" s="33"/>
    </row>
    <row r="316" spans="1:4" ht="12.5" x14ac:dyDescent="0.25">
      <c r="A316" s="33"/>
      <c r="B316" s="33"/>
      <c r="C316" s="33"/>
      <c r="D316" s="33"/>
    </row>
    <row r="317" spans="1:4" ht="12.5" x14ac:dyDescent="0.25">
      <c r="A317" s="33"/>
      <c r="B317" s="33"/>
      <c r="C317" s="33"/>
      <c r="D317" s="33"/>
    </row>
    <row r="318" spans="1:4" ht="12.5" x14ac:dyDescent="0.25">
      <c r="A318" s="33"/>
      <c r="B318" s="33"/>
      <c r="C318" s="33"/>
      <c r="D318" s="33"/>
    </row>
    <row r="319" spans="1:4" ht="12.5" x14ac:dyDescent="0.25">
      <c r="A319" s="33"/>
      <c r="B319" s="33"/>
      <c r="C319" s="33"/>
      <c r="D319" s="33"/>
    </row>
    <row r="320" spans="1:4" ht="12.5" x14ac:dyDescent="0.25">
      <c r="A320" s="33"/>
      <c r="B320" s="33"/>
      <c r="C320" s="33"/>
      <c r="D320" s="33"/>
    </row>
    <row r="321" spans="1:4" ht="12.5" x14ac:dyDescent="0.25">
      <c r="A321" s="33"/>
      <c r="B321" s="33"/>
      <c r="C321" s="33"/>
      <c r="D321" s="33"/>
    </row>
    <row r="322" spans="1:4" ht="12.5" x14ac:dyDescent="0.25">
      <c r="A322" s="33"/>
      <c r="B322" s="33"/>
      <c r="C322" s="33"/>
      <c r="D322" s="33"/>
    </row>
    <row r="323" spans="1:4" ht="12.5" x14ac:dyDescent="0.25">
      <c r="A323" s="33"/>
      <c r="B323" s="33"/>
      <c r="C323" s="33"/>
      <c r="D323" s="33"/>
    </row>
    <row r="324" spans="1:4" ht="12.5" x14ac:dyDescent="0.25">
      <c r="A324" s="33"/>
      <c r="B324" s="33"/>
      <c r="C324" s="33"/>
      <c r="D324" s="33"/>
    </row>
    <row r="325" spans="1:4" ht="12.5" x14ac:dyDescent="0.25">
      <c r="A325" s="33"/>
      <c r="B325" s="33"/>
      <c r="C325" s="33"/>
      <c r="D325" s="33"/>
    </row>
    <row r="326" spans="1:4" ht="12.5" x14ac:dyDescent="0.25">
      <c r="A326" s="33"/>
      <c r="B326" s="33"/>
      <c r="C326" s="33"/>
      <c r="D326" s="33"/>
    </row>
    <row r="327" spans="1:4" ht="12.5" x14ac:dyDescent="0.25">
      <c r="A327" s="33"/>
      <c r="B327" s="33"/>
      <c r="C327" s="33"/>
      <c r="D327" s="33"/>
    </row>
    <row r="328" spans="1:4" ht="12.5" x14ac:dyDescent="0.25">
      <c r="A328" s="33"/>
      <c r="B328" s="33"/>
      <c r="C328" s="33"/>
      <c r="D328" s="33"/>
    </row>
    <row r="329" spans="1:4" ht="12.5" x14ac:dyDescent="0.25">
      <c r="A329" s="33"/>
      <c r="B329" s="33"/>
      <c r="C329" s="33"/>
      <c r="D329" s="33"/>
    </row>
    <row r="330" spans="1:4" ht="12.5" x14ac:dyDescent="0.25">
      <c r="A330" s="33"/>
      <c r="B330" s="33"/>
      <c r="C330" s="33"/>
      <c r="D330" s="33"/>
    </row>
    <row r="331" spans="1:4" ht="12.5" x14ac:dyDescent="0.25">
      <c r="A331" s="33"/>
      <c r="B331" s="33"/>
      <c r="C331" s="33"/>
      <c r="D331" s="33"/>
    </row>
    <row r="332" spans="1:4" ht="12.5" x14ac:dyDescent="0.25">
      <c r="A332" s="33"/>
      <c r="B332" s="33"/>
      <c r="C332" s="33"/>
      <c r="D332" s="33"/>
    </row>
    <row r="333" spans="1:4" ht="12.5" x14ac:dyDescent="0.25">
      <c r="A333" s="33"/>
      <c r="B333" s="33"/>
      <c r="C333" s="33"/>
      <c r="D333" s="33"/>
    </row>
    <row r="334" spans="1:4" ht="12.5" x14ac:dyDescent="0.25">
      <c r="A334" s="33"/>
      <c r="B334" s="33"/>
      <c r="C334" s="33"/>
      <c r="D334" s="33"/>
    </row>
    <row r="335" spans="1:4" ht="12.5" x14ac:dyDescent="0.25">
      <c r="A335" s="33"/>
      <c r="B335" s="33"/>
      <c r="C335" s="33"/>
      <c r="D335" s="33"/>
    </row>
    <row r="336" spans="1:4" ht="12.5" x14ac:dyDescent="0.25">
      <c r="A336" s="33"/>
      <c r="B336" s="33"/>
      <c r="C336" s="33"/>
      <c r="D336" s="33"/>
    </row>
    <row r="337" spans="1:4" ht="12.5" x14ac:dyDescent="0.25">
      <c r="A337" s="33"/>
      <c r="B337" s="33"/>
      <c r="C337" s="33"/>
      <c r="D337" s="33"/>
    </row>
    <row r="338" spans="1:4" ht="12.5" x14ac:dyDescent="0.25">
      <c r="A338" s="33"/>
      <c r="B338" s="33"/>
      <c r="C338" s="33"/>
      <c r="D338" s="33"/>
    </row>
    <row r="339" spans="1:4" ht="12.5" x14ac:dyDescent="0.25">
      <c r="A339" s="33"/>
      <c r="B339" s="33"/>
      <c r="C339" s="33"/>
      <c r="D339" s="33"/>
    </row>
    <row r="340" spans="1:4" ht="12.5" x14ac:dyDescent="0.25">
      <c r="A340" s="33"/>
      <c r="B340" s="33"/>
      <c r="C340" s="33"/>
      <c r="D340" s="33"/>
    </row>
    <row r="341" spans="1:4" ht="12.5" x14ac:dyDescent="0.25">
      <c r="A341" s="33"/>
      <c r="B341" s="33"/>
      <c r="C341" s="33"/>
      <c r="D341" s="33"/>
    </row>
    <row r="342" spans="1:4" ht="12.5" x14ac:dyDescent="0.25">
      <c r="A342" s="33"/>
      <c r="B342" s="33"/>
      <c r="C342" s="33"/>
      <c r="D342" s="33"/>
    </row>
    <row r="343" spans="1:4" ht="12.5" x14ac:dyDescent="0.25">
      <c r="A343" s="33"/>
      <c r="B343" s="33"/>
      <c r="C343" s="33"/>
      <c r="D343" s="33"/>
    </row>
    <row r="344" spans="1:4" ht="12.5" x14ac:dyDescent="0.25">
      <c r="A344" s="33"/>
      <c r="B344" s="33"/>
      <c r="C344" s="33"/>
      <c r="D344" s="33"/>
    </row>
    <row r="345" spans="1:4" ht="12.5" x14ac:dyDescent="0.25">
      <c r="A345" s="33"/>
      <c r="B345" s="33"/>
      <c r="C345" s="33"/>
      <c r="D345" s="33"/>
    </row>
    <row r="346" spans="1:4" ht="12.5" x14ac:dyDescent="0.25">
      <c r="A346" s="33"/>
      <c r="B346" s="33"/>
      <c r="C346" s="33"/>
      <c r="D346" s="33"/>
    </row>
    <row r="347" spans="1:4" ht="12.5" x14ac:dyDescent="0.25">
      <c r="A347" s="33"/>
      <c r="B347" s="33"/>
      <c r="C347" s="33"/>
      <c r="D347" s="33"/>
    </row>
    <row r="348" spans="1:4" ht="12.5" x14ac:dyDescent="0.25">
      <c r="A348" s="33"/>
      <c r="B348" s="33"/>
      <c r="C348" s="33"/>
      <c r="D348" s="33"/>
    </row>
    <row r="349" spans="1:4" ht="12.5" x14ac:dyDescent="0.25">
      <c r="A349" s="33"/>
      <c r="B349" s="33"/>
      <c r="C349" s="33"/>
      <c r="D349" s="33"/>
    </row>
    <row r="350" spans="1:4" ht="12.5" x14ac:dyDescent="0.25">
      <c r="A350" s="33"/>
      <c r="B350" s="33"/>
      <c r="C350" s="33"/>
      <c r="D350" s="33"/>
    </row>
    <row r="351" spans="1:4" ht="12.5" x14ac:dyDescent="0.25">
      <c r="A351" s="33"/>
      <c r="B351" s="33"/>
      <c r="C351" s="33"/>
      <c r="D351" s="33"/>
    </row>
    <row r="352" spans="1:4" ht="12.5" x14ac:dyDescent="0.25">
      <c r="A352" s="33"/>
      <c r="B352" s="33"/>
      <c r="C352" s="33"/>
      <c r="D352" s="33"/>
    </row>
    <row r="353" spans="1:4" ht="12.5" x14ac:dyDescent="0.25">
      <c r="A353" s="33"/>
      <c r="B353" s="33"/>
      <c r="C353" s="33"/>
      <c r="D353" s="33"/>
    </row>
    <row r="354" spans="1:4" ht="12.5" x14ac:dyDescent="0.25">
      <c r="A354" s="33"/>
      <c r="B354" s="33"/>
      <c r="C354" s="33"/>
      <c r="D354" s="33"/>
    </row>
    <row r="355" spans="1:4" ht="12.5" x14ac:dyDescent="0.25">
      <c r="A355" s="33"/>
      <c r="B355" s="33"/>
      <c r="C355" s="33"/>
      <c r="D355" s="33"/>
    </row>
    <row r="356" spans="1:4" ht="12.5" x14ac:dyDescent="0.25">
      <c r="A356" s="33"/>
      <c r="B356" s="33"/>
      <c r="C356" s="33"/>
      <c r="D356" s="33"/>
    </row>
    <row r="357" spans="1:4" ht="12.5" x14ac:dyDescent="0.25">
      <c r="A357" s="33"/>
      <c r="B357" s="33"/>
      <c r="C357" s="33"/>
      <c r="D357" s="33"/>
    </row>
    <row r="358" spans="1:4" ht="12.5" x14ac:dyDescent="0.25">
      <c r="A358" s="33"/>
      <c r="B358" s="33"/>
      <c r="C358" s="33"/>
      <c r="D358" s="33"/>
    </row>
    <row r="359" spans="1:4" ht="12.5" x14ac:dyDescent="0.25">
      <c r="A359" s="33"/>
      <c r="B359" s="33"/>
      <c r="C359" s="33"/>
      <c r="D359" s="33"/>
    </row>
    <row r="360" spans="1:4" ht="12.5" x14ac:dyDescent="0.25">
      <c r="A360" s="33"/>
      <c r="B360" s="33"/>
      <c r="C360" s="33"/>
      <c r="D360" s="33"/>
    </row>
    <row r="361" spans="1:4" ht="12.5" x14ac:dyDescent="0.25">
      <c r="A361" s="33"/>
      <c r="B361" s="33"/>
      <c r="C361" s="33"/>
      <c r="D361" s="33"/>
    </row>
    <row r="362" spans="1:4" ht="12.5" x14ac:dyDescent="0.25">
      <c r="A362" s="33"/>
      <c r="B362" s="33"/>
      <c r="C362" s="33"/>
      <c r="D362" s="33"/>
    </row>
    <row r="363" spans="1:4" ht="12.5" x14ac:dyDescent="0.25">
      <c r="A363" s="33"/>
      <c r="B363" s="33"/>
      <c r="C363" s="33"/>
      <c r="D363" s="33"/>
    </row>
    <row r="364" spans="1:4" ht="12.5" x14ac:dyDescent="0.25">
      <c r="A364" s="33"/>
      <c r="B364" s="33"/>
      <c r="C364" s="33"/>
      <c r="D364" s="33"/>
    </row>
    <row r="365" spans="1:4" ht="12.5" x14ac:dyDescent="0.25">
      <c r="A365" s="33"/>
      <c r="B365" s="33"/>
      <c r="C365" s="33"/>
      <c r="D365" s="33"/>
    </row>
    <row r="366" spans="1:4" ht="12.5" x14ac:dyDescent="0.25">
      <c r="A366" s="33"/>
      <c r="B366" s="33"/>
      <c r="C366" s="33"/>
      <c r="D366" s="33"/>
    </row>
    <row r="367" spans="1:4" ht="12.5" x14ac:dyDescent="0.25">
      <c r="A367" s="33"/>
      <c r="B367" s="33"/>
      <c r="C367" s="33"/>
      <c r="D367" s="33"/>
    </row>
    <row r="368" spans="1:4" ht="12.5" x14ac:dyDescent="0.25">
      <c r="A368" s="33"/>
      <c r="B368" s="33"/>
      <c r="C368" s="33"/>
      <c r="D368" s="33"/>
    </row>
    <row r="369" spans="1:4" ht="12.5" x14ac:dyDescent="0.25">
      <c r="A369" s="33"/>
      <c r="B369" s="33"/>
      <c r="C369" s="33"/>
      <c r="D369" s="33"/>
    </row>
    <row r="370" spans="1:4" ht="12.5" x14ac:dyDescent="0.25">
      <c r="A370" s="33"/>
      <c r="B370" s="33"/>
      <c r="C370" s="33"/>
      <c r="D370" s="33"/>
    </row>
    <row r="371" spans="1:4" ht="12.5" x14ac:dyDescent="0.25">
      <c r="A371" s="33"/>
      <c r="B371" s="33"/>
      <c r="C371" s="33"/>
      <c r="D371" s="33"/>
    </row>
    <row r="372" spans="1:4" ht="12.5" x14ac:dyDescent="0.25">
      <c r="A372" s="33"/>
      <c r="B372" s="33"/>
      <c r="C372" s="33"/>
      <c r="D372" s="33"/>
    </row>
    <row r="373" spans="1:4" ht="12.5" x14ac:dyDescent="0.25">
      <c r="A373" s="33"/>
      <c r="B373" s="33"/>
      <c r="C373" s="33"/>
      <c r="D373" s="33"/>
    </row>
    <row r="374" spans="1:4" ht="12.5" x14ac:dyDescent="0.25">
      <c r="A374" s="33"/>
      <c r="B374" s="33"/>
      <c r="C374" s="33"/>
      <c r="D374" s="33"/>
    </row>
    <row r="375" spans="1:4" ht="12.5" x14ac:dyDescent="0.25">
      <c r="A375" s="33"/>
      <c r="B375" s="33"/>
      <c r="C375" s="33"/>
      <c r="D375" s="33"/>
    </row>
    <row r="376" spans="1:4" ht="12.5" x14ac:dyDescent="0.25">
      <c r="A376" s="33"/>
      <c r="B376" s="33"/>
      <c r="C376" s="33"/>
      <c r="D376" s="33"/>
    </row>
    <row r="377" spans="1:4" ht="12.5" x14ac:dyDescent="0.25">
      <c r="A377" s="33"/>
      <c r="B377" s="33"/>
      <c r="C377" s="33"/>
      <c r="D377" s="33"/>
    </row>
    <row r="378" spans="1:4" ht="12.5" x14ac:dyDescent="0.25">
      <c r="A378" s="33"/>
      <c r="B378" s="33"/>
      <c r="C378" s="33"/>
      <c r="D378" s="33"/>
    </row>
    <row r="379" spans="1:4" ht="12.5" x14ac:dyDescent="0.25">
      <c r="A379" s="33"/>
      <c r="B379" s="33"/>
      <c r="C379" s="33"/>
      <c r="D379" s="33"/>
    </row>
    <row r="380" spans="1:4" ht="12.5" x14ac:dyDescent="0.25">
      <c r="A380" s="33"/>
      <c r="B380" s="33"/>
      <c r="C380" s="33"/>
      <c r="D380" s="33"/>
    </row>
    <row r="381" spans="1:4" ht="12.5" x14ac:dyDescent="0.25">
      <c r="A381" s="33"/>
      <c r="B381" s="33"/>
      <c r="C381" s="33"/>
      <c r="D381" s="33"/>
    </row>
    <row r="382" spans="1:4" ht="12.5" x14ac:dyDescent="0.25">
      <c r="A382" s="33"/>
      <c r="B382" s="33"/>
      <c r="C382" s="33"/>
      <c r="D382" s="33"/>
    </row>
    <row r="383" spans="1:4" ht="12.5" x14ac:dyDescent="0.25">
      <c r="A383" s="33"/>
      <c r="B383" s="33"/>
      <c r="C383" s="33"/>
      <c r="D383" s="33"/>
    </row>
    <row r="384" spans="1:4" ht="12.5" x14ac:dyDescent="0.25">
      <c r="A384" s="33"/>
      <c r="B384" s="33"/>
      <c r="C384" s="33"/>
      <c r="D384" s="33"/>
    </row>
    <row r="385" spans="1:4" ht="12.5" x14ac:dyDescent="0.25">
      <c r="A385" s="33"/>
      <c r="B385" s="33"/>
      <c r="C385" s="33"/>
      <c r="D385" s="33"/>
    </row>
    <row r="386" spans="1:4" ht="12.5" x14ac:dyDescent="0.25">
      <c r="A386" s="33"/>
      <c r="B386" s="33"/>
      <c r="C386" s="33"/>
      <c r="D386" s="33"/>
    </row>
    <row r="387" spans="1:4" ht="12.5" x14ac:dyDescent="0.25">
      <c r="A387" s="33"/>
      <c r="B387" s="33"/>
      <c r="C387" s="33"/>
      <c r="D387" s="33"/>
    </row>
    <row r="388" spans="1:4" ht="12.5" x14ac:dyDescent="0.25">
      <c r="A388" s="33"/>
      <c r="B388" s="33"/>
      <c r="C388" s="33"/>
      <c r="D388" s="33"/>
    </row>
    <row r="389" spans="1:4" ht="12.5" x14ac:dyDescent="0.25">
      <c r="A389" s="33"/>
      <c r="B389" s="33"/>
      <c r="C389" s="33"/>
      <c r="D389" s="33"/>
    </row>
    <row r="390" spans="1:4" ht="12.5" x14ac:dyDescent="0.25">
      <c r="A390" s="33"/>
      <c r="B390" s="33"/>
      <c r="C390" s="33"/>
      <c r="D390" s="33"/>
    </row>
    <row r="391" spans="1:4" ht="12.5" x14ac:dyDescent="0.25">
      <c r="A391" s="33"/>
      <c r="B391" s="33"/>
      <c r="C391" s="33"/>
      <c r="D391" s="33"/>
    </row>
    <row r="392" spans="1:4" ht="12.5" x14ac:dyDescent="0.25">
      <c r="A392" s="33"/>
      <c r="B392" s="33"/>
      <c r="C392" s="33"/>
      <c r="D392" s="33"/>
    </row>
    <row r="393" spans="1:4" ht="12.5" x14ac:dyDescent="0.25">
      <c r="A393" s="33"/>
      <c r="B393" s="33"/>
      <c r="C393" s="33"/>
      <c r="D393" s="33"/>
    </row>
    <row r="394" spans="1:4" ht="12.5" x14ac:dyDescent="0.25">
      <c r="A394" s="33"/>
      <c r="B394" s="33"/>
      <c r="C394" s="33"/>
      <c r="D394" s="33"/>
    </row>
    <row r="395" spans="1:4" ht="12.5" x14ac:dyDescent="0.25">
      <c r="A395" s="33"/>
      <c r="B395" s="33"/>
      <c r="C395" s="33"/>
      <c r="D395" s="33"/>
    </row>
    <row r="396" spans="1:4" ht="12.5" x14ac:dyDescent="0.25">
      <c r="A396" s="33"/>
      <c r="B396" s="33"/>
      <c r="C396" s="33"/>
      <c r="D396" s="33"/>
    </row>
    <row r="397" spans="1:4" ht="12.5" x14ac:dyDescent="0.25">
      <c r="A397" s="33"/>
      <c r="B397" s="33"/>
      <c r="C397" s="33"/>
      <c r="D397" s="33"/>
    </row>
    <row r="398" spans="1:4" ht="12.5" x14ac:dyDescent="0.25">
      <c r="A398" s="33"/>
      <c r="B398" s="33"/>
      <c r="C398" s="33"/>
      <c r="D398" s="33"/>
    </row>
    <row r="399" spans="1:4" ht="12.5" x14ac:dyDescent="0.25">
      <c r="A399" s="33"/>
      <c r="B399" s="33"/>
      <c r="C399" s="33"/>
      <c r="D399" s="33"/>
    </row>
    <row r="400" spans="1:4" ht="12.5" x14ac:dyDescent="0.25">
      <c r="A400" s="33"/>
      <c r="B400" s="33"/>
      <c r="C400" s="33"/>
      <c r="D400" s="33"/>
    </row>
    <row r="401" spans="1:4" ht="12.5" x14ac:dyDescent="0.25">
      <c r="A401" s="33"/>
      <c r="B401" s="33"/>
      <c r="C401" s="33"/>
      <c r="D401" s="33"/>
    </row>
    <row r="402" spans="1:4" ht="12.5" x14ac:dyDescent="0.25">
      <c r="A402" s="33"/>
      <c r="B402" s="33"/>
      <c r="C402" s="33"/>
      <c r="D402" s="33"/>
    </row>
    <row r="403" spans="1:4" ht="12.5" x14ac:dyDescent="0.25">
      <c r="A403" s="33"/>
      <c r="B403" s="33"/>
      <c r="C403" s="33"/>
      <c r="D403" s="33"/>
    </row>
    <row r="404" spans="1:4" ht="12.5" x14ac:dyDescent="0.25">
      <c r="A404" s="33"/>
      <c r="B404" s="33"/>
      <c r="C404" s="33"/>
      <c r="D404" s="33"/>
    </row>
    <row r="405" spans="1:4" ht="12.5" x14ac:dyDescent="0.25">
      <c r="A405" s="33"/>
      <c r="B405" s="33"/>
      <c r="C405" s="33"/>
      <c r="D405" s="33"/>
    </row>
    <row r="406" spans="1:4" ht="12.5" x14ac:dyDescent="0.25">
      <c r="A406" s="33"/>
      <c r="B406" s="33"/>
      <c r="C406" s="33"/>
      <c r="D406" s="33"/>
    </row>
    <row r="407" spans="1:4" ht="12.5" x14ac:dyDescent="0.25">
      <c r="A407" s="33"/>
      <c r="B407" s="33"/>
      <c r="C407" s="33"/>
      <c r="D407" s="33"/>
    </row>
    <row r="408" spans="1:4" ht="12.5" x14ac:dyDescent="0.25">
      <c r="A408" s="33"/>
      <c r="B408" s="33"/>
      <c r="C408" s="33"/>
      <c r="D408" s="33"/>
    </row>
    <row r="409" spans="1:4" ht="12.5" x14ac:dyDescent="0.25">
      <c r="A409" s="33"/>
      <c r="B409" s="33"/>
      <c r="C409" s="33"/>
      <c r="D409" s="33"/>
    </row>
    <row r="410" spans="1:4" ht="12.5" x14ac:dyDescent="0.25">
      <c r="A410" s="33"/>
      <c r="B410" s="33"/>
      <c r="C410" s="33"/>
      <c r="D410" s="33"/>
    </row>
    <row r="411" spans="1:4" ht="12.5" x14ac:dyDescent="0.25">
      <c r="A411" s="33"/>
      <c r="B411" s="33"/>
      <c r="C411" s="33"/>
      <c r="D411" s="33"/>
    </row>
    <row r="412" spans="1:4" ht="12.5" x14ac:dyDescent="0.25">
      <c r="A412" s="33"/>
      <c r="B412" s="33"/>
      <c r="C412" s="33"/>
      <c r="D412" s="33"/>
    </row>
    <row r="413" spans="1:4" ht="12.5" x14ac:dyDescent="0.25">
      <c r="A413" s="33"/>
      <c r="B413" s="33"/>
      <c r="C413" s="33"/>
      <c r="D413" s="33"/>
    </row>
    <row r="414" spans="1:4" ht="12.5" x14ac:dyDescent="0.25">
      <c r="A414" s="33"/>
      <c r="B414" s="33"/>
      <c r="C414" s="33"/>
      <c r="D414" s="33"/>
    </row>
    <row r="415" spans="1:4" ht="12.5" x14ac:dyDescent="0.25">
      <c r="A415" s="33"/>
      <c r="B415" s="33"/>
      <c r="C415" s="33"/>
      <c r="D415" s="33"/>
    </row>
    <row r="416" spans="1:4" ht="12.5" x14ac:dyDescent="0.25">
      <c r="A416" s="33"/>
      <c r="B416" s="33"/>
      <c r="C416" s="33"/>
      <c r="D416" s="33"/>
    </row>
    <row r="417" spans="1:4" ht="12.5" x14ac:dyDescent="0.25">
      <c r="A417" s="33"/>
      <c r="B417" s="33"/>
      <c r="C417" s="33"/>
      <c r="D417" s="33"/>
    </row>
    <row r="418" spans="1:4" ht="12.5" x14ac:dyDescent="0.25">
      <c r="A418" s="33"/>
      <c r="B418" s="33"/>
      <c r="C418" s="33"/>
      <c r="D418" s="33"/>
    </row>
    <row r="419" spans="1:4" ht="12.5" x14ac:dyDescent="0.25">
      <c r="A419" s="33"/>
      <c r="B419" s="33"/>
      <c r="C419" s="33"/>
      <c r="D419" s="33"/>
    </row>
    <row r="420" spans="1:4" ht="12.5" x14ac:dyDescent="0.25">
      <c r="A420" s="33"/>
      <c r="B420" s="33"/>
      <c r="C420" s="33"/>
      <c r="D420" s="33"/>
    </row>
    <row r="421" spans="1:4" ht="12.5" x14ac:dyDescent="0.25">
      <c r="A421" s="33"/>
      <c r="B421" s="33"/>
      <c r="C421" s="33"/>
      <c r="D421" s="33"/>
    </row>
    <row r="422" spans="1:4" ht="12.5" x14ac:dyDescent="0.25">
      <c r="A422" s="33"/>
      <c r="B422" s="33"/>
      <c r="C422" s="33"/>
      <c r="D422" s="33"/>
    </row>
    <row r="423" spans="1:4" ht="12.5" x14ac:dyDescent="0.25">
      <c r="A423" s="33"/>
      <c r="B423" s="33"/>
      <c r="C423" s="33"/>
      <c r="D423" s="33"/>
    </row>
    <row r="424" spans="1:4" ht="12.5" x14ac:dyDescent="0.25">
      <c r="A424" s="33"/>
      <c r="B424" s="33"/>
      <c r="C424" s="33"/>
      <c r="D424" s="33"/>
    </row>
    <row r="425" spans="1:4" ht="12.5" x14ac:dyDescent="0.25">
      <c r="A425" s="33"/>
      <c r="B425" s="33"/>
      <c r="C425" s="33"/>
      <c r="D425" s="33"/>
    </row>
    <row r="426" spans="1:4" ht="12.5" x14ac:dyDescent="0.25">
      <c r="A426" s="33"/>
      <c r="B426" s="33"/>
      <c r="C426" s="33"/>
      <c r="D426" s="33"/>
    </row>
    <row r="427" spans="1:4" ht="12.5" x14ac:dyDescent="0.25">
      <c r="A427" s="33"/>
      <c r="B427" s="33"/>
      <c r="C427" s="33"/>
      <c r="D427" s="33"/>
    </row>
    <row r="428" spans="1:4" ht="12.5" x14ac:dyDescent="0.25">
      <c r="A428" s="33"/>
      <c r="B428" s="33"/>
      <c r="C428" s="33"/>
      <c r="D428" s="33"/>
    </row>
    <row r="429" spans="1:4" ht="12.5" x14ac:dyDescent="0.25">
      <c r="A429" s="33"/>
      <c r="B429" s="33"/>
      <c r="C429" s="33"/>
      <c r="D429" s="33"/>
    </row>
    <row r="430" spans="1:4" ht="12.5" x14ac:dyDescent="0.25">
      <c r="A430" s="33"/>
      <c r="B430" s="33"/>
      <c r="C430" s="33"/>
      <c r="D430" s="33"/>
    </row>
    <row r="431" spans="1:4" ht="12.5" x14ac:dyDescent="0.25">
      <c r="A431" s="33"/>
      <c r="B431" s="33"/>
      <c r="C431" s="33"/>
      <c r="D431" s="33"/>
    </row>
    <row r="432" spans="1:4" ht="12.5" x14ac:dyDescent="0.25">
      <c r="A432" s="33"/>
      <c r="B432" s="33"/>
      <c r="C432" s="33"/>
      <c r="D432" s="33"/>
    </row>
    <row r="433" spans="1:4" ht="12.5" x14ac:dyDescent="0.25">
      <c r="A433" s="33"/>
      <c r="B433" s="33"/>
      <c r="C433" s="33"/>
      <c r="D433" s="33"/>
    </row>
    <row r="434" spans="1:4" ht="12.5" x14ac:dyDescent="0.25">
      <c r="A434" s="33"/>
      <c r="B434" s="33"/>
      <c r="C434" s="33"/>
      <c r="D434" s="33"/>
    </row>
    <row r="435" spans="1:4" ht="12.5" x14ac:dyDescent="0.25">
      <c r="A435" s="33"/>
      <c r="B435" s="33"/>
      <c r="C435" s="33"/>
      <c r="D435" s="33"/>
    </row>
    <row r="436" spans="1:4" ht="12.5" x14ac:dyDescent="0.25">
      <c r="A436" s="33"/>
      <c r="B436" s="33"/>
      <c r="C436" s="33"/>
      <c r="D436" s="33"/>
    </row>
    <row r="437" spans="1:4" ht="12.5" x14ac:dyDescent="0.25">
      <c r="A437" s="33"/>
      <c r="B437" s="33"/>
      <c r="C437" s="33"/>
      <c r="D437" s="33"/>
    </row>
    <row r="438" spans="1:4" ht="12.5" x14ac:dyDescent="0.25">
      <c r="A438" s="33"/>
      <c r="B438" s="33"/>
      <c r="C438" s="33"/>
      <c r="D438" s="33"/>
    </row>
    <row r="439" spans="1:4" ht="12.5" x14ac:dyDescent="0.25">
      <c r="A439" s="33"/>
      <c r="B439" s="33"/>
      <c r="C439" s="33"/>
      <c r="D439" s="33"/>
    </row>
    <row r="440" spans="1:4" ht="12.5" x14ac:dyDescent="0.25">
      <c r="A440" s="33"/>
      <c r="B440" s="33"/>
      <c r="C440" s="33"/>
      <c r="D440" s="33"/>
    </row>
    <row r="441" spans="1:4" ht="12.5" x14ac:dyDescent="0.25">
      <c r="A441" s="33"/>
      <c r="B441" s="33"/>
      <c r="C441" s="33"/>
      <c r="D441" s="33"/>
    </row>
    <row r="442" spans="1:4" ht="12.5" x14ac:dyDescent="0.25">
      <c r="A442" s="33"/>
      <c r="B442" s="33"/>
      <c r="C442" s="33"/>
      <c r="D442" s="33"/>
    </row>
    <row r="443" spans="1:4" ht="12.5" x14ac:dyDescent="0.25">
      <c r="A443" s="33"/>
      <c r="B443" s="33"/>
      <c r="C443" s="33"/>
      <c r="D443" s="33"/>
    </row>
    <row r="444" spans="1:4" ht="12.5" x14ac:dyDescent="0.25">
      <c r="A444" s="33"/>
      <c r="B444" s="33"/>
      <c r="C444" s="33"/>
      <c r="D444" s="33"/>
    </row>
    <row r="445" spans="1:4" ht="12.5" x14ac:dyDescent="0.25">
      <c r="A445" s="33"/>
      <c r="B445" s="33"/>
      <c r="C445" s="33"/>
      <c r="D445" s="33"/>
    </row>
    <row r="446" spans="1:4" ht="12.5" x14ac:dyDescent="0.25">
      <c r="A446" s="33"/>
      <c r="B446" s="33"/>
      <c r="C446" s="33"/>
      <c r="D446" s="33"/>
    </row>
    <row r="447" spans="1:4" ht="12.5" x14ac:dyDescent="0.25">
      <c r="A447" s="33"/>
      <c r="B447" s="33"/>
      <c r="C447" s="33"/>
      <c r="D447" s="33"/>
    </row>
    <row r="448" spans="1:4" ht="12.5" x14ac:dyDescent="0.25">
      <c r="A448" s="33"/>
      <c r="B448" s="33"/>
      <c r="C448" s="33"/>
      <c r="D448" s="33"/>
    </row>
    <row r="449" spans="1:4" ht="12.5" x14ac:dyDescent="0.25">
      <c r="A449" s="33"/>
      <c r="B449" s="33"/>
      <c r="C449" s="33"/>
      <c r="D449" s="33"/>
    </row>
    <row r="450" spans="1:4" ht="12.5" x14ac:dyDescent="0.25">
      <c r="A450" s="33"/>
      <c r="B450" s="33"/>
      <c r="C450" s="33"/>
      <c r="D450" s="33"/>
    </row>
    <row r="451" spans="1:4" ht="12.5" x14ac:dyDescent="0.25">
      <c r="A451" s="33"/>
      <c r="B451" s="33"/>
      <c r="C451" s="33"/>
      <c r="D451" s="33"/>
    </row>
    <row r="452" spans="1:4" ht="12.5" x14ac:dyDescent="0.25">
      <c r="A452" s="33"/>
      <c r="B452" s="33"/>
      <c r="C452" s="33"/>
      <c r="D452" s="33"/>
    </row>
    <row r="453" spans="1:4" ht="12.5" x14ac:dyDescent="0.25">
      <c r="A453" s="33"/>
      <c r="B453" s="33"/>
      <c r="C453" s="33"/>
      <c r="D453" s="33"/>
    </row>
    <row r="454" spans="1:4" ht="12.5" x14ac:dyDescent="0.25">
      <c r="A454" s="33"/>
      <c r="B454" s="33"/>
      <c r="C454" s="33"/>
      <c r="D454" s="33"/>
    </row>
    <row r="455" spans="1:4" ht="12.5" x14ac:dyDescent="0.25">
      <c r="A455" s="33"/>
      <c r="B455" s="33"/>
      <c r="C455" s="33"/>
      <c r="D455" s="33"/>
    </row>
    <row r="456" spans="1:4" ht="12.5" x14ac:dyDescent="0.25">
      <c r="A456" s="33"/>
      <c r="B456" s="33"/>
      <c r="C456" s="33"/>
      <c r="D456" s="33"/>
    </row>
    <row r="457" spans="1:4" ht="12.5" x14ac:dyDescent="0.25">
      <c r="A457" s="33"/>
      <c r="B457" s="33"/>
      <c r="C457" s="33"/>
      <c r="D457" s="33"/>
    </row>
    <row r="458" spans="1:4" ht="12.5" x14ac:dyDescent="0.25">
      <c r="A458" s="33"/>
      <c r="B458" s="33"/>
      <c r="C458" s="33"/>
      <c r="D458" s="33"/>
    </row>
    <row r="459" spans="1:4" ht="12.5" x14ac:dyDescent="0.25">
      <c r="A459" s="33"/>
      <c r="B459" s="33"/>
      <c r="C459" s="33"/>
      <c r="D459" s="33"/>
    </row>
    <row r="460" spans="1:4" ht="12.5" x14ac:dyDescent="0.25">
      <c r="A460" s="33"/>
      <c r="B460" s="33"/>
      <c r="C460" s="33"/>
      <c r="D460" s="33"/>
    </row>
    <row r="461" spans="1:4" ht="12.5" x14ac:dyDescent="0.25">
      <c r="A461" s="33"/>
      <c r="B461" s="33"/>
      <c r="C461" s="33"/>
      <c r="D461" s="33"/>
    </row>
    <row r="462" spans="1:4" ht="12.5" x14ac:dyDescent="0.25">
      <c r="A462" s="33"/>
      <c r="B462" s="33"/>
      <c r="C462" s="33"/>
      <c r="D462" s="33"/>
    </row>
    <row r="463" spans="1:4" ht="12.5" x14ac:dyDescent="0.25">
      <c r="A463" s="33"/>
      <c r="B463" s="33"/>
      <c r="C463" s="33"/>
      <c r="D463" s="33"/>
    </row>
    <row r="464" spans="1:4" ht="12.5" x14ac:dyDescent="0.25">
      <c r="A464" s="33"/>
      <c r="B464" s="33"/>
      <c r="C464" s="33"/>
      <c r="D464" s="33"/>
    </row>
    <row r="465" spans="1:4" ht="12.5" x14ac:dyDescent="0.25">
      <c r="A465" s="33"/>
      <c r="B465" s="33"/>
      <c r="C465" s="33"/>
      <c r="D465" s="33"/>
    </row>
    <row r="466" spans="1:4" ht="12.5" x14ac:dyDescent="0.25">
      <c r="A466" s="33"/>
      <c r="B466" s="33"/>
      <c r="C466" s="33"/>
      <c r="D466" s="33"/>
    </row>
    <row r="467" spans="1:4" ht="12.5" x14ac:dyDescent="0.25">
      <c r="A467" s="33"/>
      <c r="B467" s="33"/>
      <c r="C467" s="33"/>
      <c r="D467" s="33"/>
    </row>
    <row r="468" spans="1:4" ht="12.5" x14ac:dyDescent="0.25">
      <c r="A468" s="33"/>
      <c r="B468" s="33"/>
      <c r="C468" s="33"/>
      <c r="D468" s="33"/>
    </row>
    <row r="469" spans="1:4" ht="12.5" x14ac:dyDescent="0.25">
      <c r="A469" s="33"/>
      <c r="B469" s="33"/>
      <c r="C469" s="33"/>
      <c r="D469" s="33"/>
    </row>
    <row r="470" spans="1:4" ht="12.5" x14ac:dyDescent="0.25">
      <c r="A470" s="33"/>
      <c r="B470" s="33"/>
      <c r="C470" s="33"/>
      <c r="D470" s="33"/>
    </row>
    <row r="471" spans="1:4" ht="12.5" x14ac:dyDescent="0.25">
      <c r="A471" s="33"/>
      <c r="B471" s="33"/>
      <c r="C471" s="33"/>
      <c r="D471" s="33"/>
    </row>
    <row r="472" spans="1:4" ht="12.5" x14ac:dyDescent="0.25">
      <c r="A472" s="33"/>
      <c r="B472" s="33"/>
      <c r="C472" s="33"/>
      <c r="D472" s="33"/>
    </row>
    <row r="473" spans="1:4" ht="12.5" x14ac:dyDescent="0.25">
      <c r="A473" s="33"/>
      <c r="B473" s="33"/>
      <c r="C473" s="33"/>
      <c r="D473" s="33"/>
    </row>
    <row r="474" spans="1:4" ht="12.5" x14ac:dyDescent="0.25">
      <c r="A474" s="33"/>
      <c r="B474" s="33"/>
      <c r="C474" s="33"/>
      <c r="D474" s="33"/>
    </row>
    <row r="475" spans="1:4" ht="12.5" x14ac:dyDescent="0.25">
      <c r="A475" s="33"/>
      <c r="B475" s="33"/>
      <c r="C475" s="33"/>
      <c r="D475" s="33"/>
    </row>
    <row r="476" spans="1:4" ht="12.5" x14ac:dyDescent="0.25">
      <c r="A476" s="33"/>
      <c r="B476" s="33"/>
      <c r="C476" s="33"/>
      <c r="D476" s="33"/>
    </row>
    <row r="477" spans="1:4" ht="12.5" x14ac:dyDescent="0.25">
      <c r="A477" s="33"/>
      <c r="B477" s="33"/>
      <c r="C477" s="33"/>
      <c r="D477" s="33"/>
    </row>
    <row r="478" spans="1:4" ht="12.5" x14ac:dyDescent="0.25">
      <c r="A478" s="33"/>
      <c r="B478" s="33"/>
      <c r="C478" s="33"/>
      <c r="D478" s="33"/>
    </row>
    <row r="479" spans="1:4" ht="12.5" x14ac:dyDescent="0.25">
      <c r="A479" s="33"/>
      <c r="B479" s="33"/>
      <c r="C479" s="33"/>
      <c r="D479" s="33"/>
    </row>
    <row r="480" spans="1:4" ht="12.5" x14ac:dyDescent="0.25">
      <c r="A480" s="33"/>
      <c r="B480" s="33"/>
      <c r="C480" s="33"/>
      <c r="D480" s="33"/>
    </row>
    <row r="481" spans="1:4" ht="12.5" x14ac:dyDescent="0.25">
      <c r="A481" s="33"/>
      <c r="B481" s="33"/>
      <c r="C481" s="33"/>
      <c r="D481" s="33"/>
    </row>
    <row r="482" spans="1:4" ht="12.5" x14ac:dyDescent="0.25">
      <c r="A482" s="33"/>
      <c r="B482" s="33"/>
      <c r="C482" s="33"/>
      <c r="D482" s="33"/>
    </row>
    <row r="483" spans="1:4" ht="12.5" x14ac:dyDescent="0.25">
      <c r="A483" s="33"/>
      <c r="B483" s="33"/>
      <c r="C483" s="33"/>
      <c r="D483" s="33"/>
    </row>
    <row r="484" spans="1:4" ht="12.5" x14ac:dyDescent="0.25">
      <c r="A484" s="33"/>
      <c r="B484" s="33"/>
      <c r="C484" s="33"/>
      <c r="D484" s="33"/>
    </row>
    <row r="485" spans="1:4" ht="12.5" x14ac:dyDescent="0.25">
      <c r="A485" s="33"/>
      <c r="B485" s="33"/>
      <c r="C485" s="33"/>
      <c r="D485" s="33"/>
    </row>
    <row r="486" spans="1:4" ht="12.5" x14ac:dyDescent="0.25">
      <c r="A486" s="33"/>
      <c r="B486" s="33"/>
      <c r="C486" s="33"/>
      <c r="D486" s="33"/>
    </row>
    <row r="487" spans="1:4" ht="12.5" x14ac:dyDescent="0.25">
      <c r="A487" s="33"/>
      <c r="B487" s="33"/>
      <c r="C487" s="33"/>
      <c r="D487" s="33"/>
    </row>
    <row r="488" spans="1:4" ht="12.5" x14ac:dyDescent="0.25">
      <c r="A488" s="33"/>
      <c r="B488" s="33"/>
      <c r="C488" s="33"/>
      <c r="D488" s="33"/>
    </row>
    <row r="489" spans="1:4" ht="12.5" x14ac:dyDescent="0.25">
      <c r="A489" s="33"/>
      <c r="B489" s="33"/>
      <c r="C489" s="33"/>
      <c r="D489" s="33"/>
    </row>
    <row r="490" spans="1:4" ht="12.5" x14ac:dyDescent="0.25">
      <c r="A490" s="33"/>
      <c r="B490" s="33"/>
      <c r="C490" s="33"/>
      <c r="D490" s="33"/>
    </row>
    <row r="491" spans="1:4" ht="12.5" x14ac:dyDescent="0.25">
      <c r="A491" s="33"/>
      <c r="B491" s="33"/>
      <c r="C491" s="33"/>
      <c r="D491" s="33"/>
    </row>
    <row r="492" spans="1:4" ht="12.5" x14ac:dyDescent="0.25">
      <c r="A492" s="33"/>
      <c r="B492" s="33"/>
      <c r="C492" s="33"/>
      <c r="D492" s="33"/>
    </row>
    <row r="493" spans="1:4" ht="12.5" x14ac:dyDescent="0.25">
      <c r="A493" s="33"/>
      <c r="B493" s="33"/>
      <c r="C493" s="33"/>
      <c r="D493" s="33"/>
    </row>
    <row r="494" spans="1:4" ht="12.5" x14ac:dyDescent="0.25">
      <c r="A494" s="33"/>
      <c r="B494" s="33"/>
      <c r="C494" s="33"/>
      <c r="D494" s="33"/>
    </row>
    <row r="495" spans="1:4" ht="12.5" x14ac:dyDescent="0.25">
      <c r="A495" s="33"/>
      <c r="B495" s="33"/>
      <c r="C495" s="33"/>
      <c r="D495" s="33"/>
    </row>
    <row r="496" spans="1:4" ht="12.5" x14ac:dyDescent="0.25">
      <c r="A496" s="33"/>
      <c r="B496" s="33"/>
      <c r="C496" s="33"/>
      <c r="D496" s="33"/>
    </row>
    <row r="497" spans="1:4" ht="12.5" x14ac:dyDescent="0.25">
      <c r="A497" s="33"/>
      <c r="B497" s="33"/>
      <c r="C497" s="33"/>
      <c r="D497" s="33"/>
    </row>
    <row r="498" spans="1:4" ht="12.5" x14ac:dyDescent="0.25">
      <c r="A498" s="33"/>
      <c r="B498" s="33"/>
      <c r="C498" s="33"/>
      <c r="D498" s="33"/>
    </row>
    <row r="499" spans="1:4" ht="12.5" x14ac:dyDescent="0.25">
      <c r="A499" s="33"/>
      <c r="B499" s="33"/>
      <c r="C499" s="33"/>
      <c r="D499" s="33"/>
    </row>
    <row r="500" spans="1:4" ht="12.5" x14ac:dyDescent="0.25">
      <c r="A500" s="33"/>
      <c r="B500" s="33"/>
      <c r="C500" s="33"/>
      <c r="D500" s="33"/>
    </row>
    <row r="501" spans="1:4" ht="12.5" x14ac:dyDescent="0.25">
      <c r="A501" s="33"/>
      <c r="B501" s="33"/>
      <c r="C501" s="33"/>
      <c r="D501" s="33"/>
    </row>
    <row r="502" spans="1:4" ht="12.5" x14ac:dyDescent="0.25">
      <c r="A502" s="33"/>
      <c r="B502" s="33"/>
      <c r="C502" s="33"/>
      <c r="D502" s="33"/>
    </row>
    <row r="503" spans="1:4" ht="12.5" x14ac:dyDescent="0.25">
      <c r="A503" s="33"/>
      <c r="B503" s="33"/>
      <c r="C503" s="33"/>
      <c r="D503" s="33"/>
    </row>
    <row r="504" spans="1:4" ht="12.5" x14ac:dyDescent="0.25">
      <c r="A504" s="33"/>
      <c r="B504" s="33"/>
      <c r="C504" s="33"/>
      <c r="D504" s="33"/>
    </row>
    <row r="505" spans="1:4" ht="12.5" x14ac:dyDescent="0.25">
      <c r="A505" s="33"/>
      <c r="B505" s="33"/>
      <c r="C505" s="33"/>
      <c r="D505" s="33"/>
    </row>
    <row r="506" spans="1:4" ht="12.5" x14ac:dyDescent="0.25">
      <c r="A506" s="33"/>
      <c r="B506" s="33"/>
      <c r="C506" s="33"/>
      <c r="D506" s="33"/>
    </row>
    <row r="507" spans="1:4" ht="12.5" x14ac:dyDescent="0.25">
      <c r="A507" s="33"/>
      <c r="B507" s="33"/>
      <c r="C507" s="33"/>
      <c r="D507" s="33"/>
    </row>
    <row r="508" spans="1:4" ht="12.5" x14ac:dyDescent="0.25">
      <c r="A508" s="33"/>
      <c r="B508" s="33"/>
      <c r="C508" s="33"/>
      <c r="D508" s="33"/>
    </row>
    <row r="509" spans="1:4" ht="12.5" x14ac:dyDescent="0.25">
      <c r="A509" s="33"/>
      <c r="B509" s="33"/>
      <c r="C509" s="33"/>
      <c r="D509" s="33"/>
    </row>
    <row r="510" spans="1:4" ht="12.5" x14ac:dyDescent="0.25">
      <c r="A510" s="33"/>
      <c r="B510" s="33"/>
      <c r="C510" s="33"/>
      <c r="D510" s="33"/>
    </row>
    <row r="511" spans="1:4" ht="12.5" x14ac:dyDescent="0.25">
      <c r="A511" s="33"/>
      <c r="B511" s="33"/>
      <c r="C511" s="33"/>
      <c r="D511" s="33"/>
    </row>
    <row r="512" spans="1:4" ht="12.5" x14ac:dyDescent="0.25">
      <c r="A512" s="33"/>
      <c r="B512" s="33"/>
      <c r="C512" s="33"/>
      <c r="D512" s="33"/>
    </row>
    <row r="513" spans="1:4" ht="12.5" x14ac:dyDescent="0.25">
      <c r="A513" s="33"/>
      <c r="B513" s="33"/>
      <c r="C513" s="33"/>
      <c r="D513" s="33"/>
    </row>
    <row r="514" spans="1:4" ht="12.5" x14ac:dyDescent="0.25">
      <c r="A514" s="33"/>
      <c r="B514" s="33"/>
      <c r="C514" s="33"/>
      <c r="D514" s="33"/>
    </row>
    <row r="515" spans="1:4" ht="12.5" x14ac:dyDescent="0.25">
      <c r="A515" s="33"/>
      <c r="B515" s="33"/>
      <c r="C515" s="33"/>
      <c r="D515" s="33"/>
    </row>
    <row r="516" spans="1:4" ht="12.5" x14ac:dyDescent="0.25">
      <c r="A516" s="33"/>
      <c r="B516" s="33"/>
      <c r="C516" s="33"/>
      <c r="D516" s="33"/>
    </row>
    <row r="517" spans="1:4" ht="12.5" x14ac:dyDescent="0.25">
      <c r="A517" s="33"/>
      <c r="B517" s="33"/>
      <c r="C517" s="33"/>
      <c r="D517" s="33"/>
    </row>
    <row r="518" spans="1:4" ht="12.5" x14ac:dyDescent="0.25">
      <c r="A518" s="33"/>
      <c r="B518" s="33"/>
      <c r="C518" s="33"/>
      <c r="D518" s="33"/>
    </row>
    <row r="519" spans="1:4" ht="12.5" x14ac:dyDescent="0.25">
      <c r="A519" s="33"/>
      <c r="B519" s="33"/>
      <c r="C519" s="33"/>
      <c r="D519" s="33"/>
    </row>
    <row r="520" spans="1:4" ht="12.5" x14ac:dyDescent="0.25">
      <c r="A520" s="33"/>
      <c r="B520" s="33"/>
      <c r="C520" s="33"/>
      <c r="D520" s="33"/>
    </row>
    <row r="521" spans="1:4" ht="12.5" x14ac:dyDescent="0.25">
      <c r="A521" s="33"/>
      <c r="B521" s="33"/>
      <c r="C521" s="33"/>
      <c r="D521" s="33"/>
    </row>
    <row r="522" spans="1:4" ht="12.5" x14ac:dyDescent="0.25">
      <c r="A522" s="33"/>
      <c r="B522" s="33"/>
      <c r="C522" s="33"/>
      <c r="D522" s="33"/>
    </row>
    <row r="523" spans="1:4" ht="12.5" x14ac:dyDescent="0.25">
      <c r="A523" s="33"/>
      <c r="B523" s="33"/>
      <c r="C523" s="33"/>
      <c r="D523" s="33"/>
    </row>
    <row r="524" spans="1:4" ht="12.5" x14ac:dyDescent="0.25">
      <c r="A524" s="33"/>
      <c r="B524" s="33"/>
      <c r="C524" s="33"/>
      <c r="D524" s="33"/>
    </row>
    <row r="525" spans="1:4" ht="12.5" x14ac:dyDescent="0.25">
      <c r="A525" s="33"/>
      <c r="B525" s="33"/>
      <c r="C525" s="33"/>
      <c r="D525" s="33"/>
    </row>
    <row r="526" spans="1:4" ht="12.5" x14ac:dyDescent="0.25">
      <c r="A526" s="33"/>
      <c r="B526" s="33"/>
      <c r="C526" s="33"/>
      <c r="D526" s="33"/>
    </row>
    <row r="527" spans="1:4" ht="12.5" x14ac:dyDescent="0.25">
      <c r="A527" s="33"/>
      <c r="B527" s="33"/>
      <c r="C527" s="33"/>
      <c r="D527" s="33"/>
    </row>
    <row r="528" spans="1:4" ht="12.5" x14ac:dyDescent="0.25">
      <c r="A528" s="33"/>
      <c r="B528" s="33"/>
      <c r="C528" s="33"/>
      <c r="D528" s="33"/>
    </row>
    <row r="529" spans="1:4" ht="12.5" x14ac:dyDescent="0.25">
      <c r="A529" s="33"/>
      <c r="B529" s="33"/>
      <c r="C529" s="33"/>
      <c r="D529" s="33"/>
    </row>
    <row r="530" spans="1:4" ht="12.5" x14ac:dyDescent="0.25">
      <c r="A530" s="33"/>
      <c r="B530" s="33"/>
      <c r="C530" s="33"/>
      <c r="D530" s="33"/>
    </row>
    <row r="531" spans="1:4" ht="12.5" x14ac:dyDescent="0.25">
      <c r="A531" s="33"/>
      <c r="B531" s="33"/>
      <c r="C531" s="33"/>
      <c r="D531" s="33"/>
    </row>
    <row r="532" spans="1:4" ht="12.5" x14ac:dyDescent="0.25">
      <c r="A532" s="33"/>
      <c r="B532" s="33"/>
      <c r="C532" s="33"/>
      <c r="D532" s="33"/>
    </row>
    <row r="533" spans="1:4" ht="12.5" x14ac:dyDescent="0.25">
      <c r="A533" s="33"/>
      <c r="B533" s="33"/>
      <c r="C533" s="33"/>
      <c r="D533" s="33"/>
    </row>
    <row r="534" spans="1:4" ht="12.5" x14ac:dyDescent="0.25">
      <c r="A534" s="33"/>
      <c r="B534" s="33"/>
      <c r="C534" s="33"/>
      <c r="D534" s="33"/>
    </row>
    <row r="535" spans="1:4" ht="12.5" x14ac:dyDescent="0.25">
      <c r="A535" s="33"/>
      <c r="B535" s="33"/>
      <c r="C535" s="33"/>
      <c r="D535" s="33"/>
    </row>
    <row r="536" spans="1:4" ht="12.5" x14ac:dyDescent="0.25">
      <c r="A536" s="33"/>
      <c r="B536" s="33"/>
      <c r="C536" s="33"/>
      <c r="D536" s="33"/>
    </row>
    <row r="537" spans="1:4" ht="12.5" x14ac:dyDescent="0.25">
      <c r="A537" s="33"/>
      <c r="B537" s="33"/>
      <c r="C537" s="33"/>
      <c r="D537" s="33"/>
    </row>
    <row r="538" spans="1:4" ht="12.5" x14ac:dyDescent="0.25">
      <c r="A538" s="33"/>
      <c r="B538" s="33"/>
      <c r="C538" s="33"/>
      <c r="D538" s="33"/>
    </row>
    <row r="539" spans="1:4" ht="12.5" x14ac:dyDescent="0.25">
      <c r="A539" s="33"/>
      <c r="B539" s="33"/>
      <c r="C539" s="33"/>
      <c r="D539" s="33"/>
    </row>
    <row r="540" spans="1:4" ht="12.5" x14ac:dyDescent="0.25">
      <c r="A540" s="33"/>
      <c r="B540" s="33"/>
      <c r="C540" s="33"/>
      <c r="D540" s="33"/>
    </row>
    <row r="541" spans="1:4" ht="12.5" x14ac:dyDescent="0.25">
      <c r="A541" s="33"/>
      <c r="B541" s="33"/>
      <c r="C541" s="33"/>
      <c r="D541" s="33"/>
    </row>
    <row r="542" spans="1:4" ht="12.5" x14ac:dyDescent="0.25">
      <c r="A542" s="33"/>
      <c r="B542" s="33"/>
      <c r="C542" s="33"/>
      <c r="D542" s="33"/>
    </row>
    <row r="543" spans="1:4" ht="12.5" x14ac:dyDescent="0.25">
      <c r="A543" s="33"/>
      <c r="B543" s="33"/>
      <c r="C543" s="33"/>
      <c r="D543" s="33"/>
    </row>
    <row r="544" spans="1:4" ht="12.5" x14ac:dyDescent="0.25">
      <c r="A544" s="33"/>
      <c r="B544" s="33"/>
      <c r="C544" s="33"/>
      <c r="D544" s="33"/>
    </row>
    <row r="545" spans="1:4" ht="12.5" x14ac:dyDescent="0.25">
      <c r="A545" s="33"/>
      <c r="B545" s="33"/>
      <c r="C545" s="33"/>
      <c r="D545" s="33"/>
    </row>
    <row r="546" spans="1:4" ht="12.5" x14ac:dyDescent="0.25">
      <c r="A546" s="33"/>
      <c r="B546" s="33"/>
      <c r="C546" s="33"/>
      <c r="D546" s="33"/>
    </row>
    <row r="547" spans="1:4" ht="12.5" x14ac:dyDescent="0.25">
      <c r="A547" s="33"/>
      <c r="B547" s="33"/>
      <c r="C547" s="33"/>
      <c r="D547" s="33"/>
    </row>
    <row r="548" spans="1:4" ht="12.5" x14ac:dyDescent="0.25">
      <c r="A548" s="33"/>
      <c r="B548" s="33"/>
      <c r="C548" s="33"/>
      <c r="D548" s="33"/>
    </row>
    <row r="549" spans="1:4" ht="12.5" x14ac:dyDescent="0.25">
      <c r="A549" s="33"/>
      <c r="B549" s="33"/>
      <c r="C549" s="33"/>
      <c r="D549" s="33"/>
    </row>
    <row r="550" spans="1:4" ht="12.5" x14ac:dyDescent="0.25">
      <c r="A550" s="33"/>
      <c r="B550" s="33"/>
      <c r="C550" s="33"/>
      <c r="D550" s="33"/>
    </row>
    <row r="551" spans="1:4" ht="12.5" x14ac:dyDescent="0.25">
      <c r="A551" s="33"/>
      <c r="B551" s="33"/>
      <c r="C551" s="33"/>
      <c r="D551" s="33"/>
    </row>
    <row r="552" spans="1:4" ht="12.5" x14ac:dyDescent="0.25">
      <c r="A552" s="33"/>
      <c r="B552" s="33"/>
      <c r="C552" s="33"/>
      <c r="D552" s="33"/>
    </row>
    <row r="553" spans="1:4" ht="12.5" x14ac:dyDescent="0.25">
      <c r="A553" s="33"/>
      <c r="B553" s="33"/>
      <c r="C553" s="33"/>
      <c r="D553" s="33"/>
    </row>
    <row r="554" spans="1:4" ht="12.5" x14ac:dyDescent="0.25">
      <c r="A554" s="33"/>
      <c r="B554" s="33"/>
      <c r="C554" s="33"/>
      <c r="D554" s="33"/>
    </row>
    <row r="555" spans="1:4" ht="12.5" x14ac:dyDescent="0.25">
      <c r="A555" s="33"/>
      <c r="B555" s="33"/>
      <c r="C555" s="33"/>
      <c r="D555" s="33"/>
    </row>
    <row r="556" spans="1:4" ht="12.5" x14ac:dyDescent="0.25">
      <c r="A556" s="33"/>
      <c r="B556" s="33"/>
      <c r="C556" s="33"/>
      <c r="D556" s="33"/>
    </row>
    <row r="557" spans="1:4" ht="12.5" x14ac:dyDescent="0.25">
      <c r="A557" s="33"/>
      <c r="B557" s="33"/>
      <c r="C557" s="33"/>
      <c r="D557" s="33"/>
    </row>
    <row r="558" spans="1:4" ht="12.5" x14ac:dyDescent="0.25">
      <c r="A558" s="33"/>
      <c r="B558" s="33"/>
      <c r="C558" s="33"/>
      <c r="D558" s="33"/>
    </row>
    <row r="559" spans="1:4" ht="12.5" x14ac:dyDescent="0.25">
      <c r="A559" s="33"/>
      <c r="B559" s="33"/>
      <c r="C559" s="33"/>
      <c r="D559" s="33"/>
    </row>
    <row r="560" spans="1:4" ht="12.5" x14ac:dyDescent="0.25">
      <c r="A560" s="33"/>
      <c r="B560" s="33"/>
      <c r="C560" s="33"/>
      <c r="D560" s="33"/>
    </row>
    <row r="561" spans="1:4" ht="12.5" x14ac:dyDescent="0.25">
      <c r="A561" s="33"/>
      <c r="B561" s="33"/>
      <c r="C561" s="33"/>
      <c r="D561" s="33"/>
    </row>
    <row r="562" spans="1:4" ht="12.5" x14ac:dyDescent="0.25">
      <c r="A562" s="33"/>
      <c r="B562" s="33"/>
      <c r="C562" s="33"/>
      <c r="D562" s="33"/>
    </row>
    <row r="563" spans="1:4" ht="12.5" x14ac:dyDescent="0.25">
      <c r="A563" s="33"/>
      <c r="B563" s="33"/>
      <c r="C563" s="33"/>
      <c r="D563" s="33"/>
    </row>
    <row r="564" spans="1:4" ht="12.5" x14ac:dyDescent="0.25">
      <c r="A564" s="33"/>
      <c r="B564" s="33"/>
      <c r="C564" s="33"/>
      <c r="D564" s="33"/>
    </row>
    <row r="565" spans="1:4" ht="12.5" x14ac:dyDescent="0.25">
      <c r="A565" s="33"/>
      <c r="B565" s="33"/>
      <c r="C565" s="33"/>
      <c r="D565" s="33"/>
    </row>
    <row r="566" spans="1:4" ht="12.5" x14ac:dyDescent="0.25">
      <c r="A566" s="33"/>
      <c r="B566" s="33"/>
      <c r="C566" s="33"/>
      <c r="D566" s="33"/>
    </row>
    <row r="567" spans="1:4" ht="12.5" x14ac:dyDescent="0.25">
      <c r="A567" s="33"/>
      <c r="B567" s="33"/>
      <c r="C567" s="33"/>
      <c r="D567" s="33"/>
    </row>
    <row r="568" spans="1:4" ht="12.5" x14ac:dyDescent="0.25">
      <c r="A568" s="33"/>
      <c r="B568" s="33"/>
      <c r="C568" s="33"/>
      <c r="D568" s="33"/>
    </row>
    <row r="569" spans="1:4" ht="12.5" x14ac:dyDescent="0.25">
      <c r="A569" s="33"/>
      <c r="B569" s="33"/>
      <c r="C569" s="33"/>
      <c r="D569" s="33"/>
    </row>
    <row r="570" spans="1:4" ht="12.5" x14ac:dyDescent="0.25">
      <c r="A570" s="33"/>
      <c r="B570" s="33"/>
      <c r="C570" s="33"/>
      <c r="D570" s="33"/>
    </row>
    <row r="571" spans="1:4" ht="12.5" x14ac:dyDescent="0.25">
      <c r="A571" s="33"/>
      <c r="B571" s="33"/>
      <c r="C571" s="33"/>
      <c r="D571" s="33"/>
    </row>
    <row r="572" spans="1:4" ht="12.5" x14ac:dyDescent="0.25">
      <c r="A572" s="33"/>
      <c r="B572" s="33"/>
      <c r="C572" s="33"/>
      <c r="D572" s="33"/>
    </row>
    <row r="573" spans="1:4" ht="12.5" x14ac:dyDescent="0.25">
      <c r="A573" s="33"/>
      <c r="B573" s="33"/>
      <c r="C573" s="33"/>
      <c r="D573" s="33"/>
    </row>
    <row r="574" spans="1:4" ht="12.5" x14ac:dyDescent="0.25">
      <c r="A574" s="33"/>
      <c r="B574" s="33"/>
      <c r="C574" s="33"/>
      <c r="D574" s="33"/>
    </row>
    <row r="575" spans="1:4" ht="12.5" x14ac:dyDescent="0.25">
      <c r="A575" s="33"/>
      <c r="B575" s="33"/>
      <c r="C575" s="33"/>
      <c r="D575" s="33"/>
    </row>
    <row r="576" spans="1:4" ht="12.5" x14ac:dyDescent="0.25">
      <c r="A576" s="33"/>
      <c r="B576" s="33"/>
      <c r="C576" s="33"/>
      <c r="D576" s="33"/>
    </row>
    <row r="577" spans="1:4" ht="12.5" x14ac:dyDescent="0.25">
      <c r="A577" s="33"/>
      <c r="B577" s="33"/>
      <c r="C577" s="33"/>
      <c r="D577" s="33"/>
    </row>
    <row r="578" spans="1:4" ht="12.5" x14ac:dyDescent="0.25">
      <c r="A578" s="33"/>
      <c r="B578" s="33"/>
      <c r="C578" s="33"/>
      <c r="D578" s="33"/>
    </row>
    <row r="579" spans="1:4" ht="12.5" x14ac:dyDescent="0.25">
      <c r="A579" s="33"/>
      <c r="B579" s="33"/>
      <c r="C579" s="33"/>
      <c r="D579" s="33"/>
    </row>
    <row r="580" spans="1:4" ht="12.5" x14ac:dyDescent="0.25">
      <c r="A580" s="33"/>
      <c r="B580" s="33"/>
      <c r="C580" s="33"/>
      <c r="D580" s="33"/>
    </row>
    <row r="581" spans="1:4" ht="12.5" x14ac:dyDescent="0.25">
      <c r="A581" s="33"/>
      <c r="B581" s="33"/>
      <c r="C581" s="33"/>
      <c r="D581" s="33"/>
    </row>
    <row r="582" spans="1:4" ht="12.5" x14ac:dyDescent="0.25">
      <c r="A582" s="33"/>
      <c r="B582" s="33"/>
      <c r="C582" s="33"/>
      <c r="D582" s="33"/>
    </row>
    <row r="583" spans="1:4" ht="12.5" x14ac:dyDescent="0.25">
      <c r="A583" s="33"/>
      <c r="B583" s="33"/>
      <c r="C583" s="33"/>
      <c r="D583" s="33"/>
    </row>
    <row r="584" spans="1:4" ht="12.5" x14ac:dyDescent="0.25">
      <c r="A584" s="33"/>
      <c r="B584" s="33"/>
      <c r="C584" s="33"/>
      <c r="D584" s="33"/>
    </row>
    <row r="585" spans="1:4" ht="12.5" x14ac:dyDescent="0.25">
      <c r="A585" s="33"/>
      <c r="B585" s="33"/>
      <c r="C585" s="33"/>
      <c r="D585" s="33"/>
    </row>
    <row r="586" spans="1:4" ht="12.5" x14ac:dyDescent="0.25">
      <c r="A586" s="33"/>
      <c r="B586" s="33"/>
      <c r="C586" s="33"/>
      <c r="D586" s="33"/>
    </row>
    <row r="587" spans="1:4" ht="12.5" x14ac:dyDescent="0.25">
      <c r="A587" s="33"/>
      <c r="B587" s="33"/>
      <c r="C587" s="33"/>
      <c r="D587" s="33"/>
    </row>
    <row r="588" spans="1:4" ht="12.5" x14ac:dyDescent="0.25">
      <c r="A588" s="33"/>
      <c r="B588" s="33"/>
      <c r="C588" s="33"/>
      <c r="D588" s="33"/>
    </row>
    <row r="589" spans="1:4" ht="12.5" x14ac:dyDescent="0.25">
      <c r="A589" s="33"/>
      <c r="B589" s="33"/>
      <c r="C589" s="33"/>
      <c r="D589" s="33"/>
    </row>
    <row r="590" spans="1:4" ht="12.5" x14ac:dyDescent="0.25">
      <c r="A590" s="33"/>
      <c r="B590" s="33"/>
      <c r="C590" s="33"/>
      <c r="D590" s="33"/>
    </row>
    <row r="591" spans="1:4" ht="12.5" x14ac:dyDescent="0.25">
      <c r="A591" s="33"/>
      <c r="B591" s="33"/>
      <c r="C591" s="33"/>
      <c r="D591" s="33"/>
    </row>
    <row r="592" spans="1:4" ht="12.5" x14ac:dyDescent="0.25">
      <c r="A592" s="33"/>
      <c r="B592" s="33"/>
      <c r="C592" s="33"/>
      <c r="D592" s="33"/>
    </row>
    <row r="593" spans="1:4" ht="12.5" x14ac:dyDescent="0.25">
      <c r="A593" s="33"/>
      <c r="B593" s="33"/>
      <c r="C593" s="33"/>
      <c r="D593" s="33"/>
    </row>
    <row r="594" spans="1:4" ht="12.5" x14ac:dyDescent="0.25">
      <c r="A594" s="33"/>
      <c r="B594" s="33"/>
      <c r="C594" s="33"/>
      <c r="D594" s="33"/>
    </row>
    <row r="595" spans="1:4" ht="12.5" x14ac:dyDescent="0.25">
      <c r="A595" s="33"/>
      <c r="B595" s="33"/>
      <c r="C595" s="33"/>
      <c r="D595" s="33"/>
    </row>
    <row r="596" spans="1:4" ht="12.5" x14ac:dyDescent="0.25">
      <c r="A596" s="33"/>
      <c r="B596" s="33"/>
      <c r="C596" s="33"/>
      <c r="D596" s="33"/>
    </row>
    <row r="597" spans="1:4" ht="12.5" x14ac:dyDescent="0.25">
      <c r="A597" s="33"/>
      <c r="B597" s="33"/>
      <c r="C597" s="33"/>
      <c r="D597" s="33"/>
    </row>
    <row r="598" spans="1:4" ht="12.5" x14ac:dyDescent="0.25">
      <c r="A598" s="33"/>
      <c r="B598" s="33"/>
      <c r="C598" s="33"/>
      <c r="D598" s="33"/>
    </row>
    <row r="599" spans="1:4" ht="12.5" x14ac:dyDescent="0.25">
      <c r="A599" s="33"/>
      <c r="B599" s="33"/>
      <c r="C599" s="33"/>
      <c r="D599" s="33"/>
    </row>
    <row r="600" spans="1:4" ht="12.5" x14ac:dyDescent="0.25">
      <c r="A600" s="33"/>
      <c r="B600" s="33"/>
      <c r="C600" s="33"/>
      <c r="D600" s="33"/>
    </row>
    <row r="601" spans="1:4" ht="12.5" x14ac:dyDescent="0.25">
      <c r="A601" s="33"/>
      <c r="B601" s="33"/>
      <c r="C601" s="33"/>
      <c r="D601" s="33"/>
    </row>
    <row r="602" spans="1:4" ht="12.5" x14ac:dyDescent="0.25">
      <c r="A602" s="33"/>
      <c r="B602" s="33"/>
      <c r="C602" s="33"/>
      <c r="D602" s="33"/>
    </row>
    <row r="603" spans="1:4" ht="12.5" x14ac:dyDescent="0.25">
      <c r="A603" s="33"/>
      <c r="B603" s="33"/>
      <c r="C603" s="33"/>
      <c r="D603" s="33"/>
    </row>
    <row r="604" spans="1:4" ht="12.5" x14ac:dyDescent="0.25">
      <c r="A604" s="33"/>
      <c r="B604" s="33"/>
      <c r="C604" s="33"/>
      <c r="D604" s="33"/>
    </row>
    <row r="605" spans="1:4" ht="12.5" x14ac:dyDescent="0.25">
      <c r="A605" s="33"/>
      <c r="B605" s="33"/>
      <c r="C605" s="33"/>
      <c r="D605" s="33"/>
    </row>
    <row r="606" spans="1:4" ht="12.5" x14ac:dyDescent="0.25">
      <c r="A606" s="33"/>
      <c r="B606" s="33"/>
      <c r="C606" s="33"/>
      <c r="D606" s="33"/>
    </row>
    <row r="607" spans="1:4" ht="12.5" x14ac:dyDescent="0.25">
      <c r="A607" s="33"/>
      <c r="B607" s="33"/>
      <c r="C607" s="33"/>
      <c r="D607" s="33"/>
    </row>
    <row r="608" spans="1:4" ht="12.5" x14ac:dyDescent="0.25">
      <c r="A608" s="33"/>
      <c r="B608" s="33"/>
      <c r="C608" s="33"/>
      <c r="D608" s="33"/>
    </row>
    <row r="609" spans="1:4" ht="12.5" x14ac:dyDescent="0.25">
      <c r="A609" s="33"/>
      <c r="B609" s="33"/>
      <c r="C609" s="33"/>
      <c r="D609" s="33"/>
    </row>
    <row r="610" spans="1:4" ht="12.5" x14ac:dyDescent="0.25">
      <c r="A610" s="33"/>
      <c r="B610" s="33"/>
      <c r="C610" s="33"/>
      <c r="D610" s="33"/>
    </row>
    <row r="611" spans="1:4" ht="12.5" x14ac:dyDescent="0.25">
      <c r="A611" s="33"/>
      <c r="B611" s="33"/>
      <c r="C611" s="33"/>
      <c r="D611" s="33"/>
    </row>
    <row r="612" spans="1:4" ht="12.5" x14ac:dyDescent="0.25">
      <c r="A612" s="33"/>
      <c r="B612" s="33"/>
      <c r="C612" s="33"/>
      <c r="D612" s="33"/>
    </row>
    <row r="613" spans="1:4" ht="12.5" x14ac:dyDescent="0.25">
      <c r="A613" s="33"/>
      <c r="B613" s="33"/>
      <c r="C613" s="33"/>
      <c r="D613" s="33"/>
    </row>
    <row r="614" spans="1:4" ht="12.5" x14ac:dyDescent="0.25">
      <c r="A614" s="33"/>
      <c r="B614" s="33"/>
      <c r="C614" s="33"/>
      <c r="D614" s="33"/>
    </row>
    <row r="615" spans="1:4" ht="12.5" x14ac:dyDescent="0.25">
      <c r="A615" s="33"/>
      <c r="B615" s="33"/>
      <c r="C615" s="33"/>
      <c r="D615" s="33"/>
    </row>
    <row r="616" spans="1:4" ht="12.5" x14ac:dyDescent="0.25">
      <c r="A616" s="33"/>
      <c r="B616" s="33"/>
      <c r="C616" s="33"/>
      <c r="D616" s="33"/>
    </row>
    <row r="617" spans="1:4" ht="12.5" x14ac:dyDescent="0.25">
      <c r="A617" s="33"/>
      <c r="B617" s="33"/>
      <c r="C617" s="33"/>
      <c r="D617" s="33"/>
    </row>
    <row r="618" spans="1:4" ht="12.5" x14ac:dyDescent="0.25">
      <c r="A618" s="33"/>
      <c r="B618" s="33"/>
      <c r="C618" s="33"/>
      <c r="D618" s="33"/>
    </row>
    <row r="619" spans="1:4" ht="12.5" x14ac:dyDescent="0.25">
      <c r="A619" s="33"/>
      <c r="B619" s="33"/>
      <c r="C619" s="33"/>
      <c r="D619" s="33"/>
    </row>
    <row r="620" spans="1:4" ht="12.5" x14ac:dyDescent="0.25">
      <c r="A620" s="33"/>
      <c r="B620" s="33"/>
      <c r="C620" s="33"/>
      <c r="D620" s="33"/>
    </row>
    <row r="621" spans="1:4" ht="12.5" x14ac:dyDescent="0.25">
      <c r="A621" s="33"/>
      <c r="B621" s="33"/>
      <c r="C621" s="33"/>
      <c r="D621" s="33"/>
    </row>
    <row r="622" spans="1:4" ht="12.5" x14ac:dyDescent="0.25">
      <c r="A622" s="33"/>
      <c r="B622" s="33"/>
      <c r="C622" s="33"/>
      <c r="D622" s="33"/>
    </row>
    <row r="623" spans="1:4" ht="12.5" x14ac:dyDescent="0.25">
      <c r="A623" s="33"/>
      <c r="B623" s="33"/>
      <c r="C623" s="33"/>
      <c r="D623" s="33"/>
    </row>
    <row r="624" spans="1:4" ht="12.5" x14ac:dyDescent="0.25">
      <c r="A624" s="33"/>
      <c r="B624" s="33"/>
      <c r="C624" s="33"/>
      <c r="D624" s="33"/>
    </row>
    <row r="625" spans="1:4" ht="12.5" x14ac:dyDescent="0.25">
      <c r="A625" s="33"/>
      <c r="B625" s="33"/>
      <c r="C625" s="33"/>
      <c r="D625" s="33"/>
    </row>
    <row r="626" spans="1:4" ht="12.5" x14ac:dyDescent="0.25">
      <c r="A626" s="33"/>
      <c r="B626" s="33"/>
      <c r="C626" s="33"/>
      <c r="D626" s="33"/>
    </row>
    <row r="627" spans="1:4" ht="12.5" x14ac:dyDescent="0.25">
      <c r="A627" s="33"/>
      <c r="B627" s="33"/>
      <c r="C627" s="33"/>
      <c r="D627" s="33"/>
    </row>
    <row r="628" spans="1:4" ht="12.5" x14ac:dyDescent="0.25">
      <c r="A628" s="33"/>
      <c r="B628" s="33"/>
      <c r="C628" s="33"/>
      <c r="D628" s="33"/>
    </row>
    <row r="629" spans="1:4" ht="12.5" x14ac:dyDescent="0.25">
      <c r="A629" s="33"/>
      <c r="B629" s="33"/>
      <c r="C629" s="33"/>
      <c r="D629" s="33"/>
    </row>
    <row r="630" spans="1:4" ht="12.5" x14ac:dyDescent="0.25">
      <c r="A630" s="33"/>
      <c r="B630" s="33"/>
      <c r="C630" s="33"/>
      <c r="D630" s="33"/>
    </row>
    <row r="631" spans="1:4" ht="12.5" x14ac:dyDescent="0.25">
      <c r="A631" s="33"/>
      <c r="B631" s="33"/>
      <c r="C631" s="33"/>
      <c r="D631" s="33"/>
    </row>
    <row r="632" spans="1:4" ht="12.5" x14ac:dyDescent="0.25">
      <c r="A632" s="33"/>
      <c r="B632" s="33"/>
      <c r="C632" s="33"/>
      <c r="D632" s="33"/>
    </row>
    <row r="633" spans="1:4" ht="12.5" x14ac:dyDescent="0.25">
      <c r="A633" s="33"/>
      <c r="B633" s="33"/>
      <c r="C633" s="33"/>
      <c r="D633" s="33"/>
    </row>
    <row r="634" spans="1:4" ht="12.5" x14ac:dyDescent="0.25">
      <c r="A634" s="33"/>
      <c r="B634" s="33"/>
      <c r="C634" s="33"/>
      <c r="D634" s="33"/>
    </row>
    <row r="635" spans="1:4" ht="12.5" x14ac:dyDescent="0.25">
      <c r="A635" s="33"/>
      <c r="B635" s="33"/>
      <c r="C635" s="33"/>
      <c r="D635" s="33"/>
    </row>
    <row r="636" spans="1:4" ht="12.5" x14ac:dyDescent="0.25">
      <c r="A636" s="33"/>
      <c r="B636" s="33"/>
      <c r="C636" s="33"/>
      <c r="D636" s="33"/>
    </row>
    <row r="637" spans="1:4" ht="12.5" x14ac:dyDescent="0.25">
      <c r="A637" s="33"/>
      <c r="B637" s="33"/>
      <c r="C637" s="33"/>
      <c r="D637" s="33"/>
    </row>
    <row r="638" spans="1:4" ht="12.5" x14ac:dyDescent="0.25">
      <c r="A638" s="33"/>
      <c r="B638" s="33"/>
      <c r="C638" s="33"/>
      <c r="D638" s="33"/>
    </row>
    <row r="639" spans="1:4" ht="12.5" x14ac:dyDescent="0.25">
      <c r="A639" s="33"/>
      <c r="B639" s="33"/>
      <c r="C639" s="33"/>
      <c r="D639" s="33"/>
    </row>
    <row r="640" spans="1:4" ht="12.5" x14ac:dyDescent="0.25">
      <c r="A640" s="33"/>
      <c r="B640" s="33"/>
      <c r="C640" s="33"/>
      <c r="D640" s="33"/>
    </row>
    <row r="641" spans="1:4" ht="12.5" x14ac:dyDescent="0.25">
      <c r="A641" s="33"/>
      <c r="B641" s="33"/>
      <c r="C641" s="33"/>
      <c r="D641" s="33"/>
    </row>
    <row r="642" spans="1:4" ht="12.5" x14ac:dyDescent="0.25">
      <c r="A642" s="33"/>
      <c r="B642" s="33"/>
      <c r="C642" s="33"/>
      <c r="D642" s="33"/>
    </row>
    <row r="643" spans="1:4" ht="12.5" x14ac:dyDescent="0.25">
      <c r="A643" s="33"/>
      <c r="B643" s="33"/>
      <c r="C643" s="33"/>
      <c r="D643" s="33"/>
    </row>
    <row r="644" spans="1:4" ht="12.5" x14ac:dyDescent="0.25">
      <c r="A644" s="33"/>
      <c r="B644" s="33"/>
      <c r="C644" s="33"/>
      <c r="D644" s="33"/>
    </row>
    <row r="645" spans="1:4" ht="12.5" x14ac:dyDescent="0.25">
      <c r="A645" s="33"/>
      <c r="B645" s="33"/>
      <c r="C645" s="33"/>
      <c r="D645" s="33"/>
    </row>
    <row r="646" spans="1:4" ht="12.5" x14ac:dyDescent="0.25">
      <c r="A646" s="33"/>
      <c r="B646" s="33"/>
      <c r="C646" s="33"/>
      <c r="D646" s="33"/>
    </row>
    <row r="647" spans="1:4" ht="12.5" x14ac:dyDescent="0.25">
      <c r="A647" s="33"/>
      <c r="B647" s="33"/>
      <c r="C647" s="33"/>
      <c r="D647" s="33"/>
    </row>
    <row r="648" spans="1:4" ht="12.5" x14ac:dyDescent="0.25">
      <c r="A648" s="33"/>
      <c r="B648" s="33"/>
      <c r="C648" s="33"/>
      <c r="D648" s="33"/>
    </row>
    <row r="649" spans="1:4" ht="12.5" x14ac:dyDescent="0.25">
      <c r="A649" s="33"/>
      <c r="B649" s="33"/>
      <c r="C649" s="33"/>
      <c r="D649" s="33"/>
    </row>
    <row r="650" spans="1:4" ht="12.5" x14ac:dyDescent="0.25">
      <c r="A650" s="33"/>
      <c r="B650" s="33"/>
      <c r="C650" s="33"/>
      <c r="D650" s="33"/>
    </row>
    <row r="651" spans="1:4" ht="12.5" x14ac:dyDescent="0.25">
      <c r="A651" s="33"/>
      <c r="B651" s="33"/>
      <c r="C651" s="33"/>
      <c r="D651" s="33"/>
    </row>
    <row r="652" spans="1:4" ht="12.5" x14ac:dyDescent="0.25">
      <c r="A652" s="33"/>
      <c r="B652" s="33"/>
      <c r="C652" s="33"/>
      <c r="D652" s="33"/>
    </row>
    <row r="653" spans="1:4" ht="12.5" x14ac:dyDescent="0.25">
      <c r="A653" s="33"/>
      <c r="B653" s="33"/>
      <c r="C653" s="33"/>
      <c r="D653" s="33"/>
    </row>
    <row r="654" spans="1:4" ht="12.5" x14ac:dyDescent="0.25">
      <c r="A654" s="33"/>
      <c r="B654" s="33"/>
      <c r="C654" s="33"/>
      <c r="D654" s="33"/>
    </row>
    <row r="655" spans="1:4" ht="12.5" x14ac:dyDescent="0.25">
      <c r="A655" s="33"/>
      <c r="B655" s="33"/>
      <c r="C655" s="33"/>
      <c r="D655" s="33"/>
    </row>
    <row r="656" spans="1:4" ht="12.5" x14ac:dyDescent="0.25">
      <c r="A656" s="33"/>
      <c r="B656" s="33"/>
      <c r="C656" s="33"/>
      <c r="D656" s="33"/>
    </row>
    <row r="657" spans="1:4" ht="12.5" x14ac:dyDescent="0.25">
      <c r="A657" s="33"/>
      <c r="B657" s="33"/>
      <c r="C657" s="33"/>
      <c r="D657" s="33"/>
    </row>
    <row r="658" spans="1:4" ht="12.5" x14ac:dyDescent="0.25">
      <c r="A658" s="33"/>
      <c r="B658" s="33"/>
      <c r="C658" s="33"/>
      <c r="D658" s="33"/>
    </row>
    <row r="659" spans="1:4" ht="12.5" x14ac:dyDescent="0.25">
      <c r="A659" s="33"/>
      <c r="B659" s="33"/>
      <c r="C659" s="33"/>
      <c r="D659" s="33"/>
    </row>
    <row r="660" spans="1:4" ht="12.5" x14ac:dyDescent="0.25">
      <c r="A660" s="33"/>
      <c r="B660" s="33"/>
      <c r="C660" s="33"/>
      <c r="D660" s="33"/>
    </row>
    <row r="661" spans="1:4" ht="12.5" x14ac:dyDescent="0.25">
      <c r="A661" s="33"/>
      <c r="B661" s="33"/>
      <c r="C661" s="33"/>
      <c r="D661" s="33"/>
    </row>
    <row r="662" spans="1:4" ht="12.5" x14ac:dyDescent="0.25">
      <c r="A662" s="33"/>
      <c r="B662" s="33"/>
      <c r="C662" s="33"/>
      <c r="D662" s="33"/>
    </row>
    <row r="663" spans="1:4" ht="12.5" x14ac:dyDescent="0.25">
      <c r="A663" s="33"/>
      <c r="B663" s="33"/>
      <c r="C663" s="33"/>
      <c r="D663" s="33"/>
    </row>
    <row r="664" spans="1:4" ht="12.5" x14ac:dyDescent="0.25">
      <c r="A664" s="33"/>
      <c r="B664" s="33"/>
      <c r="C664" s="33"/>
      <c r="D664" s="33"/>
    </row>
    <row r="665" spans="1:4" ht="12.5" x14ac:dyDescent="0.25">
      <c r="A665" s="33"/>
      <c r="B665" s="33"/>
      <c r="C665" s="33"/>
      <c r="D665" s="33"/>
    </row>
    <row r="666" spans="1:4" ht="12.5" x14ac:dyDescent="0.25">
      <c r="A666" s="33"/>
      <c r="B666" s="33"/>
      <c r="C666" s="33"/>
      <c r="D666" s="33"/>
    </row>
    <row r="667" spans="1:4" ht="12.5" x14ac:dyDescent="0.25">
      <c r="A667" s="33"/>
      <c r="B667" s="33"/>
      <c r="C667" s="33"/>
      <c r="D667" s="33"/>
    </row>
    <row r="668" spans="1:4" ht="12.5" x14ac:dyDescent="0.25">
      <c r="A668" s="33"/>
      <c r="B668" s="33"/>
      <c r="C668" s="33"/>
      <c r="D668" s="33"/>
    </row>
    <row r="669" spans="1:4" ht="12.5" x14ac:dyDescent="0.25">
      <c r="A669" s="33"/>
      <c r="B669" s="33"/>
      <c r="C669" s="33"/>
      <c r="D669" s="33"/>
    </row>
    <row r="670" spans="1:4" ht="12.5" x14ac:dyDescent="0.25">
      <c r="A670" s="33"/>
      <c r="B670" s="33"/>
      <c r="C670" s="33"/>
      <c r="D670" s="33"/>
    </row>
    <row r="671" spans="1:4" ht="12.5" x14ac:dyDescent="0.25">
      <c r="A671" s="33"/>
      <c r="B671" s="33"/>
      <c r="C671" s="33"/>
      <c r="D671" s="33"/>
    </row>
    <row r="672" spans="1:4" ht="12.5" x14ac:dyDescent="0.25">
      <c r="A672" s="33"/>
      <c r="B672" s="33"/>
      <c r="C672" s="33"/>
      <c r="D672" s="33"/>
    </row>
    <row r="673" spans="1:4" ht="12.5" x14ac:dyDescent="0.25">
      <c r="A673" s="33"/>
      <c r="B673" s="33"/>
      <c r="C673" s="33"/>
      <c r="D673" s="33"/>
    </row>
    <row r="674" spans="1:4" ht="12.5" x14ac:dyDescent="0.25">
      <c r="A674" s="33"/>
      <c r="B674" s="33"/>
      <c r="C674" s="33"/>
      <c r="D674" s="33"/>
    </row>
    <row r="675" spans="1:4" ht="12.5" x14ac:dyDescent="0.25">
      <c r="A675" s="33"/>
      <c r="B675" s="33"/>
      <c r="C675" s="33"/>
      <c r="D675" s="33"/>
    </row>
    <row r="676" spans="1:4" ht="12.5" x14ac:dyDescent="0.25">
      <c r="A676" s="33"/>
      <c r="B676" s="33"/>
      <c r="C676" s="33"/>
      <c r="D676" s="33"/>
    </row>
    <row r="677" spans="1:4" ht="12.5" x14ac:dyDescent="0.25">
      <c r="A677" s="33"/>
      <c r="B677" s="33"/>
      <c r="C677" s="33"/>
      <c r="D677" s="33"/>
    </row>
    <row r="678" spans="1:4" ht="12.5" x14ac:dyDescent="0.25">
      <c r="A678" s="33"/>
      <c r="B678" s="33"/>
      <c r="C678" s="33"/>
      <c r="D678" s="33"/>
    </row>
    <row r="679" spans="1:4" ht="12.5" x14ac:dyDescent="0.25">
      <c r="A679" s="33"/>
      <c r="B679" s="33"/>
      <c r="C679" s="33"/>
      <c r="D679" s="33"/>
    </row>
    <row r="680" spans="1:4" ht="12.5" x14ac:dyDescent="0.25">
      <c r="A680" s="33"/>
      <c r="B680" s="33"/>
      <c r="C680" s="33"/>
      <c r="D680" s="33"/>
    </row>
    <row r="681" spans="1:4" ht="12.5" x14ac:dyDescent="0.25">
      <c r="A681" s="33"/>
      <c r="B681" s="33"/>
      <c r="C681" s="33"/>
      <c r="D681" s="33"/>
    </row>
    <row r="682" spans="1:4" ht="12.5" x14ac:dyDescent="0.25">
      <c r="A682" s="33"/>
      <c r="B682" s="33"/>
      <c r="C682" s="33"/>
      <c r="D682" s="33"/>
    </row>
    <row r="683" spans="1:4" ht="12.5" x14ac:dyDescent="0.25">
      <c r="A683" s="33"/>
      <c r="B683" s="33"/>
      <c r="C683" s="33"/>
      <c r="D683" s="33"/>
    </row>
    <row r="684" spans="1:4" ht="12.5" x14ac:dyDescent="0.25">
      <c r="A684" s="33"/>
      <c r="B684" s="33"/>
      <c r="C684" s="33"/>
      <c r="D684" s="33"/>
    </row>
    <row r="685" spans="1:4" ht="12.5" x14ac:dyDescent="0.25">
      <c r="A685" s="33"/>
      <c r="B685" s="33"/>
      <c r="C685" s="33"/>
      <c r="D685" s="33"/>
    </row>
    <row r="686" spans="1:4" ht="12.5" x14ac:dyDescent="0.25">
      <c r="A686" s="33"/>
      <c r="B686" s="33"/>
      <c r="C686" s="33"/>
      <c r="D686" s="33"/>
    </row>
    <row r="687" spans="1:4" ht="12.5" x14ac:dyDescent="0.25">
      <c r="A687" s="33"/>
      <c r="B687" s="33"/>
      <c r="C687" s="33"/>
      <c r="D687" s="33"/>
    </row>
    <row r="688" spans="1:4" ht="12.5" x14ac:dyDescent="0.25">
      <c r="A688" s="33"/>
      <c r="B688" s="33"/>
      <c r="C688" s="33"/>
      <c r="D688" s="33"/>
    </row>
    <row r="689" spans="1:4" ht="12.5" x14ac:dyDescent="0.25">
      <c r="A689" s="33"/>
      <c r="B689" s="33"/>
      <c r="C689" s="33"/>
      <c r="D689" s="33"/>
    </row>
    <row r="690" spans="1:4" ht="12.5" x14ac:dyDescent="0.25">
      <c r="A690" s="33"/>
      <c r="B690" s="33"/>
      <c r="C690" s="33"/>
      <c r="D690" s="33"/>
    </row>
    <row r="691" spans="1:4" ht="12.5" x14ac:dyDescent="0.25">
      <c r="A691" s="33"/>
      <c r="B691" s="33"/>
      <c r="C691" s="33"/>
      <c r="D691" s="33"/>
    </row>
    <row r="692" spans="1:4" ht="12.5" x14ac:dyDescent="0.25">
      <c r="A692" s="33"/>
      <c r="B692" s="33"/>
      <c r="C692" s="33"/>
      <c r="D692" s="33"/>
    </row>
    <row r="693" spans="1:4" ht="12.5" x14ac:dyDescent="0.25">
      <c r="A693" s="33"/>
      <c r="B693" s="33"/>
      <c r="C693" s="33"/>
      <c r="D693" s="33"/>
    </row>
    <row r="694" spans="1:4" ht="12.5" x14ac:dyDescent="0.25">
      <c r="A694" s="33"/>
      <c r="B694" s="33"/>
      <c r="C694" s="33"/>
      <c r="D694" s="33"/>
    </row>
    <row r="695" spans="1:4" ht="12.5" x14ac:dyDescent="0.25">
      <c r="A695" s="33"/>
      <c r="B695" s="33"/>
      <c r="C695" s="33"/>
      <c r="D695" s="33"/>
    </row>
    <row r="696" spans="1:4" ht="12.5" x14ac:dyDescent="0.25">
      <c r="A696" s="33"/>
      <c r="B696" s="33"/>
      <c r="C696" s="33"/>
      <c r="D696" s="33"/>
    </row>
    <row r="697" spans="1:4" ht="12.5" x14ac:dyDescent="0.25">
      <c r="A697" s="33"/>
      <c r="B697" s="33"/>
      <c r="C697" s="33"/>
      <c r="D697" s="33"/>
    </row>
    <row r="698" spans="1:4" ht="12.5" x14ac:dyDescent="0.25">
      <c r="A698" s="33"/>
      <c r="B698" s="33"/>
      <c r="C698" s="33"/>
      <c r="D698" s="33"/>
    </row>
    <row r="699" spans="1:4" ht="12.5" x14ac:dyDescent="0.25">
      <c r="A699" s="33"/>
      <c r="B699" s="33"/>
      <c r="C699" s="33"/>
      <c r="D699" s="33"/>
    </row>
    <row r="700" spans="1:4" ht="12.5" x14ac:dyDescent="0.25">
      <c r="A700" s="33"/>
      <c r="B700" s="33"/>
      <c r="C700" s="33"/>
      <c r="D700" s="33"/>
    </row>
    <row r="701" spans="1:4" ht="12.5" x14ac:dyDescent="0.25">
      <c r="A701" s="33"/>
      <c r="B701" s="33"/>
      <c r="C701" s="33"/>
      <c r="D701" s="33"/>
    </row>
    <row r="702" spans="1:4" ht="12.5" x14ac:dyDescent="0.25">
      <c r="A702" s="33"/>
      <c r="B702" s="33"/>
      <c r="C702" s="33"/>
      <c r="D702" s="33"/>
    </row>
    <row r="703" spans="1:4" ht="12.5" x14ac:dyDescent="0.25">
      <c r="A703" s="33"/>
      <c r="B703" s="33"/>
      <c r="C703" s="33"/>
      <c r="D703" s="33"/>
    </row>
    <row r="704" spans="1:4" ht="12.5" x14ac:dyDescent="0.25">
      <c r="A704" s="33"/>
      <c r="B704" s="33"/>
      <c r="C704" s="33"/>
      <c r="D704" s="33"/>
    </row>
    <row r="705" spans="1:4" ht="12.5" x14ac:dyDescent="0.25">
      <c r="A705" s="33"/>
      <c r="B705" s="33"/>
      <c r="C705" s="33"/>
      <c r="D705" s="33"/>
    </row>
    <row r="706" spans="1:4" ht="12.5" x14ac:dyDescent="0.25">
      <c r="A706" s="33"/>
      <c r="B706" s="33"/>
      <c r="C706" s="33"/>
      <c r="D706" s="33"/>
    </row>
    <row r="707" spans="1:4" ht="12.5" x14ac:dyDescent="0.25">
      <c r="A707" s="33"/>
      <c r="B707" s="33"/>
      <c r="C707" s="33"/>
      <c r="D707" s="33"/>
    </row>
    <row r="708" spans="1:4" ht="12.5" x14ac:dyDescent="0.25">
      <c r="A708" s="33"/>
      <c r="B708" s="33"/>
      <c r="C708" s="33"/>
      <c r="D708" s="33"/>
    </row>
    <row r="709" spans="1:4" ht="12.5" x14ac:dyDescent="0.25">
      <c r="A709" s="33"/>
      <c r="B709" s="33"/>
      <c r="C709" s="33"/>
      <c r="D709" s="33"/>
    </row>
    <row r="710" spans="1:4" ht="12.5" x14ac:dyDescent="0.25">
      <c r="A710" s="33"/>
      <c r="B710" s="33"/>
      <c r="C710" s="33"/>
      <c r="D710" s="33"/>
    </row>
    <row r="711" spans="1:4" ht="12.5" x14ac:dyDescent="0.25">
      <c r="A711" s="33"/>
      <c r="B711" s="33"/>
      <c r="C711" s="33"/>
      <c r="D711" s="33"/>
    </row>
    <row r="712" spans="1:4" ht="12.5" x14ac:dyDescent="0.25">
      <c r="A712" s="33"/>
      <c r="B712" s="33"/>
      <c r="C712" s="33"/>
      <c r="D712" s="33"/>
    </row>
    <row r="713" spans="1:4" ht="12.5" x14ac:dyDescent="0.25">
      <c r="A713" s="33"/>
      <c r="B713" s="33"/>
      <c r="C713" s="33"/>
      <c r="D713" s="33"/>
    </row>
    <row r="714" spans="1:4" ht="12.5" x14ac:dyDescent="0.25">
      <c r="A714" s="33"/>
      <c r="B714" s="33"/>
      <c r="C714" s="33"/>
      <c r="D714" s="33"/>
    </row>
    <row r="715" spans="1:4" ht="12.5" x14ac:dyDescent="0.25">
      <c r="A715" s="33"/>
      <c r="B715" s="33"/>
      <c r="C715" s="33"/>
      <c r="D715" s="33"/>
    </row>
    <row r="716" spans="1:4" ht="12.5" x14ac:dyDescent="0.25">
      <c r="A716" s="33"/>
      <c r="B716" s="33"/>
      <c r="C716" s="33"/>
      <c r="D716" s="33"/>
    </row>
    <row r="717" spans="1:4" ht="12.5" x14ac:dyDescent="0.25">
      <c r="A717" s="33"/>
      <c r="B717" s="33"/>
      <c r="C717" s="33"/>
      <c r="D717" s="33"/>
    </row>
    <row r="718" spans="1:4" ht="12.5" x14ac:dyDescent="0.25">
      <c r="A718" s="33"/>
      <c r="B718" s="33"/>
      <c r="C718" s="33"/>
      <c r="D718" s="33"/>
    </row>
    <row r="719" spans="1:4" ht="12.5" x14ac:dyDescent="0.25">
      <c r="A719" s="33"/>
      <c r="B719" s="33"/>
      <c r="C719" s="33"/>
      <c r="D719" s="33"/>
    </row>
    <row r="720" spans="1:4" ht="12.5" x14ac:dyDescent="0.25">
      <c r="A720" s="33"/>
      <c r="B720" s="33"/>
      <c r="C720" s="33"/>
      <c r="D720" s="33"/>
    </row>
    <row r="721" spans="1:4" ht="12.5" x14ac:dyDescent="0.25">
      <c r="A721" s="33"/>
      <c r="B721" s="33"/>
      <c r="C721" s="33"/>
      <c r="D721" s="33"/>
    </row>
    <row r="722" spans="1:4" ht="12.5" x14ac:dyDescent="0.25">
      <c r="A722" s="33"/>
      <c r="B722" s="33"/>
      <c r="C722" s="33"/>
      <c r="D722" s="33"/>
    </row>
    <row r="723" spans="1:4" ht="12.5" x14ac:dyDescent="0.25">
      <c r="A723" s="33"/>
      <c r="B723" s="33"/>
      <c r="C723" s="33"/>
      <c r="D723" s="33"/>
    </row>
    <row r="724" spans="1:4" ht="12.5" x14ac:dyDescent="0.25">
      <c r="A724" s="33"/>
      <c r="B724" s="33"/>
      <c r="C724" s="33"/>
      <c r="D724" s="33"/>
    </row>
    <row r="725" spans="1:4" ht="12.5" x14ac:dyDescent="0.25">
      <c r="A725" s="33"/>
      <c r="B725" s="33"/>
      <c r="C725" s="33"/>
      <c r="D725" s="33"/>
    </row>
    <row r="726" spans="1:4" ht="12.5" x14ac:dyDescent="0.25">
      <c r="A726" s="33"/>
      <c r="B726" s="33"/>
      <c r="C726" s="33"/>
      <c r="D726" s="33"/>
    </row>
    <row r="727" spans="1:4" ht="12.5" x14ac:dyDescent="0.25">
      <c r="A727" s="33"/>
      <c r="B727" s="33"/>
      <c r="C727" s="33"/>
      <c r="D727" s="33"/>
    </row>
    <row r="728" spans="1:4" ht="12.5" x14ac:dyDescent="0.25">
      <c r="A728" s="33"/>
      <c r="B728" s="33"/>
      <c r="C728" s="33"/>
      <c r="D728" s="33"/>
    </row>
    <row r="729" spans="1:4" ht="12.5" x14ac:dyDescent="0.25">
      <c r="A729" s="33"/>
      <c r="B729" s="33"/>
      <c r="C729" s="33"/>
      <c r="D729" s="33"/>
    </row>
    <row r="730" spans="1:4" ht="12.5" x14ac:dyDescent="0.25">
      <c r="A730" s="33"/>
      <c r="B730" s="33"/>
      <c r="C730" s="33"/>
      <c r="D730" s="33"/>
    </row>
    <row r="731" spans="1:4" ht="12.5" x14ac:dyDescent="0.25">
      <c r="A731" s="33"/>
      <c r="B731" s="33"/>
      <c r="C731" s="33"/>
      <c r="D731" s="33"/>
    </row>
    <row r="732" spans="1:4" ht="12.5" x14ac:dyDescent="0.25">
      <c r="A732" s="33"/>
      <c r="B732" s="33"/>
      <c r="C732" s="33"/>
      <c r="D732" s="33"/>
    </row>
    <row r="733" spans="1:4" ht="12.5" x14ac:dyDescent="0.25">
      <c r="A733" s="33"/>
      <c r="B733" s="33"/>
      <c r="C733" s="33"/>
      <c r="D733" s="33"/>
    </row>
    <row r="734" spans="1:4" ht="12.5" x14ac:dyDescent="0.25">
      <c r="A734" s="33"/>
      <c r="B734" s="33"/>
      <c r="C734" s="33"/>
      <c r="D734" s="33"/>
    </row>
    <row r="735" spans="1:4" ht="12.5" x14ac:dyDescent="0.25">
      <c r="A735" s="33"/>
      <c r="B735" s="33"/>
      <c r="C735" s="33"/>
      <c r="D735" s="33"/>
    </row>
    <row r="736" spans="1:4" ht="12.5" x14ac:dyDescent="0.25">
      <c r="A736" s="33"/>
      <c r="B736" s="33"/>
      <c r="C736" s="33"/>
      <c r="D736" s="33"/>
    </row>
    <row r="737" spans="1:4" ht="12.5" x14ac:dyDescent="0.25">
      <c r="A737" s="33"/>
      <c r="B737" s="33"/>
      <c r="C737" s="33"/>
      <c r="D737" s="33"/>
    </row>
    <row r="738" spans="1:4" ht="12.5" x14ac:dyDescent="0.25">
      <c r="A738" s="33"/>
      <c r="B738" s="33"/>
      <c r="C738" s="33"/>
      <c r="D738" s="33"/>
    </row>
    <row r="739" spans="1:4" ht="12.5" x14ac:dyDescent="0.25">
      <c r="A739" s="33"/>
      <c r="B739" s="33"/>
      <c r="C739" s="33"/>
      <c r="D739" s="33"/>
    </row>
    <row r="740" spans="1:4" ht="12.5" x14ac:dyDescent="0.25">
      <c r="A740" s="33"/>
      <c r="B740" s="33"/>
      <c r="C740" s="33"/>
      <c r="D740" s="33"/>
    </row>
    <row r="741" spans="1:4" ht="12.5" x14ac:dyDescent="0.25">
      <c r="A741" s="33"/>
      <c r="B741" s="33"/>
      <c r="C741" s="33"/>
      <c r="D741" s="33"/>
    </row>
    <row r="742" spans="1:4" ht="12.5" x14ac:dyDescent="0.25">
      <c r="A742" s="33"/>
      <c r="B742" s="33"/>
      <c r="C742" s="33"/>
      <c r="D742" s="33"/>
    </row>
    <row r="743" spans="1:4" ht="12.5" x14ac:dyDescent="0.25">
      <c r="A743" s="33"/>
      <c r="B743" s="33"/>
      <c r="C743" s="33"/>
      <c r="D743" s="33"/>
    </row>
    <row r="744" spans="1:4" ht="12.5" x14ac:dyDescent="0.25">
      <c r="A744" s="33"/>
      <c r="B744" s="33"/>
      <c r="C744" s="33"/>
      <c r="D744" s="33"/>
    </row>
    <row r="745" spans="1:4" ht="12.5" x14ac:dyDescent="0.25">
      <c r="A745" s="33"/>
      <c r="B745" s="33"/>
      <c r="C745" s="33"/>
      <c r="D745" s="33"/>
    </row>
    <row r="746" spans="1:4" ht="12.5" x14ac:dyDescent="0.25">
      <c r="A746" s="33"/>
      <c r="B746" s="33"/>
      <c r="C746" s="33"/>
      <c r="D746" s="33"/>
    </row>
    <row r="747" spans="1:4" ht="12.5" x14ac:dyDescent="0.25">
      <c r="A747" s="33"/>
      <c r="B747" s="33"/>
      <c r="C747" s="33"/>
      <c r="D747" s="33"/>
    </row>
    <row r="748" spans="1:4" ht="12.5" x14ac:dyDescent="0.25">
      <c r="A748" s="33"/>
      <c r="B748" s="33"/>
      <c r="C748" s="33"/>
      <c r="D748" s="33"/>
    </row>
    <row r="749" spans="1:4" ht="12.5" x14ac:dyDescent="0.25">
      <c r="A749" s="33"/>
      <c r="B749" s="33"/>
      <c r="C749" s="33"/>
      <c r="D749" s="33"/>
    </row>
    <row r="750" spans="1:4" ht="12.5" x14ac:dyDescent="0.25">
      <c r="A750" s="33"/>
      <c r="B750" s="33"/>
      <c r="C750" s="33"/>
      <c r="D750" s="33"/>
    </row>
    <row r="751" spans="1:4" ht="12.5" x14ac:dyDescent="0.25">
      <c r="A751" s="33"/>
      <c r="B751" s="33"/>
      <c r="C751" s="33"/>
      <c r="D751" s="33"/>
    </row>
    <row r="752" spans="1:4" ht="12.5" x14ac:dyDescent="0.25">
      <c r="A752" s="33"/>
      <c r="B752" s="33"/>
      <c r="C752" s="33"/>
      <c r="D752" s="33"/>
    </row>
    <row r="753" spans="1:4" ht="12.5" x14ac:dyDescent="0.25">
      <c r="A753" s="33"/>
      <c r="B753" s="33"/>
      <c r="C753" s="33"/>
      <c r="D753" s="33"/>
    </row>
    <row r="754" spans="1:4" ht="12.5" x14ac:dyDescent="0.25">
      <c r="A754" s="33"/>
      <c r="B754" s="33"/>
      <c r="C754" s="33"/>
      <c r="D754" s="33"/>
    </row>
    <row r="755" spans="1:4" ht="12.5" x14ac:dyDescent="0.25">
      <c r="A755" s="33"/>
      <c r="B755" s="33"/>
      <c r="C755" s="33"/>
      <c r="D755" s="33"/>
    </row>
    <row r="756" spans="1:4" ht="12.5" x14ac:dyDescent="0.25">
      <c r="A756" s="33"/>
      <c r="B756" s="33"/>
      <c r="C756" s="33"/>
      <c r="D756" s="33"/>
    </row>
    <row r="757" spans="1:4" ht="12.5" x14ac:dyDescent="0.25">
      <c r="A757" s="33"/>
      <c r="B757" s="33"/>
      <c r="C757" s="33"/>
      <c r="D757" s="33"/>
    </row>
    <row r="758" spans="1:4" ht="12.5" x14ac:dyDescent="0.25">
      <c r="A758" s="33"/>
      <c r="B758" s="33"/>
      <c r="C758" s="33"/>
      <c r="D758" s="33"/>
    </row>
    <row r="759" spans="1:4" ht="12.5" x14ac:dyDescent="0.25">
      <c r="A759" s="33"/>
      <c r="B759" s="33"/>
      <c r="C759" s="33"/>
      <c r="D759" s="33"/>
    </row>
    <row r="760" spans="1:4" ht="12.5" x14ac:dyDescent="0.25">
      <c r="A760" s="33"/>
      <c r="B760" s="33"/>
      <c r="C760" s="33"/>
      <c r="D760" s="33"/>
    </row>
    <row r="761" spans="1:4" ht="12.5" x14ac:dyDescent="0.25">
      <c r="A761" s="33"/>
      <c r="B761" s="33"/>
      <c r="C761" s="33"/>
      <c r="D761" s="33"/>
    </row>
    <row r="762" spans="1:4" ht="12.5" x14ac:dyDescent="0.25">
      <c r="A762" s="33"/>
      <c r="B762" s="33"/>
      <c r="C762" s="33"/>
      <c r="D762" s="33"/>
    </row>
    <row r="763" spans="1:4" ht="12.5" x14ac:dyDescent="0.25">
      <c r="A763" s="33"/>
      <c r="B763" s="33"/>
      <c r="C763" s="33"/>
      <c r="D763" s="33"/>
    </row>
    <row r="764" spans="1:4" ht="12.5" x14ac:dyDescent="0.25">
      <c r="A764" s="33"/>
      <c r="B764" s="33"/>
      <c r="C764" s="33"/>
      <c r="D764" s="33"/>
    </row>
    <row r="765" spans="1:4" ht="12.5" x14ac:dyDescent="0.25">
      <c r="A765" s="33"/>
      <c r="B765" s="33"/>
      <c r="C765" s="33"/>
      <c r="D765" s="33"/>
    </row>
    <row r="766" spans="1:4" ht="12.5" x14ac:dyDescent="0.25">
      <c r="A766" s="33"/>
      <c r="B766" s="33"/>
      <c r="C766" s="33"/>
      <c r="D766" s="33"/>
    </row>
    <row r="767" spans="1:4" ht="12.5" x14ac:dyDescent="0.25">
      <c r="A767" s="33"/>
      <c r="B767" s="33"/>
      <c r="C767" s="33"/>
      <c r="D767" s="33"/>
    </row>
    <row r="768" spans="1:4" ht="12.5" x14ac:dyDescent="0.25">
      <c r="A768" s="33"/>
      <c r="B768" s="33"/>
      <c r="C768" s="33"/>
      <c r="D768" s="33"/>
    </row>
    <row r="769" spans="1:4" ht="12.5" x14ac:dyDescent="0.25">
      <c r="A769" s="33"/>
      <c r="B769" s="33"/>
      <c r="C769" s="33"/>
      <c r="D769" s="33"/>
    </row>
    <row r="770" spans="1:4" ht="12.5" x14ac:dyDescent="0.25">
      <c r="A770" s="33"/>
      <c r="B770" s="33"/>
      <c r="C770" s="33"/>
      <c r="D770" s="33"/>
    </row>
    <row r="771" spans="1:4" ht="12.5" x14ac:dyDescent="0.25">
      <c r="A771" s="33"/>
      <c r="B771" s="33"/>
      <c r="C771" s="33"/>
      <c r="D771" s="33"/>
    </row>
    <row r="772" spans="1:4" ht="12.5" x14ac:dyDescent="0.25">
      <c r="A772" s="33"/>
      <c r="B772" s="33"/>
      <c r="C772" s="33"/>
      <c r="D772" s="33"/>
    </row>
    <row r="773" spans="1:4" ht="12.5" x14ac:dyDescent="0.25">
      <c r="A773" s="33"/>
      <c r="B773" s="33"/>
      <c r="C773" s="33"/>
      <c r="D773" s="33"/>
    </row>
    <row r="774" spans="1:4" ht="12.5" x14ac:dyDescent="0.25">
      <c r="A774" s="33"/>
      <c r="B774" s="33"/>
      <c r="C774" s="33"/>
      <c r="D774" s="33"/>
    </row>
    <row r="775" spans="1:4" ht="12.5" x14ac:dyDescent="0.25">
      <c r="A775" s="33"/>
      <c r="B775" s="33"/>
      <c r="C775" s="33"/>
      <c r="D775" s="33"/>
    </row>
    <row r="776" spans="1:4" ht="12.5" x14ac:dyDescent="0.25">
      <c r="A776" s="33"/>
      <c r="B776" s="33"/>
      <c r="C776" s="33"/>
      <c r="D776" s="33"/>
    </row>
    <row r="777" spans="1:4" ht="12.5" x14ac:dyDescent="0.25">
      <c r="A777" s="33"/>
      <c r="B777" s="33"/>
      <c r="C777" s="33"/>
      <c r="D777" s="33"/>
    </row>
    <row r="778" spans="1:4" ht="12.5" x14ac:dyDescent="0.25">
      <c r="A778" s="33"/>
      <c r="B778" s="33"/>
      <c r="C778" s="33"/>
      <c r="D778" s="33"/>
    </row>
    <row r="779" spans="1:4" ht="12.5" x14ac:dyDescent="0.25">
      <c r="A779" s="33"/>
      <c r="B779" s="33"/>
      <c r="C779" s="33"/>
      <c r="D779" s="33"/>
    </row>
    <row r="780" spans="1:4" ht="12.5" x14ac:dyDescent="0.25">
      <c r="A780" s="33"/>
      <c r="B780" s="33"/>
      <c r="C780" s="33"/>
      <c r="D780" s="33"/>
    </row>
    <row r="781" spans="1:4" ht="12.5" x14ac:dyDescent="0.25">
      <c r="A781" s="33"/>
      <c r="B781" s="33"/>
      <c r="C781" s="33"/>
      <c r="D781" s="33"/>
    </row>
    <row r="782" spans="1:4" ht="12.5" x14ac:dyDescent="0.25">
      <c r="A782" s="33"/>
      <c r="B782" s="33"/>
      <c r="C782" s="33"/>
      <c r="D782" s="33"/>
    </row>
    <row r="783" spans="1:4" ht="12.5" x14ac:dyDescent="0.25">
      <c r="A783" s="33"/>
      <c r="B783" s="33"/>
      <c r="C783" s="33"/>
      <c r="D783" s="33"/>
    </row>
    <row r="784" spans="1:4" ht="12.5" x14ac:dyDescent="0.25">
      <c r="A784" s="33"/>
      <c r="B784" s="33"/>
      <c r="C784" s="33"/>
      <c r="D784" s="33"/>
    </row>
    <row r="785" spans="1:4" ht="12.5" x14ac:dyDescent="0.25">
      <c r="A785" s="33"/>
      <c r="B785" s="33"/>
      <c r="C785" s="33"/>
      <c r="D785" s="33"/>
    </row>
    <row r="786" spans="1:4" ht="12.5" x14ac:dyDescent="0.25">
      <c r="A786" s="33"/>
      <c r="B786" s="33"/>
      <c r="C786" s="33"/>
      <c r="D786" s="33"/>
    </row>
    <row r="787" spans="1:4" ht="12.5" x14ac:dyDescent="0.25">
      <c r="A787" s="33"/>
      <c r="B787" s="33"/>
      <c r="C787" s="33"/>
      <c r="D787" s="33"/>
    </row>
    <row r="788" spans="1:4" ht="12.5" x14ac:dyDescent="0.25">
      <c r="A788" s="33"/>
      <c r="B788" s="33"/>
      <c r="C788" s="33"/>
      <c r="D788" s="33"/>
    </row>
    <row r="789" spans="1:4" ht="12.5" x14ac:dyDescent="0.25">
      <c r="A789" s="33"/>
      <c r="B789" s="33"/>
      <c r="C789" s="33"/>
      <c r="D789" s="33"/>
    </row>
    <row r="790" spans="1:4" ht="12.5" x14ac:dyDescent="0.25">
      <c r="A790" s="33"/>
      <c r="B790" s="33"/>
      <c r="C790" s="33"/>
      <c r="D790" s="33"/>
    </row>
    <row r="791" spans="1:4" ht="12.5" x14ac:dyDescent="0.25">
      <c r="A791" s="33"/>
      <c r="B791" s="33"/>
      <c r="C791" s="33"/>
      <c r="D791" s="33"/>
    </row>
    <row r="792" spans="1:4" ht="12.5" x14ac:dyDescent="0.25">
      <c r="A792" s="33"/>
      <c r="B792" s="33"/>
      <c r="C792" s="33"/>
      <c r="D792" s="33"/>
    </row>
    <row r="793" spans="1:4" ht="12.5" x14ac:dyDescent="0.25">
      <c r="A793" s="33"/>
      <c r="B793" s="33"/>
      <c r="C793" s="33"/>
      <c r="D793" s="33"/>
    </row>
    <row r="794" spans="1:4" ht="12.5" x14ac:dyDescent="0.25">
      <c r="A794" s="33"/>
      <c r="B794" s="33"/>
      <c r="C794" s="33"/>
      <c r="D794" s="33"/>
    </row>
    <row r="795" spans="1:4" ht="12.5" x14ac:dyDescent="0.25">
      <c r="A795" s="33"/>
      <c r="B795" s="33"/>
      <c r="C795" s="33"/>
      <c r="D795" s="33"/>
    </row>
    <row r="796" spans="1:4" ht="12.5" x14ac:dyDescent="0.25">
      <c r="A796" s="33"/>
      <c r="B796" s="33"/>
      <c r="C796" s="33"/>
      <c r="D796" s="33"/>
    </row>
    <row r="797" spans="1:4" ht="12.5" x14ac:dyDescent="0.25">
      <c r="A797" s="33"/>
      <c r="B797" s="33"/>
      <c r="C797" s="33"/>
      <c r="D797" s="33"/>
    </row>
    <row r="798" spans="1:4" ht="12.5" x14ac:dyDescent="0.25">
      <c r="A798" s="33"/>
      <c r="B798" s="33"/>
      <c r="C798" s="33"/>
      <c r="D798" s="33"/>
    </row>
    <row r="799" spans="1:4" ht="12.5" x14ac:dyDescent="0.25">
      <c r="A799" s="33"/>
      <c r="B799" s="33"/>
      <c r="C799" s="33"/>
      <c r="D799" s="33"/>
    </row>
    <row r="800" spans="1:4" ht="12.5" x14ac:dyDescent="0.25">
      <c r="A800" s="33"/>
      <c r="B800" s="33"/>
      <c r="C800" s="33"/>
      <c r="D800" s="33"/>
    </row>
    <row r="801" spans="1:4" ht="12.5" x14ac:dyDescent="0.25">
      <c r="A801" s="33"/>
      <c r="B801" s="33"/>
      <c r="C801" s="33"/>
      <c r="D801" s="33"/>
    </row>
    <row r="802" spans="1:4" ht="12.5" x14ac:dyDescent="0.25">
      <c r="A802" s="33"/>
      <c r="B802" s="33"/>
      <c r="C802" s="33"/>
      <c r="D802" s="33"/>
    </row>
    <row r="803" spans="1:4" ht="12.5" x14ac:dyDescent="0.25">
      <c r="A803" s="33"/>
      <c r="B803" s="33"/>
      <c r="C803" s="33"/>
      <c r="D803" s="33"/>
    </row>
    <row r="804" spans="1:4" ht="12.5" x14ac:dyDescent="0.25">
      <c r="A804" s="33"/>
      <c r="B804" s="33"/>
      <c r="C804" s="33"/>
      <c r="D804" s="33"/>
    </row>
    <row r="805" spans="1:4" ht="12.5" x14ac:dyDescent="0.25">
      <c r="A805" s="33"/>
      <c r="B805" s="33"/>
      <c r="C805" s="33"/>
      <c r="D805" s="33"/>
    </row>
    <row r="806" spans="1:4" ht="12.5" x14ac:dyDescent="0.25">
      <c r="A806" s="33"/>
      <c r="B806" s="33"/>
      <c r="C806" s="33"/>
      <c r="D806" s="33"/>
    </row>
    <row r="807" spans="1:4" ht="12.5" x14ac:dyDescent="0.25">
      <c r="A807" s="33"/>
      <c r="B807" s="33"/>
      <c r="C807" s="33"/>
      <c r="D807" s="33"/>
    </row>
    <row r="808" spans="1:4" ht="12.5" x14ac:dyDescent="0.25">
      <c r="A808" s="33"/>
      <c r="B808" s="33"/>
      <c r="C808" s="33"/>
      <c r="D808" s="33"/>
    </row>
    <row r="809" spans="1:4" ht="12.5" x14ac:dyDescent="0.25">
      <c r="A809" s="33"/>
      <c r="B809" s="33"/>
      <c r="C809" s="33"/>
      <c r="D809" s="33"/>
    </row>
    <row r="810" spans="1:4" ht="12.5" x14ac:dyDescent="0.25">
      <c r="A810" s="33"/>
      <c r="B810" s="33"/>
      <c r="C810" s="33"/>
      <c r="D810" s="33"/>
    </row>
    <row r="811" spans="1:4" ht="12.5" x14ac:dyDescent="0.25">
      <c r="A811" s="33"/>
      <c r="B811" s="33"/>
      <c r="C811" s="33"/>
      <c r="D811" s="33"/>
    </row>
    <row r="812" spans="1:4" ht="12.5" x14ac:dyDescent="0.25">
      <c r="A812" s="33"/>
      <c r="B812" s="33"/>
      <c r="C812" s="33"/>
      <c r="D812" s="33"/>
    </row>
    <row r="813" spans="1:4" ht="12.5" x14ac:dyDescent="0.25">
      <c r="A813" s="33"/>
      <c r="B813" s="33"/>
      <c r="C813" s="33"/>
      <c r="D813" s="33"/>
    </row>
    <row r="814" spans="1:4" ht="12.5" x14ac:dyDescent="0.25">
      <c r="A814" s="33"/>
      <c r="B814" s="33"/>
      <c r="C814" s="33"/>
      <c r="D814" s="33"/>
    </row>
    <row r="815" spans="1:4" ht="12.5" x14ac:dyDescent="0.25">
      <c r="A815" s="33"/>
      <c r="B815" s="33"/>
      <c r="C815" s="33"/>
      <c r="D815" s="33"/>
    </row>
    <row r="816" spans="1:4" ht="12.5" x14ac:dyDescent="0.25">
      <c r="A816" s="33"/>
      <c r="B816" s="33"/>
      <c r="C816" s="33"/>
      <c r="D816" s="33"/>
    </row>
    <row r="817" spans="1:4" ht="12.5" x14ac:dyDescent="0.25">
      <c r="A817" s="33"/>
      <c r="B817" s="33"/>
      <c r="C817" s="33"/>
      <c r="D817" s="33"/>
    </row>
    <row r="818" spans="1:4" ht="12.5" x14ac:dyDescent="0.25">
      <c r="A818" s="33"/>
      <c r="B818" s="33"/>
      <c r="C818" s="33"/>
      <c r="D818" s="33"/>
    </row>
    <row r="819" spans="1:4" ht="12.5" x14ac:dyDescent="0.25">
      <c r="A819" s="33"/>
      <c r="B819" s="33"/>
      <c r="C819" s="33"/>
      <c r="D819" s="33"/>
    </row>
    <row r="820" spans="1:4" ht="12.5" x14ac:dyDescent="0.25">
      <c r="A820" s="33"/>
      <c r="B820" s="33"/>
      <c r="C820" s="33"/>
      <c r="D820" s="33"/>
    </row>
    <row r="821" spans="1:4" ht="12.5" x14ac:dyDescent="0.25">
      <c r="A821" s="33"/>
      <c r="B821" s="33"/>
      <c r="C821" s="33"/>
      <c r="D821" s="33"/>
    </row>
    <row r="822" spans="1:4" ht="12.5" x14ac:dyDescent="0.25">
      <c r="A822" s="33"/>
      <c r="B822" s="33"/>
      <c r="C822" s="33"/>
      <c r="D822" s="33"/>
    </row>
    <row r="823" spans="1:4" ht="12.5" x14ac:dyDescent="0.25">
      <c r="A823" s="33"/>
      <c r="B823" s="33"/>
      <c r="C823" s="33"/>
      <c r="D823" s="33"/>
    </row>
    <row r="824" spans="1:4" ht="12.5" x14ac:dyDescent="0.25">
      <c r="A824" s="33"/>
      <c r="B824" s="33"/>
      <c r="C824" s="33"/>
      <c r="D824" s="33"/>
    </row>
    <row r="825" spans="1:4" ht="12.5" x14ac:dyDescent="0.25">
      <c r="A825" s="33"/>
      <c r="B825" s="33"/>
      <c r="C825" s="33"/>
      <c r="D825" s="33"/>
    </row>
    <row r="826" spans="1:4" ht="12.5" x14ac:dyDescent="0.25">
      <c r="A826" s="33"/>
      <c r="B826" s="33"/>
      <c r="C826" s="33"/>
      <c r="D826" s="33"/>
    </row>
    <row r="827" spans="1:4" ht="12.5" x14ac:dyDescent="0.25">
      <c r="A827" s="33"/>
      <c r="B827" s="33"/>
      <c r="C827" s="33"/>
      <c r="D827" s="33"/>
    </row>
    <row r="828" spans="1:4" ht="12.5" x14ac:dyDescent="0.25">
      <c r="A828" s="33"/>
      <c r="B828" s="33"/>
      <c r="C828" s="33"/>
      <c r="D828" s="33"/>
    </row>
    <row r="829" spans="1:4" ht="12.5" x14ac:dyDescent="0.25">
      <c r="A829" s="33"/>
      <c r="B829" s="33"/>
      <c r="C829" s="33"/>
      <c r="D829" s="33"/>
    </row>
    <row r="830" spans="1:4" ht="12.5" x14ac:dyDescent="0.25">
      <c r="A830" s="33"/>
      <c r="B830" s="33"/>
      <c r="C830" s="33"/>
      <c r="D830" s="33"/>
    </row>
    <row r="831" spans="1:4" ht="12.5" x14ac:dyDescent="0.25">
      <c r="A831" s="33"/>
      <c r="B831" s="33"/>
      <c r="C831" s="33"/>
      <c r="D831" s="33"/>
    </row>
    <row r="832" spans="1:4" ht="12.5" x14ac:dyDescent="0.25">
      <c r="A832" s="33"/>
      <c r="B832" s="33"/>
      <c r="C832" s="33"/>
      <c r="D832" s="33"/>
    </row>
    <row r="833" spans="1:4" ht="12.5" x14ac:dyDescent="0.25">
      <c r="A833" s="33"/>
      <c r="B833" s="33"/>
      <c r="C833" s="33"/>
      <c r="D833" s="33"/>
    </row>
    <row r="834" spans="1:4" ht="12.5" x14ac:dyDescent="0.25">
      <c r="A834" s="33"/>
      <c r="B834" s="33"/>
      <c r="C834" s="33"/>
      <c r="D834" s="33"/>
    </row>
    <row r="835" spans="1:4" ht="12.5" x14ac:dyDescent="0.25">
      <c r="A835" s="33"/>
      <c r="B835" s="33"/>
      <c r="C835" s="33"/>
      <c r="D835" s="33"/>
    </row>
    <row r="836" spans="1:4" ht="12.5" x14ac:dyDescent="0.25">
      <c r="A836" s="33"/>
      <c r="B836" s="33"/>
      <c r="C836" s="33"/>
      <c r="D836" s="33"/>
    </row>
    <row r="837" spans="1:4" ht="12.5" x14ac:dyDescent="0.25">
      <c r="A837" s="33"/>
      <c r="B837" s="33"/>
      <c r="C837" s="33"/>
      <c r="D837" s="33"/>
    </row>
    <row r="838" spans="1:4" ht="12.5" x14ac:dyDescent="0.25">
      <c r="A838" s="33"/>
      <c r="B838" s="33"/>
      <c r="C838" s="33"/>
      <c r="D838" s="33"/>
    </row>
    <row r="839" spans="1:4" ht="12.5" x14ac:dyDescent="0.25">
      <c r="A839" s="33"/>
      <c r="B839" s="33"/>
      <c r="C839" s="33"/>
      <c r="D839" s="33"/>
    </row>
    <row r="840" spans="1:4" ht="12.5" x14ac:dyDescent="0.25">
      <c r="A840" s="33"/>
      <c r="B840" s="33"/>
      <c r="C840" s="33"/>
      <c r="D840" s="33"/>
    </row>
    <row r="841" spans="1:4" ht="12.5" x14ac:dyDescent="0.25">
      <c r="A841" s="33"/>
      <c r="B841" s="33"/>
      <c r="C841" s="33"/>
      <c r="D841" s="33"/>
    </row>
    <row r="842" spans="1:4" ht="12.5" x14ac:dyDescent="0.25">
      <c r="A842" s="33"/>
      <c r="B842" s="33"/>
      <c r="C842" s="33"/>
      <c r="D842" s="33"/>
    </row>
    <row r="843" spans="1:4" ht="12.5" x14ac:dyDescent="0.25">
      <c r="A843" s="33"/>
      <c r="B843" s="33"/>
      <c r="C843" s="33"/>
      <c r="D843" s="33"/>
    </row>
    <row r="844" spans="1:4" ht="12.5" x14ac:dyDescent="0.25">
      <c r="A844" s="33"/>
      <c r="B844" s="33"/>
      <c r="C844" s="33"/>
      <c r="D844" s="33"/>
    </row>
    <row r="845" spans="1:4" ht="12.5" x14ac:dyDescent="0.25">
      <c r="A845" s="33"/>
      <c r="B845" s="33"/>
      <c r="C845" s="33"/>
      <c r="D845" s="33"/>
    </row>
    <row r="846" spans="1:4" ht="12.5" x14ac:dyDescent="0.25">
      <c r="A846" s="33"/>
      <c r="B846" s="33"/>
      <c r="C846" s="33"/>
      <c r="D846" s="33"/>
    </row>
    <row r="847" spans="1:4" ht="12.5" x14ac:dyDescent="0.25">
      <c r="A847" s="33"/>
      <c r="B847" s="33"/>
      <c r="C847" s="33"/>
      <c r="D847" s="33"/>
    </row>
    <row r="848" spans="1:4" ht="12.5" x14ac:dyDescent="0.25">
      <c r="A848" s="33"/>
      <c r="B848" s="33"/>
      <c r="C848" s="33"/>
      <c r="D848" s="33"/>
    </row>
    <row r="849" spans="1:4" ht="12.5" x14ac:dyDescent="0.25">
      <c r="A849" s="33"/>
      <c r="B849" s="33"/>
      <c r="C849" s="33"/>
      <c r="D849" s="33"/>
    </row>
    <row r="850" spans="1:4" ht="12.5" x14ac:dyDescent="0.25">
      <c r="A850" s="33"/>
      <c r="B850" s="33"/>
      <c r="C850" s="33"/>
      <c r="D850" s="33"/>
    </row>
    <row r="851" spans="1:4" ht="12.5" x14ac:dyDescent="0.25">
      <c r="A851" s="33"/>
      <c r="B851" s="33"/>
      <c r="C851" s="33"/>
      <c r="D851" s="33"/>
    </row>
    <row r="852" spans="1:4" ht="12.5" x14ac:dyDescent="0.25">
      <c r="A852" s="33"/>
      <c r="B852" s="33"/>
      <c r="C852" s="33"/>
      <c r="D852" s="33"/>
    </row>
    <row r="853" spans="1:4" ht="12.5" x14ac:dyDescent="0.25">
      <c r="A853" s="33"/>
      <c r="B853" s="33"/>
      <c r="C853" s="33"/>
      <c r="D853" s="33"/>
    </row>
    <row r="854" spans="1:4" ht="12.5" x14ac:dyDescent="0.25">
      <c r="A854" s="33"/>
      <c r="B854" s="33"/>
      <c r="C854" s="33"/>
      <c r="D854" s="33"/>
    </row>
    <row r="855" spans="1:4" ht="12.5" x14ac:dyDescent="0.25">
      <c r="A855" s="33"/>
      <c r="B855" s="33"/>
      <c r="C855" s="33"/>
      <c r="D855" s="33"/>
    </row>
    <row r="856" spans="1:4" ht="12.5" x14ac:dyDescent="0.25">
      <c r="A856" s="33"/>
      <c r="B856" s="33"/>
      <c r="C856" s="33"/>
      <c r="D856" s="33"/>
    </row>
    <row r="857" spans="1:4" ht="12.5" x14ac:dyDescent="0.25">
      <c r="A857" s="33"/>
      <c r="B857" s="33"/>
      <c r="C857" s="33"/>
      <c r="D857" s="33"/>
    </row>
    <row r="858" spans="1:4" ht="12.5" x14ac:dyDescent="0.25">
      <c r="A858" s="33"/>
      <c r="B858" s="33"/>
      <c r="C858" s="33"/>
      <c r="D858" s="33"/>
    </row>
    <row r="859" spans="1:4" ht="12.5" x14ac:dyDescent="0.25">
      <c r="A859" s="33"/>
      <c r="B859" s="33"/>
      <c r="C859" s="33"/>
      <c r="D859" s="33"/>
    </row>
    <row r="860" spans="1:4" ht="12.5" x14ac:dyDescent="0.25">
      <c r="A860" s="33"/>
      <c r="B860" s="33"/>
      <c r="C860" s="33"/>
      <c r="D860" s="33"/>
    </row>
    <row r="861" spans="1:4" ht="12.5" x14ac:dyDescent="0.25">
      <c r="A861" s="33"/>
      <c r="B861" s="33"/>
      <c r="C861" s="33"/>
      <c r="D861" s="33"/>
    </row>
    <row r="862" spans="1:4" ht="12.5" x14ac:dyDescent="0.25">
      <c r="A862" s="33"/>
      <c r="B862" s="33"/>
      <c r="C862" s="33"/>
      <c r="D862" s="33"/>
    </row>
    <row r="863" spans="1:4" ht="12.5" x14ac:dyDescent="0.25">
      <c r="A863" s="33"/>
      <c r="B863" s="33"/>
      <c r="C863" s="33"/>
      <c r="D863" s="33"/>
    </row>
    <row r="864" spans="1:4" ht="12.5" x14ac:dyDescent="0.25">
      <c r="A864" s="33"/>
      <c r="B864" s="33"/>
      <c r="C864" s="33"/>
      <c r="D864" s="33"/>
    </row>
    <row r="865" spans="1:4" ht="12.5" x14ac:dyDescent="0.25">
      <c r="A865" s="33"/>
      <c r="B865" s="33"/>
      <c r="C865" s="33"/>
      <c r="D865" s="33"/>
    </row>
    <row r="866" spans="1:4" ht="12.5" x14ac:dyDescent="0.25">
      <c r="A866" s="33"/>
      <c r="B866" s="33"/>
      <c r="C866" s="33"/>
      <c r="D866" s="33"/>
    </row>
    <row r="867" spans="1:4" ht="12.5" x14ac:dyDescent="0.25">
      <c r="A867" s="33"/>
      <c r="B867" s="33"/>
      <c r="C867" s="33"/>
      <c r="D867" s="33"/>
    </row>
    <row r="868" spans="1:4" ht="12.5" x14ac:dyDescent="0.25">
      <c r="A868" s="33"/>
      <c r="B868" s="33"/>
      <c r="C868" s="33"/>
      <c r="D868" s="33"/>
    </row>
    <row r="869" spans="1:4" ht="12.5" x14ac:dyDescent="0.25">
      <c r="A869" s="33"/>
      <c r="B869" s="33"/>
      <c r="C869" s="33"/>
      <c r="D869" s="33"/>
    </row>
    <row r="870" spans="1:4" ht="12.5" x14ac:dyDescent="0.25">
      <c r="A870" s="33"/>
      <c r="B870" s="33"/>
      <c r="C870" s="33"/>
      <c r="D870" s="33"/>
    </row>
    <row r="871" spans="1:4" ht="12.5" x14ac:dyDescent="0.25">
      <c r="A871" s="33"/>
      <c r="B871" s="33"/>
      <c r="C871" s="33"/>
      <c r="D871" s="33"/>
    </row>
    <row r="872" spans="1:4" ht="12.5" x14ac:dyDescent="0.25">
      <c r="A872" s="33"/>
      <c r="B872" s="33"/>
      <c r="C872" s="33"/>
      <c r="D872" s="33"/>
    </row>
    <row r="873" spans="1:4" ht="12.5" x14ac:dyDescent="0.25">
      <c r="A873" s="33"/>
      <c r="B873" s="33"/>
      <c r="C873" s="33"/>
      <c r="D873" s="33"/>
    </row>
    <row r="874" spans="1:4" ht="12.5" x14ac:dyDescent="0.25">
      <c r="A874" s="33"/>
      <c r="B874" s="33"/>
      <c r="C874" s="33"/>
      <c r="D874" s="33"/>
    </row>
    <row r="875" spans="1:4" ht="12.5" x14ac:dyDescent="0.25">
      <c r="A875" s="33"/>
      <c r="B875" s="33"/>
      <c r="C875" s="33"/>
      <c r="D875" s="33"/>
    </row>
    <row r="876" spans="1:4" ht="12.5" x14ac:dyDescent="0.25">
      <c r="A876" s="33"/>
      <c r="B876" s="33"/>
      <c r="C876" s="33"/>
      <c r="D876" s="33"/>
    </row>
    <row r="877" spans="1:4" ht="12.5" x14ac:dyDescent="0.25">
      <c r="A877" s="33"/>
      <c r="B877" s="33"/>
      <c r="C877" s="33"/>
      <c r="D877" s="33"/>
    </row>
    <row r="878" spans="1:4" ht="12.5" x14ac:dyDescent="0.25">
      <c r="A878" s="33"/>
      <c r="B878" s="33"/>
      <c r="C878" s="33"/>
      <c r="D878" s="33"/>
    </row>
    <row r="879" spans="1:4" ht="12.5" x14ac:dyDescent="0.25">
      <c r="A879" s="33"/>
      <c r="B879" s="33"/>
      <c r="C879" s="33"/>
      <c r="D879" s="33"/>
    </row>
    <row r="880" spans="1:4" ht="12.5" x14ac:dyDescent="0.25">
      <c r="A880" s="33"/>
      <c r="B880" s="33"/>
      <c r="C880" s="33"/>
      <c r="D880" s="33"/>
    </row>
    <row r="881" spans="1:4" ht="12.5" x14ac:dyDescent="0.25">
      <c r="A881" s="33"/>
      <c r="B881" s="33"/>
      <c r="C881" s="33"/>
      <c r="D881" s="33"/>
    </row>
    <row r="882" spans="1:4" ht="12.5" x14ac:dyDescent="0.25">
      <c r="A882" s="33"/>
      <c r="B882" s="33"/>
      <c r="C882" s="33"/>
      <c r="D882" s="33"/>
    </row>
    <row r="883" spans="1:4" ht="12.5" x14ac:dyDescent="0.25">
      <c r="A883" s="33"/>
      <c r="B883" s="33"/>
      <c r="C883" s="33"/>
      <c r="D883" s="33"/>
    </row>
    <row r="884" spans="1:4" ht="12.5" x14ac:dyDescent="0.25">
      <c r="A884" s="33"/>
      <c r="B884" s="33"/>
      <c r="C884" s="33"/>
      <c r="D884" s="33"/>
    </row>
    <row r="885" spans="1:4" ht="12.5" x14ac:dyDescent="0.25">
      <c r="A885" s="33"/>
      <c r="B885" s="33"/>
      <c r="C885" s="33"/>
      <c r="D885" s="33"/>
    </row>
    <row r="886" spans="1:4" ht="12.5" x14ac:dyDescent="0.25">
      <c r="A886" s="33"/>
      <c r="B886" s="33"/>
      <c r="C886" s="33"/>
      <c r="D886" s="33"/>
    </row>
    <row r="887" spans="1:4" ht="12.5" x14ac:dyDescent="0.25">
      <c r="A887" s="33"/>
      <c r="B887" s="33"/>
      <c r="C887" s="33"/>
      <c r="D887" s="33"/>
    </row>
    <row r="888" spans="1:4" ht="12.5" x14ac:dyDescent="0.25">
      <c r="A888" s="33"/>
      <c r="B888" s="33"/>
      <c r="C888" s="33"/>
      <c r="D888" s="33"/>
    </row>
    <row r="889" spans="1:4" ht="12.5" x14ac:dyDescent="0.25">
      <c r="A889" s="33"/>
      <c r="B889" s="33"/>
      <c r="C889" s="33"/>
      <c r="D889" s="33"/>
    </row>
    <row r="890" spans="1:4" ht="12.5" x14ac:dyDescent="0.25">
      <c r="A890" s="33"/>
      <c r="B890" s="33"/>
      <c r="C890" s="33"/>
      <c r="D890" s="33"/>
    </row>
    <row r="891" spans="1:4" ht="12.5" x14ac:dyDescent="0.25">
      <c r="A891" s="33"/>
      <c r="B891" s="33"/>
      <c r="C891" s="33"/>
      <c r="D891" s="33"/>
    </row>
    <row r="892" spans="1:4" ht="12.5" x14ac:dyDescent="0.25">
      <c r="A892" s="33"/>
      <c r="B892" s="33"/>
      <c r="C892" s="33"/>
      <c r="D892" s="33"/>
    </row>
    <row r="893" spans="1:4" ht="12.5" x14ac:dyDescent="0.25">
      <c r="A893" s="33"/>
      <c r="B893" s="33"/>
      <c r="C893" s="33"/>
      <c r="D893" s="33"/>
    </row>
    <row r="894" spans="1:4" ht="12.5" x14ac:dyDescent="0.25">
      <c r="A894" s="33"/>
      <c r="B894" s="33"/>
      <c r="C894" s="33"/>
      <c r="D894" s="33"/>
    </row>
    <row r="895" spans="1:4" ht="12.5" x14ac:dyDescent="0.25">
      <c r="A895" s="33"/>
      <c r="B895" s="33"/>
      <c r="C895" s="33"/>
      <c r="D895" s="33"/>
    </row>
    <row r="896" spans="1:4" ht="12.5" x14ac:dyDescent="0.25">
      <c r="A896" s="33"/>
      <c r="B896" s="33"/>
      <c r="C896" s="33"/>
      <c r="D896" s="33"/>
    </row>
    <row r="897" spans="1:4" ht="12.5" x14ac:dyDescent="0.25">
      <c r="A897" s="33"/>
      <c r="B897" s="33"/>
      <c r="C897" s="33"/>
      <c r="D897" s="33"/>
    </row>
    <row r="898" spans="1:4" ht="12.5" x14ac:dyDescent="0.25">
      <c r="A898" s="33"/>
      <c r="B898" s="33"/>
      <c r="C898" s="33"/>
      <c r="D898" s="33"/>
    </row>
    <row r="899" spans="1:4" ht="12.5" x14ac:dyDescent="0.25">
      <c r="A899" s="33"/>
      <c r="B899" s="33"/>
      <c r="C899" s="33"/>
      <c r="D899" s="33"/>
    </row>
    <row r="900" spans="1:4" ht="12.5" x14ac:dyDescent="0.25">
      <c r="A900" s="33"/>
      <c r="B900" s="33"/>
      <c r="C900" s="33"/>
      <c r="D900" s="33"/>
    </row>
    <row r="901" spans="1:4" ht="12.5" x14ac:dyDescent="0.25">
      <c r="A901" s="33"/>
      <c r="B901" s="33"/>
      <c r="C901" s="33"/>
      <c r="D901" s="33"/>
    </row>
    <row r="902" spans="1:4" ht="12.5" x14ac:dyDescent="0.25">
      <c r="A902" s="33"/>
      <c r="B902" s="33"/>
      <c r="C902" s="33"/>
      <c r="D902" s="33"/>
    </row>
    <row r="903" spans="1:4" ht="12.5" x14ac:dyDescent="0.25">
      <c r="A903" s="33"/>
      <c r="B903" s="33"/>
      <c r="C903" s="33"/>
      <c r="D903" s="33"/>
    </row>
    <row r="904" spans="1:4" ht="12.5" x14ac:dyDescent="0.25">
      <c r="A904" s="33"/>
      <c r="B904" s="33"/>
      <c r="C904" s="33"/>
      <c r="D904" s="33"/>
    </row>
    <row r="905" spans="1:4" ht="12.5" x14ac:dyDescent="0.25">
      <c r="A905" s="33"/>
      <c r="B905" s="33"/>
      <c r="C905" s="33"/>
      <c r="D905" s="33"/>
    </row>
    <row r="906" spans="1:4" ht="12.5" x14ac:dyDescent="0.25">
      <c r="A906" s="33"/>
      <c r="B906" s="33"/>
      <c r="C906" s="33"/>
      <c r="D906" s="33"/>
    </row>
    <row r="907" spans="1:4" ht="12.5" x14ac:dyDescent="0.25">
      <c r="A907" s="33"/>
      <c r="B907" s="33"/>
      <c r="C907" s="33"/>
      <c r="D907" s="33"/>
    </row>
    <row r="908" spans="1:4" ht="12.5" x14ac:dyDescent="0.25">
      <c r="A908" s="33"/>
      <c r="B908" s="33"/>
      <c r="C908" s="33"/>
      <c r="D908" s="33"/>
    </row>
    <row r="909" spans="1:4" ht="12.5" x14ac:dyDescent="0.25">
      <c r="A909" s="33"/>
      <c r="B909" s="33"/>
      <c r="C909" s="33"/>
      <c r="D909" s="33"/>
    </row>
    <row r="910" spans="1:4" ht="12.5" x14ac:dyDescent="0.25">
      <c r="A910" s="33"/>
      <c r="B910" s="33"/>
      <c r="C910" s="33"/>
      <c r="D910" s="33"/>
    </row>
    <row r="911" spans="1:4" ht="12.5" x14ac:dyDescent="0.25">
      <c r="A911" s="33"/>
      <c r="B911" s="33"/>
      <c r="C911" s="33"/>
      <c r="D911" s="33"/>
    </row>
    <row r="912" spans="1:4" ht="12.5" x14ac:dyDescent="0.25">
      <c r="A912" s="33"/>
      <c r="B912" s="33"/>
      <c r="C912" s="33"/>
      <c r="D912" s="33"/>
    </row>
    <row r="913" spans="1:4" ht="12.5" x14ac:dyDescent="0.25">
      <c r="A913" s="33"/>
      <c r="B913" s="33"/>
      <c r="C913" s="33"/>
      <c r="D913" s="33"/>
    </row>
    <row r="914" spans="1:4" ht="12.5" x14ac:dyDescent="0.25">
      <c r="A914" s="33"/>
      <c r="B914" s="33"/>
      <c r="C914" s="33"/>
      <c r="D914" s="33"/>
    </row>
    <row r="915" spans="1:4" ht="12.5" x14ac:dyDescent="0.25">
      <c r="A915" s="33"/>
      <c r="B915" s="33"/>
      <c r="C915" s="33"/>
      <c r="D915" s="33"/>
    </row>
    <row r="916" spans="1:4" ht="12.5" x14ac:dyDescent="0.25">
      <c r="A916" s="33"/>
      <c r="B916" s="33"/>
      <c r="C916" s="33"/>
      <c r="D916" s="33"/>
    </row>
    <row r="917" spans="1:4" ht="12.5" x14ac:dyDescent="0.25">
      <c r="A917" s="33"/>
      <c r="B917" s="33"/>
      <c r="C917" s="33"/>
      <c r="D917" s="33"/>
    </row>
    <row r="918" spans="1:4" ht="12.5" x14ac:dyDescent="0.25">
      <c r="A918" s="33"/>
      <c r="B918" s="33"/>
      <c r="C918" s="33"/>
      <c r="D918" s="33"/>
    </row>
    <row r="919" spans="1:4" ht="12.5" x14ac:dyDescent="0.25">
      <c r="A919" s="33"/>
      <c r="B919" s="33"/>
      <c r="C919" s="33"/>
      <c r="D919" s="33"/>
    </row>
    <row r="920" spans="1:4" ht="12.5" x14ac:dyDescent="0.25">
      <c r="A920" s="33"/>
      <c r="B920" s="33"/>
      <c r="C920" s="33"/>
      <c r="D920" s="33"/>
    </row>
    <row r="921" spans="1:4" ht="12.5" x14ac:dyDescent="0.25">
      <c r="A921" s="33"/>
      <c r="B921" s="33"/>
      <c r="C921" s="33"/>
      <c r="D921" s="33"/>
    </row>
    <row r="922" spans="1:4" ht="12.5" x14ac:dyDescent="0.25">
      <c r="A922" s="33"/>
      <c r="B922" s="33"/>
      <c r="C922" s="33"/>
      <c r="D922" s="33"/>
    </row>
    <row r="923" spans="1:4" ht="12.5" x14ac:dyDescent="0.25">
      <c r="A923" s="33"/>
      <c r="B923" s="33"/>
      <c r="C923" s="33"/>
      <c r="D923" s="33"/>
    </row>
    <row r="924" spans="1:4" ht="12.5" x14ac:dyDescent="0.25">
      <c r="A924" s="33"/>
      <c r="B924" s="33"/>
      <c r="C924" s="33"/>
      <c r="D924" s="33"/>
    </row>
    <row r="925" spans="1:4" ht="12.5" x14ac:dyDescent="0.25">
      <c r="A925" s="33"/>
      <c r="B925" s="33"/>
      <c r="C925" s="33"/>
      <c r="D925" s="33"/>
    </row>
    <row r="926" spans="1:4" ht="12.5" x14ac:dyDescent="0.25">
      <c r="A926" s="33"/>
      <c r="B926" s="33"/>
      <c r="C926" s="33"/>
      <c r="D926" s="33"/>
    </row>
    <row r="927" spans="1:4" ht="12.5" x14ac:dyDescent="0.25">
      <c r="A927" s="33"/>
      <c r="B927" s="33"/>
      <c r="C927" s="33"/>
      <c r="D927" s="33"/>
    </row>
    <row r="928" spans="1:4" ht="12.5" x14ac:dyDescent="0.25">
      <c r="A928" s="33"/>
      <c r="B928" s="33"/>
      <c r="C928" s="33"/>
      <c r="D928" s="33"/>
    </row>
    <row r="929" spans="1:4" ht="12.5" x14ac:dyDescent="0.25">
      <c r="A929" s="33"/>
      <c r="B929" s="33"/>
      <c r="C929" s="33"/>
      <c r="D929" s="33"/>
    </row>
    <row r="930" spans="1:4" ht="12.5" x14ac:dyDescent="0.25">
      <c r="A930" s="33"/>
      <c r="B930" s="33"/>
      <c r="C930" s="33"/>
      <c r="D930" s="33"/>
    </row>
    <row r="931" spans="1:4" ht="12.5" x14ac:dyDescent="0.25">
      <c r="A931" s="33"/>
      <c r="B931" s="33"/>
      <c r="C931" s="33"/>
      <c r="D931" s="33"/>
    </row>
    <row r="932" spans="1:4" ht="12.5" x14ac:dyDescent="0.25">
      <c r="A932" s="33"/>
      <c r="B932" s="33"/>
      <c r="C932" s="33"/>
      <c r="D932" s="33"/>
    </row>
    <row r="933" spans="1:4" ht="12.5" x14ac:dyDescent="0.25">
      <c r="A933" s="33"/>
      <c r="B933" s="33"/>
      <c r="C933" s="33"/>
      <c r="D933" s="33"/>
    </row>
    <row r="934" spans="1:4" ht="12.5" x14ac:dyDescent="0.25">
      <c r="A934" s="33"/>
      <c r="B934" s="33"/>
      <c r="C934" s="33"/>
      <c r="D934" s="33"/>
    </row>
    <row r="935" spans="1:4" ht="12.5" x14ac:dyDescent="0.25">
      <c r="A935" s="33"/>
      <c r="B935" s="33"/>
      <c r="C935" s="33"/>
      <c r="D935" s="33"/>
    </row>
    <row r="936" spans="1:4" ht="12.5" x14ac:dyDescent="0.25">
      <c r="A936" s="33"/>
      <c r="B936" s="33"/>
      <c r="C936" s="33"/>
      <c r="D936" s="33"/>
    </row>
    <row r="937" spans="1:4" ht="12.5" x14ac:dyDescent="0.25">
      <c r="A937" s="33"/>
      <c r="B937" s="33"/>
      <c r="C937" s="33"/>
      <c r="D937" s="33"/>
    </row>
    <row r="938" spans="1:4" ht="12.5" x14ac:dyDescent="0.25">
      <c r="A938" s="33"/>
      <c r="B938" s="33"/>
      <c r="C938" s="33"/>
      <c r="D938" s="33"/>
    </row>
    <row r="939" spans="1:4" ht="12.5" x14ac:dyDescent="0.25">
      <c r="A939" s="33"/>
      <c r="B939" s="33"/>
      <c r="C939" s="33"/>
      <c r="D939" s="33"/>
    </row>
    <row r="940" spans="1:4" ht="12.5" x14ac:dyDescent="0.25">
      <c r="A940" s="33"/>
      <c r="B940" s="33"/>
      <c r="C940" s="33"/>
      <c r="D940" s="33"/>
    </row>
    <row r="941" spans="1:4" ht="12.5" x14ac:dyDescent="0.25">
      <c r="A941" s="33"/>
      <c r="B941" s="33"/>
      <c r="C941" s="33"/>
      <c r="D941" s="33"/>
    </row>
    <row r="942" spans="1:4" ht="12.5" x14ac:dyDescent="0.25">
      <c r="A942" s="33"/>
      <c r="B942" s="33"/>
      <c r="C942" s="33"/>
      <c r="D942" s="33"/>
    </row>
    <row r="943" spans="1:4" ht="12.5" x14ac:dyDescent="0.25">
      <c r="A943" s="33"/>
      <c r="B943" s="33"/>
      <c r="C943" s="33"/>
      <c r="D943" s="33"/>
    </row>
    <row r="944" spans="1:4" ht="12.5" x14ac:dyDescent="0.25">
      <c r="A944" s="33"/>
      <c r="B944" s="33"/>
      <c r="C944" s="33"/>
      <c r="D944" s="33"/>
    </row>
    <row r="945" spans="1:4" ht="12.5" x14ac:dyDescent="0.25">
      <c r="A945" s="33"/>
      <c r="B945" s="33"/>
      <c r="C945" s="33"/>
      <c r="D945" s="33"/>
    </row>
    <row r="946" spans="1:4" ht="12.5" x14ac:dyDescent="0.25">
      <c r="A946" s="33"/>
      <c r="B946" s="33"/>
      <c r="C946" s="33"/>
      <c r="D946" s="33"/>
    </row>
    <row r="947" spans="1:4" ht="12.5" x14ac:dyDescent="0.25">
      <c r="A947" s="33"/>
      <c r="B947" s="33"/>
      <c r="C947" s="33"/>
      <c r="D947" s="33"/>
    </row>
    <row r="948" spans="1:4" ht="12.5" x14ac:dyDescent="0.25">
      <c r="A948" s="33"/>
      <c r="B948" s="33"/>
      <c r="C948" s="33"/>
      <c r="D948" s="33"/>
    </row>
    <row r="949" spans="1:4" ht="12.5" x14ac:dyDescent="0.25">
      <c r="A949" s="33"/>
      <c r="B949" s="33"/>
      <c r="C949" s="33"/>
      <c r="D949" s="33"/>
    </row>
    <row r="950" spans="1:4" ht="12.5" x14ac:dyDescent="0.25">
      <c r="A950" s="33"/>
      <c r="B950" s="33"/>
      <c r="C950" s="33"/>
      <c r="D950" s="33"/>
    </row>
    <row r="951" spans="1:4" ht="12.5" x14ac:dyDescent="0.25">
      <c r="A951" s="33"/>
      <c r="B951" s="33"/>
      <c r="C951" s="33"/>
      <c r="D951" s="33"/>
    </row>
    <row r="952" spans="1:4" ht="12.5" x14ac:dyDescent="0.25">
      <c r="A952" s="33"/>
      <c r="B952" s="33"/>
      <c r="C952" s="33"/>
      <c r="D952" s="33"/>
    </row>
    <row r="953" spans="1:4" ht="12.5" x14ac:dyDescent="0.25">
      <c r="A953" s="33"/>
      <c r="B953" s="33"/>
      <c r="C953" s="33"/>
      <c r="D953" s="33"/>
    </row>
    <row r="954" spans="1:4" ht="12.5" x14ac:dyDescent="0.25">
      <c r="A954" s="33"/>
      <c r="B954" s="33"/>
      <c r="C954" s="33"/>
      <c r="D954" s="33"/>
    </row>
    <row r="955" spans="1:4" ht="12.5" x14ac:dyDescent="0.25">
      <c r="A955" s="33"/>
      <c r="B955" s="33"/>
      <c r="C955" s="33"/>
      <c r="D955" s="33"/>
    </row>
    <row r="956" spans="1:4" ht="12.5" x14ac:dyDescent="0.25">
      <c r="A956" s="33"/>
      <c r="B956" s="33"/>
      <c r="C956" s="33"/>
      <c r="D956" s="33"/>
    </row>
    <row r="957" spans="1:4" ht="12.5" x14ac:dyDescent="0.25">
      <c r="A957" s="33"/>
      <c r="B957" s="33"/>
      <c r="C957" s="33"/>
      <c r="D957" s="33"/>
    </row>
    <row r="958" spans="1:4" ht="12.5" x14ac:dyDescent="0.25">
      <c r="A958" s="33"/>
      <c r="B958" s="33"/>
      <c r="C958" s="33"/>
      <c r="D958" s="33"/>
    </row>
    <row r="959" spans="1:4" ht="12.5" x14ac:dyDescent="0.25">
      <c r="A959" s="33"/>
      <c r="B959" s="33"/>
      <c r="C959" s="33"/>
      <c r="D959" s="33"/>
    </row>
    <row r="960" spans="1:4" ht="12.5" x14ac:dyDescent="0.25">
      <c r="A960" s="33"/>
      <c r="B960" s="33"/>
      <c r="C960" s="33"/>
      <c r="D960" s="33"/>
    </row>
    <row r="961" spans="1:4" ht="12.5" x14ac:dyDescent="0.25">
      <c r="A961" s="33"/>
      <c r="B961" s="33"/>
      <c r="C961" s="33"/>
      <c r="D961" s="33"/>
    </row>
    <row r="962" spans="1:4" ht="12.5" x14ac:dyDescent="0.25">
      <c r="A962" s="33"/>
      <c r="B962" s="33"/>
      <c r="C962" s="33"/>
      <c r="D962" s="33"/>
    </row>
    <row r="963" spans="1:4" ht="12.5" x14ac:dyDescent="0.25">
      <c r="A963" s="33"/>
      <c r="B963" s="33"/>
      <c r="C963" s="33"/>
      <c r="D963" s="33"/>
    </row>
    <row r="964" spans="1:4" ht="12.5" x14ac:dyDescent="0.25">
      <c r="A964" s="33"/>
      <c r="B964" s="33"/>
      <c r="C964" s="33"/>
      <c r="D964" s="33"/>
    </row>
    <row r="965" spans="1:4" ht="12.5" x14ac:dyDescent="0.25">
      <c r="A965" s="33"/>
      <c r="B965" s="33"/>
      <c r="C965" s="33"/>
      <c r="D965" s="33"/>
    </row>
    <row r="966" spans="1:4" ht="12.5" x14ac:dyDescent="0.25">
      <c r="A966" s="33"/>
      <c r="B966" s="33"/>
      <c r="C966" s="33"/>
      <c r="D966" s="33"/>
    </row>
    <row r="967" spans="1:4" ht="12.5" x14ac:dyDescent="0.25">
      <c r="A967" s="33"/>
      <c r="B967" s="33"/>
      <c r="C967" s="33"/>
      <c r="D967" s="33"/>
    </row>
    <row r="968" spans="1:4" ht="12.5" x14ac:dyDescent="0.25">
      <c r="A968" s="33"/>
      <c r="B968" s="33"/>
      <c r="C968" s="33"/>
      <c r="D968" s="33"/>
    </row>
    <row r="969" spans="1:4" ht="12.5" x14ac:dyDescent="0.25">
      <c r="A969" s="33"/>
      <c r="B969" s="33"/>
      <c r="C969" s="33"/>
      <c r="D969" s="33"/>
    </row>
    <row r="970" spans="1:4" ht="12.5" x14ac:dyDescent="0.25">
      <c r="A970" s="33"/>
      <c r="B970" s="33"/>
      <c r="C970" s="33"/>
      <c r="D970" s="33"/>
    </row>
    <row r="971" spans="1:4" ht="12.5" x14ac:dyDescent="0.25">
      <c r="A971" s="33"/>
      <c r="B971" s="33"/>
      <c r="C971" s="33"/>
      <c r="D971" s="33"/>
    </row>
    <row r="972" spans="1:4" ht="12.5" x14ac:dyDescent="0.25">
      <c r="A972" s="33"/>
      <c r="B972" s="33"/>
      <c r="C972" s="33"/>
      <c r="D972" s="33"/>
    </row>
    <row r="973" spans="1:4" ht="12.5" x14ac:dyDescent="0.25">
      <c r="A973" s="33"/>
      <c r="B973" s="33"/>
      <c r="C973" s="33"/>
      <c r="D973" s="33"/>
    </row>
    <row r="974" spans="1:4" ht="12.5" x14ac:dyDescent="0.25">
      <c r="A974" s="33"/>
      <c r="B974" s="33"/>
      <c r="C974" s="33"/>
      <c r="D974" s="33"/>
    </row>
    <row r="975" spans="1:4" ht="12.5" x14ac:dyDescent="0.25">
      <c r="A975" s="33"/>
      <c r="B975" s="33"/>
      <c r="C975" s="33"/>
      <c r="D975" s="33"/>
    </row>
    <row r="976" spans="1:4" ht="12.5" x14ac:dyDescent="0.25">
      <c r="A976" s="33"/>
      <c r="B976" s="33"/>
      <c r="C976" s="33"/>
      <c r="D976" s="33"/>
    </row>
    <row r="977" spans="1:4" ht="12.5" x14ac:dyDescent="0.25">
      <c r="A977" s="33"/>
      <c r="B977" s="33"/>
      <c r="C977" s="33"/>
      <c r="D977" s="33"/>
    </row>
    <row r="978" spans="1:4" ht="12.5" x14ac:dyDescent="0.25">
      <c r="A978" s="33"/>
      <c r="B978" s="33"/>
      <c r="C978" s="33"/>
      <c r="D978" s="33"/>
    </row>
    <row r="979" spans="1:4" ht="12.5" x14ac:dyDescent="0.25">
      <c r="A979" s="33"/>
      <c r="B979" s="33"/>
      <c r="C979" s="33"/>
      <c r="D979" s="33"/>
    </row>
    <row r="980" spans="1:4" ht="12.5" x14ac:dyDescent="0.25">
      <c r="A980" s="33"/>
      <c r="B980" s="33"/>
      <c r="C980" s="33"/>
      <c r="D980" s="33"/>
    </row>
    <row r="981" spans="1:4" ht="12.5" x14ac:dyDescent="0.25">
      <c r="A981" s="33"/>
      <c r="B981" s="33"/>
      <c r="C981" s="33"/>
      <c r="D981" s="33"/>
    </row>
    <row r="982" spans="1:4" ht="12.5" x14ac:dyDescent="0.25">
      <c r="A982" s="33"/>
      <c r="B982" s="33"/>
      <c r="C982" s="33"/>
      <c r="D982" s="33"/>
    </row>
    <row r="983" spans="1:4" ht="12.5" x14ac:dyDescent="0.25">
      <c r="A983" s="33"/>
      <c r="B983" s="33"/>
      <c r="C983" s="33"/>
      <c r="D983" s="33"/>
    </row>
    <row r="984" spans="1:4" ht="12.5" x14ac:dyDescent="0.25">
      <c r="A984" s="33"/>
      <c r="B984" s="33"/>
      <c r="C984" s="33"/>
      <c r="D984" s="33"/>
    </row>
    <row r="985" spans="1:4" ht="12.5" x14ac:dyDescent="0.25">
      <c r="A985" s="33"/>
      <c r="B985" s="33"/>
      <c r="C985" s="33"/>
      <c r="D985" s="33"/>
    </row>
    <row r="986" spans="1:4" ht="12.5" x14ac:dyDescent="0.25">
      <c r="A986" s="33"/>
      <c r="B986" s="33"/>
      <c r="C986" s="33"/>
      <c r="D986" s="33"/>
    </row>
    <row r="987" spans="1:4" ht="12.5" x14ac:dyDescent="0.25">
      <c r="A987" s="33"/>
      <c r="B987" s="33"/>
      <c r="C987" s="33"/>
      <c r="D987" s="33"/>
    </row>
    <row r="988" spans="1:4" ht="12.5" x14ac:dyDescent="0.25">
      <c r="A988" s="33"/>
      <c r="B988" s="33"/>
      <c r="C988" s="33"/>
      <c r="D988" s="33"/>
    </row>
    <row r="989" spans="1:4" ht="12.5" x14ac:dyDescent="0.25">
      <c r="A989" s="33"/>
      <c r="B989" s="33"/>
      <c r="C989" s="33"/>
      <c r="D989" s="33"/>
    </row>
    <row r="990" spans="1:4" ht="12.5" x14ac:dyDescent="0.25">
      <c r="A990" s="33"/>
      <c r="B990" s="33"/>
      <c r="C990" s="33"/>
      <c r="D990" s="33"/>
    </row>
    <row r="991" spans="1:4" ht="12.5" x14ac:dyDescent="0.25">
      <c r="A991" s="33"/>
      <c r="B991" s="33"/>
      <c r="C991" s="33"/>
      <c r="D991" s="33"/>
    </row>
    <row r="992" spans="1:4" ht="12.5" x14ac:dyDescent="0.25">
      <c r="A992" s="33"/>
      <c r="B992" s="33"/>
      <c r="C992" s="33"/>
      <c r="D992" s="33"/>
    </row>
    <row r="993" spans="1:4" ht="12.5" x14ac:dyDescent="0.25">
      <c r="A993" s="33"/>
      <c r="B993" s="33"/>
      <c r="C993" s="33"/>
      <c r="D993" s="33"/>
    </row>
    <row r="994" spans="1:4" ht="12.5" x14ac:dyDescent="0.25">
      <c r="A994" s="33"/>
      <c r="B994" s="33"/>
      <c r="C994" s="33"/>
      <c r="D994" s="33"/>
    </row>
    <row r="995" spans="1:4" ht="12.5" x14ac:dyDescent="0.25">
      <c r="A995" s="33"/>
      <c r="B995" s="33"/>
      <c r="C995" s="33"/>
      <c r="D995" s="33"/>
    </row>
    <row r="996" spans="1:4" ht="12.5" x14ac:dyDescent="0.25">
      <c r="A996" s="33"/>
      <c r="B996" s="33"/>
      <c r="C996" s="33"/>
      <c r="D996" s="33"/>
    </row>
    <row r="997" spans="1:4" ht="12.5" x14ac:dyDescent="0.25">
      <c r="A997" s="33"/>
      <c r="B997" s="33"/>
      <c r="C997" s="33"/>
      <c r="D997" s="33"/>
    </row>
    <row r="998" spans="1:4" ht="12.5" x14ac:dyDescent="0.25">
      <c r="A998" s="33"/>
      <c r="B998" s="33"/>
      <c r="C998" s="33"/>
      <c r="D998" s="33"/>
    </row>
    <row r="999" spans="1:4" ht="12.5" x14ac:dyDescent="0.25">
      <c r="A999" s="33"/>
      <c r="B999" s="33"/>
      <c r="C999" s="33"/>
      <c r="D999" s="33"/>
    </row>
    <row r="1000" spans="1:4" ht="12.5" x14ac:dyDescent="0.25">
      <c r="A1000" s="33"/>
      <c r="B1000" s="33"/>
      <c r="C1000" s="33"/>
      <c r="D1000" s="3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Router</vt:lpstr>
      <vt:lpstr>SwitchCampus</vt:lpstr>
      <vt:lpstr>ModularSwitch</vt:lpstr>
      <vt:lpstr>NexusSwitch</vt:lpstr>
      <vt:lpstr>WiFi</vt:lpstr>
      <vt:lpstr>AllDevices</vt:lpstr>
      <vt:lpstr>Cisco</vt:lpstr>
      <vt:lpstr>Juniper</vt:lpstr>
      <vt:lpstr>AllListPrice</vt:lpstr>
      <vt:lpstr>Specs</vt:lpstr>
      <vt:lpstr>SFP</vt:lpstr>
      <vt:lpstr>3rdSFP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Dao Thi Kim Trang</cp:lastModifiedBy>
  <dcterms:modified xsi:type="dcterms:W3CDTF">2026-05-14T17:19:18Z</dcterms:modified>
</cp:coreProperties>
</file>