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uter" sheetId="1" r:id="rId5"/>
    <sheet state="visible" name="SwitchCampus" sheetId="2" r:id="rId6"/>
    <sheet state="visible" name="ModularSwitch" sheetId="3" r:id="rId7"/>
    <sheet state="visible" name="NexusSwitch" sheetId="4" r:id="rId8"/>
    <sheet state="visible" name="WiFi" sheetId="5" r:id="rId9"/>
    <sheet state="visible" name="AllDevices" sheetId="6" r:id="rId10"/>
    <sheet state="visible" name="Cisco" sheetId="7" r:id="rId11"/>
    <sheet state="visible" name="Juniper" sheetId="8" r:id="rId12"/>
    <sheet state="visible" name="AllListPrice" sheetId="9" r:id="rId13"/>
    <sheet state="visible" name="Specs" sheetId="10" r:id="rId14"/>
    <sheet state="visible" name="SFP" sheetId="11" r:id="rId15"/>
    <sheet state="visible" name="3rdSFP" sheetId="12" r:id="rId16"/>
  </sheets>
  <definedNames>
    <definedName hidden="1" localSheetId="5" name="_xlnm._FilterDatabase">AllDevices!$A$1:$Z$84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">
      <text>
        <t xml:space="preserve">Cable loss = 0 dB; Receiver sensitivity = -75 dBm; Fade margin = 30 dB; tại 6GHz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W1">
      <text>
        <t xml:space="preserve">Lookup theo P/N 100GQSFP-LR4-4=</t>
      </text>
    </comment>
  </commentList>
</comments>
</file>

<file path=xl/sharedStrings.xml><?xml version="1.0" encoding="utf-8"?>
<sst xmlns="http://schemas.openxmlformats.org/spreadsheetml/2006/main" count="559" uniqueCount="247">
  <si>
    <t>Requirement</t>
  </si>
  <si>
    <t>C1161-8P</t>
  </si>
  <si>
    <t>C1161X-8P</t>
  </si>
  <si>
    <t>C1131-8PWS</t>
  </si>
  <si>
    <t>C1131X-8PWS</t>
  </si>
  <si>
    <t>C1121-4P</t>
  </si>
  <si>
    <t>C1121-8P</t>
  </si>
  <si>
    <t>C1127-8PLTEP</t>
  </si>
  <si>
    <t>C1116-4P</t>
  </si>
  <si>
    <t>C1117-4P</t>
  </si>
  <si>
    <t>C1112-8P</t>
  </si>
  <si>
    <t>C1109-4PLTE2P</t>
  </si>
  <si>
    <t>C8200L-1N-4T</t>
  </si>
  <si>
    <t>C8200-1N-4T</t>
  </si>
  <si>
    <t>C8300-1N1S-6T</t>
  </si>
  <si>
    <t>C8300-2N2S-6T</t>
  </si>
  <si>
    <t>C8300-1N1S-4T2X</t>
  </si>
  <si>
    <t>C8300-2N2S-4T2X</t>
  </si>
  <si>
    <t>C8500L-8S4X</t>
  </si>
  <si>
    <t>C8500-12X</t>
  </si>
  <si>
    <t>C8500-12X4QC</t>
  </si>
  <si>
    <t>C8500-20X6C</t>
  </si>
  <si>
    <t>Router Class</t>
  </si>
  <si>
    <t>Low End</t>
  </si>
  <si>
    <t>Mid Range</t>
  </si>
  <si>
    <t>High End</t>
  </si>
  <si>
    <t>Số tiêu chí đáp ứng</t>
  </si>
  <si>
    <t>Giá dự toán</t>
  </si>
  <si>
    <t>Thiết bị đáp ứng sát nhất số lượng tiêu chí YCKT</t>
  </si>
  <si>
    <t>Thiết bị giá tốt nhất đáp ứng</t>
  </si>
  <si>
    <t>Thiết bị khác đáp ứng</t>
  </si>
  <si>
    <t>Các lựa chọn khác</t>
  </si>
  <si>
    <t>C1300-8T-E-2G</t>
  </si>
  <si>
    <t>C1300-8P-E-2G</t>
  </si>
  <si>
    <t>C1300-8FP-2G</t>
  </si>
  <si>
    <t>C1300-16T-2G</t>
  </si>
  <si>
    <t>C1300-16P-2G</t>
  </si>
  <si>
    <t>C1300-16FP-2G</t>
  </si>
  <si>
    <t>C1300-24T-4G</t>
  </si>
  <si>
    <t>C1300-24P-4G</t>
  </si>
  <si>
    <t>C1300-24FP-4G</t>
  </si>
  <si>
    <t>C1300-48T-4G</t>
  </si>
  <si>
    <t>C1300-48P-4G</t>
  </si>
  <si>
    <t>C1300-48FP-4G</t>
  </si>
  <si>
    <t>C1300-16P-4X</t>
  </si>
  <si>
    <t>C1300-24T-4X</t>
  </si>
  <si>
    <t>C1300-24P-4X</t>
  </si>
  <si>
    <t>C1300-24FP-4X</t>
  </si>
  <si>
    <t>C1300-48T-4X</t>
  </si>
  <si>
    <t>C1300-48P-4X</t>
  </si>
  <si>
    <t>C1300-48FP-4X</t>
  </si>
  <si>
    <t>C1300-12XT-2X</t>
  </si>
  <si>
    <t>C1300-12XS</t>
  </si>
  <si>
    <t>C1300-16XTS</t>
  </si>
  <si>
    <t>C1300-24XS</t>
  </si>
  <si>
    <t>C1300-24XT</t>
  </si>
  <si>
    <t>C1300-24XTS</t>
  </si>
  <si>
    <t>C1300X-24T-4X</t>
  </si>
  <si>
    <t>C1300X-48T-4X</t>
  </si>
  <si>
    <t>C1300X-24P-4X</t>
  </si>
  <si>
    <t>C1300X-48P-4X</t>
  </si>
  <si>
    <t>C9200-24T</t>
  </si>
  <si>
    <t>C9200-24P</t>
  </si>
  <si>
    <t>C9200-48T</t>
  </si>
  <si>
    <t>C9200-48P</t>
  </si>
  <si>
    <t>C9200L-24T-4G</t>
  </si>
  <si>
    <t>C9200L-24P-4G</t>
  </si>
  <si>
    <t>C9200L-48T-4G</t>
  </si>
  <si>
    <t>C9200L-48P-4G</t>
  </si>
  <si>
    <t>C9200L-24T-4X</t>
  </si>
  <si>
    <t>C9200L-24P-4X</t>
  </si>
  <si>
    <t>C9200L-48T-4X</t>
  </si>
  <si>
    <t>C9200L-48P-4X</t>
  </si>
  <si>
    <t>C9200CX-8P-2X2G</t>
  </si>
  <si>
    <t>C9200CX-12T-2X2G</t>
  </si>
  <si>
    <t>C9200CX-12P-2X2G</t>
  </si>
  <si>
    <t>C9300L-24T-4G</t>
  </si>
  <si>
    <t>C9300L-24P-4G</t>
  </si>
  <si>
    <t>C9300L-24T-4X</t>
  </si>
  <si>
    <t>C9300L-24P-4X</t>
  </si>
  <si>
    <t>C9300L-48T-4G</t>
  </si>
  <si>
    <t>C9300L-48P-4G</t>
  </si>
  <si>
    <t>C9300L-48T-4X</t>
  </si>
  <si>
    <t>C9300L-48P-4X</t>
  </si>
  <si>
    <t>C9300-24T</t>
  </si>
  <si>
    <t>C9300-24P</t>
  </si>
  <si>
    <t>C9300-24U</t>
  </si>
  <si>
    <t>C9300-24H</t>
  </si>
  <si>
    <t>C9300-24S</t>
  </si>
  <si>
    <t>C9300-24UB</t>
  </si>
  <si>
    <t>C9300-48T</t>
  </si>
  <si>
    <t>C9300-48P</t>
  </si>
  <si>
    <t>C9300-48U</t>
  </si>
  <si>
    <t>C9300-48H</t>
  </si>
  <si>
    <t>C9300-48S</t>
  </si>
  <si>
    <t>C9300-48UB</t>
  </si>
  <si>
    <t>C9500-32C</t>
  </si>
  <si>
    <t>C9500-32QC</t>
  </si>
  <si>
    <t>C9500-48Y4C</t>
  </si>
  <si>
    <t>C9500-24Y4C</t>
  </si>
  <si>
    <t>C9500X-28C8D</t>
  </si>
  <si>
    <t>C9500X-60L4D</t>
  </si>
  <si>
    <t>EX4200-24T</t>
  </si>
  <si>
    <t>EX4300-48S</t>
  </si>
  <si>
    <t>EX4600</t>
  </si>
  <si>
    <t>Y</t>
  </si>
  <si>
    <t>Switch Class</t>
  </si>
  <si>
    <t>C9404R</t>
  </si>
  <si>
    <t>C9407R</t>
  </si>
  <si>
    <t>C9410R</t>
  </si>
  <si>
    <t>C9606R</t>
  </si>
  <si>
    <t>C9400-LC-12QC=</t>
  </si>
  <si>
    <t>C9400-LC-48T=</t>
  </si>
  <si>
    <t>C9400-LC-48TX=</t>
  </si>
  <si>
    <t>C9400-LC-48S=</t>
  </si>
  <si>
    <t>C9400-LC-48XS=</t>
  </si>
  <si>
    <t>C9600-LC-48TX=</t>
  </si>
  <si>
    <t>C9600-LC-48YL=</t>
  </si>
  <si>
    <t>C9600-LC-40YL4CD=</t>
  </si>
  <si>
    <t>C9600-LC-24C=</t>
  </si>
  <si>
    <t>N</t>
  </si>
  <si>
    <t>Nexus Switch</t>
  </si>
  <si>
    <t>N9K-C9504</t>
  </si>
  <si>
    <t>N9K-C9508</t>
  </si>
  <si>
    <t>N9K-C9516</t>
  </si>
  <si>
    <t>N9K-C9348GC-FX3</t>
  </si>
  <si>
    <t>N9K-C93108TC-FX3</t>
  </si>
  <si>
    <t>N9K-C93216TC-FX2</t>
  </si>
  <si>
    <t>N9K-C93360YC-FX2</t>
  </si>
  <si>
    <t>N9K-C93240YC-FX2</t>
  </si>
  <si>
    <t>N9K-C93180YC-FX3</t>
  </si>
  <si>
    <t>N9K-C93600CD-GX</t>
  </si>
  <si>
    <t>N9K-C9316D-GX</t>
  </si>
  <si>
    <t>N9K-C9364C-GX</t>
  </si>
  <si>
    <t>N9K-X9736C-FX3=</t>
  </si>
  <si>
    <t>C9136I</t>
  </si>
  <si>
    <t>CW9162I</t>
  </si>
  <si>
    <t>CW9164I</t>
  </si>
  <si>
    <t>CW9166I</t>
  </si>
  <si>
    <t>CW9166D1</t>
  </si>
  <si>
    <t>CW9172I</t>
  </si>
  <si>
    <t>CW9172H</t>
  </si>
  <si>
    <t>CW9176I</t>
  </si>
  <si>
    <t>CW9176D1</t>
  </si>
  <si>
    <t>CW9178I</t>
  </si>
  <si>
    <t>C9124AXI</t>
  </si>
  <si>
    <t>C9124AXD</t>
  </si>
  <si>
    <t>C9124AXE</t>
  </si>
  <si>
    <t>CW9163E</t>
  </si>
  <si>
    <t>AIR-PWRINJ7=</t>
  </si>
  <si>
    <t>IW-PWRINJ-60RGDMG=</t>
  </si>
  <si>
    <t>indoor</t>
  </si>
  <si>
    <t>outdoor</t>
  </si>
  <si>
    <t>WiFi6E</t>
  </si>
  <si>
    <t>WiFi7</t>
  </si>
  <si>
    <t>WiFi6</t>
  </si>
  <si>
    <t>Công suất phát (dBm)</t>
  </si>
  <si>
    <t>Số lượng cổng Uplink 1GE RJ45</t>
  </si>
  <si>
    <t>Số lượng cổng Uplink 10GE RJ45</t>
  </si>
  <si>
    <t>Số lượng cổng Uplink 1GE SFP</t>
  </si>
  <si>
    <t>Antenna Type (Omni or Directional)</t>
  </si>
  <si>
    <t>Omni</t>
  </si>
  <si>
    <t>Directional</t>
  </si>
  <si>
    <t>Depend on Antenna</t>
  </si>
  <si>
    <t>Access Point Class</t>
  </si>
  <si>
    <t>Available transmit power settings</t>
  </si>
  <si>
    <t>Antenna gain (dBi)</t>
  </si>
  <si>
    <t>All Devices</t>
  </si>
  <si>
    <t>Đã có giá List chưa ?</t>
  </si>
  <si>
    <t>Devices</t>
  </si>
  <si>
    <t>List Price</t>
  </si>
  <si>
    <t>Giá AM nhập</t>
  </si>
  <si>
    <t>Final Price</t>
  </si>
  <si>
    <t>Cân bằng tải đường truyền</t>
  </si>
  <si>
    <t>Router</t>
  </si>
  <si>
    <t>SwitchCampus</t>
  </si>
  <si>
    <t>ModularSwitch</t>
  </si>
  <si>
    <t>Wireless</t>
  </si>
  <si>
    <t>Automation</t>
  </si>
  <si>
    <t>SDWAN</t>
  </si>
  <si>
    <t>Cân bằng tải ứng dụng</t>
  </si>
  <si>
    <t>SFP</t>
  </si>
  <si>
    <t>DWDM/ DCI</t>
  </si>
  <si>
    <t>Amplifier</t>
  </si>
  <si>
    <t>Throughput (Mbps)</t>
  </si>
  <si>
    <t>Switching Bandwidth - Full Duplex (Gbps)</t>
  </si>
  <si>
    <t>Loại Access Point (indoor/outdoor)</t>
  </si>
  <si>
    <t>Hiển thị trực quan topo mạng</t>
  </si>
  <si>
    <t>Application Throughput L4/L7 (Gbps)</t>
  </si>
  <si>
    <t>Tốc độ (1G/10G/100G)</t>
  </si>
  <si>
    <t>Kiểu kết nối (Điểm - điểm, Ring, Mesh)</t>
  </si>
  <si>
    <t>Số lượng cổng WAN 1GE</t>
  </si>
  <si>
    <t>Forwarding Capacity (Mpps)</t>
  </si>
  <si>
    <t>Công nghệ WiFi (WiFi6/WiFi7)</t>
  </si>
  <si>
    <t>Cấu hình cung cấp dịch vụ tập trung (L2VPN/L3VPN)</t>
  </si>
  <si>
    <t>Layer 4 Concurrent Sessions</t>
  </si>
  <si>
    <t>Khoảng cách truyền (km)</t>
  </si>
  <si>
    <t>Số lượng hướng quang</t>
  </si>
  <si>
    <t>Số lượng cổng WAN 10GE</t>
  </si>
  <si>
    <t>Số lượng cổng 1GE đồng</t>
  </si>
  <si>
    <t>Số lượng người dùng trong phạm vi phủ sóng 1 AP</t>
  </si>
  <si>
    <t>Nâng cấp OS tự động trên diện rộng</t>
  </si>
  <si>
    <t>Layer 7 Connection per Second</t>
  </si>
  <si>
    <t>Dải hoạt động (C-band, L-band, Kết hợp cả 2)</t>
  </si>
  <si>
    <t>Số lượng kênh (bước sóng)</t>
  </si>
  <si>
    <t>Số lượng cổng LAN 1GE</t>
  </si>
  <si>
    <t>Số lượng cổng 1GE SFP</t>
  </si>
  <si>
    <t>Bán kính phủ sóng (m)</t>
  </si>
  <si>
    <t>Số lượng cổng 1GE</t>
  </si>
  <si>
    <t>Số lượng bước sóng</t>
  </si>
  <si>
    <t>Số lượng cổng kết nối Client / kênh</t>
  </si>
  <si>
    <t>Số lượng cổng LAN 10GE</t>
  </si>
  <si>
    <t>Số lượng cổng 10GE đồng</t>
  </si>
  <si>
    <t>Số lượng cổng 10GE</t>
  </si>
  <si>
    <t>Dung lượng mỗi bước sóng (100G, 200G, 400G, 800G, 1,2T, 1,6T)</t>
  </si>
  <si>
    <t>Số lượng người dùng</t>
  </si>
  <si>
    <t>Số lượng cổng 10GE quang</t>
  </si>
  <si>
    <t>Số lượng cổng 100GE</t>
  </si>
  <si>
    <t>Loại giao diện cho client (10GE, 40GE, 100GE
 400GE)</t>
  </si>
  <si>
    <t>Stacking (Y/N)</t>
  </si>
  <si>
    <t>PoE (Y/N)</t>
  </si>
  <si>
    <t>Ficer-1G-10km</t>
  </si>
  <si>
    <t>Ficer-1G-40km</t>
  </si>
  <si>
    <t>Ficer-1G-80km</t>
  </si>
  <si>
    <t>Ficer-10G-10km</t>
  </si>
  <si>
    <t>Ficer-10G-40km</t>
  </si>
  <si>
    <t>Ficer-10G-80km</t>
  </si>
  <si>
    <t>Ficer-100G-10km</t>
  </si>
  <si>
    <t>Ficer-100G-40km</t>
  </si>
  <si>
    <t>Ficer-100G-80km</t>
  </si>
  <si>
    <t>GLC-SX-MMD=</t>
  </si>
  <si>
    <t>GLC-LH-SMD=</t>
  </si>
  <si>
    <t>GLC-EX-SMD=</t>
  </si>
  <si>
    <t>GLC-ZX-SMD=</t>
  </si>
  <si>
    <t>SFP-10G-SR-S=</t>
  </si>
  <si>
    <t>SFP-10G-SR=</t>
  </si>
  <si>
    <t>SFP-10G-LR-S=</t>
  </si>
  <si>
    <t>SFP-10G-LR=</t>
  </si>
  <si>
    <t>SFP-10G-ER-S=</t>
  </si>
  <si>
    <t>SFP-10G-ER=</t>
  </si>
  <si>
    <t>SFP-10G-ZR-S=</t>
  </si>
  <si>
    <t>SFP-10G-ZR=</t>
  </si>
  <si>
    <t>QSFP-100G-LR4-S</t>
  </si>
  <si>
    <t>QSFP-100G-LR-S=</t>
  </si>
  <si>
    <t>QSFP-100G-ER4L-S=</t>
  </si>
  <si>
    <t>QSFP-100G-ZR4-S=</t>
  </si>
  <si>
    <t>SFP Class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</si>
</sst>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0.0"/>
  </numFmts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Calibri"/>
    </font>
    <font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b/>
      <sz val="12.0"/>
      <color theme="1"/>
      <name val="Arial"/>
    </font>
    <font>
      <sz val="12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46BDC6"/>
        <bgColor rgb="FF46BDC6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2" fillId="2" fontId="1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horizontal="center" vertical="bottom"/>
    </xf>
    <xf borderId="1" fillId="4" fontId="2" numFmtId="0" xfId="0" applyAlignment="1" applyBorder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1" fillId="4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3" fontId="2" numFmtId="0" xfId="0" applyAlignment="1" applyFont="1">
      <alignment vertical="bottom"/>
    </xf>
    <xf borderId="0" fillId="4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4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4" fontId="2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4" fontId="1" numFmtId="0" xfId="0" applyAlignment="1" applyFont="1">
      <alignment horizontal="center" vertical="bottom"/>
    </xf>
    <xf borderId="0" fillId="0" fontId="1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1" fillId="0" fontId="4" numFmtId="3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horizontal="center" vertical="bottom"/>
    </xf>
    <xf borderId="0" fillId="3" fontId="2" numFmtId="0" xfId="0" applyAlignment="1" applyFont="1">
      <alignment horizontal="center" vertical="bottom"/>
    </xf>
    <xf borderId="1" fillId="2" fontId="1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3" fontId="1" numFmtId="0" xfId="0" applyAlignment="1" applyBorder="1" applyFont="1">
      <alignment horizontal="center" vertical="bottom"/>
    </xf>
    <xf borderId="1" fillId="4" fontId="1" numFmtId="0" xfId="0" applyAlignment="1" applyBorder="1" applyFont="1">
      <alignment horizontal="center" vertical="bottom"/>
    </xf>
    <xf borderId="1" fillId="2" fontId="3" numFmtId="0" xfId="0" applyAlignment="1" applyBorder="1" applyFont="1">
      <alignment horizontal="center" vertical="bottom"/>
    </xf>
    <xf borderId="1" fillId="2" fontId="2" numFmtId="0" xfId="0" applyAlignment="1" applyBorder="1" applyFont="1">
      <alignment vertical="bottom"/>
    </xf>
    <xf borderId="1" fillId="4" fontId="2" numFmtId="0" xfId="0" applyAlignment="1" applyBorder="1" applyFont="1">
      <alignment vertical="bottom"/>
    </xf>
    <xf borderId="1" fillId="4" fontId="2" numFmtId="0" xfId="0" applyAlignment="1" applyBorder="1" applyFont="1">
      <alignment horizontal="center" vertical="bottom"/>
    </xf>
    <xf borderId="1" fillId="0" fontId="4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0" fontId="4" numFmtId="1" xfId="0" applyAlignment="1" applyBorder="1" applyFont="1" applyNumberFormat="1">
      <alignment horizontal="center" vertical="bottom"/>
    </xf>
    <xf borderId="1" fillId="0" fontId="2" numFmtId="165" xfId="0" applyAlignment="1" applyBorder="1" applyFont="1" applyNumberFormat="1">
      <alignment vertical="bottom"/>
    </xf>
    <xf borderId="0" fillId="0" fontId="2" numFmtId="165" xfId="0" applyAlignment="1" applyFont="1" applyNumberFormat="1">
      <alignment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6" numFmtId="0" xfId="0" applyFont="1"/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6" numFmtId="164" xfId="0" applyFont="1" applyNumberFormat="1"/>
    <xf borderId="0" fillId="0" fontId="5" numFmtId="164" xfId="0" applyFont="1" applyNumberFormat="1"/>
    <xf borderId="0" fillId="5" fontId="5" numFmtId="0" xfId="0" applyAlignment="1" applyFill="1" applyFont="1">
      <alignment horizontal="center" readingOrder="0"/>
    </xf>
    <xf borderId="0" fillId="5" fontId="5" numFmtId="164" xfId="0" applyAlignment="1" applyFont="1" applyNumberFormat="1">
      <alignment horizontal="center" readingOrder="0"/>
    </xf>
    <xf borderId="1" fillId="5" fontId="7" numFmtId="0" xfId="0" applyAlignment="1" applyBorder="1" applyFont="1">
      <alignment horizontal="center" shrinkToFit="0" wrapText="1"/>
    </xf>
    <xf borderId="1" fillId="5" fontId="7" numFmtId="0" xfId="0" applyAlignment="1" applyBorder="1" applyFont="1">
      <alignment horizontal="center" shrinkToFit="0" wrapText="1"/>
    </xf>
    <xf borderId="0" fillId="6" fontId="6" numFmtId="0" xfId="0" applyAlignment="1" applyFill="1" applyFont="1">
      <alignment vertical="center"/>
    </xf>
    <xf borderId="1" fillId="7" fontId="8" numFmtId="0" xfId="0" applyAlignment="1" applyBorder="1" applyFill="1" applyFont="1">
      <alignment shrinkToFit="0" wrapText="1"/>
    </xf>
    <xf borderId="1" fillId="7" fontId="2" numFmtId="0" xfId="0" applyBorder="1" applyFont="1"/>
    <xf borderId="1" fillId="7" fontId="8" numFmtId="0" xfId="0" applyAlignment="1" applyBorder="1" applyFont="1">
      <alignment shrinkToFit="0" wrapText="1"/>
    </xf>
    <xf borderId="1" fillId="0" fontId="2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6">
    <tableStyle count="3" pivot="0" name="Specs-style">
      <tableStyleElement dxfId="2" type="headerRow"/>
      <tableStyleElement dxfId="3" type="firstRowStripe"/>
      <tableStyleElement dxfId="4" type="secondRowStripe"/>
    </tableStyle>
    <tableStyle count="3" pivot="0" name="Specs-style 2">
      <tableStyleElement dxfId="2" type="headerRow"/>
      <tableStyleElement dxfId="3" type="firstRowStripe"/>
      <tableStyleElement dxfId="4" type="secondRowStripe"/>
    </tableStyle>
    <tableStyle count="2" pivot="0" name="Specs-style 3">
      <tableStyleElement dxfId="4" type="firstRowStripe"/>
      <tableStyleElement dxfId="3" type="secondRowStripe"/>
    </tableStyle>
    <tableStyle count="2" pivot="0" name="Specs-style 4">
      <tableStyleElement dxfId="4" type="firstRowStripe"/>
      <tableStyleElement dxfId="3" type="secondRowStripe"/>
    </tableStyle>
    <tableStyle count="2" pivot="0" name="Specs-style 5">
      <tableStyleElement dxfId="3" type="firstRowStripe"/>
      <tableStyleElement dxfId="4" type="secondRowStripe"/>
    </tableStyle>
    <tableStyle count="2" pivot="0" name="Specs-style 6"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8" displayName="Table_1" name="Table_1" id="1">
  <tableColumns count="8">
    <tableColumn name="Cân bằng tải đường truyền" id="1"/>
    <tableColumn name="Router" id="2"/>
    <tableColumn name="SwitchCampus" id="3"/>
    <tableColumn name="ModularSwitch" id="4"/>
    <tableColumn name="Wireless" id="5"/>
    <tableColumn name="Automation" id="6"/>
    <tableColumn name="SDWAN" id="7"/>
    <tableColumn name="Cân bằng tải ứng dụng" id="8"/>
  </tableColumns>
  <tableStyleInfo name="Specs-style" showColumnStripes="0" showFirstColumn="1" showLastColumn="1" showRowStripes="1"/>
</table>
</file>

<file path=xl/tables/table2.xml><?xml version="1.0" encoding="utf-8"?>
<table xmlns="http://schemas.openxmlformats.org/spreadsheetml/2006/main" ref="I1:K8" displayName="Table_2" name="Table_2" id="2">
  <tableColumns count="3">
    <tableColumn name="SFP" id="1"/>
    <tableColumn name="DWDM/ DCI" id="2"/>
    <tableColumn name="Amplifier" id="3"/>
  </tableColumns>
  <tableStyleInfo name="Spec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9:H9" displayName="Table_3" name="Table_3" id="3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3" showColumnStripes="0" showFirstColumn="1" showLastColumn="1" showRowStripes="1"/>
</table>
</file>

<file path=xl/tables/table4.xml><?xml version="1.0" encoding="utf-8"?>
<table xmlns="http://schemas.openxmlformats.org/spreadsheetml/2006/main" headerRowCount="0" ref="I9:K9" displayName="Table_4" name="Table_4" id="4">
  <tableColumns count="3">
    <tableColumn name="Column1" id="1"/>
    <tableColumn name="Column2" id="2"/>
    <tableColumn name="Column3" id="3"/>
  </tableColumns>
  <tableStyleInfo name="Spec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0:H10" displayName="Table_5" name="Table_5" id="5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Specs-style 5" showColumnStripes="0" showFirstColumn="1" showLastColumn="1" showRowStripes="1"/>
</table>
</file>

<file path=xl/tables/table6.xml><?xml version="1.0" encoding="utf-8"?>
<table xmlns="http://schemas.openxmlformats.org/spreadsheetml/2006/main" headerRowCount="0" ref="I10:K10" displayName="Table_6" name="Table_6" id="6">
  <tableColumns count="3">
    <tableColumn name="Column1" id="1"/>
    <tableColumn name="Column2" id="2"/>
    <tableColumn name="Column3" id="3"/>
  </tableColumns>
  <tableStyleInfo name="Specs-style 6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5.88"/>
    <col customWidth="1" min="3" max="42" width="16.75"/>
  </cols>
  <sheetData>
    <row r="1">
      <c r="A1" s="1" t="str">
        <f>Specs!B1</f>
        <v>Router</v>
      </c>
      <c r="B1" s="2" t="s">
        <v>0</v>
      </c>
      <c r="C1" s="3" t="str">
        <f t="array" ref="C1">INDEX(D1:AP1, MATCH(1, D16:AP16, 0))</f>
        <v>C8300-1N1S-4T2X</v>
      </c>
      <c r="D1" s="4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>
      <c r="A2" s="8" t="str">
        <f>Specs!B2</f>
        <v>Throughput (Mbps)</v>
      </c>
      <c r="B2" s="9">
        <f>IFERROR(__xludf.DUMMYFUNCTION("IMPORTRANGE(""https://docs.google.com/spreadsheets/d/18TjePryHG687L54fIGU6Od12DGyT3mPoblPemZTZRY4"",""Router!B3:B10"")"),5000.0)</f>
        <v>5000</v>
      </c>
      <c r="C2" s="10">
        <f>hlookup($C$1,$D$1:$AP$10,2,0)</f>
        <v>17000</v>
      </c>
      <c r="D2" s="11">
        <v>1889.0</v>
      </c>
      <c r="E2" s="12">
        <v>1889.0</v>
      </c>
      <c r="F2" s="12">
        <v>1889.0</v>
      </c>
      <c r="G2" s="12">
        <v>1889.0</v>
      </c>
      <c r="H2" s="12">
        <v>1426.0</v>
      </c>
      <c r="I2" s="12">
        <v>1889.0</v>
      </c>
      <c r="J2" s="12">
        <v>1889.0</v>
      </c>
      <c r="K2" s="12">
        <v>1889.0</v>
      </c>
      <c r="L2" s="12">
        <v>1889.0</v>
      </c>
      <c r="M2" s="12">
        <v>1889.0</v>
      </c>
      <c r="N2" s="12">
        <v>1169.0</v>
      </c>
      <c r="O2" s="12">
        <v>500.0</v>
      </c>
      <c r="P2" s="12">
        <v>1000.0</v>
      </c>
      <c r="Q2" s="12">
        <v>2000.0</v>
      </c>
      <c r="R2" s="12">
        <v>2000.0</v>
      </c>
      <c r="S2" s="12">
        <v>17000.0</v>
      </c>
      <c r="T2" s="12">
        <v>18800.0</v>
      </c>
      <c r="U2" s="12">
        <v>19000.0</v>
      </c>
      <c r="V2" s="12">
        <v>51000.0</v>
      </c>
      <c r="W2" s="12">
        <v>96000.0</v>
      </c>
      <c r="X2" s="12">
        <v>350000.0</v>
      </c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>
      <c r="A3" s="8" t="str">
        <f>Specs!B3</f>
        <v>Số lượng cổng WAN 1GE</v>
      </c>
      <c r="B3" s="14"/>
      <c r="C3" s="10">
        <f>hlookup($C$1,$D$1:$AP$10,3,0)</f>
        <v>4</v>
      </c>
      <c r="D3" s="11">
        <v>2.0</v>
      </c>
      <c r="E3" s="12">
        <v>2.0</v>
      </c>
      <c r="F3" s="12">
        <v>2.0</v>
      </c>
      <c r="G3" s="12">
        <v>2.0</v>
      </c>
      <c r="H3" s="12">
        <v>2.0</v>
      </c>
      <c r="I3" s="12">
        <v>2.0</v>
      </c>
      <c r="J3" s="12">
        <v>1.0</v>
      </c>
      <c r="K3" s="12">
        <v>1.0</v>
      </c>
      <c r="L3" s="12">
        <v>1.0</v>
      </c>
      <c r="M3" s="12">
        <v>1.0</v>
      </c>
      <c r="N3" s="12">
        <v>1.0</v>
      </c>
      <c r="O3" s="12">
        <v>4.0</v>
      </c>
      <c r="P3" s="12">
        <v>4.0</v>
      </c>
      <c r="Q3" s="12">
        <v>6.0</v>
      </c>
      <c r="R3" s="12">
        <v>6.0</v>
      </c>
      <c r="S3" s="12">
        <v>4.0</v>
      </c>
      <c r="T3" s="12">
        <v>4.0</v>
      </c>
      <c r="U3" s="12">
        <v>8.0</v>
      </c>
      <c r="V3" s="12">
        <v>12.0</v>
      </c>
      <c r="W3" s="12">
        <v>12.0</v>
      </c>
      <c r="X3" s="12">
        <v>20.0</v>
      </c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</row>
    <row r="4">
      <c r="A4" s="8" t="str">
        <f>Specs!B4</f>
        <v>Số lượng cổng WAN 10GE</v>
      </c>
      <c r="B4" s="14"/>
      <c r="C4" s="10">
        <f>hlookup($C$1,$D$1:$AP$10,4,0)</f>
        <v>2</v>
      </c>
      <c r="D4" s="11">
        <v>0.0</v>
      </c>
      <c r="E4" s="12">
        <v>0.0</v>
      </c>
      <c r="F4" s="12">
        <v>0.0</v>
      </c>
      <c r="G4" s="12">
        <v>0.0</v>
      </c>
      <c r="H4" s="12">
        <v>0.0</v>
      </c>
      <c r="I4" s="12">
        <v>0.0</v>
      </c>
      <c r="J4" s="12">
        <v>0.0</v>
      </c>
      <c r="K4" s="12">
        <v>0.0</v>
      </c>
      <c r="L4" s="12">
        <v>0.0</v>
      </c>
      <c r="M4" s="12">
        <v>0.0</v>
      </c>
      <c r="N4" s="12">
        <v>0.0</v>
      </c>
      <c r="O4" s="15"/>
      <c r="P4" s="15"/>
      <c r="Q4" s="15"/>
      <c r="R4" s="15"/>
      <c r="S4" s="12">
        <v>2.0</v>
      </c>
      <c r="T4" s="12">
        <v>2.0</v>
      </c>
      <c r="U4" s="12">
        <v>4.0</v>
      </c>
      <c r="V4" s="12">
        <v>12.0</v>
      </c>
      <c r="W4" s="12">
        <v>12.0</v>
      </c>
      <c r="X4" s="12">
        <v>20.0</v>
      </c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</row>
    <row r="5">
      <c r="A5" s="8" t="str">
        <f>Specs!B5</f>
        <v>Số lượng cổng LAN 1GE</v>
      </c>
      <c r="B5" s="14"/>
      <c r="C5" s="10">
        <f>hlookup($C$1,$D$1:$AP$10,5,0)</f>
        <v>8</v>
      </c>
      <c r="D5" s="11">
        <v>8.0</v>
      </c>
      <c r="E5" s="12">
        <v>8.0</v>
      </c>
      <c r="F5" s="12">
        <v>8.0</v>
      </c>
      <c r="G5" s="12">
        <v>8.0</v>
      </c>
      <c r="H5" s="12">
        <v>4.0</v>
      </c>
      <c r="I5" s="12">
        <v>8.0</v>
      </c>
      <c r="J5" s="12">
        <v>8.0</v>
      </c>
      <c r="K5" s="12">
        <v>4.0</v>
      </c>
      <c r="L5" s="12">
        <v>4.0</v>
      </c>
      <c r="M5" s="12">
        <v>8.0</v>
      </c>
      <c r="N5" s="12">
        <v>4.0</v>
      </c>
      <c r="O5" s="12">
        <v>8.0</v>
      </c>
      <c r="P5" s="12">
        <v>8.0</v>
      </c>
      <c r="Q5" s="12">
        <v>8.0</v>
      </c>
      <c r="R5" s="12">
        <v>16.0</v>
      </c>
      <c r="S5" s="12">
        <v>8.0</v>
      </c>
      <c r="T5" s="12">
        <v>16.0</v>
      </c>
      <c r="U5" s="15"/>
      <c r="V5" s="15"/>
      <c r="W5" s="15"/>
      <c r="X5" s="15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</row>
    <row r="6">
      <c r="A6" s="8" t="str">
        <f>Specs!B6</f>
        <v/>
      </c>
      <c r="B6" s="16"/>
      <c r="C6" s="17" t="str">
        <f>hlookup($C$1,$D$1:$AP$10,6,0)</f>
        <v/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</row>
    <row r="7">
      <c r="A7" s="8" t="str">
        <f>Specs!B7</f>
        <v/>
      </c>
      <c r="B7" s="16"/>
      <c r="C7" s="17" t="str">
        <f>hlookup($C$1,$D$1:$AP$10,7,0)</f>
        <v/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</row>
    <row r="8">
      <c r="A8" s="8" t="str">
        <f>Specs!B8</f>
        <v/>
      </c>
      <c r="B8" s="16"/>
      <c r="C8" s="17" t="str">
        <f>hlookup($C$1,$D$1:$AP$10,8,0)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</row>
    <row r="9">
      <c r="A9" s="8" t="str">
        <f>Specs!B9</f>
        <v/>
      </c>
      <c r="B9" s="16"/>
      <c r="C9" s="17" t="str">
        <f>hlookup($C$1,$D$1:$AP$10,9,0)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</row>
    <row r="10">
      <c r="A10" s="8" t="str">
        <f>Specs!B10</f>
        <v/>
      </c>
      <c r="B10" s="16"/>
      <c r="C10" s="17" t="str">
        <f>hlookup($C$1,$D$1:$AP$10,10,0)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</row>
    <row r="11">
      <c r="A11" s="18" t="s">
        <v>22</v>
      </c>
      <c r="B11" s="19"/>
      <c r="C11" s="20" t="str">
        <f>hlookup($C$1,$D$1:$AP$11,11,0)</f>
        <v>Mid Range</v>
      </c>
      <c r="D11" s="21" t="s">
        <v>23</v>
      </c>
      <c r="E11" s="21" t="s">
        <v>23</v>
      </c>
      <c r="F11" s="21" t="s">
        <v>23</v>
      </c>
      <c r="G11" s="21" t="s">
        <v>23</v>
      </c>
      <c r="H11" s="21" t="s">
        <v>23</v>
      </c>
      <c r="I11" s="21" t="s">
        <v>23</v>
      </c>
      <c r="J11" s="21" t="s">
        <v>23</v>
      </c>
      <c r="K11" s="21" t="s">
        <v>23</v>
      </c>
      <c r="L11" s="21" t="s">
        <v>23</v>
      </c>
      <c r="M11" s="21" t="s">
        <v>23</v>
      </c>
      <c r="N11" s="21" t="s">
        <v>23</v>
      </c>
      <c r="O11" s="21" t="s">
        <v>24</v>
      </c>
      <c r="P11" s="21" t="s">
        <v>24</v>
      </c>
      <c r="Q11" s="21" t="s">
        <v>24</v>
      </c>
      <c r="R11" s="21" t="s">
        <v>24</v>
      </c>
      <c r="S11" s="21" t="s">
        <v>24</v>
      </c>
      <c r="T11" s="21" t="s">
        <v>24</v>
      </c>
      <c r="U11" s="21" t="s">
        <v>25</v>
      </c>
      <c r="V11" s="21" t="s">
        <v>25</v>
      </c>
      <c r="W11" s="21" t="s">
        <v>25</v>
      </c>
      <c r="X11" s="21" t="s">
        <v>25</v>
      </c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</row>
    <row r="12">
      <c r="A12" s="22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</row>
    <row r="13">
      <c r="A13" s="22" t="s">
        <v>26</v>
      </c>
      <c r="B13" s="19"/>
      <c r="C13" s="24">
        <f t="shared" ref="C13:X13" si="1">sum(1*(C2&gt;=$B$2)+1*(C3&gt;=$B$3)+1*(C4&gt;=$B$4)+1*(C5&gt;=$B$5))</f>
        <v>4</v>
      </c>
      <c r="D13" s="25">
        <f t="shared" si="1"/>
        <v>3</v>
      </c>
      <c r="E13" s="25">
        <f t="shared" si="1"/>
        <v>3</v>
      </c>
      <c r="F13" s="25">
        <f t="shared" si="1"/>
        <v>3</v>
      </c>
      <c r="G13" s="25">
        <f t="shared" si="1"/>
        <v>3</v>
      </c>
      <c r="H13" s="25">
        <f t="shared" si="1"/>
        <v>3</v>
      </c>
      <c r="I13" s="25">
        <f t="shared" si="1"/>
        <v>3</v>
      </c>
      <c r="J13" s="25">
        <f t="shared" si="1"/>
        <v>3</v>
      </c>
      <c r="K13" s="25">
        <f t="shared" si="1"/>
        <v>3</v>
      </c>
      <c r="L13" s="25">
        <f t="shared" si="1"/>
        <v>3</v>
      </c>
      <c r="M13" s="25">
        <f t="shared" si="1"/>
        <v>3</v>
      </c>
      <c r="N13" s="25">
        <f t="shared" si="1"/>
        <v>3</v>
      </c>
      <c r="O13" s="25">
        <f t="shared" si="1"/>
        <v>3</v>
      </c>
      <c r="P13" s="25">
        <f t="shared" si="1"/>
        <v>3</v>
      </c>
      <c r="Q13" s="25">
        <f t="shared" si="1"/>
        <v>3</v>
      </c>
      <c r="R13" s="25">
        <f t="shared" si="1"/>
        <v>3</v>
      </c>
      <c r="S13" s="25">
        <f t="shared" si="1"/>
        <v>4</v>
      </c>
      <c r="T13" s="25">
        <f t="shared" si="1"/>
        <v>4</v>
      </c>
      <c r="U13" s="25">
        <f t="shared" si="1"/>
        <v>4</v>
      </c>
      <c r="V13" s="25">
        <f t="shared" si="1"/>
        <v>4</v>
      </c>
      <c r="W13" s="25">
        <f t="shared" si="1"/>
        <v>4</v>
      </c>
      <c r="X13" s="25">
        <f t="shared" si="1"/>
        <v>4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</row>
    <row r="14">
      <c r="A14" s="22" t="s">
        <v>27</v>
      </c>
      <c r="B14" s="19"/>
      <c r="C14" s="26">
        <f>iferror(vlookup(C1,Cisco!$A$2:$D$1000,4,0),0)</f>
        <v>75749.61</v>
      </c>
      <c r="D14" s="27">
        <f>iferror(vlookup(D1,Cisco!$A$2:$D$1000,4,0),0)</f>
        <v>9713.63</v>
      </c>
      <c r="E14" s="27">
        <f>iferror(vlookup(E1,Cisco!$A$2:$D$1000,4,0),0)</f>
        <v>10265.06</v>
      </c>
      <c r="F14" s="27">
        <f>iferror(vlookup(F1,Cisco!$A$2:$D$1000,4,0),0)</f>
        <v>8922.97</v>
      </c>
      <c r="G14" s="27">
        <f>iferror(vlookup(G1,Cisco!$A$2:$D$1000,4,0),0)</f>
        <v>9142.75</v>
      </c>
      <c r="H14" s="27">
        <f>iferror(vlookup(H1,Cisco!$A$2:$D$1000,4,0),0)</f>
        <v>8003.55</v>
      </c>
      <c r="I14" s="27">
        <f>iferror(vlookup(I1,Cisco!$A$2:$D$1000,4,0),0)</f>
        <v>8311.31</v>
      </c>
      <c r="J14" s="27">
        <f>iferror(vlookup(J1,Cisco!$A$2:$D$1000,4,0),0)</f>
        <v>8935.48</v>
      </c>
      <c r="K14" s="27">
        <f>iferror(vlookup(K1,Cisco!$A$2:$D$1000,4,0),0)</f>
        <v>8519.2</v>
      </c>
      <c r="L14" s="27">
        <f>iferror(vlookup(L1,Cisco!$A$2:$D$1000,4,0),0)</f>
        <v>8519.2</v>
      </c>
      <c r="M14" s="27">
        <f>iferror(vlookup(M1,Cisco!$A$2:$D$1000,4,0),0)</f>
        <v>9556.94</v>
      </c>
      <c r="N14" s="27">
        <f>iferror(vlookup(N1,Cisco!$A$2:$D$1000,4,0),0)</f>
        <v>9070.11</v>
      </c>
      <c r="O14" s="27">
        <f>iferror(vlookup(O1,Cisco!$A$2:$D$1000,4,0),0)</f>
        <v>18000</v>
      </c>
      <c r="P14" s="27">
        <f>iferror(vlookup(P1,Cisco!$A$2:$D$1000,4,0),0)</f>
        <v>15000</v>
      </c>
      <c r="Q14" s="27">
        <f>iferror(vlookup(Q1,Cisco!$A$2:$D$1000,4,0),0)</f>
        <v>41045.93</v>
      </c>
      <c r="R14" s="27">
        <f>iferror(vlookup(R1,Cisco!$A$2:$D$1000,4,0),0)</f>
        <v>50264.61</v>
      </c>
      <c r="S14" s="27">
        <f>iferror(vlookup(S1,Cisco!$A$2:$D$1000,4,0),0)</f>
        <v>75749.61</v>
      </c>
      <c r="T14" s="27">
        <f>iferror(vlookup(T1,Cisco!$A$2:$D$1000,4,0),0)</f>
        <v>91782.43</v>
      </c>
      <c r="U14" s="27">
        <f>iferror(vlookup(U1,Cisco!$A$2:$D$1000,4,0),0)</f>
        <v>97005.56</v>
      </c>
      <c r="V14" s="27">
        <f>iferror(vlookup(V1,Cisco!$A$2:$D$1000,4,0),0)</f>
        <v>206911.8</v>
      </c>
      <c r="W14" s="27">
        <f>iferror(vlookup(W1,Cisco!$A$2:$D$1000,4,0),0)</f>
        <v>297234.95</v>
      </c>
      <c r="X14" s="27">
        <f>iferror(vlookup(X1,Cisco!$A$2:$D$1000,4,0),0)</f>
        <v>553572.06</v>
      </c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</row>
    <row r="15">
      <c r="A15" s="22" t="s">
        <v>28</v>
      </c>
      <c r="B15" s="19"/>
      <c r="C15" s="24">
        <f t="shared" ref="C15:X15" si="2">1*(C13=max($D$13:$AP$13))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1</v>
      </c>
      <c r="T15" s="25">
        <f t="shared" si="2"/>
        <v>1</v>
      </c>
      <c r="U15" s="25">
        <f t="shared" si="2"/>
        <v>1</v>
      </c>
      <c r="V15" s="25">
        <f t="shared" si="2"/>
        <v>1</v>
      </c>
      <c r="W15" s="25">
        <f t="shared" si="2"/>
        <v>1</v>
      </c>
      <c r="X15" s="25">
        <f t="shared" si="2"/>
        <v>1</v>
      </c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</row>
    <row r="16">
      <c r="A16" s="22" t="s">
        <v>29</v>
      </c>
      <c r="B16" s="19"/>
      <c r="C16" s="24">
        <f t="shared" ref="C16:X16" si="3">C15*(C14=minifs($D$14:$AP$14,$D$15:$AP$15,1))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1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0</v>
      </c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</row>
    <row r="17">
      <c r="A17" s="22" t="s">
        <v>30</v>
      </c>
      <c r="B17" s="19"/>
      <c r="C17" s="24">
        <f t="shared" ref="C17:X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1</v>
      </c>
      <c r="U17" s="25">
        <f t="shared" si="4"/>
        <v>1</v>
      </c>
      <c r="V17" s="25">
        <f t="shared" si="4"/>
        <v>1</v>
      </c>
      <c r="W17" s="25">
        <f t="shared" si="4"/>
        <v>1</v>
      </c>
      <c r="X17" s="25">
        <f t="shared" si="4"/>
        <v>1</v>
      </c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</row>
    <row r="19">
      <c r="A19" s="18" t="s">
        <v>31</v>
      </c>
      <c r="B19" s="19"/>
      <c r="C19" s="28" t="str">
        <f>IFERROR(__xludf.DUMMYFUNCTION("iferror(filter(D1:AP1,$D$17:$AP$17=1),"""")"),"C8300-2N2S-4T2X")</f>
        <v>C8300-2N2S-4T2X</v>
      </c>
      <c r="D19" s="29" t="str">
        <f>IFERROR(__xludf.DUMMYFUNCTION("""COMPUTED_VALUE"""),"C8500L-8S4X")</f>
        <v>C8500L-8S4X</v>
      </c>
      <c r="E19" s="29" t="str">
        <f>IFERROR(__xludf.DUMMYFUNCTION("""COMPUTED_VALUE"""),"C8500-12X")</f>
        <v>C8500-12X</v>
      </c>
      <c r="F19" s="29" t="str">
        <f>IFERROR(__xludf.DUMMYFUNCTION("""COMPUTED_VALUE"""),"C8500-12X4QC")</f>
        <v>C8500-12X4QC</v>
      </c>
      <c r="G19" s="29" t="str">
        <f>IFERROR(__xludf.DUMMYFUNCTION("""COMPUTED_VALUE"""),"C8500-20X6C")</f>
        <v>C8500-20X6C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</row>
    <row r="20">
      <c r="A20" s="7" t="str">
        <f t="shared" ref="A20:A23" si="5">A2</f>
        <v>Throughput (Mbps)</v>
      </c>
      <c r="B20" s="19"/>
      <c r="C20" s="24">
        <f>IFERROR(__xludf.DUMMYFUNCTION("iferror(filter(D2:AP2,$D$17:$AP$17=1),"""")"),18800.0)</f>
        <v>18800</v>
      </c>
      <c r="D20" s="21">
        <f>IFERROR(__xludf.DUMMYFUNCTION("""COMPUTED_VALUE"""),19000.0)</f>
        <v>19000</v>
      </c>
      <c r="E20" s="21">
        <f>IFERROR(__xludf.DUMMYFUNCTION("""COMPUTED_VALUE"""),51000.0)</f>
        <v>51000</v>
      </c>
      <c r="F20" s="21">
        <f>IFERROR(__xludf.DUMMYFUNCTION("""COMPUTED_VALUE"""),96000.0)</f>
        <v>96000</v>
      </c>
      <c r="G20" s="21">
        <f>IFERROR(__xludf.DUMMYFUNCTION("""COMPUTED_VALUE"""),350000.0)</f>
        <v>350000</v>
      </c>
      <c r="H20" s="22"/>
      <c r="I20" s="22"/>
      <c r="J20" s="22"/>
      <c r="K20" s="22"/>
      <c r="L20" s="22"/>
      <c r="M20" s="2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</row>
    <row r="21">
      <c r="A21" s="7" t="str">
        <f t="shared" si="5"/>
        <v>Số lượng cổng WAN 1GE</v>
      </c>
      <c r="B21" s="19"/>
      <c r="C21" s="24">
        <f>IFERROR(__xludf.DUMMYFUNCTION("iferror(filter(D3:AP3,$D$17:$AP$17=1),"""")"),4.0)</f>
        <v>4</v>
      </c>
      <c r="D21" s="21">
        <f>IFERROR(__xludf.DUMMYFUNCTION("""COMPUTED_VALUE"""),8.0)</f>
        <v>8</v>
      </c>
      <c r="E21" s="21">
        <f>IFERROR(__xludf.DUMMYFUNCTION("""COMPUTED_VALUE"""),12.0)</f>
        <v>12</v>
      </c>
      <c r="F21" s="21">
        <f>IFERROR(__xludf.DUMMYFUNCTION("""COMPUTED_VALUE"""),12.0)</f>
        <v>12</v>
      </c>
      <c r="G21" s="21">
        <f>IFERROR(__xludf.DUMMYFUNCTION("""COMPUTED_VALUE"""),20.0)</f>
        <v>20</v>
      </c>
      <c r="H21" s="22"/>
      <c r="I21" s="22"/>
      <c r="J21" s="22"/>
      <c r="K21" s="22"/>
      <c r="L21" s="22"/>
      <c r="M21" s="22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</row>
    <row r="22">
      <c r="A22" s="7" t="str">
        <f t="shared" si="5"/>
        <v>Số lượng cổng WAN 10GE</v>
      </c>
      <c r="B22" s="19"/>
      <c r="C22" s="24">
        <f>IFERROR(__xludf.DUMMYFUNCTION("iferror(filter(D4:AP4,$D$17:$AP$17=1),"""")"),2.0)</f>
        <v>2</v>
      </c>
      <c r="D22" s="21">
        <f>IFERROR(__xludf.DUMMYFUNCTION("""COMPUTED_VALUE"""),4.0)</f>
        <v>4</v>
      </c>
      <c r="E22" s="21">
        <f>IFERROR(__xludf.DUMMYFUNCTION("""COMPUTED_VALUE"""),12.0)</f>
        <v>12</v>
      </c>
      <c r="F22" s="21">
        <f>IFERROR(__xludf.DUMMYFUNCTION("""COMPUTED_VALUE"""),12.0)</f>
        <v>12</v>
      </c>
      <c r="G22" s="21">
        <f>IFERROR(__xludf.DUMMYFUNCTION("""COMPUTED_VALUE"""),20.0)</f>
        <v>20</v>
      </c>
      <c r="H22" s="22"/>
      <c r="I22" s="22"/>
      <c r="J22" s="22"/>
      <c r="K22" s="22"/>
      <c r="L22" s="22"/>
      <c r="M22" s="22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</row>
    <row r="23">
      <c r="A23" s="7" t="str">
        <f t="shared" si="5"/>
        <v>Số lượng cổng LAN 1GE</v>
      </c>
      <c r="B23" s="19"/>
      <c r="C23" s="24">
        <f>IFERROR(__xludf.DUMMYFUNCTION("iferror(filter(D5:AP5,$D$17:$AP$17=1),"""")"),16.0)</f>
        <v>16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</row>
    <row r="24">
      <c r="A24" s="22" t="s">
        <v>22</v>
      </c>
      <c r="B24" s="19"/>
      <c r="C24" s="24" t="str">
        <f>IFERROR(__xludf.DUMMYFUNCTION("iferror(filter(D11:AP11,$D$17:$AP$17=1),"""")"),"Mid Range")</f>
        <v>Mid Range</v>
      </c>
      <c r="D24" s="25" t="str">
        <f>IFERROR(__xludf.DUMMYFUNCTION("""COMPUTED_VALUE"""),"High End")</f>
        <v>High End</v>
      </c>
      <c r="E24" s="25" t="str">
        <f>IFERROR(__xludf.DUMMYFUNCTION("""COMPUTED_VALUE"""),"High End")</f>
        <v>High End</v>
      </c>
      <c r="F24" s="25" t="str">
        <f>IFERROR(__xludf.DUMMYFUNCTION("""COMPUTED_VALUE"""),"High End")</f>
        <v>High End</v>
      </c>
      <c r="G24" s="25" t="str">
        <f>IFERROR(__xludf.DUMMYFUNCTION("""COMPUTED_VALUE"""),"High End")</f>
        <v>High End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</row>
    <row r="25">
      <c r="A25" s="7"/>
      <c r="B25" s="19"/>
      <c r="C25" s="23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</row>
    <row r="26">
      <c r="A26" s="7"/>
      <c r="B26" s="19"/>
      <c r="C26" s="23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</row>
    <row r="27">
      <c r="A27" s="7"/>
      <c r="B27" s="19"/>
      <c r="C27" s="23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</row>
    <row r="28">
      <c r="A28" s="7"/>
      <c r="B28" s="19"/>
      <c r="C28" s="23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37.38"/>
    <col customWidth="1" min="3" max="77" width="16.75"/>
  </cols>
  <sheetData>
    <row r="1">
      <c r="A1" s="1" t="str">
        <f>Specs!C1</f>
        <v>SwitchCampus</v>
      </c>
      <c r="B1" s="2" t="s">
        <v>0</v>
      </c>
      <c r="C1" s="3" t="str">
        <f t="array" ref="C1">INDEX(D1:BY1, MATCH(1, D16:BY16, 0))</f>
        <v>C1300-12XS</v>
      </c>
      <c r="D1" s="30" t="s">
        <v>32</v>
      </c>
      <c r="E1" s="30" t="s">
        <v>33</v>
      </c>
      <c r="F1" s="30" t="s">
        <v>34</v>
      </c>
      <c r="G1" s="30" t="s">
        <v>35</v>
      </c>
      <c r="H1" s="30" t="s">
        <v>36</v>
      </c>
      <c r="I1" s="30" t="s">
        <v>37</v>
      </c>
      <c r="J1" s="30" t="s">
        <v>38</v>
      </c>
      <c r="K1" s="30" t="s">
        <v>39</v>
      </c>
      <c r="L1" s="30" t="s">
        <v>40</v>
      </c>
      <c r="M1" s="30" t="s">
        <v>41</v>
      </c>
      <c r="N1" s="30" t="s">
        <v>42</v>
      </c>
      <c r="O1" s="30" t="s">
        <v>43</v>
      </c>
      <c r="P1" s="30" t="s">
        <v>44</v>
      </c>
      <c r="Q1" s="30" t="s">
        <v>45</v>
      </c>
      <c r="R1" s="30" t="s">
        <v>46</v>
      </c>
      <c r="S1" s="30" t="s">
        <v>47</v>
      </c>
      <c r="T1" s="30" t="s">
        <v>48</v>
      </c>
      <c r="U1" s="30" t="s">
        <v>49</v>
      </c>
      <c r="V1" s="30" t="s">
        <v>50</v>
      </c>
      <c r="W1" s="30" t="s">
        <v>51</v>
      </c>
      <c r="X1" s="30" t="s">
        <v>52</v>
      </c>
      <c r="Y1" s="30" t="s">
        <v>53</v>
      </c>
      <c r="Z1" s="30" t="s">
        <v>54</v>
      </c>
      <c r="AA1" s="30" t="s">
        <v>55</v>
      </c>
      <c r="AB1" s="30" t="s">
        <v>56</v>
      </c>
      <c r="AC1" s="30" t="s">
        <v>57</v>
      </c>
      <c r="AD1" s="30" t="s">
        <v>58</v>
      </c>
      <c r="AE1" s="30" t="s">
        <v>59</v>
      </c>
      <c r="AF1" s="30" t="s">
        <v>60</v>
      </c>
      <c r="AG1" s="30" t="s">
        <v>61</v>
      </c>
      <c r="AH1" s="30" t="s">
        <v>62</v>
      </c>
      <c r="AI1" s="30" t="s">
        <v>63</v>
      </c>
      <c r="AJ1" s="30" t="s">
        <v>64</v>
      </c>
      <c r="AK1" s="30" t="s">
        <v>65</v>
      </c>
      <c r="AL1" s="30" t="s">
        <v>66</v>
      </c>
      <c r="AM1" s="30" t="s">
        <v>67</v>
      </c>
      <c r="AN1" s="30" t="s">
        <v>68</v>
      </c>
      <c r="AO1" s="30" t="s">
        <v>69</v>
      </c>
      <c r="AP1" s="30" t="s">
        <v>70</v>
      </c>
      <c r="AQ1" s="30" t="s">
        <v>71</v>
      </c>
      <c r="AR1" s="30" t="s">
        <v>72</v>
      </c>
      <c r="AS1" s="30" t="s">
        <v>73</v>
      </c>
      <c r="AT1" s="30" t="s">
        <v>74</v>
      </c>
      <c r="AU1" s="30" t="s">
        <v>75</v>
      </c>
      <c r="AV1" s="30" t="s">
        <v>76</v>
      </c>
      <c r="AW1" s="30" t="s">
        <v>77</v>
      </c>
      <c r="AX1" s="30" t="s">
        <v>78</v>
      </c>
      <c r="AY1" s="30" t="s">
        <v>79</v>
      </c>
      <c r="AZ1" s="30" t="s">
        <v>80</v>
      </c>
      <c r="BA1" s="30" t="s">
        <v>81</v>
      </c>
      <c r="BB1" s="30" t="s">
        <v>82</v>
      </c>
      <c r="BC1" s="30" t="s">
        <v>83</v>
      </c>
      <c r="BD1" s="30" t="s">
        <v>84</v>
      </c>
      <c r="BE1" s="30" t="s">
        <v>85</v>
      </c>
      <c r="BF1" s="30" t="s">
        <v>86</v>
      </c>
      <c r="BG1" s="30" t="s">
        <v>87</v>
      </c>
      <c r="BH1" s="30" t="s">
        <v>88</v>
      </c>
      <c r="BI1" s="30" t="s">
        <v>89</v>
      </c>
      <c r="BJ1" s="30" t="s">
        <v>90</v>
      </c>
      <c r="BK1" s="30" t="s">
        <v>91</v>
      </c>
      <c r="BL1" s="30" t="s">
        <v>92</v>
      </c>
      <c r="BM1" s="30" t="s">
        <v>93</v>
      </c>
      <c r="BN1" s="30" t="s">
        <v>94</v>
      </c>
      <c r="BO1" s="30" t="s">
        <v>95</v>
      </c>
      <c r="BP1" s="30" t="s">
        <v>96</v>
      </c>
      <c r="BQ1" s="30" t="s">
        <v>97</v>
      </c>
      <c r="BR1" s="30" t="s">
        <v>98</v>
      </c>
      <c r="BS1" s="30" t="s">
        <v>99</v>
      </c>
      <c r="BT1" s="30" t="s">
        <v>100</v>
      </c>
      <c r="BU1" s="30" t="s">
        <v>101</v>
      </c>
      <c r="BV1" s="4" t="s">
        <v>102</v>
      </c>
      <c r="BW1" s="4" t="s">
        <v>103</v>
      </c>
      <c r="BX1" s="4" t="s">
        <v>104</v>
      </c>
      <c r="BY1" s="6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</row>
    <row r="2">
      <c r="A2" s="8" t="str">
        <f>Specs!C2</f>
        <v>Switching Bandwidth - Full Duplex (Gbps)</v>
      </c>
      <c r="B2" s="9" t="str">
        <f>IFERROR(__xludf.DUMMYFUNCTION("IMPORTRANGE(""https://docs.google.com/spreadsheets/d/18TjePryHG687L54fIGU6Od12DGyT3mPoblPemZTZRY4"",""SwitchCampus!B3:B10"")"),"")</f>
        <v/>
      </c>
      <c r="C2" s="10">
        <f>hlookup($C$1,$D$1:$BY$10,2,0)</f>
        <v>240</v>
      </c>
      <c r="D2" s="31">
        <v>20.0</v>
      </c>
      <c r="E2" s="31">
        <v>20.0</v>
      </c>
      <c r="F2" s="31">
        <v>20.0</v>
      </c>
      <c r="G2" s="31">
        <v>36.0</v>
      </c>
      <c r="H2" s="31">
        <v>36.0</v>
      </c>
      <c r="I2" s="31">
        <v>36.0</v>
      </c>
      <c r="J2" s="31">
        <v>56.0</v>
      </c>
      <c r="K2" s="31">
        <v>56.0</v>
      </c>
      <c r="L2" s="31">
        <v>56.0</v>
      </c>
      <c r="M2" s="31">
        <v>104.0</v>
      </c>
      <c r="N2" s="31">
        <v>104.0</v>
      </c>
      <c r="O2" s="31">
        <v>104.0</v>
      </c>
      <c r="P2" s="31">
        <v>112.0</v>
      </c>
      <c r="Q2" s="31">
        <v>128.0</v>
      </c>
      <c r="R2" s="31">
        <v>128.0</v>
      </c>
      <c r="S2" s="31">
        <v>128.0</v>
      </c>
      <c r="T2" s="31">
        <v>176.0</v>
      </c>
      <c r="U2" s="31">
        <v>176.0</v>
      </c>
      <c r="V2" s="31">
        <v>176.0</v>
      </c>
      <c r="W2" s="31">
        <v>280.0</v>
      </c>
      <c r="X2" s="31">
        <v>240.0</v>
      </c>
      <c r="Y2" s="31">
        <v>320.0</v>
      </c>
      <c r="Z2" s="31">
        <v>480.0</v>
      </c>
      <c r="AA2" s="31">
        <v>480.0</v>
      </c>
      <c r="AB2" s="31">
        <v>480.0</v>
      </c>
      <c r="AC2" s="31">
        <v>128.0</v>
      </c>
      <c r="AD2" s="31">
        <v>176.0</v>
      </c>
      <c r="AE2" s="31">
        <v>128.0</v>
      </c>
      <c r="AF2" s="31">
        <v>176.0</v>
      </c>
      <c r="AG2" s="31">
        <v>128.0</v>
      </c>
      <c r="AH2" s="31">
        <v>128.0</v>
      </c>
      <c r="AI2" s="31">
        <v>176.0</v>
      </c>
      <c r="AJ2" s="31">
        <v>176.0</v>
      </c>
      <c r="AK2" s="31">
        <v>56.0</v>
      </c>
      <c r="AL2" s="31">
        <v>56.0</v>
      </c>
      <c r="AM2" s="31">
        <v>104.0</v>
      </c>
      <c r="AN2" s="31">
        <v>104.0</v>
      </c>
      <c r="AO2" s="31">
        <v>128.0</v>
      </c>
      <c r="AP2" s="31">
        <v>128.0</v>
      </c>
      <c r="AQ2" s="31">
        <v>176.0</v>
      </c>
      <c r="AR2" s="31">
        <v>176.0</v>
      </c>
      <c r="AS2" s="31">
        <v>60.0</v>
      </c>
      <c r="AT2" s="31">
        <v>70.0</v>
      </c>
      <c r="AU2" s="31">
        <v>68.0</v>
      </c>
      <c r="AV2" s="31">
        <v>56.0</v>
      </c>
      <c r="AW2" s="31">
        <v>56.0</v>
      </c>
      <c r="AX2" s="31">
        <v>128.0</v>
      </c>
      <c r="AY2" s="31">
        <v>128.0</v>
      </c>
      <c r="AZ2" s="31">
        <v>104.0</v>
      </c>
      <c r="BA2" s="31">
        <v>104.0</v>
      </c>
      <c r="BB2" s="31">
        <v>176.0</v>
      </c>
      <c r="BC2" s="31">
        <v>176.0</v>
      </c>
      <c r="BD2" s="31">
        <v>208.0</v>
      </c>
      <c r="BE2" s="31">
        <v>208.0</v>
      </c>
      <c r="BF2" s="31">
        <v>208.0</v>
      </c>
      <c r="BG2" s="31">
        <v>208.0</v>
      </c>
      <c r="BH2" s="31">
        <v>208.0</v>
      </c>
      <c r="BI2" s="31">
        <v>208.0</v>
      </c>
      <c r="BJ2" s="31">
        <v>256.0</v>
      </c>
      <c r="BK2" s="31">
        <v>256.0</v>
      </c>
      <c r="BL2" s="31">
        <v>256.0</v>
      </c>
      <c r="BM2" s="31">
        <v>256.0</v>
      </c>
      <c r="BN2" s="31">
        <v>256.0</v>
      </c>
      <c r="BO2" s="31">
        <v>256.0</v>
      </c>
      <c r="BP2" s="32">
        <v>6400.0</v>
      </c>
      <c r="BQ2" s="32">
        <v>3200.0</v>
      </c>
      <c r="BR2" s="32">
        <v>3200.0</v>
      </c>
      <c r="BS2" s="32">
        <v>2000.0</v>
      </c>
      <c r="BT2" s="32">
        <v>12000.0</v>
      </c>
      <c r="BU2" s="32">
        <v>9200.0</v>
      </c>
      <c r="BV2" s="13"/>
      <c r="BW2" s="13"/>
      <c r="BX2" s="13"/>
      <c r="BY2" s="13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</row>
    <row r="3">
      <c r="A3" s="8" t="str">
        <f>Specs!C3</f>
        <v>Forwarding Capacity (Mpps)</v>
      </c>
      <c r="B3" s="9"/>
      <c r="C3" s="10">
        <f>hlookup($C$1,$D$1:$BY$10,3,0)</f>
        <v>178.57</v>
      </c>
      <c r="D3" s="31">
        <v>14.88</v>
      </c>
      <c r="E3" s="31">
        <v>14.88</v>
      </c>
      <c r="F3" s="31">
        <v>14.88</v>
      </c>
      <c r="G3" s="31">
        <v>26.78</v>
      </c>
      <c r="H3" s="31">
        <v>26.78</v>
      </c>
      <c r="I3" s="31">
        <v>26.78</v>
      </c>
      <c r="J3" s="31">
        <v>41.66</v>
      </c>
      <c r="K3" s="31">
        <v>41.66</v>
      </c>
      <c r="L3" s="31">
        <v>41.66</v>
      </c>
      <c r="M3" s="31">
        <v>77.38</v>
      </c>
      <c r="N3" s="31">
        <v>77.38</v>
      </c>
      <c r="O3" s="31">
        <v>77.38</v>
      </c>
      <c r="P3" s="31">
        <v>83.32</v>
      </c>
      <c r="Q3" s="31">
        <v>95.23</v>
      </c>
      <c r="R3" s="31">
        <v>95.23</v>
      </c>
      <c r="S3" s="31">
        <v>95.23</v>
      </c>
      <c r="T3" s="31">
        <v>130.94</v>
      </c>
      <c r="U3" s="31">
        <v>130.94</v>
      </c>
      <c r="V3" s="31">
        <v>130.94</v>
      </c>
      <c r="W3" s="31">
        <v>208.33</v>
      </c>
      <c r="X3" s="31">
        <v>178.57</v>
      </c>
      <c r="Y3" s="31">
        <v>238.1</v>
      </c>
      <c r="Z3" s="31">
        <v>357.14</v>
      </c>
      <c r="AA3" s="31">
        <v>357.14</v>
      </c>
      <c r="AB3" s="31">
        <v>357.12</v>
      </c>
      <c r="AC3" s="31">
        <v>95.23</v>
      </c>
      <c r="AD3" s="31">
        <v>130.95</v>
      </c>
      <c r="AE3" s="31">
        <v>95.23</v>
      </c>
      <c r="AF3" s="31">
        <v>130.95</v>
      </c>
      <c r="AG3" s="31">
        <v>95.23</v>
      </c>
      <c r="AH3" s="31">
        <v>95.23</v>
      </c>
      <c r="AI3" s="31">
        <v>130.95</v>
      </c>
      <c r="AJ3" s="31">
        <v>130.95</v>
      </c>
      <c r="AK3" s="31">
        <v>41.67</v>
      </c>
      <c r="AL3" s="31">
        <v>41.67</v>
      </c>
      <c r="AM3" s="31">
        <v>77.38</v>
      </c>
      <c r="AN3" s="31">
        <v>77.38</v>
      </c>
      <c r="AO3" s="31">
        <v>95.23</v>
      </c>
      <c r="AP3" s="31">
        <v>95.23</v>
      </c>
      <c r="AQ3" s="31">
        <v>130.95</v>
      </c>
      <c r="AR3" s="31">
        <v>130.95</v>
      </c>
      <c r="AS3" s="31">
        <v>44.64</v>
      </c>
      <c r="AT3" s="31">
        <v>52.08</v>
      </c>
      <c r="AU3" s="31">
        <v>50.59</v>
      </c>
      <c r="AV3" s="31">
        <v>41.66</v>
      </c>
      <c r="AW3" s="31">
        <v>41.66</v>
      </c>
      <c r="AX3" s="31">
        <v>95.23</v>
      </c>
      <c r="AY3" s="31">
        <v>95.23</v>
      </c>
      <c r="AZ3" s="31">
        <v>77.38</v>
      </c>
      <c r="BA3" s="31">
        <v>77.38</v>
      </c>
      <c r="BB3" s="31">
        <v>130.95</v>
      </c>
      <c r="BC3" s="31">
        <v>130.95</v>
      </c>
      <c r="BD3" s="31">
        <v>154.76</v>
      </c>
      <c r="BE3" s="31">
        <v>154.76</v>
      </c>
      <c r="BF3" s="31">
        <v>154.76</v>
      </c>
      <c r="BG3" s="31">
        <v>154.76</v>
      </c>
      <c r="BH3" s="31">
        <v>154.76</v>
      </c>
      <c r="BI3" s="31">
        <v>154.76</v>
      </c>
      <c r="BJ3" s="31">
        <v>190.47</v>
      </c>
      <c r="BK3" s="31">
        <v>190.47</v>
      </c>
      <c r="BL3" s="31">
        <v>190.48</v>
      </c>
      <c r="BM3" s="31">
        <v>190.48</v>
      </c>
      <c r="BN3" s="31">
        <v>190.47</v>
      </c>
      <c r="BO3" s="31">
        <v>190.48</v>
      </c>
      <c r="BP3" s="32">
        <v>2000.0</v>
      </c>
      <c r="BQ3" s="32">
        <v>1000.0</v>
      </c>
      <c r="BR3" s="32">
        <v>1000.0</v>
      </c>
      <c r="BS3" s="32">
        <v>1000.0</v>
      </c>
      <c r="BT3" s="32">
        <v>8000.0</v>
      </c>
      <c r="BU3" s="32">
        <v>8000.0</v>
      </c>
      <c r="BV3" s="13"/>
      <c r="BW3" s="13"/>
      <c r="BX3" s="13"/>
      <c r="BY3" s="13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</row>
    <row r="4">
      <c r="A4" s="8" t="str">
        <f>Specs!C4</f>
        <v>Số lượng cổng 1GE đồng</v>
      </c>
      <c r="B4" s="9"/>
      <c r="C4" s="10" t="str">
        <f>hlookup($C$1,$D$1:$BY$10,4,0)</f>
        <v/>
      </c>
      <c r="D4" s="31">
        <v>10.0</v>
      </c>
      <c r="E4" s="31">
        <v>10.0</v>
      </c>
      <c r="F4" s="31">
        <v>10.0</v>
      </c>
      <c r="G4" s="31">
        <v>16.0</v>
      </c>
      <c r="H4" s="31">
        <v>16.0</v>
      </c>
      <c r="I4" s="31">
        <v>16.0</v>
      </c>
      <c r="J4" s="31">
        <v>24.0</v>
      </c>
      <c r="K4" s="31">
        <v>24.0</v>
      </c>
      <c r="L4" s="31">
        <v>24.0</v>
      </c>
      <c r="M4" s="31">
        <v>48.0</v>
      </c>
      <c r="N4" s="31">
        <v>48.0</v>
      </c>
      <c r="O4" s="31">
        <v>48.0</v>
      </c>
      <c r="P4" s="31">
        <v>16.0</v>
      </c>
      <c r="Q4" s="31">
        <v>24.0</v>
      </c>
      <c r="R4" s="31">
        <v>24.0</v>
      </c>
      <c r="S4" s="31">
        <v>24.0</v>
      </c>
      <c r="T4" s="31">
        <v>48.0</v>
      </c>
      <c r="U4" s="31">
        <v>48.0</v>
      </c>
      <c r="V4" s="31">
        <v>48.0</v>
      </c>
      <c r="W4" s="13"/>
      <c r="X4" s="13"/>
      <c r="Y4" s="13"/>
      <c r="Z4" s="13"/>
      <c r="AA4" s="13"/>
      <c r="AB4" s="13"/>
      <c r="AC4" s="31">
        <v>24.0</v>
      </c>
      <c r="AD4" s="31">
        <v>48.0</v>
      </c>
      <c r="AE4" s="31">
        <v>24.0</v>
      </c>
      <c r="AF4" s="31">
        <v>48.0</v>
      </c>
      <c r="AG4" s="31">
        <v>24.0</v>
      </c>
      <c r="AH4" s="31">
        <v>24.0</v>
      </c>
      <c r="AI4" s="31">
        <v>48.0</v>
      </c>
      <c r="AJ4" s="31">
        <v>48.0</v>
      </c>
      <c r="AK4" s="31">
        <v>24.0</v>
      </c>
      <c r="AL4" s="31">
        <v>24.0</v>
      </c>
      <c r="AM4" s="31">
        <v>48.0</v>
      </c>
      <c r="AN4" s="31">
        <v>48.0</v>
      </c>
      <c r="AO4" s="31">
        <v>24.0</v>
      </c>
      <c r="AP4" s="31">
        <v>24.0</v>
      </c>
      <c r="AQ4" s="31">
        <v>48.0</v>
      </c>
      <c r="AR4" s="31">
        <v>48.0</v>
      </c>
      <c r="AS4" s="31">
        <v>8.0</v>
      </c>
      <c r="AT4" s="31">
        <v>12.0</v>
      </c>
      <c r="AU4" s="31">
        <v>12.0</v>
      </c>
      <c r="AV4" s="31">
        <v>24.0</v>
      </c>
      <c r="AW4" s="31">
        <v>24.0</v>
      </c>
      <c r="AX4" s="31">
        <v>24.0</v>
      </c>
      <c r="AY4" s="31">
        <v>24.0</v>
      </c>
      <c r="AZ4" s="31">
        <v>48.0</v>
      </c>
      <c r="BA4" s="31">
        <v>48.0</v>
      </c>
      <c r="BB4" s="31">
        <v>48.0</v>
      </c>
      <c r="BC4" s="31">
        <v>48.0</v>
      </c>
      <c r="BD4" s="31">
        <v>24.0</v>
      </c>
      <c r="BE4" s="31">
        <v>24.0</v>
      </c>
      <c r="BF4" s="31">
        <v>24.0</v>
      </c>
      <c r="BG4" s="31">
        <v>24.0</v>
      </c>
      <c r="BH4" s="13"/>
      <c r="BI4" s="31">
        <v>24.0</v>
      </c>
      <c r="BJ4" s="31">
        <v>48.0</v>
      </c>
      <c r="BK4" s="31">
        <v>48.0</v>
      </c>
      <c r="BL4" s="31">
        <v>48.0</v>
      </c>
      <c r="BM4" s="31">
        <v>48.0</v>
      </c>
      <c r="BN4" s="13"/>
      <c r="BO4" s="31">
        <v>48.0</v>
      </c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</row>
    <row r="5">
      <c r="A5" s="8" t="str">
        <f>Specs!C5</f>
        <v>Số lượng cổng 1GE SFP</v>
      </c>
      <c r="B5" s="9"/>
      <c r="C5" s="10">
        <f>hlookup($C$1,$D$1:$BY$10,5,0)</f>
        <v>12</v>
      </c>
      <c r="D5" s="31">
        <v>2.0</v>
      </c>
      <c r="E5" s="31">
        <v>2.0</v>
      </c>
      <c r="F5" s="31">
        <v>2.0</v>
      </c>
      <c r="G5" s="31">
        <v>2.0</v>
      </c>
      <c r="H5" s="31">
        <v>2.0</v>
      </c>
      <c r="I5" s="31">
        <v>2.0</v>
      </c>
      <c r="J5" s="31">
        <v>4.0</v>
      </c>
      <c r="K5" s="31">
        <v>4.0</v>
      </c>
      <c r="L5" s="31">
        <v>4.0</v>
      </c>
      <c r="M5" s="31">
        <v>4.0</v>
      </c>
      <c r="N5" s="31">
        <v>4.0</v>
      </c>
      <c r="O5" s="31">
        <v>4.0</v>
      </c>
      <c r="P5" s="8"/>
      <c r="Q5" s="8"/>
      <c r="R5" s="8"/>
      <c r="S5" s="8"/>
      <c r="T5" s="8"/>
      <c r="U5" s="8"/>
      <c r="V5" s="8"/>
      <c r="W5" s="31">
        <v>2.0</v>
      </c>
      <c r="X5" s="31">
        <v>12.0</v>
      </c>
      <c r="Y5" s="31">
        <v>8.0</v>
      </c>
      <c r="Z5" s="31">
        <v>24.0</v>
      </c>
      <c r="AA5" s="8"/>
      <c r="AB5" s="31">
        <v>12.0</v>
      </c>
      <c r="AC5" s="31">
        <v>4.0</v>
      </c>
      <c r="AD5" s="31">
        <v>4.0</v>
      </c>
      <c r="AE5" s="31">
        <v>4.0</v>
      </c>
      <c r="AF5" s="31">
        <v>4.0</v>
      </c>
      <c r="AG5" s="31">
        <v>4.0</v>
      </c>
      <c r="AH5" s="31">
        <v>4.0</v>
      </c>
      <c r="AI5" s="31">
        <v>4.0</v>
      </c>
      <c r="AJ5" s="31">
        <v>4.0</v>
      </c>
      <c r="AK5" s="31">
        <v>4.0</v>
      </c>
      <c r="AL5" s="31">
        <v>4.0</v>
      </c>
      <c r="AM5" s="31">
        <v>4.0</v>
      </c>
      <c r="AN5" s="31">
        <v>4.0</v>
      </c>
      <c r="AO5" s="13"/>
      <c r="AP5" s="13"/>
      <c r="AQ5" s="8"/>
      <c r="AR5" s="13"/>
      <c r="AS5" s="13"/>
      <c r="AT5" s="8"/>
      <c r="AU5" s="8"/>
      <c r="AV5" s="31">
        <v>4.0</v>
      </c>
      <c r="AW5" s="31">
        <v>4.0</v>
      </c>
      <c r="AX5" s="31">
        <v>4.0</v>
      </c>
      <c r="AY5" s="31">
        <v>4.0</v>
      </c>
      <c r="AZ5" s="31">
        <v>4.0</v>
      </c>
      <c r="BA5" s="31">
        <v>4.0</v>
      </c>
      <c r="BB5" s="31">
        <v>4.0</v>
      </c>
      <c r="BC5" s="31">
        <v>4.0</v>
      </c>
      <c r="BD5" s="31">
        <v>8.0</v>
      </c>
      <c r="BE5" s="31">
        <v>8.0</v>
      </c>
      <c r="BF5" s="31">
        <v>8.0</v>
      </c>
      <c r="BG5" s="31">
        <v>8.0</v>
      </c>
      <c r="BH5" s="31">
        <v>32.0</v>
      </c>
      <c r="BI5" s="31">
        <v>8.0</v>
      </c>
      <c r="BJ5" s="31">
        <v>8.0</v>
      </c>
      <c r="BK5" s="31">
        <v>8.0</v>
      </c>
      <c r="BL5" s="31">
        <v>8.0</v>
      </c>
      <c r="BM5" s="31">
        <v>8.0</v>
      </c>
      <c r="BN5" s="31">
        <v>56.0</v>
      </c>
      <c r="BO5" s="31">
        <v>8.0</v>
      </c>
      <c r="BP5" s="8"/>
      <c r="BQ5" s="8"/>
      <c r="BR5" s="31">
        <v>48.0</v>
      </c>
      <c r="BS5" s="31">
        <v>24.0</v>
      </c>
      <c r="BT5" s="8"/>
      <c r="BU5" s="13"/>
      <c r="BV5" s="13"/>
      <c r="BW5" s="13"/>
      <c r="BX5" s="13"/>
      <c r="BY5" s="8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</row>
    <row r="6">
      <c r="A6" s="8" t="str">
        <f>Specs!C6</f>
        <v>Số lượng cổng 10GE đồng</v>
      </c>
      <c r="B6" s="33"/>
      <c r="C6" s="17">
        <f>hlookup($C$1,$D$1:$BY$10,6,0)</f>
        <v>2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31">
        <v>12.0</v>
      </c>
      <c r="X6" s="31">
        <v>2.0</v>
      </c>
      <c r="Y6" s="31">
        <v>8.0</v>
      </c>
      <c r="Z6" s="31">
        <v>4.0</v>
      </c>
      <c r="AA6" s="31">
        <v>24.0</v>
      </c>
      <c r="AB6" s="31">
        <v>12.0</v>
      </c>
      <c r="AC6" s="8"/>
      <c r="AD6" s="8"/>
      <c r="AE6" s="8"/>
      <c r="AF6" s="8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8"/>
      <c r="AS6" s="8"/>
      <c r="AT6" s="13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13"/>
      <c r="BW6" s="13"/>
      <c r="BX6" s="13"/>
      <c r="BY6" s="8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</row>
    <row r="7">
      <c r="A7" s="8" t="str">
        <f>Specs!C7</f>
        <v>Số lượng cổng 10GE quang</v>
      </c>
      <c r="B7" s="16">
        <f>IFERROR(__xludf.DUMMYFUNCTION("""COMPUTED_VALUE"""),8.0)</f>
        <v>8</v>
      </c>
      <c r="C7" s="10">
        <f>hlookup($C$1,$D$1:$BY$10,7,0)</f>
        <v>12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31">
        <v>4.0</v>
      </c>
      <c r="Q7" s="31">
        <v>4.0</v>
      </c>
      <c r="R7" s="31">
        <v>4.0</v>
      </c>
      <c r="S7" s="31">
        <v>4.0</v>
      </c>
      <c r="T7" s="31">
        <v>4.0</v>
      </c>
      <c r="U7" s="31">
        <v>4.0</v>
      </c>
      <c r="V7" s="31">
        <v>4.0</v>
      </c>
      <c r="W7" s="31">
        <v>2.0</v>
      </c>
      <c r="X7" s="31">
        <v>12.0</v>
      </c>
      <c r="Y7" s="31">
        <v>8.0</v>
      </c>
      <c r="Z7" s="31">
        <v>24.0</v>
      </c>
      <c r="AA7" s="31">
        <v>4.0</v>
      </c>
      <c r="AB7" s="31">
        <v>12.0</v>
      </c>
      <c r="AC7" s="31">
        <v>4.0</v>
      </c>
      <c r="AD7" s="31">
        <v>4.0</v>
      </c>
      <c r="AE7" s="31">
        <v>4.0</v>
      </c>
      <c r="AF7" s="31">
        <v>4.0</v>
      </c>
      <c r="AG7" s="31">
        <v>4.0</v>
      </c>
      <c r="AH7" s="31">
        <v>4.0</v>
      </c>
      <c r="AI7" s="31">
        <v>4.0</v>
      </c>
      <c r="AJ7" s="31">
        <v>4.0</v>
      </c>
      <c r="AK7" s="8"/>
      <c r="AL7" s="8"/>
      <c r="AM7" s="8"/>
      <c r="AN7" s="8"/>
      <c r="AO7" s="31">
        <v>4.0</v>
      </c>
      <c r="AP7" s="31">
        <v>4.0</v>
      </c>
      <c r="AQ7" s="31">
        <v>4.0</v>
      </c>
      <c r="AR7" s="31">
        <v>4.0</v>
      </c>
      <c r="AS7" s="31">
        <v>2.0</v>
      </c>
      <c r="AT7" s="31">
        <v>2.0</v>
      </c>
      <c r="AU7" s="31">
        <v>2.0</v>
      </c>
      <c r="AV7" s="8"/>
      <c r="AW7" s="8"/>
      <c r="AX7" s="31">
        <v>4.0</v>
      </c>
      <c r="AY7" s="31">
        <v>4.0</v>
      </c>
      <c r="AZ7" s="8"/>
      <c r="BA7" s="8"/>
      <c r="BB7" s="31">
        <v>4.0</v>
      </c>
      <c r="BC7" s="31">
        <v>4.0</v>
      </c>
      <c r="BD7" s="31">
        <v>8.0</v>
      </c>
      <c r="BE7" s="31">
        <v>8.0</v>
      </c>
      <c r="BF7" s="31">
        <v>8.0</v>
      </c>
      <c r="BG7" s="31">
        <v>8.0</v>
      </c>
      <c r="BH7" s="31">
        <v>8.0</v>
      </c>
      <c r="BI7" s="31">
        <v>8.0</v>
      </c>
      <c r="BJ7" s="31">
        <v>8.0</v>
      </c>
      <c r="BK7" s="31">
        <v>8.0</v>
      </c>
      <c r="BL7" s="31">
        <v>8.0</v>
      </c>
      <c r="BM7" s="31">
        <v>8.0</v>
      </c>
      <c r="BN7" s="31">
        <v>8.0</v>
      </c>
      <c r="BO7" s="31">
        <v>8.0</v>
      </c>
      <c r="BP7" s="8"/>
      <c r="BQ7" s="8"/>
      <c r="BR7" s="31">
        <v>48.0</v>
      </c>
      <c r="BS7" s="31">
        <v>24.0</v>
      </c>
      <c r="BT7" s="8"/>
      <c r="BU7" s="31">
        <v>60.0</v>
      </c>
      <c r="BV7" s="13"/>
      <c r="BW7" s="13"/>
      <c r="BX7" s="13"/>
      <c r="BY7" s="8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</row>
    <row r="8">
      <c r="A8" s="8" t="str">
        <f>Specs!C8</f>
        <v>Số lượng cổng 100GE</v>
      </c>
      <c r="B8" s="16"/>
      <c r="C8" s="17" t="str">
        <f>hlookup($C$1,$D$1:$BY$10,8,0)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31">
        <v>32.0</v>
      </c>
      <c r="BQ8" s="31">
        <v>16.0</v>
      </c>
      <c r="BR8" s="31">
        <v>4.0</v>
      </c>
      <c r="BS8" s="31">
        <v>4.0</v>
      </c>
      <c r="BT8" s="31">
        <v>36.0</v>
      </c>
      <c r="BU8" s="31">
        <v>4.0</v>
      </c>
      <c r="BV8" s="8"/>
      <c r="BW8" s="8"/>
      <c r="BX8" s="8"/>
      <c r="BY8" s="8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</row>
    <row r="9">
      <c r="A9" s="8" t="str">
        <f>Specs!C9</f>
        <v>Stacking (Y/N)</v>
      </c>
      <c r="B9" s="33"/>
      <c r="C9" s="10" t="str">
        <f>hlookup($C$1,$D$1:$BY$10,9,0)</f>
        <v>Y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31" t="s">
        <v>105</v>
      </c>
      <c r="Q9" s="31" t="s">
        <v>105</v>
      </c>
      <c r="R9" s="31" t="s">
        <v>105</v>
      </c>
      <c r="S9" s="31" t="s">
        <v>105</v>
      </c>
      <c r="T9" s="31" t="s">
        <v>105</v>
      </c>
      <c r="U9" s="31" t="s">
        <v>105</v>
      </c>
      <c r="V9" s="31" t="s">
        <v>105</v>
      </c>
      <c r="W9" s="31" t="s">
        <v>105</v>
      </c>
      <c r="X9" s="31" t="s">
        <v>105</v>
      </c>
      <c r="Y9" s="31" t="s">
        <v>105</v>
      </c>
      <c r="Z9" s="31" t="s">
        <v>105</v>
      </c>
      <c r="AA9" s="31" t="s">
        <v>105</v>
      </c>
      <c r="AB9" s="31" t="s">
        <v>105</v>
      </c>
      <c r="AC9" s="31" t="s">
        <v>105</v>
      </c>
      <c r="AD9" s="31" t="s">
        <v>105</v>
      </c>
      <c r="AE9" s="31" t="s">
        <v>105</v>
      </c>
      <c r="AF9" s="31" t="s">
        <v>105</v>
      </c>
      <c r="AG9" s="31" t="s">
        <v>105</v>
      </c>
      <c r="AH9" s="31" t="s">
        <v>105</v>
      </c>
      <c r="AI9" s="31" t="s">
        <v>105</v>
      </c>
      <c r="AJ9" s="31" t="s">
        <v>105</v>
      </c>
      <c r="AK9" s="31" t="s">
        <v>105</v>
      </c>
      <c r="AL9" s="31" t="s">
        <v>105</v>
      </c>
      <c r="AM9" s="31" t="s">
        <v>105</v>
      </c>
      <c r="AN9" s="31" t="s">
        <v>105</v>
      </c>
      <c r="AO9" s="31" t="s">
        <v>105</v>
      </c>
      <c r="AP9" s="31" t="s">
        <v>105</v>
      </c>
      <c r="AQ9" s="31" t="s">
        <v>105</v>
      </c>
      <c r="AR9" s="31" t="s">
        <v>105</v>
      </c>
      <c r="AS9" s="8"/>
      <c r="AT9" s="8"/>
      <c r="AU9" s="8"/>
      <c r="AV9" s="31" t="s">
        <v>105</v>
      </c>
      <c r="AW9" s="31" t="s">
        <v>105</v>
      </c>
      <c r="AX9" s="31" t="s">
        <v>105</v>
      </c>
      <c r="AY9" s="31" t="s">
        <v>105</v>
      </c>
      <c r="AZ9" s="31" t="s">
        <v>105</v>
      </c>
      <c r="BA9" s="31" t="s">
        <v>105</v>
      </c>
      <c r="BB9" s="31" t="s">
        <v>105</v>
      </c>
      <c r="BC9" s="31" t="s">
        <v>105</v>
      </c>
      <c r="BD9" s="31" t="s">
        <v>105</v>
      </c>
      <c r="BE9" s="31" t="s">
        <v>105</v>
      </c>
      <c r="BF9" s="31" t="s">
        <v>105</v>
      </c>
      <c r="BG9" s="31" t="s">
        <v>105</v>
      </c>
      <c r="BH9" s="31" t="s">
        <v>105</v>
      </c>
      <c r="BI9" s="31" t="s">
        <v>105</v>
      </c>
      <c r="BJ9" s="31" t="s">
        <v>105</v>
      </c>
      <c r="BK9" s="31" t="s">
        <v>105</v>
      </c>
      <c r="BL9" s="31" t="s">
        <v>105</v>
      </c>
      <c r="BM9" s="31" t="s">
        <v>105</v>
      </c>
      <c r="BN9" s="31" t="s">
        <v>105</v>
      </c>
      <c r="BO9" s="31" t="s">
        <v>105</v>
      </c>
      <c r="BP9" s="31" t="s">
        <v>105</v>
      </c>
      <c r="BQ9" s="31" t="s">
        <v>105</v>
      </c>
      <c r="BR9" s="31" t="s">
        <v>105</v>
      </c>
      <c r="BS9" s="31" t="s">
        <v>105</v>
      </c>
      <c r="BT9" s="31" t="s">
        <v>105</v>
      </c>
      <c r="BU9" s="31" t="s">
        <v>105</v>
      </c>
      <c r="BV9" s="8"/>
      <c r="BW9" s="8"/>
      <c r="BX9" s="8"/>
      <c r="BY9" s="8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</row>
    <row r="10">
      <c r="A10" s="8" t="str">
        <f>Specs!C10</f>
        <v>PoE (Y/N)</v>
      </c>
      <c r="B10" s="16"/>
      <c r="C10" s="17" t="str">
        <f>hlookup($C$1,$D$1:$BY$10,10,0)</f>
        <v/>
      </c>
      <c r="D10" s="8"/>
      <c r="E10" s="31" t="s">
        <v>105</v>
      </c>
      <c r="F10" s="31" t="s">
        <v>105</v>
      </c>
      <c r="G10" s="8"/>
      <c r="H10" s="31" t="s">
        <v>105</v>
      </c>
      <c r="I10" s="31" t="s">
        <v>105</v>
      </c>
      <c r="J10" s="8"/>
      <c r="K10" s="31" t="s">
        <v>105</v>
      </c>
      <c r="L10" s="31" t="s">
        <v>105</v>
      </c>
      <c r="M10" s="8"/>
      <c r="N10" s="31" t="s">
        <v>105</v>
      </c>
      <c r="O10" s="31" t="s">
        <v>105</v>
      </c>
      <c r="P10" s="31" t="s">
        <v>105</v>
      </c>
      <c r="Q10" s="8"/>
      <c r="R10" s="31" t="s">
        <v>105</v>
      </c>
      <c r="S10" s="31" t="s">
        <v>105</v>
      </c>
      <c r="T10" s="8"/>
      <c r="U10" s="31" t="s">
        <v>105</v>
      </c>
      <c r="V10" s="31" t="s">
        <v>105</v>
      </c>
      <c r="W10" s="8"/>
      <c r="X10" s="8"/>
      <c r="Y10" s="8"/>
      <c r="Z10" s="8"/>
      <c r="AA10" s="8"/>
      <c r="AB10" s="8"/>
      <c r="AC10" s="8"/>
      <c r="AD10" s="8"/>
      <c r="AE10" s="31" t="s">
        <v>105</v>
      </c>
      <c r="AF10" s="31" t="s">
        <v>105</v>
      </c>
      <c r="AG10" s="8"/>
      <c r="AH10" s="31" t="s">
        <v>105</v>
      </c>
      <c r="AI10" s="8"/>
      <c r="AJ10" s="31" t="s">
        <v>105</v>
      </c>
      <c r="AK10" s="8"/>
      <c r="AL10" s="31" t="s">
        <v>105</v>
      </c>
      <c r="AM10" s="8"/>
      <c r="AN10" s="31" t="s">
        <v>105</v>
      </c>
      <c r="AO10" s="8"/>
      <c r="AP10" s="31" t="s">
        <v>105</v>
      </c>
      <c r="AQ10" s="8"/>
      <c r="AR10" s="31" t="s">
        <v>105</v>
      </c>
      <c r="AS10" s="31" t="s">
        <v>105</v>
      </c>
      <c r="AT10" s="8"/>
      <c r="AU10" s="31" t="s">
        <v>105</v>
      </c>
      <c r="AV10" s="8"/>
      <c r="AW10" s="31" t="s">
        <v>105</v>
      </c>
      <c r="AX10" s="8"/>
      <c r="AY10" s="31" t="s">
        <v>105</v>
      </c>
      <c r="AZ10" s="8"/>
      <c r="BA10" s="31" t="s">
        <v>105</v>
      </c>
      <c r="BB10" s="8"/>
      <c r="BC10" s="31" t="s">
        <v>105</v>
      </c>
      <c r="BD10" s="8"/>
      <c r="BE10" s="31" t="s">
        <v>105</v>
      </c>
      <c r="BF10" s="31" t="s">
        <v>105</v>
      </c>
      <c r="BG10" s="31" t="s">
        <v>105</v>
      </c>
      <c r="BH10" s="8"/>
      <c r="BI10" s="31" t="s">
        <v>105</v>
      </c>
      <c r="BJ10" s="8"/>
      <c r="BK10" s="31" t="s">
        <v>105</v>
      </c>
      <c r="BL10" s="31" t="s">
        <v>105</v>
      </c>
      <c r="BM10" s="31" t="s">
        <v>105</v>
      </c>
      <c r="BN10" s="8"/>
      <c r="BO10" s="31" t="s">
        <v>105</v>
      </c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</row>
    <row r="11">
      <c r="A11" s="18" t="s">
        <v>106</v>
      </c>
      <c r="B11" s="19"/>
      <c r="C11" s="24" t="str">
        <f>hlookup($C$1,$D$1:$BY$11,11,0)</f>
        <v>Low End</v>
      </c>
      <c r="D11" s="21" t="s">
        <v>23</v>
      </c>
      <c r="E11" s="21" t="s">
        <v>23</v>
      </c>
      <c r="F11" s="21" t="s">
        <v>23</v>
      </c>
      <c r="G11" s="21" t="s">
        <v>23</v>
      </c>
      <c r="H11" s="21" t="s">
        <v>23</v>
      </c>
      <c r="I11" s="21" t="s">
        <v>23</v>
      </c>
      <c r="J11" s="21" t="s">
        <v>23</v>
      </c>
      <c r="K11" s="21" t="s">
        <v>23</v>
      </c>
      <c r="L11" s="21" t="s">
        <v>23</v>
      </c>
      <c r="M11" s="21" t="s">
        <v>23</v>
      </c>
      <c r="N11" s="21" t="s">
        <v>23</v>
      </c>
      <c r="O11" s="21" t="s">
        <v>23</v>
      </c>
      <c r="P11" s="21" t="s">
        <v>23</v>
      </c>
      <c r="Q11" s="21" t="s">
        <v>23</v>
      </c>
      <c r="R11" s="21" t="s">
        <v>23</v>
      </c>
      <c r="S11" s="21" t="s">
        <v>23</v>
      </c>
      <c r="T11" s="21" t="s">
        <v>23</v>
      </c>
      <c r="U11" s="21" t="s">
        <v>23</v>
      </c>
      <c r="V11" s="21" t="s">
        <v>23</v>
      </c>
      <c r="W11" s="21" t="s">
        <v>23</v>
      </c>
      <c r="X11" s="21" t="s">
        <v>23</v>
      </c>
      <c r="Y11" s="21" t="s">
        <v>23</v>
      </c>
      <c r="Z11" s="21" t="s">
        <v>23</v>
      </c>
      <c r="AA11" s="21" t="s">
        <v>23</v>
      </c>
      <c r="AB11" s="21" t="s">
        <v>23</v>
      </c>
      <c r="AC11" s="21" t="s">
        <v>23</v>
      </c>
      <c r="AD11" s="21" t="s">
        <v>23</v>
      </c>
      <c r="AE11" s="21" t="s">
        <v>23</v>
      </c>
      <c r="AF11" s="21" t="s">
        <v>23</v>
      </c>
      <c r="AG11" s="21" t="s">
        <v>24</v>
      </c>
      <c r="AH11" s="21" t="s">
        <v>24</v>
      </c>
      <c r="AI11" s="21" t="s">
        <v>24</v>
      </c>
      <c r="AJ11" s="21" t="s">
        <v>24</v>
      </c>
      <c r="AK11" s="21" t="s">
        <v>24</v>
      </c>
      <c r="AL11" s="21" t="s">
        <v>24</v>
      </c>
      <c r="AM11" s="21" t="s">
        <v>24</v>
      </c>
      <c r="AN11" s="21" t="s">
        <v>24</v>
      </c>
      <c r="AO11" s="21" t="s">
        <v>24</v>
      </c>
      <c r="AP11" s="21" t="s">
        <v>24</v>
      </c>
      <c r="AQ11" s="21" t="s">
        <v>24</v>
      </c>
      <c r="AR11" s="21" t="s">
        <v>24</v>
      </c>
      <c r="AS11" s="21" t="s">
        <v>24</v>
      </c>
      <c r="AT11" s="21" t="s">
        <v>24</v>
      </c>
      <c r="AU11" s="21" t="s">
        <v>24</v>
      </c>
      <c r="AV11" s="21" t="s">
        <v>25</v>
      </c>
      <c r="AW11" s="21" t="s">
        <v>25</v>
      </c>
      <c r="AX11" s="21" t="s">
        <v>25</v>
      </c>
      <c r="AY11" s="21" t="s">
        <v>25</v>
      </c>
      <c r="AZ11" s="21" t="s">
        <v>25</v>
      </c>
      <c r="BA11" s="21" t="s">
        <v>25</v>
      </c>
      <c r="BB11" s="21" t="s">
        <v>25</v>
      </c>
      <c r="BC11" s="21" t="s">
        <v>25</v>
      </c>
      <c r="BD11" s="21" t="s">
        <v>25</v>
      </c>
      <c r="BE11" s="21" t="s">
        <v>25</v>
      </c>
      <c r="BF11" s="21" t="s">
        <v>25</v>
      </c>
      <c r="BG11" s="21" t="s">
        <v>25</v>
      </c>
      <c r="BH11" s="21" t="s">
        <v>25</v>
      </c>
      <c r="BI11" s="21" t="s">
        <v>25</v>
      </c>
      <c r="BJ11" s="21" t="s">
        <v>25</v>
      </c>
      <c r="BK11" s="21" t="s">
        <v>25</v>
      </c>
      <c r="BL11" s="21" t="s">
        <v>25</v>
      </c>
      <c r="BM11" s="21" t="s">
        <v>25</v>
      </c>
      <c r="BN11" s="21" t="s">
        <v>25</v>
      </c>
      <c r="BO11" s="21" t="s">
        <v>25</v>
      </c>
      <c r="BP11" s="21" t="s">
        <v>25</v>
      </c>
      <c r="BQ11" s="21" t="s">
        <v>25</v>
      </c>
      <c r="BR11" s="21" t="s">
        <v>25</v>
      </c>
      <c r="BS11" s="21" t="s">
        <v>25</v>
      </c>
      <c r="BT11" s="21" t="s">
        <v>25</v>
      </c>
      <c r="BU11" s="21" t="s">
        <v>25</v>
      </c>
      <c r="BV11" s="21" t="s">
        <v>24</v>
      </c>
      <c r="BW11" s="21" t="s">
        <v>24</v>
      </c>
      <c r="BX11" s="21" t="s">
        <v>25</v>
      </c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</row>
    <row r="13">
      <c r="A13" s="7" t="s">
        <v>26</v>
      </c>
      <c r="B13" s="19"/>
      <c r="C13" s="24">
        <f t="shared" ref="C13:BY13" si="1">sum(1*(C2&gt;=$B$2)+1*(C3&gt;=$B$3)+1*(C4&gt;=$B$4)+1*(C5&gt;=$B$5)+1*(C6&gt;=$B$6)+1*(C7&gt;=$B$7)+1*(C8&gt;=$B$8)+1*or(C9="Y",$B$9="N",$B$9="")+1*or(C10="Y",$B$10="N",$B$10=""))</f>
        <v>9</v>
      </c>
      <c r="D13" s="25">
        <f t="shared" si="1"/>
        <v>8</v>
      </c>
      <c r="E13" s="25">
        <f t="shared" si="1"/>
        <v>8</v>
      </c>
      <c r="F13" s="25">
        <f t="shared" si="1"/>
        <v>8</v>
      </c>
      <c r="G13" s="25">
        <f t="shared" si="1"/>
        <v>8</v>
      </c>
      <c r="H13" s="25">
        <f t="shared" si="1"/>
        <v>8</v>
      </c>
      <c r="I13" s="25">
        <f t="shared" si="1"/>
        <v>8</v>
      </c>
      <c r="J13" s="25">
        <f t="shared" si="1"/>
        <v>8</v>
      </c>
      <c r="K13" s="25">
        <f t="shared" si="1"/>
        <v>8</v>
      </c>
      <c r="L13" s="25">
        <f t="shared" si="1"/>
        <v>8</v>
      </c>
      <c r="M13" s="25">
        <f t="shared" si="1"/>
        <v>8</v>
      </c>
      <c r="N13" s="25">
        <f t="shared" si="1"/>
        <v>8</v>
      </c>
      <c r="O13" s="25">
        <f t="shared" si="1"/>
        <v>8</v>
      </c>
      <c r="P13" s="25">
        <f t="shared" si="1"/>
        <v>8</v>
      </c>
      <c r="Q13" s="25">
        <f t="shared" si="1"/>
        <v>8</v>
      </c>
      <c r="R13" s="25">
        <f t="shared" si="1"/>
        <v>8</v>
      </c>
      <c r="S13" s="25">
        <f t="shared" si="1"/>
        <v>8</v>
      </c>
      <c r="T13" s="25">
        <f t="shared" si="1"/>
        <v>8</v>
      </c>
      <c r="U13" s="25">
        <f t="shared" si="1"/>
        <v>8</v>
      </c>
      <c r="V13" s="25">
        <f t="shared" si="1"/>
        <v>8</v>
      </c>
      <c r="W13" s="25">
        <f t="shared" si="1"/>
        <v>8</v>
      </c>
      <c r="X13" s="25">
        <f t="shared" si="1"/>
        <v>9</v>
      </c>
      <c r="Y13" s="25">
        <f t="shared" si="1"/>
        <v>9</v>
      </c>
      <c r="Z13" s="25">
        <f t="shared" si="1"/>
        <v>9</v>
      </c>
      <c r="AA13" s="25">
        <f t="shared" si="1"/>
        <v>8</v>
      </c>
      <c r="AB13" s="25">
        <f t="shared" si="1"/>
        <v>9</v>
      </c>
      <c r="AC13" s="25">
        <f t="shared" si="1"/>
        <v>8</v>
      </c>
      <c r="AD13" s="25">
        <f t="shared" si="1"/>
        <v>8</v>
      </c>
      <c r="AE13" s="25">
        <f t="shared" si="1"/>
        <v>8</v>
      </c>
      <c r="AF13" s="25">
        <f t="shared" si="1"/>
        <v>8</v>
      </c>
      <c r="AG13" s="25">
        <f t="shared" si="1"/>
        <v>8</v>
      </c>
      <c r="AH13" s="25">
        <f t="shared" si="1"/>
        <v>8</v>
      </c>
      <c r="AI13" s="25">
        <f t="shared" si="1"/>
        <v>8</v>
      </c>
      <c r="AJ13" s="25">
        <f t="shared" si="1"/>
        <v>8</v>
      </c>
      <c r="AK13" s="25">
        <f t="shared" si="1"/>
        <v>8</v>
      </c>
      <c r="AL13" s="25">
        <f t="shared" si="1"/>
        <v>8</v>
      </c>
      <c r="AM13" s="25">
        <f t="shared" si="1"/>
        <v>8</v>
      </c>
      <c r="AN13" s="25">
        <f t="shared" si="1"/>
        <v>8</v>
      </c>
      <c r="AO13" s="25">
        <f t="shared" si="1"/>
        <v>8</v>
      </c>
      <c r="AP13" s="25">
        <f t="shared" si="1"/>
        <v>8</v>
      </c>
      <c r="AQ13" s="25">
        <f t="shared" si="1"/>
        <v>8</v>
      </c>
      <c r="AR13" s="25">
        <f t="shared" si="1"/>
        <v>8</v>
      </c>
      <c r="AS13" s="25">
        <f t="shared" si="1"/>
        <v>8</v>
      </c>
      <c r="AT13" s="25">
        <f t="shared" si="1"/>
        <v>8</v>
      </c>
      <c r="AU13" s="25">
        <f t="shared" si="1"/>
        <v>8</v>
      </c>
      <c r="AV13" s="25">
        <f t="shared" si="1"/>
        <v>8</v>
      </c>
      <c r="AW13" s="25">
        <f t="shared" si="1"/>
        <v>8</v>
      </c>
      <c r="AX13" s="25">
        <f t="shared" si="1"/>
        <v>8</v>
      </c>
      <c r="AY13" s="25">
        <f t="shared" si="1"/>
        <v>8</v>
      </c>
      <c r="AZ13" s="25">
        <f t="shared" si="1"/>
        <v>8</v>
      </c>
      <c r="BA13" s="25">
        <f t="shared" si="1"/>
        <v>8</v>
      </c>
      <c r="BB13" s="25">
        <f t="shared" si="1"/>
        <v>8</v>
      </c>
      <c r="BC13" s="25">
        <f t="shared" si="1"/>
        <v>8</v>
      </c>
      <c r="BD13" s="25">
        <f t="shared" si="1"/>
        <v>9</v>
      </c>
      <c r="BE13" s="25">
        <f t="shared" si="1"/>
        <v>9</v>
      </c>
      <c r="BF13" s="25">
        <f t="shared" si="1"/>
        <v>9</v>
      </c>
      <c r="BG13" s="25">
        <f t="shared" si="1"/>
        <v>9</v>
      </c>
      <c r="BH13" s="25">
        <f t="shared" si="1"/>
        <v>9</v>
      </c>
      <c r="BI13" s="25">
        <f t="shared" si="1"/>
        <v>9</v>
      </c>
      <c r="BJ13" s="25">
        <f t="shared" si="1"/>
        <v>9</v>
      </c>
      <c r="BK13" s="25">
        <f t="shared" si="1"/>
        <v>9</v>
      </c>
      <c r="BL13" s="25">
        <f t="shared" si="1"/>
        <v>9</v>
      </c>
      <c r="BM13" s="25">
        <f t="shared" si="1"/>
        <v>9</v>
      </c>
      <c r="BN13" s="25">
        <f t="shared" si="1"/>
        <v>9</v>
      </c>
      <c r="BO13" s="25">
        <f t="shared" si="1"/>
        <v>9</v>
      </c>
      <c r="BP13" s="25">
        <f t="shared" si="1"/>
        <v>8</v>
      </c>
      <c r="BQ13" s="25">
        <f t="shared" si="1"/>
        <v>8</v>
      </c>
      <c r="BR13" s="25">
        <f t="shared" si="1"/>
        <v>9</v>
      </c>
      <c r="BS13" s="25">
        <f t="shared" si="1"/>
        <v>9</v>
      </c>
      <c r="BT13" s="25">
        <f t="shared" si="1"/>
        <v>8</v>
      </c>
      <c r="BU13" s="25">
        <f t="shared" si="1"/>
        <v>9</v>
      </c>
      <c r="BV13" s="25">
        <f t="shared" si="1"/>
        <v>8</v>
      </c>
      <c r="BW13" s="25">
        <f t="shared" si="1"/>
        <v>8</v>
      </c>
      <c r="BX13" s="25">
        <f t="shared" si="1"/>
        <v>8</v>
      </c>
      <c r="BY13" s="25">
        <f t="shared" si="1"/>
        <v>8</v>
      </c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</row>
    <row r="14">
      <c r="A14" s="7" t="s">
        <v>27</v>
      </c>
      <c r="B14" s="19"/>
      <c r="C14" s="26">
        <f>iferror(vlookup(C1,AllListPrice!$A$2:$D$1000,4,0),0)</f>
        <v>2306.8</v>
      </c>
      <c r="D14" s="27">
        <f>iferror(vlookup(D1,AllListPrice!$A$2:$D$1000,4,0),0)</f>
        <v>463.29</v>
      </c>
      <c r="E14" s="27">
        <f>iferror(vlookup(E1,AllListPrice!$A$2:$D$1000,4,0),0)</f>
        <v>570.56</v>
      </c>
      <c r="F14" s="27">
        <f>iferror(vlookup(F1,AllListPrice!$A$2:$D$1000,4,0),0)</f>
        <v>757.69</v>
      </c>
      <c r="G14" s="27">
        <f>iferror(vlookup(G1,AllListPrice!$A$2:$D$1000,4,0),0)</f>
        <v>655.57</v>
      </c>
      <c r="H14" s="27">
        <f>iferror(vlookup(H1,AllListPrice!$A$2:$D$1000,4,0),0)</f>
        <v>952.7</v>
      </c>
      <c r="I14" s="27">
        <f>iferror(vlookup(I1,AllListPrice!$A$2:$D$1000,4,0),0)</f>
        <v>1350.49</v>
      </c>
      <c r="J14" s="27">
        <f>iferror(vlookup(J1,AllListPrice!$A$2:$D$1000,4,0),0)</f>
        <v>913.34</v>
      </c>
      <c r="K14" s="27">
        <f>iferror(vlookup(K1,AllListPrice!$A$2:$D$1000,4,0),0)</f>
        <v>1300.65</v>
      </c>
      <c r="L14" s="27">
        <f>iferror(vlookup(L1,AllListPrice!$A$2:$D$1000,4,0),0)</f>
        <v>1770.54</v>
      </c>
      <c r="M14" s="27">
        <f>iferror(vlookup(M1,AllListPrice!$A$2:$D$1000,4,0),0)</f>
        <v>1434.22</v>
      </c>
      <c r="N14" s="27">
        <f>iferror(vlookup(N1,AllListPrice!$A$2:$D$1000,4,0),0)</f>
        <v>2368.53</v>
      </c>
      <c r="O14" s="27">
        <f>iferror(vlookup(O1,AllListPrice!$A$2:$D$1000,4,0),0)</f>
        <v>2962.61</v>
      </c>
      <c r="P14" s="27">
        <f>iferror(vlookup(P1,AllListPrice!$A$2:$D$1000,4,0),0)</f>
        <v>1019.52</v>
      </c>
      <c r="Q14" s="27">
        <f>iferror(vlookup(Q1,AllListPrice!$A$2:$D$1000,4,0),0)</f>
        <v>1315.75</v>
      </c>
      <c r="R14" s="27">
        <f>iferror(vlookup(R1,AllListPrice!$A$2:$D$1000,4,0),0)</f>
        <v>1567.48</v>
      </c>
      <c r="S14" s="27">
        <f>iferror(vlookup(S1,AllListPrice!$A$2:$D$1000,4,0),0)</f>
        <v>2131.86</v>
      </c>
      <c r="T14" s="27">
        <f>iferror(vlookup(T1,AllListPrice!$A$2:$D$1000,4,0),0)</f>
        <v>2062.75</v>
      </c>
      <c r="U14" s="27">
        <f>iferror(vlookup(U1,AllListPrice!$A$2:$D$1000,4,0),0)</f>
        <v>2557.45</v>
      </c>
      <c r="V14" s="27">
        <f>iferror(vlookup(V1,AllListPrice!$A$2:$D$1000,4,0),0)</f>
        <v>3302.25</v>
      </c>
      <c r="W14" s="27">
        <f>iferror(vlookup(W1,AllListPrice!$A$2:$D$1000,4,0),0)</f>
        <v>2264.01</v>
      </c>
      <c r="X14" s="27">
        <f>iferror(vlookup(X1,AllListPrice!$A$2:$D$1000,4,0),0)</f>
        <v>2306.8</v>
      </c>
      <c r="Y14" s="27">
        <f>iferror(vlookup(Y1,AllListPrice!$A$2:$D$1000,4,0),0)</f>
        <v>3602.8</v>
      </c>
      <c r="Z14" s="27">
        <f>iferror(vlookup(Z1,AllListPrice!$A$2:$D$1000,4,0),0)</f>
        <v>3725.66</v>
      </c>
      <c r="AA14" s="27">
        <f>iferror(vlookup(AA1,AllListPrice!$A$2:$D$1000,4,0),0)</f>
        <v>4790.18</v>
      </c>
      <c r="AB14" s="27">
        <f>iferror(vlookup(AB1,AllListPrice!$A$2:$D$1000,4,0),0)</f>
        <v>4622.36</v>
      </c>
      <c r="AC14" s="27">
        <f>iferror(vlookup(AC1,AllListPrice!$A$2:$D$1000,4,0),0)</f>
        <v>1379.74</v>
      </c>
      <c r="AD14" s="27">
        <f>iferror(vlookup(AD1,AllListPrice!$A$2:$D$1000,4,0),0)</f>
        <v>2116.76</v>
      </c>
      <c r="AE14" s="27">
        <f>iferror(vlookup(AE1,AllListPrice!$A$2:$D$1000,4,0),0)</f>
        <v>2238.02</v>
      </c>
      <c r="AF14" s="27">
        <f>iferror(vlookup(AF1,AllListPrice!$A$2:$D$1000,4,0),0)</f>
        <v>3466.95</v>
      </c>
      <c r="AG14" s="27">
        <f>iferror(vlookup(AG1,AllListPrice!$A$2:$D$1000,4,0),0)</f>
        <v>9916.42</v>
      </c>
      <c r="AH14" s="27">
        <f>iferror(vlookup(AH1,AllListPrice!$A$2:$D$1000,4,0),0)</f>
        <v>11052.8</v>
      </c>
      <c r="AI14" s="27">
        <f>iferror(vlookup(AI1,AllListPrice!$A$2:$D$1000,4,0),0)</f>
        <v>15602.18</v>
      </c>
      <c r="AJ14" s="27">
        <f>iferror(vlookup(AJ1,AllListPrice!$A$2:$D$1000,4,0),0)</f>
        <v>19860.05</v>
      </c>
      <c r="AK14" s="27">
        <f>iferror(vlookup(AK1,AllListPrice!$A$2:$D$1000,4,0),0)</f>
        <v>6063.41</v>
      </c>
      <c r="AL14" s="27">
        <f>iferror(vlookup(AL1,AllListPrice!$A$2:$D$1000,4,0),0)</f>
        <v>7529.2</v>
      </c>
      <c r="AM14" s="27">
        <f>iferror(vlookup(AM1,AllListPrice!$A$2:$D$1000,4,0),0)</f>
        <v>10867.95</v>
      </c>
      <c r="AN14" s="27">
        <f>iferror(vlookup(AN1,AllListPrice!$A$2:$D$1000,4,0),0)</f>
        <v>15269.17</v>
      </c>
      <c r="AO14" s="27">
        <f>iferror(vlookup(AO1,AllListPrice!$A$2:$D$1000,4,0),0)</f>
        <v>8631.47</v>
      </c>
      <c r="AP14" s="27">
        <f>iferror(vlookup(AP1,AllListPrice!$A$2:$D$1000,4,0),0)</f>
        <v>10097.26</v>
      </c>
      <c r="AQ14" s="27">
        <f>iferror(vlookup(AQ1,AllListPrice!$A$2:$D$1000,4,0),0)</f>
        <v>13436.01</v>
      </c>
      <c r="AR14" s="27">
        <f>iferror(vlookup(AR1,AllListPrice!$A$2:$D$1000,4,0),0)</f>
        <v>17837.21</v>
      </c>
      <c r="AS14" s="27">
        <f>iferror(vlookup(AS1,AllListPrice!$A$2:$D$1000,4,0),0)</f>
        <v>5197.72</v>
      </c>
      <c r="AT14" s="27">
        <f>iferror(vlookup(AT1,AllListPrice!$A$2:$D$1000,4,0),0)</f>
        <v>4748.49</v>
      </c>
      <c r="AU14" s="27">
        <f>iferror(vlookup(AU1,AllListPrice!$A$2:$D$1000,4,0),0)</f>
        <v>5672.87</v>
      </c>
      <c r="AV14" s="27">
        <f>iferror(vlookup(AV1,AllListPrice!$A$2:$D$1000,4,0),0)</f>
        <v>13699.63</v>
      </c>
      <c r="AW14" s="27">
        <f>iferror(vlookup(AW1,AllListPrice!$A$2:$D$1000,4,0),0)</f>
        <v>14671.04</v>
      </c>
      <c r="AX14" s="27">
        <f>iferror(vlookup(AX1,AllListPrice!$A$2:$D$1000,4,0),0)</f>
        <v>16613.85</v>
      </c>
      <c r="AY14" s="27">
        <f>iferror(vlookup(AY1,AllListPrice!$A$2:$D$1000,4,0),0)</f>
        <v>17585.24</v>
      </c>
      <c r="AZ14" s="27">
        <f>iferror(vlookup(AZ1,AllListPrice!$A$2:$D$1000,4,0),0)</f>
        <v>19825.33</v>
      </c>
      <c r="BA14" s="27">
        <f>iferror(vlookup(BA1,AllListPrice!$A$2:$D$1000,4,0),0)</f>
        <v>22545.48</v>
      </c>
      <c r="BB14" s="27">
        <f>iferror(vlookup(BB1,AllListPrice!$A$2:$D$1000,4,0),0)</f>
        <v>22736.79</v>
      </c>
      <c r="BC14" s="27">
        <f>iferror(vlookup(BC1,AllListPrice!$A$2:$D$1000,4,0),0)</f>
        <v>25455.65</v>
      </c>
      <c r="BD14" s="27">
        <f>iferror(vlookup(BD1,AllListPrice!$A$2:$D$1000,4,0),0)</f>
        <v>18011.91</v>
      </c>
      <c r="BE14" s="27">
        <f>iferror(vlookup(BE1,AllListPrice!$A$2:$D$1000,4,0),0)</f>
        <v>19547.88</v>
      </c>
      <c r="BF14" s="27">
        <f>iferror(vlookup(BF1,AllListPrice!$A$2:$D$1000,4,0),0)</f>
        <v>20505.61</v>
      </c>
      <c r="BG14" s="27">
        <f>iferror(vlookup(BG1,AllListPrice!$A$2:$D$1000,4,0),0)</f>
        <v>21073.06</v>
      </c>
      <c r="BH14" s="27">
        <f>iferror(vlookup(BH1,AllListPrice!$A$2:$D$1000,4,0),0)</f>
        <v>50184.37</v>
      </c>
      <c r="BI14" s="27">
        <f>iferror(vlookup(BI1,AllListPrice!$A$2:$D$1000,4,0),0)</f>
        <v>25086.8</v>
      </c>
      <c r="BJ14" s="27">
        <f>iferror(vlookup(BJ1,AllListPrice!$A$2:$D$1000,4,0),0)</f>
        <v>26361.21</v>
      </c>
      <c r="BK14" s="27">
        <f>iferror(vlookup(BK1,AllListPrice!$A$2:$D$1000,4,0),0)</f>
        <v>29374.16</v>
      </c>
      <c r="BL14" s="27">
        <f>iferror(vlookup(BL1,AllListPrice!$A$2:$D$1000,4,0),0)</f>
        <v>31290.78</v>
      </c>
      <c r="BM14" s="27">
        <f>iferror(vlookup(BM1,AllListPrice!$A$2:$D$1000,4,0),0)</f>
        <v>32286.54</v>
      </c>
      <c r="BN14" s="27">
        <f>iferror(vlookup(BN1,AllListPrice!$A$2:$D$1000,4,0),0)</f>
        <v>57322.71</v>
      </c>
      <c r="BO14" s="27">
        <f>iferror(vlookup(BO1,AllListPrice!$A$2:$D$1000,4,0),0)</f>
        <v>37491.48</v>
      </c>
      <c r="BP14" s="27">
        <f>iferror(vlookup(BP1,AllListPrice!$A$2:$D$1000,4,0),0)</f>
        <v>86779.49</v>
      </c>
      <c r="BQ14" s="27">
        <f>iferror(vlookup(BQ1,AllListPrice!$A$2:$D$1000,4,0),0)</f>
        <v>78332.98</v>
      </c>
      <c r="BR14" s="27">
        <f>iferror(vlookup(BR1,AllListPrice!$A$2:$D$1000,4,0),0)</f>
        <v>66036.97</v>
      </c>
      <c r="BS14" s="27">
        <f>iferror(vlookup(BS1,AllListPrice!$A$2:$D$1000,4,0),0)</f>
        <v>55686.03</v>
      </c>
      <c r="BT14" s="27">
        <f>iferror(vlookup(BT1,AllListPrice!$A$2:$D$1000,4,0),0)</f>
        <v>170302.47</v>
      </c>
      <c r="BU14" s="27">
        <f>iferror(vlookup(BU1,AllListPrice!$A$2:$D$1000,4,0),0)</f>
        <v>130669.25</v>
      </c>
      <c r="BV14" s="27">
        <f>iferror(vlookup(BV1,AllListPrice!$A$2:$D$1000,4,0),0)</f>
        <v>26500</v>
      </c>
      <c r="BW14" s="27">
        <f>iferror(vlookup(BW1,AllListPrice!$A$2:$D$1000,4,0),0)</f>
        <v>32500</v>
      </c>
      <c r="BX14" s="27">
        <f>iferror(vlookup(BX1,AllListPrice!$A$2:$D$1000,4,0),0)</f>
        <v>192000</v>
      </c>
      <c r="BY14" s="27">
        <f>iferror(vlookup(BY1,Cisco!$A$2:$D$1000,4,0),0)</f>
        <v>0</v>
      </c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</row>
    <row r="15">
      <c r="A15" s="7" t="s">
        <v>28</v>
      </c>
      <c r="B15" s="19"/>
      <c r="C15" s="24">
        <f t="shared" ref="C15:BY15" si="2">1*(C13=max($D$13:$BY$13))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0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0</v>
      </c>
      <c r="T15" s="25">
        <f t="shared" si="2"/>
        <v>0</v>
      </c>
      <c r="U15" s="25">
        <f t="shared" si="2"/>
        <v>0</v>
      </c>
      <c r="V15" s="25">
        <f t="shared" si="2"/>
        <v>0</v>
      </c>
      <c r="W15" s="25">
        <f t="shared" si="2"/>
        <v>0</v>
      </c>
      <c r="X15" s="25">
        <f t="shared" si="2"/>
        <v>1</v>
      </c>
      <c r="Y15" s="25">
        <f t="shared" si="2"/>
        <v>1</v>
      </c>
      <c r="Z15" s="25">
        <f t="shared" si="2"/>
        <v>1</v>
      </c>
      <c r="AA15" s="25">
        <f t="shared" si="2"/>
        <v>0</v>
      </c>
      <c r="AB15" s="25">
        <f t="shared" si="2"/>
        <v>1</v>
      </c>
      <c r="AC15" s="25">
        <f t="shared" si="2"/>
        <v>0</v>
      </c>
      <c r="AD15" s="25">
        <f t="shared" si="2"/>
        <v>0</v>
      </c>
      <c r="AE15" s="25">
        <f t="shared" si="2"/>
        <v>0</v>
      </c>
      <c r="AF15" s="25">
        <f t="shared" si="2"/>
        <v>0</v>
      </c>
      <c r="AG15" s="25">
        <f t="shared" si="2"/>
        <v>0</v>
      </c>
      <c r="AH15" s="25">
        <f t="shared" si="2"/>
        <v>0</v>
      </c>
      <c r="AI15" s="25">
        <f t="shared" si="2"/>
        <v>0</v>
      </c>
      <c r="AJ15" s="25">
        <f t="shared" si="2"/>
        <v>0</v>
      </c>
      <c r="AK15" s="25">
        <f t="shared" si="2"/>
        <v>0</v>
      </c>
      <c r="AL15" s="25">
        <f t="shared" si="2"/>
        <v>0</v>
      </c>
      <c r="AM15" s="25">
        <f t="shared" si="2"/>
        <v>0</v>
      </c>
      <c r="AN15" s="25">
        <f t="shared" si="2"/>
        <v>0</v>
      </c>
      <c r="AO15" s="25">
        <f t="shared" si="2"/>
        <v>0</v>
      </c>
      <c r="AP15" s="25">
        <f t="shared" si="2"/>
        <v>0</v>
      </c>
      <c r="AQ15" s="25">
        <f t="shared" si="2"/>
        <v>0</v>
      </c>
      <c r="AR15" s="25">
        <f t="shared" si="2"/>
        <v>0</v>
      </c>
      <c r="AS15" s="25">
        <f t="shared" si="2"/>
        <v>0</v>
      </c>
      <c r="AT15" s="25">
        <f t="shared" si="2"/>
        <v>0</v>
      </c>
      <c r="AU15" s="25">
        <f t="shared" si="2"/>
        <v>0</v>
      </c>
      <c r="AV15" s="25">
        <f t="shared" si="2"/>
        <v>0</v>
      </c>
      <c r="AW15" s="25">
        <f t="shared" si="2"/>
        <v>0</v>
      </c>
      <c r="AX15" s="25">
        <f t="shared" si="2"/>
        <v>0</v>
      </c>
      <c r="AY15" s="25">
        <f t="shared" si="2"/>
        <v>0</v>
      </c>
      <c r="AZ15" s="25">
        <f t="shared" si="2"/>
        <v>0</v>
      </c>
      <c r="BA15" s="25">
        <f t="shared" si="2"/>
        <v>0</v>
      </c>
      <c r="BB15" s="25">
        <f t="shared" si="2"/>
        <v>0</v>
      </c>
      <c r="BC15" s="25">
        <f t="shared" si="2"/>
        <v>0</v>
      </c>
      <c r="BD15" s="25">
        <f t="shared" si="2"/>
        <v>1</v>
      </c>
      <c r="BE15" s="25">
        <f t="shared" si="2"/>
        <v>1</v>
      </c>
      <c r="BF15" s="25">
        <f t="shared" si="2"/>
        <v>1</v>
      </c>
      <c r="BG15" s="25">
        <f t="shared" si="2"/>
        <v>1</v>
      </c>
      <c r="BH15" s="25">
        <f t="shared" si="2"/>
        <v>1</v>
      </c>
      <c r="BI15" s="25">
        <f t="shared" si="2"/>
        <v>1</v>
      </c>
      <c r="BJ15" s="25">
        <f t="shared" si="2"/>
        <v>1</v>
      </c>
      <c r="BK15" s="25">
        <f t="shared" si="2"/>
        <v>1</v>
      </c>
      <c r="BL15" s="25">
        <f t="shared" si="2"/>
        <v>1</v>
      </c>
      <c r="BM15" s="25">
        <f t="shared" si="2"/>
        <v>1</v>
      </c>
      <c r="BN15" s="25">
        <f t="shared" si="2"/>
        <v>1</v>
      </c>
      <c r="BO15" s="25">
        <f t="shared" si="2"/>
        <v>1</v>
      </c>
      <c r="BP15" s="25">
        <f t="shared" si="2"/>
        <v>0</v>
      </c>
      <c r="BQ15" s="25">
        <f t="shared" si="2"/>
        <v>0</v>
      </c>
      <c r="BR15" s="25">
        <f t="shared" si="2"/>
        <v>1</v>
      </c>
      <c r="BS15" s="25">
        <f t="shared" si="2"/>
        <v>1</v>
      </c>
      <c r="BT15" s="25">
        <f t="shared" si="2"/>
        <v>0</v>
      </c>
      <c r="BU15" s="25">
        <f t="shared" si="2"/>
        <v>1</v>
      </c>
      <c r="BV15" s="25">
        <f t="shared" si="2"/>
        <v>0</v>
      </c>
      <c r="BW15" s="25">
        <f t="shared" si="2"/>
        <v>0</v>
      </c>
      <c r="BX15" s="25">
        <f t="shared" si="2"/>
        <v>0</v>
      </c>
      <c r="BY15" s="25">
        <f t="shared" si="2"/>
        <v>0</v>
      </c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</row>
    <row r="16">
      <c r="A16" s="7" t="s">
        <v>29</v>
      </c>
      <c r="B16" s="19"/>
      <c r="C16" s="24">
        <f t="shared" ref="C16:BY16" si="3">C15*(C14=minifs($D$14:$BY$14,$D$15:$BY$15,1))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0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1</v>
      </c>
      <c r="Y16" s="25">
        <f t="shared" si="3"/>
        <v>0</v>
      </c>
      <c r="Z16" s="25">
        <f t="shared" si="3"/>
        <v>0</v>
      </c>
      <c r="AA16" s="25">
        <f t="shared" si="3"/>
        <v>0</v>
      </c>
      <c r="AB16" s="25">
        <f t="shared" si="3"/>
        <v>0</v>
      </c>
      <c r="AC16" s="25">
        <f t="shared" si="3"/>
        <v>0</v>
      </c>
      <c r="AD16" s="25">
        <f t="shared" si="3"/>
        <v>0</v>
      </c>
      <c r="AE16" s="25">
        <f t="shared" si="3"/>
        <v>0</v>
      </c>
      <c r="AF16" s="25">
        <f t="shared" si="3"/>
        <v>0</v>
      </c>
      <c r="AG16" s="25">
        <f t="shared" si="3"/>
        <v>0</v>
      </c>
      <c r="AH16" s="25">
        <f t="shared" si="3"/>
        <v>0</v>
      </c>
      <c r="AI16" s="25">
        <f t="shared" si="3"/>
        <v>0</v>
      </c>
      <c r="AJ16" s="25">
        <f t="shared" si="3"/>
        <v>0</v>
      </c>
      <c r="AK16" s="25">
        <f t="shared" si="3"/>
        <v>0</v>
      </c>
      <c r="AL16" s="25">
        <f t="shared" si="3"/>
        <v>0</v>
      </c>
      <c r="AM16" s="25">
        <f t="shared" si="3"/>
        <v>0</v>
      </c>
      <c r="AN16" s="25">
        <f t="shared" si="3"/>
        <v>0</v>
      </c>
      <c r="AO16" s="25">
        <f t="shared" si="3"/>
        <v>0</v>
      </c>
      <c r="AP16" s="25">
        <f t="shared" si="3"/>
        <v>0</v>
      </c>
      <c r="AQ16" s="25">
        <f t="shared" si="3"/>
        <v>0</v>
      </c>
      <c r="AR16" s="25">
        <f t="shared" si="3"/>
        <v>0</v>
      </c>
      <c r="AS16" s="25">
        <f t="shared" si="3"/>
        <v>0</v>
      </c>
      <c r="AT16" s="25">
        <f t="shared" si="3"/>
        <v>0</v>
      </c>
      <c r="AU16" s="25">
        <f t="shared" si="3"/>
        <v>0</v>
      </c>
      <c r="AV16" s="25">
        <f t="shared" si="3"/>
        <v>0</v>
      </c>
      <c r="AW16" s="25">
        <f t="shared" si="3"/>
        <v>0</v>
      </c>
      <c r="AX16" s="25">
        <f t="shared" si="3"/>
        <v>0</v>
      </c>
      <c r="AY16" s="25">
        <f t="shared" si="3"/>
        <v>0</v>
      </c>
      <c r="AZ16" s="25">
        <f t="shared" si="3"/>
        <v>0</v>
      </c>
      <c r="BA16" s="25">
        <f t="shared" si="3"/>
        <v>0</v>
      </c>
      <c r="BB16" s="25">
        <f t="shared" si="3"/>
        <v>0</v>
      </c>
      <c r="BC16" s="25">
        <f t="shared" si="3"/>
        <v>0</v>
      </c>
      <c r="BD16" s="25">
        <f t="shared" si="3"/>
        <v>0</v>
      </c>
      <c r="BE16" s="25">
        <f t="shared" si="3"/>
        <v>0</v>
      </c>
      <c r="BF16" s="25">
        <f t="shared" si="3"/>
        <v>0</v>
      </c>
      <c r="BG16" s="25">
        <f t="shared" si="3"/>
        <v>0</v>
      </c>
      <c r="BH16" s="25">
        <f t="shared" si="3"/>
        <v>0</v>
      </c>
      <c r="BI16" s="25">
        <f t="shared" si="3"/>
        <v>0</v>
      </c>
      <c r="BJ16" s="25">
        <f t="shared" si="3"/>
        <v>0</v>
      </c>
      <c r="BK16" s="25">
        <f t="shared" si="3"/>
        <v>0</v>
      </c>
      <c r="BL16" s="25">
        <f t="shared" si="3"/>
        <v>0</v>
      </c>
      <c r="BM16" s="25">
        <f t="shared" si="3"/>
        <v>0</v>
      </c>
      <c r="BN16" s="25">
        <f t="shared" si="3"/>
        <v>0</v>
      </c>
      <c r="BO16" s="25">
        <f t="shared" si="3"/>
        <v>0</v>
      </c>
      <c r="BP16" s="25">
        <f t="shared" si="3"/>
        <v>0</v>
      </c>
      <c r="BQ16" s="25">
        <f t="shared" si="3"/>
        <v>0</v>
      </c>
      <c r="BR16" s="25">
        <f t="shared" si="3"/>
        <v>0</v>
      </c>
      <c r="BS16" s="25">
        <f t="shared" si="3"/>
        <v>0</v>
      </c>
      <c r="BT16" s="25">
        <f t="shared" si="3"/>
        <v>0</v>
      </c>
      <c r="BU16" s="25">
        <f t="shared" si="3"/>
        <v>0</v>
      </c>
      <c r="BV16" s="25">
        <f t="shared" si="3"/>
        <v>0</v>
      </c>
      <c r="BW16" s="25">
        <f t="shared" si="3"/>
        <v>0</v>
      </c>
      <c r="BX16" s="25">
        <f t="shared" si="3"/>
        <v>0</v>
      </c>
      <c r="BY16" s="25">
        <f t="shared" si="3"/>
        <v>0</v>
      </c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</row>
    <row r="17">
      <c r="A17" s="7" t="s">
        <v>30</v>
      </c>
      <c r="B17" s="19"/>
      <c r="C17" s="24">
        <f t="shared" ref="C17:BY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0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0</v>
      </c>
      <c r="U17" s="25">
        <f t="shared" si="4"/>
        <v>0</v>
      </c>
      <c r="V17" s="25">
        <f t="shared" si="4"/>
        <v>0</v>
      </c>
      <c r="W17" s="25">
        <f t="shared" si="4"/>
        <v>0</v>
      </c>
      <c r="X17" s="25">
        <f t="shared" si="4"/>
        <v>0</v>
      </c>
      <c r="Y17" s="25">
        <f t="shared" si="4"/>
        <v>1</v>
      </c>
      <c r="Z17" s="25">
        <f t="shared" si="4"/>
        <v>1</v>
      </c>
      <c r="AA17" s="25">
        <f t="shared" si="4"/>
        <v>0</v>
      </c>
      <c r="AB17" s="25">
        <f t="shared" si="4"/>
        <v>1</v>
      </c>
      <c r="AC17" s="25">
        <f t="shared" si="4"/>
        <v>0</v>
      </c>
      <c r="AD17" s="25">
        <f t="shared" si="4"/>
        <v>0</v>
      </c>
      <c r="AE17" s="25">
        <f t="shared" si="4"/>
        <v>0</v>
      </c>
      <c r="AF17" s="25">
        <f t="shared" si="4"/>
        <v>0</v>
      </c>
      <c r="AG17" s="25">
        <f t="shared" si="4"/>
        <v>0</v>
      </c>
      <c r="AH17" s="25">
        <f t="shared" si="4"/>
        <v>0</v>
      </c>
      <c r="AI17" s="25">
        <f t="shared" si="4"/>
        <v>0</v>
      </c>
      <c r="AJ17" s="25">
        <f t="shared" si="4"/>
        <v>0</v>
      </c>
      <c r="AK17" s="25">
        <f t="shared" si="4"/>
        <v>0</v>
      </c>
      <c r="AL17" s="25">
        <f t="shared" si="4"/>
        <v>0</v>
      </c>
      <c r="AM17" s="25">
        <f t="shared" si="4"/>
        <v>0</v>
      </c>
      <c r="AN17" s="25">
        <f t="shared" si="4"/>
        <v>0</v>
      </c>
      <c r="AO17" s="25">
        <f t="shared" si="4"/>
        <v>0</v>
      </c>
      <c r="AP17" s="25">
        <f t="shared" si="4"/>
        <v>0</v>
      </c>
      <c r="AQ17" s="25">
        <f t="shared" si="4"/>
        <v>0</v>
      </c>
      <c r="AR17" s="25">
        <f t="shared" si="4"/>
        <v>0</v>
      </c>
      <c r="AS17" s="25">
        <f t="shared" si="4"/>
        <v>0</v>
      </c>
      <c r="AT17" s="25">
        <f t="shared" si="4"/>
        <v>0</v>
      </c>
      <c r="AU17" s="25">
        <f t="shared" si="4"/>
        <v>0</v>
      </c>
      <c r="AV17" s="25">
        <f t="shared" si="4"/>
        <v>0</v>
      </c>
      <c r="AW17" s="25">
        <f t="shared" si="4"/>
        <v>0</v>
      </c>
      <c r="AX17" s="25">
        <f t="shared" si="4"/>
        <v>0</v>
      </c>
      <c r="AY17" s="25">
        <f t="shared" si="4"/>
        <v>0</v>
      </c>
      <c r="AZ17" s="25">
        <f t="shared" si="4"/>
        <v>0</v>
      </c>
      <c r="BA17" s="25">
        <f t="shared" si="4"/>
        <v>0</v>
      </c>
      <c r="BB17" s="25">
        <f t="shared" si="4"/>
        <v>0</v>
      </c>
      <c r="BC17" s="25">
        <f t="shared" si="4"/>
        <v>0</v>
      </c>
      <c r="BD17" s="25">
        <f t="shared" si="4"/>
        <v>1</v>
      </c>
      <c r="BE17" s="25">
        <f t="shared" si="4"/>
        <v>1</v>
      </c>
      <c r="BF17" s="25">
        <f t="shared" si="4"/>
        <v>1</v>
      </c>
      <c r="BG17" s="25">
        <f t="shared" si="4"/>
        <v>1</v>
      </c>
      <c r="BH17" s="25">
        <f t="shared" si="4"/>
        <v>1</v>
      </c>
      <c r="BI17" s="25">
        <f t="shared" si="4"/>
        <v>1</v>
      </c>
      <c r="BJ17" s="25">
        <f t="shared" si="4"/>
        <v>1</v>
      </c>
      <c r="BK17" s="25">
        <f t="shared" si="4"/>
        <v>1</v>
      </c>
      <c r="BL17" s="25">
        <f t="shared" si="4"/>
        <v>1</v>
      </c>
      <c r="BM17" s="25">
        <f t="shared" si="4"/>
        <v>1</v>
      </c>
      <c r="BN17" s="25">
        <f t="shared" si="4"/>
        <v>1</v>
      </c>
      <c r="BO17" s="25">
        <f t="shared" si="4"/>
        <v>1</v>
      </c>
      <c r="BP17" s="25">
        <f t="shared" si="4"/>
        <v>0</v>
      </c>
      <c r="BQ17" s="25">
        <f t="shared" si="4"/>
        <v>0</v>
      </c>
      <c r="BR17" s="25">
        <f t="shared" si="4"/>
        <v>1</v>
      </c>
      <c r="BS17" s="25">
        <f t="shared" si="4"/>
        <v>1</v>
      </c>
      <c r="BT17" s="25">
        <f t="shared" si="4"/>
        <v>0</v>
      </c>
      <c r="BU17" s="25">
        <f t="shared" si="4"/>
        <v>1</v>
      </c>
      <c r="BV17" s="25">
        <f t="shared" si="4"/>
        <v>0</v>
      </c>
      <c r="BW17" s="25">
        <f t="shared" si="4"/>
        <v>0</v>
      </c>
      <c r="BX17" s="25">
        <f t="shared" si="4"/>
        <v>0</v>
      </c>
      <c r="BY17" s="25">
        <f t="shared" si="4"/>
        <v>0</v>
      </c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</row>
    <row r="19">
      <c r="A19" s="18" t="s">
        <v>31</v>
      </c>
      <c r="B19" s="19"/>
      <c r="C19" s="28" t="str">
        <f>IFERROR(__xludf.DUMMYFUNCTION("iferror(filter(D1:BY1,$D$17:$BY$17=1),"""")"),"C1300-16XTS")</f>
        <v>C1300-16XTS</v>
      </c>
      <c r="D19" s="29" t="str">
        <f>IFERROR(__xludf.DUMMYFUNCTION("""COMPUTED_VALUE"""),"C1300-24XS")</f>
        <v>C1300-24XS</v>
      </c>
      <c r="E19" s="29" t="str">
        <f>IFERROR(__xludf.DUMMYFUNCTION("""COMPUTED_VALUE"""),"C1300-24XTS")</f>
        <v>C1300-24XTS</v>
      </c>
      <c r="F19" s="29" t="str">
        <f>IFERROR(__xludf.DUMMYFUNCTION("""COMPUTED_VALUE"""),"C9300-24T")</f>
        <v>C9300-24T</v>
      </c>
      <c r="G19" s="29" t="str">
        <f>IFERROR(__xludf.DUMMYFUNCTION("""COMPUTED_VALUE"""),"C9300-24P")</f>
        <v>C9300-24P</v>
      </c>
      <c r="H19" s="29" t="str">
        <f>IFERROR(__xludf.DUMMYFUNCTION("""COMPUTED_VALUE"""),"C9300-24U")</f>
        <v>C9300-24U</v>
      </c>
      <c r="I19" s="29" t="str">
        <f>IFERROR(__xludf.DUMMYFUNCTION("""COMPUTED_VALUE"""),"C9300-24H")</f>
        <v>C9300-24H</v>
      </c>
      <c r="J19" s="29" t="str">
        <f>IFERROR(__xludf.DUMMYFUNCTION("""COMPUTED_VALUE"""),"C9300-24S")</f>
        <v>C9300-24S</v>
      </c>
      <c r="K19" s="29" t="str">
        <f>IFERROR(__xludf.DUMMYFUNCTION("""COMPUTED_VALUE"""),"C9300-24UB")</f>
        <v>C9300-24UB</v>
      </c>
      <c r="L19" s="29" t="str">
        <f>IFERROR(__xludf.DUMMYFUNCTION("""COMPUTED_VALUE"""),"C9300-48T")</f>
        <v>C9300-48T</v>
      </c>
      <c r="M19" s="29" t="str">
        <f>IFERROR(__xludf.DUMMYFUNCTION("""COMPUTED_VALUE"""),"C9300-48P")</f>
        <v>C9300-48P</v>
      </c>
      <c r="N19" s="29" t="str">
        <f>IFERROR(__xludf.DUMMYFUNCTION("""COMPUTED_VALUE"""),"C9300-48U")</f>
        <v>C9300-48U</v>
      </c>
      <c r="O19" s="29" t="str">
        <f>IFERROR(__xludf.DUMMYFUNCTION("""COMPUTED_VALUE"""),"C9300-48H")</f>
        <v>C9300-48H</v>
      </c>
      <c r="P19" s="29" t="str">
        <f>IFERROR(__xludf.DUMMYFUNCTION("""COMPUTED_VALUE"""),"C9300-48S")</f>
        <v>C9300-48S</v>
      </c>
      <c r="Q19" s="29" t="str">
        <f>IFERROR(__xludf.DUMMYFUNCTION("""COMPUTED_VALUE"""),"C9300-48UB")</f>
        <v>C9300-48UB</v>
      </c>
      <c r="R19" s="29" t="str">
        <f>IFERROR(__xludf.DUMMYFUNCTION("""COMPUTED_VALUE"""),"C9500-48Y4C")</f>
        <v>C9500-48Y4C</v>
      </c>
      <c r="S19" s="29" t="str">
        <f>IFERROR(__xludf.DUMMYFUNCTION("""COMPUTED_VALUE"""),"C9500-24Y4C")</f>
        <v>C9500-24Y4C</v>
      </c>
      <c r="T19" s="29" t="str">
        <f>IFERROR(__xludf.DUMMYFUNCTION("""COMPUTED_VALUE"""),"C9500X-60L4D")</f>
        <v>C9500X-60L4D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</row>
    <row r="20">
      <c r="A20" s="7" t="str">
        <f t="shared" ref="A20:B20" si="5">A2</f>
        <v>Switching Bandwidth - Full Duplex (Gbps)</v>
      </c>
      <c r="B20" s="34" t="str">
        <f t="shared" si="5"/>
        <v/>
      </c>
      <c r="C20" s="24">
        <f>IFERROR(__xludf.DUMMYFUNCTION("iferror(filter(D2:BY2,$D$17:$BY$17=1),"""")"),320.0)</f>
        <v>320</v>
      </c>
      <c r="D20" s="25">
        <f>IFERROR(__xludf.DUMMYFUNCTION("""COMPUTED_VALUE"""),480.0)</f>
        <v>480</v>
      </c>
      <c r="E20" s="25">
        <f>IFERROR(__xludf.DUMMYFUNCTION("""COMPUTED_VALUE"""),480.0)</f>
        <v>480</v>
      </c>
      <c r="F20" s="25">
        <f>IFERROR(__xludf.DUMMYFUNCTION("""COMPUTED_VALUE"""),208.0)</f>
        <v>208</v>
      </c>
      <c r="G20" s="25">
        <f>IFERROR(__xludf.DUMMYFUNCTION("""COMPUTED_VALUE"""),208.0)</f>
        <v>208</v>
      </c>
      <c r="H20" s="25">
        <f>IFERROR(__xludf.DUMMYFUNCTION("""COMPUTED_VALUE"""),208.0)</f>
        <v>208</v>
      </c>
      <c r="I20" s="25">
        <f>IFERROR(__xludf.DUMMYFUNCTION("""COMPUTED_VALUE"""),208.0)</f>
        <v>208</v>
      </c>
      <c r="J20" s="25">
        <f>IFERROR(__xludf.DUMMYFUNCTION("""COMPUTED_VALUE"""),208.0)</f>
        <v>208</v>
      </c>
      <c r="K20" s="25">
        <f>IFERROR(__xludf.DUMMYFUNCTION("""COMPUTED_VALUE"""),208.0)</f>
        <v>208</v>
      </c>
      <c r="L20" s="25">
        <f>IFERROR(__xludf.DUMMYFUNCTION("""COMPUTED_VALUE"""),256.0)</f>
        <v>256</v>
      </c>
      <c r="M20" s="25">
        <f>IFERROR(__xludf.DUMMYFUNCTION("""COMPUTED_VALUE"""),256.0)</f>
        <v>256</v>
      </c>
      <c r="N20" s="25">
        <f>IFERROR(__xludf.DUMMYFUNCTION("""COMPUTED_VALUE"""),256.0)</f>
        <v>256</v>
      </c>
      <c r="O20" s="25">
        <f>IFERROR(__xludf.DUMMYFUNCTION("""COMPUTED_VALUE"""),256.0)</f>
        <v>256</v>
      </c>
      <c r="P20" s="25">
        <f>IFERROR(__xludf.DUMMYFUNCTION("""COMPUTED_VALUE"""),256.0)</f>
        <v>256</v>
      </c>
      <c r="Q20" s="25">
        <f>IFERROR(__xludf.DUMMYFUNCTION("""COMPUTED_VALUE"""),256.0)</f>
        <v>256</v>
      </c>
      <c r="R20" s="25">
        <f>IFERROR(__xludf.DUMMYFUNCTION("""COMPUTED_VALUE"""),3200.0)</f>
        <v>3200</v>
      </c>
      <c r="S20" s="25">
        <f>IFERROR(__xludf.DUMMYFUNCTION("""COMPUTED_VALUE"""),2000.0)</f>
        <v>2000</v>
      </c>
      <c r="T20" s="25">
        <f>IFERROR(__xludf.DUMMYFUNCTION("""COMPUTED_VALUE"""),9200.0)</f>
        <v>9200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</row>
    <row r="21">
      <c r="A21" s="7" t="str">
        <f t="shared" ref="A21:B21" si="6">A3</f>
        <v>Forwarding Capacity (Mpps)</v>
      </c>
      <c r="B21" s="34" t="str">
        <f t="shared" si="6"/>
        <v/>
      </c>
      <c r="C21" s="24">
        <f>IFERROR(__xludf.DUMMYFUNCTION("iferror(filter(D3:BY3,$D$17:$BY$17=1),"""")"),238.1)</f>
        <v>238.1</v>
      </c>
      <c r="D21" s="25">
        <f>IFERROR(__xludf.DUMMYFUNCTION("""COMPUTED_VALUE"""),357.14)</f>
        <v>357.14</v>
      </c>
      <c r="E21" s="25">
        <f>IFERROR(__xludf.DUMMYFUNCTION("""COMPUTED_VALUE"""),357.12)</f>
        <v>357.12</v>
      </c>
      <c r="F21" s="25">
        <f>IFERROR(__xludf.DUMMYFUNCTION("""COMPUTED_VALUE"""),154.76)</f>
        <v>154.76</v>
      </c>
      <c r="G21" s="25">
        <f>IFERROR(__xludf.DUMMYFUNCTION("""COMPUTED_VALUE"""),154.76)</f>
        <v>154.76</v>
      </c>
      <c r="H21" s="25">
        <f>IFERROR(__xludf.DUMMYFUNCTION("""COMPUTED_VALUE"""),154.76)</f>
        <v>154.76</v>
      </c>
      <c r="I21" s="25">
        <f>IFERROR(__xludf.DUMMYFUNCTION("""COMPUTED_VALUE"""),154.76)</f>
        <v>154.76</v>
      </c>
      <c r="J21" s="25">
        <f>IFERROR(__xludf.DUMMYFUNCTION("""COMPUTED_VALUE"""),154.76)</f>
        <v>154.76</v>
      </c>
      <c r="K21" s="25">
        <f>IFERROR(__xludf.DUMMYFUNCTION("""COMPUTED_VALUE"""),154.76)</f>
        <v>154.76</v>
      </c>
      <c r="L21" s="25">
        <f>IFERROR(__xludf.DUMMYFUNCTION("""COMPUTED_VALUE"""),190.47)</f>
        <v>190.47</v>
      </c>
      <c r="M21" s="25">
        <f>IFERROR(__xludf.DUMMYFUNCTION("""COMPUTED_VALUE"""),190.47)</f>
        <v>190.47</v>
      </c>
      <c r="N21" s="25">
        <f>IFERROR(__xludf.DUMMYFUNCTION("""COMPUTED_VALUE"""),190.48)</f>
        <v>190.48</v>
      </c>
      <c r="O21" s="25">
        <f>IFERROR(__xludf.DUMMYFUNCTION("""COMPUTED_VALUE"""),190.48)</f>
        <v>190.48</v>
      </c>
      <c r="P21" s="25">
        <f>IFERROR(__xludf.DUMMYFUNCTION("""COMPUTED_VALUE"""),190.47)</f>
        <v>190.47</v>
      </c>
      <c r="Q21" s="25">
        <f>IFERROR(__xludf.DUMMYFUNCTION("""COMPUTED_VALUE"""),190.48)</f>
        <v>190.48</v>
      </c>
      <c r="R21" s="25">
        <f>IFERROR(__xludf.DUMMYFUNCTION("""COMPUTED_VALUE"""),1000.0)</f>
        <v>1000</v>
      </c>
      <c r="S21" s="25">
        <f>IFERROR(__xludf.DUMMYFUNCTION("""COMPUTED_VALUE"""),1000.0)</f>
        <v>1000</v>
      </c>
      <c r="T21" s="25">
        <f>IFERROR(__xludf.DUMMYFUNCTION("""COMPUTED_VALUE"""),8000.0)</f>
        <v>8000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</row>
    <row r="22">
      <c r="A22" s="7" t="str">
        <f t="shared" ref="A22:B22" si="7">A4</f>
        <v>Số lượng cổng 1GE đồng</v>
      </c>
      <c r="B22" s="34" t="str">
        <f t="shared" si="7"/>
        <v/>
      </c>
      <c r="C22" s="23" t="str">
        <f>IFERROR(__xludf.DUMMYFUNCTION("iferror(filter(D4:BY4,$D$17:$BY$17=1),"""")"),"")</f>
        <v/>
      </c>
      <c r="D22" s="7"/>
      <c r="E22" s="25"/>
      <c r="F22" s="25">
        <f>IFERROR(__xludf.DUMMYFUNCTION("""COMPUTED_VALUE"""),24.0)</f>
        <v>24</v>
      </c>
      <c r="G22" s="25">
        <f>IFERROR(__xludf.DUMMYFUNCTION("""COMPUTED_VALUE"""),24.0)</f>
        <v>24</v>
      </c>
      <c r="H22" s="25">
        <f>IFERROR(__xludf.DUMMYFUNCTION("""COMPUTED_VALUE"""),24.0)</f>
        <v>24</v>
      </c>
      <c r="I22" s="25">
        <f>IFERROR(__xludf.DUMMYFUNCTION("""COMPUTED_VALUE"""),24.0)</f>
        <v>24</v>
      </c>
      <c r="J22" s="25"/>
      <c r="K22" s="25">
        <f>IFERROR(__xludf.DUMMYFUNCTION("""COMPUTED_VALUE"""),24.0)</f>
        <v>24</v>
      </c>
      <c r="L22" s="25">
        <f>IFERROR(__xludf.DUMMYFUNCTION("""COMPUTED_VALUE"""),48.0)</f>
        <v>48</v>
      </c>
      <c r="M22" s="25">
        <f>IFERROR(__xludf.DUMMYFUNCTION("""COMPUTED_VALUE"""),48.0)</f>
        <v>48</v>
      </c>
      <c r="N22" s="25">
        <f>IFERROR(__xludf.DUMMYFUNCTION("""COMPUTED_VALUE"""),48.0)</f>
        <v>48</v>
      </c>
      <c r="O22" s="25">
        <f>IFERROR(__xludf.DUMMYFUNCTION("""COMPUTED_VALUE"""),48.0)</f>
        <v>48</v>
      </c>
      <c r="P22" s="25"/>
      <c r="Q22" s="25">
        <f>IFERROR(__xludf.DUMMYFUNCTION("""COMPUTED_VALUE"""),48.0)</f>
        <v>48</v>
      </c>
      <c r="R22" s="25"/>
      <c r="S22" s="25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</row>
    <row r="23">
      <c r="A23" s="7" t="str">
        <f t="shared" ref="A23:B23" si="8">A5</f>
        <v>Số lượng cổng 1GE SFP</v>
      </c>
      <c r="B23" s="34" t="str">
        <f t="shared" si="8"/>
        <v/>
      </c>
      <c r="C23" s="24">
        <f>IFERROR(__xludf.DUMMYFUNCTION("iferror(filter(D5:BY5,$D$17:$BY$17=1),"""")"),8.0)</f>
        <v>8</v>
      </c>
      <c r="D23" s="25">
        <f>IFERROR(__xludf.DUMMYFUNCTION("""COMPUTED_VALUE"""),24.0)</f>
        <v>24</v>
      </c>
      <c r="E23" s="25">
        <f>IFERROR(__xludf.DUMMYFUNCTION("""COMPUTED_VALUE"""),12.0)</f>
        <v>12</v>
      </c>
      <c r="F23" s="25">
        <f>IFERROR(__xludf.DUMMYFUNCTION("""COMPUTED_VALUE"""),8.0)</f>
        <v>8</v>
      </c>
      <c r="G23" s="25">
        <f>IFERROR(__xludf.DUMMYFUNCTION("""COMPUTED_VALUE"""),8.0)</f>
        <v>8</v>
      </c>
      <c r="H23" s="25">
        <f>IFERROR(__xludf.DUMMYFUNCTION("""COMPUTED_VALUE"""),8.0)</f>
        <v>8</v>
      </c>
      <c r="I23" s="25">
        <f>IFERROR(__xludf.DUMMYFUNCTION("""COMPUTED_VALUE"""),8.0)</f>
        <v>8</v>
      </c>
      <c r="J23" s="25">
        <f>IFERROR(__xludf.DUMMYFUNCTION("""COMPUTED_VALUE"""),32.0)</f>
        <v>32</v>
      </c>
      <c r="K23" s="25">
        <f>IFERROR(__xludf.DUMMYFUNCTION("""COMPUTED_VALUE"""),8.0)</f>
        <v>8</v>
      </c>
      <c r="L23" s="25">
        <f>IFERROR(__xludf.DUMMYFUNCTION("""COMPUTED_VALUE"""),8.0)</f>
        <v>8</v>
      </c>
      <c r="M23" s="25">
        <f>IFERROR(__xludf.DUMMYFUNCTION("""COMPUTED_VALUE"""),8.0)</f>
        <v>8</v>
      </c>
      <c r="N23" s="25">
        <f>IFERROR(__xludf.DUMMYFUNCTION("""COMPUTED_VALUE"""),8.0)</f>
        <v>8</v>
      </c>
      <c r="O23" s="25">
        <f>IFERROR(__xludf.DUMMYFUNCTION("""COMPUTED_VALUE"""),8.0)</f>
        <v>8</v>
      </c>
      <c r="P23" s="25">
        <f>IFERROR(__xludf.DUMMYFUNCTION("""COMPUTED_VALUE"""),56.0)</f>
        <v>56</v>
      </c>
      <c r="Q23" s="25">
        <f>IFERROR(__xludf.DUMMYFUNCTION("""COMPUTED_VALUE"""),8.0)</f>
        <v>8</v>
      </c>
      <c r="R23" s="25">
        <f>IFERROR(__xludf.DUMMYFUNCTION("""COMPUTED_VALUE"""),48.0)</f>
        <v>48</v>
      </c>
      <c r="S23" s="25">
        <f>IFERROR(__xludf.DUMMYFUNCTION("""COMPUTED_VALUE"""),24.0)</f>
        <v>24</v>
      </c>
      <c r="T23" s="25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</row>
    <row r="24">
      <c r="A24" s="7" t="str">
        <f t="shared" ref="A24:B24" si="9">A6</f>
        <v>Số lượng cổng 10GE đồng</v>
      </c>
      <c r="B24" s="34" t="str">
        <f t="shared" si="9"/>
        <v/>
      </c>
      <c r="C24" s="24">
        <f>IFERROR(__xludf.DUMMYFUNCTION("iferror(filter(D6:BY6,$D$17:$BY$17=1),"""")"),8.0)</f>
        <v>8</v>
      </c>
      <c r="D24" s="25">
        <f>IFERROR(__xludf.DUMMYFUNCTION("""COMPUTED_VALUE"""),4.0)</f>
        <v>4</v>
      </c>
      <c r="E24" s="7">
        <f>IFERROR(__xludf.DUMMYFUNCTION("""COMPUTED_VALUE"""),12.0)</f>
        <v>12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</row>
    <row r="25">
      <c r="A25" s="7" t="str">
        <f t="shared" ref="A25:B25" si="10">A7</f>
        <v>Số lượng cổng 10GE quang</v>
      </c>
      <c r="B25" s="19">
        <f t="shared" si="10"/>
        <v>8</v>
      </c>
      <c r="C25" s="24">
        <f>IFERROR(__xludf.DUMMYFUNCTION("iferror(filter(D7:BY7,$D$17:$BY$17=1),"""")"),8.0)</f>
        <v>8</v>
      </c>
      <c r="D25" s="25">
        <f>IFERROR(__xludf.DUMMYFUNCTION("""COMPUTED_VALUE"""),24.0)</f>
        <v>24</v>
      </c>
      <c r="E25" s="25">
        <f>IFERROR(__xludf.DUMMYFUNCTION("""COMPUTED_VALUE"""),12.0)</f>
        <v>12</v>
      </c>
      <c r="F25" s="25">
        <f>IFERROR(__xludf.DUMMYFUNCTION("""COMPUTED_VALUE"""),8.0)</f>
        <v>8</v>
      </c>
      <c r="G25" s="25">
        <f>IFERROR(__xludf.DUMMYFUNCTION("""COMPUTED_VALUE"""),8.0)</f>
        <v>8</v>
      </c>
      <c r="H25" s="25">
        <f>IFERROR(__xludf.DUMMYFUNCTION("""COMPUTED_VALUE"""),8.0)</f>
        <v>8</v>
      </c>
      <c r="I25" s="25">
        <f>IFERROR(__xludf.DUMMYFUNCTION("""COMPUTED_VALUE"""),8.0)</f>
        <v>8</v>
      </c>
      <c r="J25" s="25">
        <f>IFERROR(__xludf.DUMMYFUNCTION("""COMPUTED_VALUE"""),8.0)</f>
        <v>8</v>
      </c>
      <c r="K25" s="25">
        <f>IFERROR(__xludf.DUMMYFUNCTION("""COMPUTED_VALUE"""),8.0)</f>
        <v>8</v>
      </c>
      <c r="L25" s="25">
        <f>IFERROR(__xludf.DUMMYFUNCTION("""COMPUTED_VALUE"""),8.0)</f>
        <v>8</v>
      </c>
      <c r="M25" s="25">
        <f>IFERROR(__xludf.DUMMYFUNCTION("""COMPUTED_VALUE"""),8.0)</f>
        <v>8</v>
      </c>
      <c r="N25" s="25">
        <f>IFERROR(__xludf.DUMMYFUNCTION("""COMPUTED_VALUE"""),8.0)</f>
        <v>8</v>
      </c>
      <c r="O25" s="25">
        <f>IFERROR(__xludf.DUMMYFUNCTION("""COMPUTED_VALUE"""),8.0)</f>
        <v>8</v>
      </c>
      <c r="P25" s="25">
        <f>IFERROR(__xludf.DUMMYFUNCTION("""COMPUTED_VALUE"""),8.0)</f>
        <v>8</v>
      </c>
      <c r="Q25" s="25">
        <f>IFERROR(__xludf.DUMMYFUNCTION("""COMPUTED_VALUE"""),8.0)</f>
        <v>8</v>
      </c>
      <c r="R25" s="25">
        <f>IFERROR(__xludf.DUMMYFUNCTION("""COMPUTED_VALUE"""),48.0)</f>
        <v>48</v>
      </c>
      <c r="S25" s="25">
        <f>IFERROR(__xludf.DUMMYFUNCTION("""COMPUTED_VALUE"""),24.0)</f>
        <v>24</v>
      </c>
      <c r="T25" s="25">
        <f>IFERROR(__xludf.DUMMYFUNCTION("""COMPUTED_VALUE"""),60.0)</f>
        <v>60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3" t="str">
        <f>IFERROR(__xludf.DUMMYFUNCTION("iferror(filter(D8:BY8,$D$17:$BY$17=1),"""")"),"")</f>
        <v/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>
        <f>IFERROR(__xludf.DUMMYFUNCTION("""COMPUTED_VALUE"""),4.0)</f>
        <v>4</v>
      </c>
      <c r="S26" s="7">
        <f>IFERROR(__xludf.DUMMYFUNCTION("""COMPUTED_VALUE"""),4.0)</f>
        <v>4</v>
      </c>
      <c r="T26" s="25">
        <f>IFERROR(__xludf.DUMMYFUNCTION("""COMPUTED_VALUE"""),4.0)</f>
        <v>4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</row>
    <row r="27">
      <c r="A27" s="7" t="str">
        <f t="shared" ref="A27:B27" si="12">A9</f>
        <v>Stacking (Y/N)</v>
      </c>
      <c r="B27" s="34" t="str">
        <f t="shared" si="12"/>
        <v/>
      </c>
      <c r="C27" s="24" t="str">
        <f>IFERROR(__xludf.DUMMYFUNCTION("iferror(filter(D9:BY9,$D$17:$BY$17=1),"""")"),"Y")</f>
        <v>Y</v>
      </c>
      <c r="D27" s="25" t="str">
        <f>IFERROR(__xludf.DUMMYFUNCTION("""COMPUTED_VALUE"""),"Y")</f>
        <v>Y</v>
      </c>
      <c r="E27" s="25" t="str">
        <f>IFERROR(__xludf.DUMMYFUNCTION("""COMPUTED_VALUE"""),"Y")</f>
        <v>Y</v>
      </c>
      <c r="F27" s="25" t="str">
        <f>IFERROR(__xludf.DUMMYFUNCTION("""COMPUTED_VALUE"""),"Y")</f>
        <v>Y</v>
      </c>
      <c r="G27" s="25" t="str">
        <f>IFERROR(__xludf.DUMMYFUNCTION("""COMPUTED_VALUE"""),"Y")</f>
        <v>Y</v>
      </c>
      <c r="H27" s="25" t="str">
        <f>IFERROR(__xludf.DUMMYFUNCTION("""COMPUTED_VALUE"""),"Y")</f>
        <v>Y</v>
      </c>
      <c r="I27" s="25" t="str">
        <f>IFERROR(__xludf.DUMMYFUNCTION("""COMPUTED_VALUE"""),"Y")</f>
        <v>Y</v>
      </c>
      <c r="J27" s="25" t="str">
        <f>IFERROR(__xludf.DUMMYFUNCTION("""COMPUTED_VALUE"""),"Y")</f>
        <v>Y</v>
      </c>
      <c r="K27" s="25" t="str">
        <f>IFERROR(__xludf.DUMMYFUNCTION("""COMPUTED_VALUE"""),"Y")</f>
        <v>Y</v>
      </c>
      <c r="L27" s="25" t="str">
        <f>IFERROR(__xludf.DUMMYFUNCTION("""COMPUTED_VALUE"""),"Y")</f>
        <v>Y</v>
      </c>
      <c r="M27" s="25" t="str">
        <f>IFERROR(__xludf.DUMMYFUNCTION("""COMPUTED_VALUE"""),"Y")</f>
        <v>Y</v>
      </c>
      <c r="N27" s="25" t="str">
        <f>IFERROR(__xludf.DUMMYFUNCTION("""COMPUTED_VALUE"""),"Y")</f>
        <v>Y</v>
      </c>
      <c r="O27" s="25" t="str">
        <f>IFERROR(__xludf.DUMMYFUNCTION("""COMPUTED_VALUE"""),"Y")</f>
        <v>Y</v>
      </c>
      <c r="P27" s="25" t="str">
        <f>IFERROR(__xludf.DUMMYFUNCTION("""COMPUTED_VALUE"""),"Y")</f>
        <v>Y</v>
      </c>
      <c r="Q27" s="25" t="str">
        <f>IFERROR(__xludf.DUMMYFUNCTION("""COMPUTED_VALUE"""),"Y")</f>
        <v>Y</v>
      </c>
      <c r="R27" s="25" t="str">
        <f>IFERROR(__xludf.DUMMYFUNCTION("""COMPUTED_VALUE"""),"Y")</f>
        <v>Y</v>
      </c>
      <c r="S27" s="25" t="str">
        <f>IFERROR(__xludf.DUMMYFUNCTION("""COMPUTED_VALUE"""),"Y")</f>
        <v>Y</v>
      </c>
      <c r="T27" s="25" t="str">
        <f>IFERROR(__xludf.DUMMYFUNCTION("""COMPUTED_VALUE"""),"Y")</f>
        <v>Y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</row>
    <row r="28">
      <c r="A28" s="7" t="str">
        <f>A10</f>
        <v>PoE (Y/N)</v>
      </c>
      <c r="B28" s="19"/>
      <c r="C28" s="23" t="str">
        <f>IFERROR(__xludf.DUMMYFUNCTION("iferror(filter(D10:AQ10,$D$17:$AQ$17=1),"""")"),"")</f>
        <v/>
      </c>
      <c r="D28" s="7"/>
      <c r="E28" s="25"/>
      <c r="F28" s="7"/>
      <c r="G28" s="25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38"/>
    <col customWidth="1" min="3" max="8" width="16.75"/>
    <col customWidth="1" min="9" max="9" width="22.0"/>
    <col customWidth="1" min="10" max="10" width="19.63"/>
    <col customWidth="1" min="11" max="11" width="23.63"/>
    <col customWidth="1" min="12" max="12" width="18.5"/>
    <col customWidth="1" min="13" max="13" width="25.13"/>
    <col customWidth="1" min="14" max="14" width="23.38"/>
    <col customWidth="1" min="15" max="15" width="20.13"/>
    <col customWidth="1" min="16" max="16" width="20.75"/>
  </cols>
  <sheetData>
    <row r="1">
      <c r="A1" s="1" t="str">
        <f>Specs!D1</f>
        <v>ModularSwitch</v>
      </c>
      <c r="B1" s="2" t="s">
        <v>0</v>
      </c>
      <c r="C1" s="3" t="str">
        <f t="array" ref="C1">INDEX(D1:H1, MATCH(1, D16:H16, 0))</f>
        <v>C9404R</v>
      </c>
      <c r="D1" s="30" t="s">
        <v>107</v>
      </c>
      <c r="E1" s="30" t="s">
        <v>108</v>
      </c>
      <c r="F1" s="30" t="s">
        <v>109</v>
      </c>
      <c r="G1" s="30" t="s">
        <v>110</v>
      </c>
      <c r="H1" s="4" t="s">
        <v>111</v>
      </c>
      <c r="I1" s="35" t="s">
        <v>112</v>
      </c>
      <c r="J1" s="35" t="s">
        <v>113</v>
      </c>
      <c r="K1" s="35" t="s">
        <v>114</v>
      </c>
      <c r="L1" s="35" t="s">
        <v>115</v>
      </c>
      <c r="M1" s="35" t="s">
        <v>116</v>
      </c>
      <c r="N1" s="35" t="s">
        <v>117</v>
      </c>
      <c r="O1" s="35" t="s">
        <v>118</v>
      </c>
      <c r="P1" s="35" t="s">
        <v>119</v>
      </c>
      <c r="Q1" s="7"/>
      <c r="R1" s="7"/>
      <c r="S1" s="7"/>
      <c r="T1" s="7"/>
      <c r="U1" s="7"/>
      <c r="V1" s="7"/>
      <c r="W1" s="7"/>
      <c r="X1" s="7"/>
    </row>
    <row r="2">
      <c r="A2" s="8" t="str">
        <f>Specs!D2</f>
        <v>Switching Bandwidth - Full Duplex (Gbps)</v>
      </c>
      <c r="B2" s="9" t="str">
        <f>IFERROR(__xludf.DUMMYFUNCTION("IMPORTRANGE(""https://docs.google.com/spreadsheets/d/18TjePryHG687L54fIGU6Od12DGyT3mPoblPemZTZRY4"",""SwitchCampus!B3:B10"")"),"")</f>
        <v/>
      </c>
      <c r="C2" s="10">
        <f>hlookup($C$1,$D$1:$H$10,2,0)</f>
        <v>960</v>
      </c>
      <c r="D2" s="31">
        <f>480*2</f>
        <v>960</v>
      </c>
      <c r="E2" s="31">
        <f>480*5</f>
        <v>2400</v>
      </c>
      <c r="F2" s="31">
        <f>480*8</f>
        <v>3840</v>
      </c>
      <c r="G2" s="31">
        <f>3200*4</f>
        <v>12800</v>
      </c>
      <c r="H2" s="13"/>
      <c r="I2" s="8"/>
      <c r="J2" s="8"/>
      <c r="K2" s="8"/>
      <c r="L2" s="8"/>
      <c r="M2" s="8"/>
      <c r="N2" s="8"/>
      <c r="O2" s="8"/>
      <c r="P2" s="8"/>
      <c r="Q2" s="7"/>
      <c r="R2" s="7"/>
      <c r="S2" s="7"/>
      <c r="T2" s="7"/>
      <c r="U2" s="7"/>
      <c r="V2" s="7"/>
      <c r="W2" s="7"/>
      <c r="X2" s="7"/>
    </row>
    <row r="3">
      <c r="A3" s="8" t="str">
        <f>Specs!D3</f>
        <v>Forwarding Capacity (Mpps)</v>
      </c>
      <c r="B3" s="9"/>
      <c r="C3" s="17" t="str">
        <f>hlookup($C$1,$D$1:$H$10,3,0)</f>
        <v/>
      </c>
      <c r="D3" s="13"/>
      <c r="E3" s="13"/>
      <c r="F3" s="13"/>
      <c r="G3" s="13"/>
      <c r="H3" s="13"/>
      <c r="I3" s="8"/>
      <c r="J3" s="8"/>
      <c r="K3" s="8"/>
      <c r="L3" s="8"/>
      <c r="M3" s="8"/>
      <c r="N3" s="8"/>
      <c r="O3" s="8"/>
      <c r="P3" s="8"/>
      <c r="Q3" s="7"/>
      <c r="R3" s="7"/>
      <c r="S3" s="7"/>
      <c r="T3" s="7"/>
      <c r="U3" s="7"/>
      <c r="V3" s="7"/>
      <c r="W3" s="7"/>
      <c r="X3" s="7"/>
    </row>
    <row r="4">
      <c r="A4" s="8" t="str">
        <f>Specs!D4</f>
        <v>Số lượng cổng 1GE đồng</v>
      </c>
      <c r="B4" s="9"/>
      <c r="C4" s="10">
        <f>hlookup($C$1,$D$1:$H$10,4,0)</f>
        <v>96</v>
      </c>
      <c r="D4" s="31">
        <v>96.0</v>
      </c>
      <c r="E4" s="31">
        <v>240.0</v>
      </c>
      <c r="F4" s="31">
        <v>384.0</v>
      </c>
      <c r="G4" s="31">
        <v>192.0</v>
      </c>
      <c r="H4" s="13"/>
      <c r="I4" s="36">
        <v>48.0</v>
      </c>
      <c r="J4" s="36">
        <v>48.0</v>
      </c>
      <c r="K4" s="8"/>
      <c r="L4" s="8"/>
      <c r="M4" s="36">
        <v>48.0</v>
      </c>
      <c r="N4" s="8"/>
      <c r="O4" s="8"/>
      <c r="P4" s="8"/>
      <c r="Q4" s="7"/>
      <c r="R4" s="7"/>
      <c r="S4" s="7"/>
      <c r="T4" s="7"/>
      <c r="U4" s="7"/>
      <c r="V4" s="7"/>
      <c r="W4" s="7"/>
      <c r="X4" s="7"/>
    </row>
    <row r="5">
      <c r="A5" s="8" t="str">
        <f>Specs!D5</f>
        <v>Số lượng cổng 1GE SFP</v>
      </c>
      <c r="B5" s="9"/>
      <c r="C5" s="10">
        <f>hlookup($C$1,$D$1:$H$10,5,0)</f>
        <v>96</v>
      </c>
      <c r="D5" s="31">
        <v>96.0</v>
      </c>
      <c r="E5" s="31">
        <v>240.0</v>
      </c>
      <c r="F5" s="31">
        <v>384.0</v>
      </c>
      <c r="G5" s="31">
        <v>192.0</v>
      </c>
      <c r="H5" s="8"/>
      <c r="I5" s="8"/>
      <c r="J5" s="8"/>
      <c r="K5" s="36">
        <v>48.0</v>
      </c>
      <c r="L5" s="36">
        <v>48.0</v>
      </c>
      <c r="M5" s="8"/>
      <c r="N5" s="36">
        <v>48.0</v>
      </c>
      <c r="O5" s="36">
        <v>40.0</v>
      </c>
      <c r="P5" s="8"/>
      <c r="Q5" s="7"/>
      <c r="R5" s="7"/>
      <c r="S5" s="7"/>
      <c r="T5" s="7"/>
      <c r="U5" s="7"/>
      <c r="V5" s="7"/>
      <c r="W5" s="7"/>
      <c r="X5" s="7"/>
    </row>
    <row r="6">
      <c r="A6" s="8" t="str">
        <f>Specs!D6</f>
        <v>Số lượng cổng 10GE đồng</v>
      </c>
      <c r="B6" s="33"/>
      <c r="C6" s="10">
        <f>hlookup($C$1,$D$1:$H$10,6,0)</f>
        <v>96</v>
      </c>
      <c r="D6" s="31">
        <v>96.0</v>
      </c>
      <c r="E6" s="31">
        <v>240.0</v>
      </c>
      <c r="F6" s="31">
        <v>384.0</v>
      </c>
      <c r="G6" s="31">
        <v>192.0</v>
      </c>
      <c r="H6" s="8"/>
      <c r="I6" s="8"/>
      <c r="J6" s="36">
        <v>48.0</v>
      </c>
      <c r="K6" s="8"/>
      <c r="L6" s="8"/>
      <c r="M6" s="36">
        <v>48.0</v>
      </c>
      <c r="N6" s="8"/>
      <c r="O6" s="8"/>
      <c r="P6" s="8"/>
      <c r="Q6" s="7"/>
      <c r="R6" s="7"/>
      <c r="S6" s="7"/>
      <c r="T6" s="7"/>
      <c r="U6" s="7"/>
      <c r="V6" s="7"/>
      <c r="W6" s="7"/>
      <c r="X6" s="7"/>
    </row>
    <row r="7">
      <c r="A7" s="8" t="str">
        <f>Specs!D7</f>
        <v>Số lượng cổng 10GE quang</v>
      </c>
      <c r="B7" s="16">
        <f>IFERROR(__xludf.DUMMYFUNCTION("""COMPUTED_VALUE"""),8.0)</f>
        <v>8</v>
      </c>
      <c r="C7" s="10">
        <f>hlookup($C$1,$D$1:$H$10,7,0)</f>
        <v>96</v>
      </c>
      <c r="D7" s="31">
        <v>96.0</v>
      </c>
      <c r="E7" s="31">
        <v>240.0</v>
      </c>
      <c r="F7" s="31">
        <v>384.0</v>
      </c>
      <c r="G7" s="31">
        <v>224.0</v>
      </c>
      <c r="H7" s="8"/>
      <c r="I7" s="8"/>
      <c r="J7" s="8"/>
      <c r="K7" s="8"/>
      <c r="L7" s="36">
        <v>48.0</v>
      </c>
      <c r="M7" s="8"/>
      <c r="N7" s="36">
        <v>48.0</v>
      </c>
      <c r="O7" s="36">
        <v>40.0</v>
      </c>
      <c r="P7" s="8"/>
      <c r="Q7" s="7"/>
      <c r="R7" s="7"/>
      <c r="S7" s="7"/>
      <c r="T7" s="7"/>
      <c r="U7" s="7"/>
      <c r="V7" s="7"/>
      <c r="W7" s="7"/>
      <c r="X7" s="7"/>
    </row>
    <row r="8">
      <c r="A8" s="8" t="str">
        <f>Specs!D8</f>
        <v>Số lượng cổng 100GE</v>
      </c>
      <c r="B8" s="16"/>
      <c r="C8" s="10">
        <f>hlookup($C$1,$D$1:$H$10,8,0)</f>
        <v>8</v>
      </c>
      <c r="D8" s="31">
        <v>8.0</v>
      </c>
      <c r="E8" s="31">
        <v>20.0</v>
      </c>
      <c r="F8" s="31">
        <v>32.0</v>
      </c>
      <c r="G8" s="31">
        <v>128.0</v>
      </c>
      <c r="H8" s="36">
        <v>12.0</v>
      </c>
      <c r="I8" s="8"/>
      <c r="J8" s="8"/>
      <c r="K8" s="8"/>
      <c r="L8" s="8"/>
      <c r="M8" s="8"/>
      <c r="N8" s="8"/>
      <c r="O8" s="36">
        <v>4.0</v>
      </c>
      <c r="P8" s="36">
        <v>12.0</v>
      </c>
      <c r="Q8" s="7"/>
      <c r="R8" s="7"/>
      <c r="S8" s="7"/>
      <c r="T8" s="7"/>
      <c r="U8" s="7"/>
      <c r="V8" s="7"/>
      <c r="W8" s="7"/>
      <c r="X8" s="7"/>
    </row>
    <row r="9">
      <c r="A9" s="8" t="str">
        <f>Specs!D9</f>
        <v>Stacking (Y/N)</v>
      </c>
      <c r="B9" s="33"/>
      <c r="C9" s="10" t="str">
        <f>hlookup($C$1,$D$1:$H$10,9,0)</f>
        <v>Y</v>
      </c>
      <c r="D9" s="31" t="s">
        <v>105</v>
      </c>
      <c r="E9" s="31" t="s">
        <v>105</v>
      </c>
      <c r="F9" s="31" t="s">
        <v>105</v>
      </c>
      <c r="G9" s="31" t="s">
        <v>105</v>
      </c>
      <c r="H9" s="8"/>
      <c r="I9" s="8"/>
      <c r="J9" s="8"/>
      <c r="K9" s="8"/>
      <c r="L9" s="8"/>
      <c r="M9" s="8"/>
      <c r="N9" s="8"/>
      <c r="O9" s="8"/>
      <c r="P9" s="8"/>
      <c r="Q9" s="7"/>
      <c r="R9" s="7"/>
      <c r="S9" s="7"/>
      <c r="T9" s="7"/>
      <c r="U9" s="7"/>
      <c r="V9" s="7"/>
      <c r="W9" s="7"/>
      <c r="X9" s="7"/>
    </row>
    <row r="10">
      <c r="A10" s="8" t="str">
        <f>Specs!D10</f>
        <v>PoE (Y/N)</v>
      </c>
      <c r="B10" s="16"/>
      <c r="C10" s="10" t="str">
        <f>hlookup($C$1,$D$1:$H$10,10,0)</f>
        <v>Y</v>
      </c>
      <c r="D10" s="31" t="s">
        <v>105</v>
      </c>
      <c r="E10" s="31" t="s">
        <v>105</v>
      </c>
      <c r="F10" s="31" t="s">
        <v>105</v>
      </c>
      <c r="G10" s="31" t="s">
        <v>120</v>
      </c>
      <c r="H10" s="8"/>
      <c r="I10" s="8"/>
      <c r="J10" s="8"/>
      <c r="K10" s="8"/>
      <c r="L10" s="8"/>
      <c r="M10" s="8"/>
      <c r="N10" s="8"/>
      <c r="O10" s="8"/>
      <c r="P10" s="8"/>
      <c r="Q10" s="7"/>
      <c r="R10" s="7"/>
      <c r="S10" s="7"/>
      <c r="T10" s="7"/>
      <c r="U10" s="7"/>
      <c r="V10" s="7"/>
      <c r="W10" s="7"/>
      <c r="X10" s="7"/>
    </row>
    <row r="11">
      <c r="A11" s="18" t="s">
        <v>106</v>
      </c>
      <c r="B11" s="19"/>
      <c r="C11" s="24" t="str">
        <f>hlookup($C$1,$D$1:$H$11,11,0)</f>
        <v>High End</v>
      </c>
      <c r="D11" s="21" t="s">
        <v>25</v>
      </c>
      <c r="E11" s="21" t="s">
        <v>25</v>
      </c>
      <c r="F11" s="21" t="s">
        <v>25</v>
      </c>
      <c r="G11" s="21" t="s">
        <v>25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>
      <c r="A13" s="7" t="s">
        <v>26</v>
      </c>
      <c r="B13" s="19"/>
      <c r="C13" s="24">
        <f t="shared" ref="C13:X13" si="1">sum(1*(C2&gt;=$B$2)+1*(C3&gt;=$B$3)+1*(C4&gt;=$B$4)+1*(C5&gt;=$B$5)+1*(C6&gt;=$B$6)+1*(C7&gt;=$B$7)+1*(C8&gt;=$B$8)+1*or(C9="Y",$B$9="N",$B$9="")+1*or(C10="Y",$B$10="N",$B$10=""))</f>
        <v>9</v>
      </c>
      <c r="D13" s="25">
        <f t="shared" si="1"/>
        <v>9</v>
      </c>
      <c r="E13" s="25">
        <f t="shared" si="1"/>
        <v>9</v>
      </c>
      <c r="F13" s="25">
        <f t="shared" si="1"/>
        <v>9</v>
      </c>
      <c r="G13" s="25">
        <f t="shared" si="1"/>
        <v>9</v>
      </c>
      <c r="H13" s="25">
        <f t="shared" si="1"/>
        <v>8</v>
      </c>
      <c r="I13" s="25">
        <f t="shared" si="1"/>
        <v>8</v>
      </c>
      <c r="J13" s="25">
        <f t="shared" si="1"/>
        <v>8</v>
      </c>
      <c r="K13" s="25">
        <f t="shared" si="1"/>
        <v>8</v>
      </c>
      <c r="L13" s="25">
        <f t="shared" si="1"/>
        <v>9</v>
      </c>
      <c r="M13" s="25">
        <f t="shared" si="1"/>
        <v>8</v>
      </c>
      <c r="N13" s="25">
        <f t="shared" si="1"/>
        <v>9</v>
      </c>
      <c r="O13" s="25">
        <f t="shared" si="1"/>
        <v>9</v>
      </c>
      <c r="P13" s="25">
        <f t="shared" si="1"/>
        <v>8</v>
      </c>
      <c r="Q13" s="25">
        <f t="shared" si="1"/>
        <v>8</v>
      </c>
      <c r="R13" s="25">
        <f t="shared" si="1"/>
        <v>8</v>
      </c>
      <c r="S13" s="25">
        <f t="shared" si="1"/>
        <v>8</v>
      </c>
      <c r="T13" s="25">
        <f t="shared" si="1"/>
        <v>8</v>
      </c>
      <c r="U13" s="25">
        <f t="shared" si="1"/>
        <v>8</v>
      </c>
      <c r="V13" s="25">
        <f t="shared" si="1"/>
        <v>8</v>
      </c>
      <c r="W13" s="25">
        <f t="shared" si="1"/>
        <v>8</v>
      </c>
      <c r="X13" s="25">
        <f t="shared" si="1"/>
        <v>8</v>
      </c>
    </row>
    <row r="14">
      <c r="A14" s="7" t="s">
        <v>27</v>
      </c>
      <c r="B14" s="19"/>
      <c r="C14" s="26">
        <f>iferror(vlookup(C1,AllListPrice!$A$2:$D$1000,4,0),0)</f>
        <v>117530.33</v>
      </c>
      <c r="D14" s="27">
        <f>iferror(vlookup(D1,AllListPrice!$A$2:$D$1000,4,0),0)</f>
        <v>117530.33</v>
      </c>
      <c r="E14" s="27">
        <f>iferror(vlookup(E1,AllListPrice!$A$2:$D$1000,4,0),0)</f>
        <v>136174.7</v>
      </c>
      <c r="F14" s="27">
        <f>iferror(vlookup(F1,AllListPrice!$A$2:$D$1000,4,0),0)</f>
        <v>144810.28</v>
      </c>
      <c r="G14" s="27">
        <f>iferror(vlookup(G1,AllListPrice!$A$2:$D$1000,4,0),0)</f>
        <v>246495.41</v>
      </c>
      <c r="H14" s="27">
        <f>iferror(vlookup(H1,Cisco!$A$2:$D$1000,4,0),0)</f>
        <v>38258</v>
      </c>
      <c r="I14" s="27">
        <f>iferror(vlookup(I1,AllListPrice!$A$2:$D$1000,4,0),0)</f>
        <v>8689.51</v>
      </c>
      <c r="J14" s="27">
        <f>iferror(vlookup(J1,Cisco!$A$2:$D$1000,4,0),0)</f>
        <v>19129</v>
      </c>
      <c r="K14" s="27">
        <f>iferror(vlookup(K1,AllListPrice!$A$2:$D$1000,4,0),0)</f>
        <v>30425.45</v>
      </c>
      <c r="L14" s="27">
        <f>iferror(vlookup(L1,Cisco!$A$2:$D$1000,4,0),0)</f>
        <v>47564</v>
      </c>
      <c r="M14" s="27">
        <f>iferror(vlookup(M1,AllListPrice!$A$2:$D$1000,4,0),0)</f>
        <v>28916.35</v>
      </c>
      <c r="N14" s="27">
        <f>iferror(vlookup(N1,Cisco!$A$2:$D$1000,4,0),0)</f>
        <v>28916.35</v>
      </c>
      <c r="O14" s="27">
        <f>iferror(vlookup(O1,AllListPrice!$A$2:$D$1000,4,0),0)</f>
        <v>34122</v>
      </c>
      <c r="P14" s="27">
        <f>iferror(vlookup(P1,Cisco!$A$2:$D$1000,4,0),0)</f>
        <v>32859.49</v>
      </c>
      <c r="Q14" s="27">
        <f>iferror(vlookup(Q1,AllListPrice!$A$2:$D$1000,4,0),0)</f>
        <v>0</v>
      </c>
      <c r="R14" s="27">
        <f>iferror(vlookup(R1,Cisco!$A$2:$D$1000,4,0),0)</f>
        <v>0</v>
      </c>
      <c r="S14" s="27">
        <f>iferror(vlookup(S1,AllListPrice!$A$2:$D$1000,4,0),0)</f>
        <v>0</v>
      </c>
      <c r="T14" s="27">
        <f>iferror(vlookup(T1,Cisco!$A$2:$D$1000,4,0),0)</f>
        <v>0</v>
      </c>
      <c r="U14" s="27">
        <f>iferror(vlookup(U1,AllListPrice!$A$2:$D$1000,4,0),0)</f>
        <v>0</v>
      </c>
      <c r="V14" s="27">
        <f>iferror(vlookup(V1,Cisco!$A$2:$D$1000,4,0),0)</f>
        <v>0</v>
      </c>
      <c r="W14" s="27">
        <f>iferror(vlookup(W1,AllListPrice!$A$2:$D$1000,4,0),0)</f>
        <v>0</v>
      </c>
      <c r="X14" s="27">
        <f>iferror(vlookup(X1,Cisco!$A$2:$D$1000,4,0),0)</f>
        <v>0</v>
      </c>
    </row>
    <row r="15">
      <c r="A15" s="7" t="s">
        <v>28</v>
      </c>
      <c r="B15" s="19"/>
      <c r="C15" s="24">
        <f t="shared" ref="C15:X15" si="2">1*(C13=max($D$13:$H$13))</f>
        <v>1</v>
      </c>
      <c r="D15" s="25">
        <f t="shared" si="2"/>
        <v>1</v>
      </c>
      <c r="E15" s="25">
        <f t="shared" si="2"/>
        <v>1</v>
      </c>
      <c r="F15" s="25">
        <f t="shared" si="2"/>
        <v>1</v>
      </c>
      <c r="G15" s="25">
        <f t="shared" si="2"/>
        <v>1</v>
      </c>
      <c r="H15" s="25">
        <f t="shared" si="2"/>
        <v>0</v>
      </c>
      <c r="I15" s="25">
        <f t="shared" si="2"/>
        <v>0</v>
      </c>
      <c r="J15" s="25">
        <f t="shared" si="2"/>
        <v>0</v>
      </c>
      <c r="K15" s="25">
        <f t="shared" si="2"/>
        <v>0</v>
      </c>
      <c r="L15" s="25">
        <f t="shared" si="2"/>
        <v>1</v>
      </c>
      <c r="M15" s="25">
        <f t="shared" si="2"/>
        <v>0</v>
      </c>
      <c r="N15" s="25">
        <f t="shared" si="2"/>
        <v>1</v>
      </c>
      <c r="O15" s="25">
        <f t="shared" si="2"/>
        <v>1</v>
      </c>
      <c r="P15" s="25">
        <f t="shared" si="2"/>
        <v>0</v>
      </c>
      <c r="Q15" s="25">
        <f t="shared" si="2"/>
        <v>0</v>
      </c>
      <c r="R15" s="25">
        <f t="shared" si="2"/>
        <v>0</v>
      </c>
      <c r="S15" s="25">
        <f t="shared" si="2"/>
        <v>0</v>
      </c>
      <c r="T15" s="25">
        <f t="shared" si="2"/>
        <v>0</v>
      </c>
      <c r="U15" s="25">
        <f t="shared" si="2"/>
        <v>0</v>
      </c>
      <c r="V15" s="25">
        <f t="shared" si="2"/>
        <v>0</v>
      </c>
      <c r="W15" s="25">
        <f t="shared" si="2"/>
        <v>0</v>
      </c>
      <c r="X15" s="25">
        <f t="shared" si="2"/>
        <v>0</v>
      </c>
    </row>
    <row r="16">
      <c r="A16" s="7" t="s">
        <v>29</v>
      </c>
      <c r="B16" s="19"/>
      <c r="C16" s="24">
        <f t="shared" ref="C16:X16" si="3">C15*(C14=minifs($D$14:$H$14,$D$15:$H$15,1))</f>
        <v>1</v>
      </c>
      <c r="D16" s="25">
        <f t="shared" si="3"/>
        <v>1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0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25">
        <f t="shared" si="3"/>
        <v>0</v>
      </c>
      <c r="S16" s="25">
        <f t="shared" si="3"/>
        <v>0</v>
      </c>
      <c r="T16" s="25">
        <f t="shared" si="3"/>
        <v>0</v>
      </c>
      <c r="U16" s="25">
        <f t="shared" si="3"/>
        <v>0</v>
      </c>
      <c r="V16" s="25">
        <f t="shared" si="3"/>
        <v>0</v>
      </c>
      <c r="W16" s="25">
        <f t="shared" si="3"/>
        <v>0</v>
      </c>
      <c r="X16" s="25">
        <f t="shared" si="3"/>
        <v>0</v>
      </c>
    </row>
    <row r="17">
      <c r="A17" s="7" t="s">
        <v>30</v>
      </c>
      <c r="B17" s="19"/>
      <c r="C17" s="24">
        <f t="shared" ref="C17:X17" si="4">(1-($C$1=C1))*(C15=1)</f>
        <v>0</v>
      </c>
      <c r="D17" s="25">
        <f t="shared" si="4"/>
        <v>0</v>
      </c>
      <c r="E17" s="25">
        <f t="shared" si="4"/>
        <v>1</v>
      </c>
      <c r="F17" s="25">
        <f t="shared" si="4"/>
        <v>1</v>
      </c>
      <c r="G17" s="25">
        <f t="shared" si="4"/>
        <v>1</v>
      </c>
      <c r="H17" s="25">
        <f t="shared" si="4"/>
        <v>0</v>
      </c>
      <c r="I17" s="25">
        <f t="shared" si="4"/>
        <v>0</v>
      </c>
      <c r="J17" s="25">
        <f t="shared" si="4"/>
        <v>0</v>
      </c>
      <c r="K17" s="25">
        <f t="shared" si="4"/>
        <v>0</v>
      </c>
      <c r="L17" s="25">
        <f t="shared" si="4"/>
        <v>1</v>
      </c>
      <c r="M17" s="25">
        <f t="shared" si="4"/>
        <v>0</v>
      </c>
      <c r="N17" s="25">
        <f t="shared" si="4"/>
        <v>1</v>
      </c>
      <c r="O17" s="25">
        <f t="shared" si="4"/>
        <v>1</v>
      </c>
      <c r="P17" s="25">
        <f t="shared" si="4"/>
        <v>0</v>
      </c>
      <c r="Q17" s="25">
        <f t="shared" si="4"/>
        <v>0</v>
      </c>
      <c r="R17" s="25">
        <f t="shared" si="4"/>
        <v>0</v>
      </c>
      <c r="S17" s="25">
        <f t="shared" si="4"/>
        <v>0</v>
      </c>
      <c r="T17" s="25">
        <f t="shared" si="4"/>
        <v>0</v>
      </c>
      <c r="U17" s="25">
        <f t="shared" si="4"/>
        <v>0</v>
      </c>
      <c r="V17" s="25">
        <f t="shared" si="4"/>
        <v>0</v>
      </c>
      <c r="W17" s="25">
        <f t="shared" si="4"/>
        <v>0</v>
      </c>
      <c r="X17" s="25">
        <f t="shared" si="4"/>
        <v>0</v>
      </c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>
      <c r="A19" s="18" t="s">
        <v>31</v>
      </c>
      <c r="B19" s="19"/>
      <c r="C19" s="28" t="str">
        <f>IFERROR(__xludf.DUMMYFUNCTION("iferror(filter(D1:H1,$D$17:$H$17=1),"""")"),"C9407R")</f>
        <v>C9407R</v>
      </c>
      <c r="D19" s="29" t="str">
        <f>IFERROR(__xludf.DUMMYFUNCTION("""COMPUTED_VALUE"""),"C9410R")</f>
        <v>C9410R</v>
      </c>
      <c r="E19" s="29" t="str">
        <f>IFERROR(__xludf.DUMMYFUNCTION("""COMPUTED_VALUE"""),"C9606R")</f>
        <v>C9606R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>
      <c r="A20" s="7" t="str">
        <f t="shared" ref="A20:B20" si="5">A2</f>
        <v>Switching Bandwidth - Full Duplex (Gbps)</v>
      </c>
      <c r="B20" s="34" t="str">
        <f t="shared" si="5"/>
        <v/>
      </c>
      <c r="C20" s="24">
        <f>IFERROR(__xludf.DUMMYFUNCTION("iferror(filter(D2:H2,$D$17:$H$17=1),"""")"),2400.0)</f>
        <v>2400</v>
      </c>
      <c r="D20" s="25">
        <f>IFERROR(__xludf.DUMMYFUNCTION("""COMPUTED_VALUE"""),3840.0)</f>
        <v>3840</v>
      </c>
      <c r="E20" s="25">
        <f>IFERROR(__xludf.DUMMYFUNCTION("""COMPUTED_VALUE"""),12800.0)</f>
        <v>12800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>
      <c r="A21" s="7" t="str">
        <f t="shared" ref="A21:B21" si="6">A3</f>
        <v>Forwarding Capacity (Mpps)</v>
      </c>
      <c r="B21" s="34" t="str">
        <f t="shared" si="6"/>
        <v/>
      </c>
      <c r="C21" s="23" t="str">
        <f>IFERROR(__xludf.DUMMYFUNCTION("iferror(filter(D3:H3,$D$17:$H$17=1),"""")"),"")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>
      <c r="A22" s="7" t="str">
        <f t="shared" ref="A22:B22" si="7">A4</f>
        <v>Số lượng cổng 1GE đồng</v>
      </c>
      <c r="B22" s="34" t="str">
        <f t="shared" si="7"/>
        <v/>
      </c>
      <c r="C22" s="24">
        <f>IFERROR(__xludf.DUMMYFUNCTION("iferror(filter(D4:H4,$D$17:$H$17=1),"""")"),240.0)</f>
        <v>240</v>
      </c>
      <c r="D22" s="25">
        <f>IFERROR(__xludf.DUMMYFUNCTION("""COMPUTED_VALUE"""),384.0)</f>
        <v>384</v>
      </c>
      <c r="E22" s="25">
        <f>IFERROR(__xludf.DUMMYFUNCTION("""COMPUTED_VALUE"""),192.0)</f>
        <v>192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>
      <c r="A23" s="7" t="str">
        <f t="shared" ref="A23:B23" si="8">A5</f>
        <v>Số lượng cổng 1GE SFP</v>
      </c>
      <c r="B23" s="34" t="str">
        <f t="shared" si="8"/>
        <v/>
      </c>
      <c r="C23" s="24">
        <f>IFERROR(__xludf.DUMMYFUNCTION("iferror(filter(D5:H5,$D$17:$H$17=1),"""")"),240.0)</f>
        <v>240</v>
      </c>
      <c r="D23" s="25">
        <f>IFERROR(__xludf.DUMMYFUNCTION("""COMPUTED_VALUE"""),384.0)</f>
        <v>384</v>
      </c>
      <c r="E23" s="25">
        <f>IFERROR(__xludf.DUMMYFUNCTION("""COMPUTED_VALUE"""),192.0)</f>
        <v>192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>
      <c r="A24" s="7" t="str">
        <f t="shared" ref="A24:B24" si="9">A6</f>
        <v>Số lượng cổng 10GE đồng</v>
      </c>
      <c r="B24" s="34" t="str">
        <f t="shared" si="9"/>
        <v/>
      </c>
      <c r="C24" s="24">
        <f>IFERROR(__xludf.DUMMYFUNCTION("iferror(filter(D6:H6,$D$17:$H$17=1),"""")"),240.0)</f>
        <v>240</v>
      </c>
      <c r="D24" s="25">
        <f>IFERROR(__xludf.DUMMYFUNCTION("""COMPUTED_VALUE"""),384.0)</f>
        <v>384</v>
      </c>
      <c r="E24" s="25">
        <f>IFERROR(__xludf.DUMMYFUNCTION("""COMPUTED_VALUE"""),192.0)</f>
        <v>192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>
      <c r="A25" s="7" t="str">
        <f t="shared" ref="A25:B25" si="10">A7</f>
        <v>Số lượng cổng 10GE quang</v>
      </c>
      <c r="B25" s="19">
        <f t="shared" si="10"/>
        <v>8</v>
      </c>
      <c r="C25" s="24">
        <f>IFERROR(__xludf.DUMMYFUNCTION("iferror(filter(D7:H7,$D$17:$H$17=1),"""")"),240.0)</f>
        <v>240</v>
      </c>
      <c r="D25" s="25">
        <f>IFERROR(__xludf.DUMMYFUNCTION("""COMPUTED_VALUE"""),384.0)</f>
        <v>384</v>
      </c>
      <c r="E25" s="25">
        <f>IFERROR(__xludf.DUMMYFUNCTION("""COMPUTED_VALUE"""),224.0)</f>
        <v>224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4">
        <f>IFERROR(__xludf.DUMMYFUNCTION("iferror(filter(D8:H8,$D$17:$H$17=1),"""")"),20.0)</f>
        <v>20</v>
      </c>
      <c r="D26" s="25">
        <f>IFERROR(__xludf.DUMMYFUNCTION("""COMPUTED_VALUE"""),32.0)</f>
        <v>32</v>
      </c>
      <c r="E26" s="25">
        <f>IFERROR(__xludf.DUMMYFUNCTION("""COMPUTED_VALUE"""),128.0)</f>
        <v>128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>
      <c r="A27" s="7" t="str">
        <f t="shared" ref="A27:B27" si="12">A9</f>
        <v>Stacking (Y/N)</v>
      </c>
      <c r="B27" s="34" t="str">
        <f t="shared" si="12"/>
        <v/>
      </c>
      <c r="C27" s="24" t="str">
        <f>IFERROR(__xludf.DUMMYFUNCTION("iferror(filter(D9:H9,$D$17:$H$17=1),"""")"),"Y")</f>
        <v>Y</v>
      </c>
      <c r="D27" s="25" t="str">
        <f>IFERROR(__xludf.DUMMYFUNCTION("""COMPUTED_VALUE"""),"Y")</f>
        <v>Y</v>
      </c>
      <c r="E27" s="25" t="str">
        <f>IFERROR(__xludf.DUMMYFUNCTION("""COMPUTED_VALUE"""),"Y")</f>
        <v>Y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>
      <c r="A28" s="7" t="str">
        <f>A10</f>
        <v>PoE (Y/N)</v>
      </c>
      <c r="B28" s="19"/>
      <c r="C28" s="24" t="str">
        <f>IFERROR(__xludf.DUMMYFUNCTION("iferror(filter(D10:G10,$D$17:$G$17=1),"""")"),"Y")</f>
        <v>Y</v>
      </c>
      <c r="D28" s="25" t="str">
        <f>IFERROR(__xludf.DUMMYFUNCTION("""COMPUTED_VALUE"""),"Y")</f>
        <v>Y</v>
      </c>
      <c r="E28" s="25" t="str">
        <f>IFERROR(__xludf.DUMMYFUNCTION("""COMPUTED_VALUE"""),"N")</f>
        <v>N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25"/>
    <col customWidth="1" min="3" max="3" width="23.75"/>
  </cols>
  <sheetData>
    <row r="1">
      <c r="A1" s="1" t="s">
        <v>121</v>
      </c>
      <c r="B1" s="37" t="s">
        <v>0</v>
      </c>
      <c r="C1" s="38" t="str">
        <f t="array" ref="C1">INDEX(D1:Q1, MATCH(1, D16:Q16, 0))</f>
        <v>N9K-C93240YC-FX2</v>
      </c>
      <c r="D1" s="35" t="s">
        <v>122</v>
      </c>
      <c r="E1" s="35" t="s">
        <v>123</v>
      </c>
      <c r="F1" s="35" t="s">
        <v>124</v>
      </c>
      <c r="G1" s="39" t="s">
        <v>125</v>
      </c>
      <c r="H1" s="35" t="s">
        <v>126</v>
      </c>
      <c r="I1" s="35" t="s">
        <v>127</v>
      </c>
      <c r="J1" s="35" t="s">
        <v>128</v>
      </c>
      <c r="K1" s="35" t="s">
        <v>129</v>
      </c>
      <c r="L1" s="35" t="s">
        <v>130</v>
      </c>
      <c r="M1" s="35" t="s">
        <v>131</v>
      </c>
      <c r="N1" s="35" t="s">
        <v>132</v>
      </c>
      <c r="O1" s="35" t="s">
        <v>133</v>
      </c>
      <c r="P1" s="35" t="s">
        <v>134</v>
      </c>
      <c r="Q1" s="40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8" t="str">
        <f>Specs!C2</f>
        <v>Switching Bandwidth - Full Duplex (Gbps)</v>
      </c>
      <c r="B2" s="33" t="str">
        <f>IFERROR(__xludf.DUMMYFUNCTION("IMPORTRANGE(""https://docs.google.com/spreadsheets/d/18TjePryHG687L54fIGU6Od12DGyT3mPoblPemZTZRY4"",""SwitchCampus!B3:B10"")"),"")</f>
        <v/>
      </c>
      <c r="C2" s="41" t="str">
        <f>hlookup($C$1,$D$1:$Q$10,2,0)</f>
        <v/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</row>
    <row r="3">
      <c r="A3" s="8" t="str">
        <f>Specs!C3</f>
        <v>Forwarding Capacity (Mpps)</v>
      </c>
      <c r="B3" s="33"/>
      <c r="C3" s="41" t="str">
        <f>hlookup($C$1,$D$1:$Q$10,3,0)</f>
        <v/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</row>
    <row r="4">
      <c r="A4" s="8" t="str">
        <f>Specs!C4</f>
        <v>Số lượng cổng 1GE đồng</v>
      </c>
      <c r="B4" s="33"/>
      <c r="C4" s="42" t="str">
        <f>hlookup($C$1,$D$1:$Q$10,4,0)</f>
        <v/>
      </c>
      <c r="D4" s="8"/>
      <c r="E4" s="8"/>
      <c r="F4" s="8"/>
      <c r="G4" s="43">
        <v>48.0</v>
      </c>
      <c r="H4" s="36">
        <v>48.0</v>
      </c>
      <c r="I4" s="36">
        <v>96.0</v>
      </c>
      <c r="J4" s="8"/>
      <c r="K4" s="8"/>
      <c r="L4" s="8"/>
      <c r="M4" s="8"/>
      <c r="N4" s="8"/>
      <c r="O4" s="8"/>
      <c r="P4" s="8"/>
      <c r="Q4" s="8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</row>
    <row r="5">
      <c r="A5" s="8" t="str">
        <f>Specs!C5</f>
        <v>Số lượng cổng 1GE SFP</v>
      </c>
      <c r="B5" s="33"/>
      <c r="C5" s="41">
        <f>hlookup($C$1,$D$1:$Q$10,5,0)</f>
        <v>48</v>
      </c>
      <c r="D5" s="8"/>
      <c r="E5" s="8"/>
      <c r="F5" s="8"/>
      <c r="G5" s="8"/>
      <c r="H5" s="8"/>
      <c r="I5" s="8"/>
      <c r="J5" s="36">
        <v>96.0</v>
      </c>
      <c r="K5" s="36">
        <v>48.0</v>
      </c>
      <c r="L5" s="36">
        <v>48.0</v>
      </c>
      <c r="M5" s="8"/>
      <c r="N5" s="8"/>
      <c r="O5" s="8"/>
      <c r="P5" s="8"/>
      <c r="Q5" s="8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</row>
    <row r="6">
      <c r="A6" s="8" t="str">
        <f>Specs!C6</f>
        <v>Số lượng cổng 10GE đồng</v>
      </c>
      <c r="B6" s="33"/>
      <c r="C6" s="42" t="str">
        <f>hlookup($C$1,$D$1:$Q$10,6,0)</f>
        <v/>
      </c>
      <c r="D6" s="8"/>
      <c r="E6" s="8"/>
      <c r="F6" s="8"/>
      <c r="G6" s="8"/>
      <c r="H6" s="36">
        <v>48.0</v>
      </c>
      <c r="I6" s="36">
        <v>96.0</v>
      </c>
      <c r="J6" s="8"/>
      <c r="K6" s="8"/>
      <c r="L6" s="8"/>
      <c r="M6" s="8"/>
      <c r="N6" s="8"/>
      <c r="O6" s="8"/>
      <c r="P6" s="8"/>
      <c r="Q6" s="8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8" t="str">
        <f>Specs!C7</f>
        <v>Số lượng cổng 10GE quang</v>
      </c>
      <c r="B7" s="16">
        <f>IFERROR(__xludf.DUMMYFUNCTION("""COMPUTED_VALUE"""),8.0)</f>
        <v>8</v>
      </c>
      <c r="C7" s="41">
        <f>hlookup($C$1,$D$1:$Q$10,7,0)</f>
        <v>48</v>
      </c>
      <c r="D7" s="8"/>
      <c r="E7" s="8"/>
      <c r="F7" s="8"/>
      <c r="G7" s="43">
        <v>4.0</v>
      </c>
      <c r="H7" s="8"/>
      <c r="I7" s="8"/>
      <c r="J7" s="36">
        <v>96.0</v>
      </c>
      <c r="K7" s="36">
        <v>48.0</v>
      </c>
      <c r="L7" s="36">
        <v>48.0</v>
      </c>
      <c r="M7" s="8"/>
      <c r="N7" s="8"/>
      <c r="O7" s="8"/>
      <c r="P7" s="8"/>
      <c r="Q7" s="8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8" t="str">
        <f>Specs!C8</f>
        <v>Số lượng cổng 100GE</v>
      </c>
      <c r="B8" s="16"/>
      <c r="C8" s="42">
        <f>hlookup($C$1,$D$1:$Q$10,8,0)</f>
        <v>12</v>
      </c>
      <c r="D8" s="36">
        <v>144.0</v>
      </c>
      <c r="E8" s="36">
        <v>288.0</v>
      </c>
      <c r="F8" s="36">
        <v>576.0</v>
      </c>
      <c r="G8" s="43">
        <v>2.0</v>
      </c>
      <c r="H8" s="36">
        <v>6.0</v>
      </c>
      <c r="I8" s="36">
        <v>12.0</v>
      </c>
      <c r="J8" s="36">
        <v>12.0</v>
      </c>
      <c r="K8" s="36">
        <v>12.0</v>
      </c>
      <c r="L8" s="36">
        <v>6.0</v>
      </c>
      <c r="M8" s="36">
        <v>36.0</v>
      </c>
      <c r="N8" s="36">
        <v>16.0</v>
      </c>
      <c r="O8" s="36">
        <v>64.0</v>
      </c>
      <c r="P8" s="36">
        <v>36.0</v>
      </c>
      <c r="Q8" s="8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8" t="str">
        <f>Specs!C9</f>
        <v>Stacking (Y/N)</v>
      </c>
      <c r="B9" s="33"/>
      <c r="C9" s="41" t="str">
        <f>hlookup($C$1,$D$1:$Q$10,9,0)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8" t="str">
        <f>Specs!C10</f>
        <v>PoE (Y/N)</v>
      </c>
      <c r="B10" s="16"/>
      <c r="C10" s="41" t="str">
        <f>hlookup($C$1,$D$1:$Q$10,10,0)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44" t="s">
        <v>106</v>
      </c>
      <c r="B11" s="19"/>
      <c r="C11" s="24" t="str">
        <f>hlookup($C$1,$D$1:$Q$11,11,0)</f>
        <v>High End</v>
      </c>
      <c r="D11" s="25" t="s">
        <v>25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25</v>
      </c>
      <c r="L11" s="25" t="s">
        <v>25</v>
      </c>
      <c r="M11" s="25" t="s">
        <v>25</v>
      </c>
      <c r="N11" s="25" t="s">
        <v>25</v>
      </c>
      <c r="O11" s="25" t="s">
        <v>25</v>
      </c>
      <c r="P11" s="25" t="s">
        <v>25</v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7"/>
      <c r="B12" s="19"/>
      <c r="C12" s="23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7" t="s">
        <v>26</v>
      </c>
      <c r="B13" s="19"/>
      <c r="C13" s="24">
        <f t="shared" ref="C13:Q13" si="1">sum(1*(C2&gt;=$B$2)+1*(C3&gt;=$B$3)+1*(C4&gt;=$B$4)+1*(C5&gt;=$B$5)+1*(C6&gt;=$B$6)+1*(C7&gt;=$B$7)+1*(C8&gt;=$B$8)+1*or(C9="Y",$B$9="N",$B$9="")+1*or(C10="Y",$B$10="N",$B$10=""))</f>
        <v>9</v>
      </c>
      <c r="D13" s="25">
        <f t="shared" si="1"/>
        <v>8</v>
      </c>
      <c r="E13" s="25">
        <f t="shared" si="1"/>
        <v>8</v>
      </c>
      <c r="F13" s="25">
        <f t="shared" si="1"/>
        <v>8</v>
      </c>
      <c r="G13" s="25">
        <f t="shared" si="1"/>
        <v>8</v>
      </c>
      <c r="H13" s="25">
        <f t="shared" si="1"/>
        <v>8</v>
      </c>
      <c r="I13" s="25">
        <f t="shared" si="1"/>
        <v>8</v>
      </c>
      <c r="J13" s="25">
        <f t="shared" si="1"/>
        <v>9</v>
      </c>
      <c r="K13" s="25">
        <f t="shared" si="1"/>
        <v>9</v>
      </c>
      <c r="L13" s="25">
        <f t="shared" si="1"/>
        <v>9</v>
      </c>
      <c r="M13" s="25">
        <f t="shared" si="1"/>
        <v>8</v>
      </c>
      <c r="N13" s="25">
        <f t="shared" si="1"/>
        <v>8</v>
      </c>
      <c r="O13" s="25">
        <f t="shared" si="1"/>
        <v>8</v>
      </c>
      <c r="P13" s="25">
        <f t="shared" si="1"/>
        <v>8</v>
      </c>
      <c r="Q13" s="25">
        <f t="shared" si="1"/>
        <v>8</v>
      </c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7" t="s">
        <v>27</v>
      </c>
      <c r="B14" s="19"/>
      <c r="C14" s="26">
        <f>iferror(vlookup(C1,AllListPrice!$A$2:$D$1000,4,0),0)</f>
        <v>81871.35</v>
      </c>
      <c r="D14" s="27">
        <f>iferror(vlookup(D1,AllListPrice!$A$2:$D$1000,4,0),0)</f>
        <v>383674.39</v>
      </c>
      <c r="E14" s="27">
        <f>iferror(vlookup(E1,AllListPrice!$A$2:$D$1000,4,0),0)</f>
        <v>645324.61</v>
      </c>
      <c r="F14" s="27">
        <f>iferror(vlookup(F1,AllListPrice!$A$2:$D$1000,4,0),0)</f>
        <v>761874.61</v>
      </c>
      <c r="G14" s="27">
        <f>iferror(vlookup(G1,AllListPrice!$A$2:$D$1000,4,0),0)</f>
        <v>32577.06</v>
      </c>
      <c r="H14" s="27">
        <f>iferror(vlookup(H1,AllListPrice!$A$2:$D$1000,4,0),0)</f>
        <v>78416.27</v>
      </c>
      <c r="I14" s="27">
        <f>iferror(vlookup(I1,AllListPrice!$A$2:$D$1000,4,0),0)</f>
        <v>95212.19</v>
      </c>
      <c r="J14" s="27">
        <f>iferror(vlookup(J1,AllListPrice!$A$2:$D$1000,4,0),0)</f>
        <v>95456.27</v>
      </c>
      <c r="K14" s="27">
        <f>iferror(vlookup(K1,AllListPrice!$A$2:$D$1000,4,0),0)</f>
        <v>81871.35</v>
      </c>
      <c r="L14" s="27">
        <f>iferror(vlookup(L1,AllListPrice!$A$2:$D$1000,4,0),0)</f>
        <v>192000</v>
      </c>
      <c r="M14" s="27">
        <f>iferror(vlookup(M1,AllListPrice!$A$2:$D$1000,4,0),0)</f>
        <v>32500</v>
      </c>
      <c r="N14" s="27">
        <f>iferror(vlookup(N1,AllListPrice!$A$2:$D$1000,4,0),0)</f>
        <v>26500</v>
      </c>
      <c r="O14" s="27">
        <f>iferror(vlookup(O1,AllListPrice!$A$2:$D$1000,4,0),0)</f>
        <v>150153.17</v>
      </c>
      <c r="P14" s="27">
        <f>iferror(vlookup(P1,AllListPrice!$A$2:$D$1000,4,0),0)</f>
        <v>59012.02</v>
      </c>
      <c r="Q14" s="27">
        <f>iferror(vlookup(Q1,Cisco!$A$2:$D$1000,4,0),0)</f>
        <v>0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7" t="s">
        <v>28</v>
      </c>
      <c r="B15" s="19"/>
      <c r="C15" s="24">
        <f t="shared" ref="C15:Q15" si="2">1*(C13=max($D$13:$Q$13))</f>
        <v>1</v>
      </c>
      <c r="D15" s="25">
        <f t="shared" si="2"/>
        <v>0</v>
      </c>
      <c r="E15" s="25">
        <f t="shared" si="2"/>
        <v>0</v>
      </c>
      <c r="F15" s="25">
        <f t="shared" si="2"/>
        <v>0</v>
      </c>
      <c r="G15" s="25">
        <f t="shared" si="2"/>
        <v>0</v>
      </c>
      <c r="H15" s="25">
        <f t="shared" si="2"/>
        <v>0</v>
      </c>
      <c r="I15" s="25">
        <f t="shared" si="2"/>
        <v>0</v>
      </c>
      <c r="J15" s="25">
        <f t="shared" si="2"/>
        <v>1</v>
      </c>
      <c r="K15" s="25">
        <f t="shared" si="2"/>
        <v>1</v>
      </c>
      <c r="L15" s="25">
        <f t="shared" si="2"/>
        <v>1</v>
      </c>
      <c r="M15" s="25">
        <f t="shared" si="2"/>
        <v>0</v>
      </c>
      <c r="N15" s="25">
        <f t="shared" si="2"/>
        <v>0</v>
      </c>
      <c r="O15" s="25">
        <f t="shared" si="2"/>
        <v>0</v>
      </c>
      <c r="P15" s="25">
        <f t="shared" si="2"/>
        <v>0</v>
      </c>
      <c r="Q15" s="25">
        <f t="shared" si="2"/>
        <v>0</v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7" t="s">
        <v>29</v>
      </c>
      <c r="B16" s="19"/>
      <c r="C16" s="24">
        <f t="shared" ref="C16:Q16" si="3">C15*(C14=minifs($D$14:$Q$14,$D$15:$Q$15,1))</f>
        <v>1</v>
      </c>
      <c r="D16" s="25">
        <f t="shared" si="3"/>
        <v>0</v>
      </c>
      <c r="E16" s="25">
        <f t="shared" si="3"/>
        <v>0</v>
      </c>
      <c r="F16" s="25">
        <f t="shared" si="3"/>
        <v>0</v>
      </c>
      <c r="G16" s="25">
        <f t="shared" si="3"/>
        <v>0</v>
      </c>
      <c r="H16" s="25">
        <f t="shared" si="3"/>
        <v>0</v>
      </c>
      <c r="I16" s="25">
        <f t="shared" si="3"/>
        <v>0</v>
      </c>
      <c r="J16" s="25">
        <f t="shared" si="3"/>
        <v>0</v>
      </c>
      <c r="K16" s="25">
        <f t="shared" si="3"/>
        <v>1</v>
      </c>
      <c r="L16" s="25">
        <f t="shared" si="3"/>
        <v>0</v>
      </c>
      <c r="M16" s="25">
        <f t="shared" si="3"/>
        <v>0</v>
      </c>
      <c r="N16" s="25">
        <f t="shared" si="3"/>
        <v>0</v>
      </c>
      <c r="O16" s="25">
        <f t="shared" si="3"/>
        <v>0</v>
      </c>
      <c r="P16" s="25">
        <f t="shared" si="3"/>
        <v>0</v>
      </c>
      <c r="Q16" s="25">
        <f t="shared" si="3"/>
        <v>0</v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7" t="s">
        <v>30</v>
      </c>
      <c r="B17" s="19"/>
      <c r="C17" s="24">
        <f t="shared" ref="C17:Q17" si="4">(1-($C$1=C1))*(C15=1)</f>
        <v>0</v>
      </c>
      <c r="D17" s="25">
        <f t="shared" si="4"/>
        <v>0</v>
      </c>
      <c r="E17" s="25">
        <f t="shared" si="4"/>
        <v>0</v>
      </c>
      <c r="F17" s="25">
        <f t="shared" si="4"/>
        <v>0</v>
      </c>
      <c r="G17" s="25">
        <f t="shared" si="4"/>
        <v>0</v>
      </c>
      <c r="H17" s="25">
        <f t="shared" si="4"/>
        <v>0</v>
      </c>
      <c r="I17" s="25">
        <f t="shared" si="4"/>
        <v>0</v>
      </c>
      <c r="J17" s="25">
        <f t="shared" si="4"/>
        <v>1</v>
      </c>
      <c r="K17" s="25">
        <f t="shared" si="4"/>
        <v>0</v>
      </c>
      <c r="L17" s="25">
        <f t="shared" si="4"/>
        <v>1</v>
      </c>
      <c r="M17" s="25">
        <f t="shared" si="4"/>
        <v>0</v>
      </c>
      <c r="N17" s="25">
        <f t="shared" si="4"/>
        <v>0</v>
      </c>
      <c r="O17" s="25">
        <f t="shared" si="4"/>
        <v>0</v>
      </c>
      <c r="P17" s="25">
        <f t="shared" si="4"/>
        <v>0</v>
      </c>
      <c r="Q17" s="25">
        <f t="shared" si="4"/>
        <v>0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7"/>
      <c r="B18" s="19"/>
      <c r="C18" s="23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44" t="s">
        <v>31</v>
      </c>
      <c r="B19" s="19"/>
      <c r="C19" s="28" t="str">
        <f>IFERROR(__xludf.DUMMYFUNCTION("iferror(filter(D1:Q1,$D$17:$Q$17=1),"""")"),"N9K-C93360YC-FX2")</f>
        <v>N9K-C93360YC-FX2</v>
      </c>
      <c r="D19" s="7" t="str">
        <f>IFERROR(__xludf.DUMMYFUNCTION("""COMPUTED_VALUE"""),"N9K-C93180YC-FX3")</f>
        <v>N9K-C93180YC-FX3</v>
      </c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7" t="str">
        <f t="shared" ref="A20:B20" si="5">A2</f>
        <v>Switching Bandwidth - Full Duplex (Gbps)</v>
      </c>
      <c r="B20" s="34" t="str">
        <f t="shared" si="5"/>
        <v/>
      </c>
      <c r="C20" s="23" t="str">
        <f>IFERROR(__xludf.DUMMYFUNCTION("iferror(filter(D2:Q2,$D$17:$Q$17=1),"""")"),"")</f>
        <v/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7" t="str">
        <f t="shared" ref="A21:B21" si="6">A3</f>
        <v>Forwarding Capacity (Mpps)</v>
      </c>
      <c r="B21" s="34" t="str">
        <f t="shared" si="6"/>
        <v/>
      </c>
      <c r="C21" s="23" t="str">
        <f>IFERROR(__xludf.DUMMYFUNCTION("iferror(filter(D3:Q3,$D$17:$Q$17=1),"""")"),"")</f>
        <v/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7" t="str">
        <f t="shared" ref="A22:B22" si="7">A4</f>
        <v>Số lượng cổng 1GE đồng</v>
      </c>
      <c r="B22" s="34" t="str">
        <f t="shared" si="7"/>
        <v/>
      </c>
      <c r="C22" s="24" t="str">
        <f>IFERROR(__xludf.DUMMYFUNCTION("iferror(filter(D4:Q4,$D$17:$Q$17=1),"""")"),"")</f>
        <v/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 t="str">
        <f t="shared" ref="A23:B23" si="8">A5</f>
        <v>Số lượng cổng 1GE SFP</v>
      </c>
      <c r="B23" s="34" t="str">
        <f t="shared" si="8"/>
        <v/>
      </c>
      <c r="C23" s="23">
        <f>IFERROR(__xludf.DUMMYFUNCTION("iferror(filter(D5:Q5,$D$17:$Q$17=1),"""")"),96.0)</f>
        <v>96</v>
      </c>
      <c r="D23" s="7">
        <f>IFERROR(__xludf.DUMMYFUNCTION("""COMPUTED_VALUE"""),48.0)</f>
        <v>48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7" t="str">
        <f t="shared" ref="A24:B24" si="9">A6</f>
        <v>Số lượng cổng 10GE đồng</v>
      </c>
      <c r="B24" s="34" t="str">
        <f t="shared" si="9"/>
        <v/>
      </c>
      <c r="C24" s="24" t="str">
        <f>IFERROR(__xludf.DUMMYFUNCTION("iferror(filter(D6:Q6,$D$17:$Q$17=1),"""")"),"")</f>
        <v/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 t="str">
        <f t="shared" ref="A25:B25" si="10">A7</f>
        <v>Số lượng cổng 10GE quang</v>
      </c>
      <c r="B25" s="19">
        <f t="shared" si="10"/>
        <v>8</v>
      </c>
      <c r="C25" s="23">
        <f>IFERROR(__xludf.DUMMYFUNCTION("iferror(filter(D7:Q7,$D$17:$Q$17=1),"""")"),96.0)</f>
        <v>96</v>
      </c>
      <c r="D25" s="7">
        <f>IFERROR(__xludf.DUMMYFUNCTION("""COMPUTED_VALUE"""),48.0)</f>
        <v>48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 t="str">
        <f t="shared" ref="A26:B26" si="11">A8</f>
        <v>Số lượng cổng 100GE</v>
      </c>
      <c r="B26" s="19" t="str">
        <f t="shared" si="11"/>
        <v/>
      </c>
      <c r="C26" s="24">
        <f>IFERROR(__xludf.DUMMYFUNCTION("iferror(filter(D8:Q8,$D$17:$Q$17=1),"""")"),12.0)</f>
        <v>12</v>
      </c>
      <c r="D26" s="7">
        <f>IFERROR(__xludf.DUMMYFUNCTION("""COMPUTED_VALUE"""),6.0)</f>
        <v>6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 t="str">
        <f t="shared" ref="A27:B27" si="12">A9</f>
        <v>Stacking (Y/N)</v>
      </c>
      <c r="B27" s="34" t="str">
        <f t="shared" si="12"/>
        <v/>
      </c>
      <c r="C27" s="23" t="str">
        <f>IFERROR(__xludf.DUMMYFUNCTION("iferror(filter(D9:Q9,$D$17:$Q$17=1),"""")"),"")</f>
        <v/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 t="str">
        <f>A10</f>
        <v>PoE (Y/N)</v>
      </c>
      <c r="B28" s="19"/>
      <c r="C28" s="23" t="str">
        <f>IFERROR(__xludf.DUMMYFUNCTION("iferror(filter(#REF!,#REF!=1),"""")"),"")</f>
        <v/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19"/>
      <c r="C29" s="23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19"/>
      <c r="C30" s="23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19"/>
      <c r="C31" s="23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19"/>
      <c r="C32" s="23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19"/>
      <c r="C33" s="23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7"/>
      <c r="B34" s="19"/>
      <c r="C34" s="23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7"/>
      <c r="B35" s="19"/>
      <c r="C35" s="23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7"/>
      <c r="B36" s="19"/>
      <c r="C36" s="23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7"/>
      <c r="B37" s="19"/>
      <c r="C37" s="23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>
      <c r="A38" s="7"/>
      <c r="B38" s="19"/>
      <c r="C38" s="23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>
      <c r="A39" s="7"/>
      <c r="B39" s="19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>
      <c r="A40" s="7"/>
      <c r="B40" s="19"/>
      <c r="C40" s="23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7"/>
      <c r="B41" s="19"/>
      <c r="C41" s="23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>
      <c r="A42" s="7"/>
      <c r="B42" s="19"/>
      <c r="C42" s="23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>
      <c r="A43" s="7"/>
      <c r="B43" s="19"/>
      <c r="C43" s="23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>
      <c r="A44" s="7"/>
      <c r="B44" s="19"/>
      <c r="C44" s="23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7"/>
      <c r="B45" s="19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>
      <c r="A46" s="7"/>
      <c r="B46" s="19"/>
      <c r="C46" s="23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>
      <c r="A47" s="7"/>
      <c r="B47" s="19"/>
      <c r="C47" s="23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19"/>
      <c r="C48" s="23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19"/>
      <c r="C49" s="23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>
      <c r="A50" s="7"/>
      <c r="B50" s="19"/>
      <c r="C50" s="23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>
      <c r="A51" s="7"/>
      <c r="B51" s="19"/>
      <c r="C51" s="23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7"/>
      <c r="B52" s="19"/>
      <c r="C52" s="23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>
      <c r="A53" s="7"/>
      <c r="B53" s="19"/>
      <c r="C53" s="23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>
      <c r="A54" s="7"/>
      <c r="B54" s="19"/>
      <c r="C54" s="23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7"/>
      <c r="B55" s="19"/>
      <c r="C55" s="23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>
      <c r="A56" s="7"/>
      <c r="B56" s="19"/>
      <c r="C56" s="2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>
      <c r="A57" s="7"/>
      <c r="B57" s="19"/>
      <c r="C57" s="23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19"/>
      <c r="C58" s="23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19"/>
      <c r="C59" s="23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19"/>
      <c r="C60" s="23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19"/>
      <c r="C61" s="23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19"/>
      <c r="C62" s="23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>
      <c r="A63" s="7"/>
      <c r="B63" s="19"/>
      <c r="C63" s="23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>
      <c r="A64" s="7"/>
      <c r="B64" s="19"/>
      <c r="C64" s="23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>
      <c r="A65" s="7"/>
      <c r="B65" s="19"/>
      <c r="C65" s="23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>
      <c r="A66" s="7"/>
      <c r="B66" s="19"/>
      <c r="C66" s="23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>
      <c r="A67" s="7"/>
      <c r="B67" s="19"/>
      <c r="C67" s="23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>
      <c r="A68" s="7"/>
      <c r="B68" s="19"/>
      <c r="C68" s="23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>
      <c r="A69" s="7"/>
      <c r="B69" s="19"/>
      <c r="C69" s="23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19"/>
      <c r="C70" s="23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19"/>
      <c r="C71" s="23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19"/>
      <c r="C72" s="23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19"/>
      <c r="C73" s="23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19"/>
      <c r="C74" s="23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19"/>
      <c r="C75" s="23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19"/>
      <c r="C76" s="23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19"/>
      <c r="C77" s="23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19"/>
      <c r="C78" s="23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19"/>
      <c r="C79" s="23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19"/>
      <c r="C80" s="23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>
      <c r="A81" s="7"/>
      <c r="B81" s="19"/>
      <c r="C81" s="23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>
      <c r="A82" s="7"/>
      <c r="B82" s="19"/>
      <c r="C82" s="23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>
      <c r="A83" s="7"/>
      <c r="B83" s="19"/>
      <c r="C83" s="23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>
      <c r="A84" s="7"/>
      <c r="B84" s="19"/>
      <c r="C84" s="23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>
      <c r="A85" s="7"/>
      <c r="B85" s="19"/>
      <c r="C85" s="23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>
      <c r="A86" s="7"/>
      <c r="B86" s="19"/>
      <c r="C86" s="23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19"/>
      <c r="C87" s="23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19"/>
      <c r="C88" s="23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19"/>
      <c r="C89" s="23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19"/>
      <c r="C90" s="23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19"/>
      <c r="C91" s="23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19"/>
      <c r="C92" s="23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19"/>
      <c r="C93" s="23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19"/>
      <c r="C94" s="23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19"/>
      <c r="C95" s="23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19"/>
      <c r="C96" s="23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19"/>
      <c r="C97" s="23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19"/>
      <c r="C98" s="23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19"/>
      <c r="C99" s="23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19"/>
      <c r="C100" s="2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19"/>
      <c r="C101" s="23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19"/>
      <c r="C102" s="23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19"/>
      <c r="C103" s="23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19"/>
      <c r="C104" s="23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19"/>
      <c r="C105" s="23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19"/>
      <c r="C106" s="23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19"/>
      <c r="C107" s="23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19"/>
      <c r="C108" s="23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19"/>
      <c r="C109" s="23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19"/>
      <c r="C110" s="23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19"/>
      <c r="C111" s="23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19"/>
      <c r="C112" s="23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19"/>
      <c r="C113" s="23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19"/>
      <c r="C114" s="23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19"/>
      <c r="C115" s="23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19"/>
      <c r="C116" s="23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19"/>
      <c r="C117" s="23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19"/>
      <c r="C118" s="23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19"/>
      <c r="C119" s="23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19"/>
      <c r="C120" s="23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19"/>
      <c r="C121" s="23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19"/>
      <c r="C122" s="23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19"/>
      <c r="C123" s="23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19"/>
      <c r="C124" s="23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19"/>
      <c r="C125" s="23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19"/>
      <c r="C126" s="23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19"/>
      <c r="C127" s="23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19"/>
      <c r="C128" s="23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19"/>
      <c r="C129" s="23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19"/>
      <c r="C130" s="23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19"/>
      <c r="C131" s="23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19"/>
      <c r="C132" s="23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19"/>
      <c r="C133" s="23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19"/>
      <c r="C134" s="23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19"/>
      <c r="C135" s="23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19"/>
      <c r="C136" s="23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19"/>
      <c r="C137" s="23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19"/>
      <c r="C138" s="23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19"/>
      <c r="C139" s="23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19"/>
      <c r="C140" s="23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19"/>
      <c r="C141" s="23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19"/>
      <c r="C142" s="23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19"/>
      <c r="C143" s="23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19"/>
      <c r="C144" s="23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19"/>
      <c r="C145" s="23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19"/>
      <c r="C146" s="23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19"/>
      <c r="C147" s="23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19"/>
      <c r="C148" s="23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19"/>
      <c r="C149" s="23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19"/>
      <c r="C150" s="23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19"/>
      <c r="C151" s="23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19"/>
      <c r="C152" s="23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19"/>
      <c r="C153" s="23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19"/>
      <c r="C154" s="23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19"/>
      <c r="C155" s="23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19"/>
      <c r="C156" s="23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19"/>
      <c r="C157" s="23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19"/>
      <c r="C158" s="23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19"/>
      <c r="C159" s="23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19"/>
      <c r="C160" s="23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19"/>
      <c r="C161" s="23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19"/>
      <c r="C162" s="23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19"/>
      <c r="C163" s="23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19"/>
      <c r="C164" s="23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19"/>
      <c r="C165" s="23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19"/>
      <c r="C166" s="23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19"/>
      <c r="C167" s="23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19"/>
      <c r="C168" s="23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19"/>
      <c r="C169" s="23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19"/>
      <c r="C170" s="23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19"/>
      <c r="C171" s="23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19"/>
      <c r="C172" s="23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19"/>
      <c r="C173" s="23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19"/>
      <c r="C174" s="23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19"/>
      <c r="C175" s="23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19"/>
      <c r="C176" s="23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19"/>
      <c r="C177" s="23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19"/>
      <c r="C178" s="23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19"/>
      <c r="C179" s="23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19"/>
      <c r="C180" s="23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19"/>
      <c r="C181" s="23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19"/>
      <c r="C182" s="23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19"/>
      <c r="C183" s="23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19"/>
      <c r="C184" s="23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19"/>
      <c r="C185" s="23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19"/>
      <c r="C186" s="23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19"/>
      <c r="C187" s="23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19"/>
      <c r="C188" s="23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19"/>
      <c r="C189" s="23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19"/>
      <c r="C190" s="23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19"/>
      <c r="C191" s="23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19"/>
      <c r="C192" s="23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19"/>
      <c r="C193" s="23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19"/>
      <c r="C194" s="23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19"/>
      <c r="C195" s="23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19"/>
      <c r="C196" s="23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19"/>
      <c r="C197" s="23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19"/>
      <c r="C198" s="23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19"/>
      <c r="C199" s="23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19"/>
      <c r="C200" s="23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19"/>
      <c r="C201" s="23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19"/>
      <c r="C202" s="23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19"/>
      <c r="C203" s="23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19"/>
      <c r="C204" s="23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19"/>
      <c r="C205" s="23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19"/>
      <c r="C206" s="23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19"/>
      <c r="C207" s="23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19"/>
      <c r="C208" s="23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19"/>
      <c r="C209" s="23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19"/>
      <c r="C210" s="23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19"/>
      <c r="C211" s="23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19"/>
      <c r="C212" s="23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19"/>
      <c r="C213" s="23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19"/>
      <c r="C214" s="23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19"/>
      <c r="C215" s="23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19"/>
      <c r="C216" s="23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19"/>
      <c r="C217" s="23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19"/>
      <c r="C218" s="23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19"/>
      <c r="C219" s="23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19"/>
      <c r="C220" s="23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19"/>
      <c r="C221" s="23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19"/>
      <c r="C222" s="23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19"/>
      <c r="C223" s="23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19"/>
      <c r="C224" s="23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19"/>
      <c r="C225" s="23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19"/>
      <c r="C226" s="23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19"/>
      <c r="C227" s="23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19"/>
      <c r="C228" s="23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19"/>
      <c r="C229" s="23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19"/>
      <c r="C230" s="23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19"/>
      <c r="C231" s="23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19"/>
      <c r="C232" s="23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19"/>
      <c r="C233" s="23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19"/>
      <c r="C234" s="23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19"/>
      <c r="C235" s="23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19"/>
      <c r="C236" s="23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19"/>
      <c r="C237" s="23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19"/>
      <c r="C238" s="23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19"/>
      <c r="C239" s="23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19"/>
      <c r="C240" s="23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19"/>
      <c r="C241" s="23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19"/>
      <c r="C242" s="23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19"/>
      <c r="C243" s="23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19"/>
      <c r="C244" s="23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19"/>
      <c r="C245" s="23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19"/>
      <c r="C246" s="23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19"/>
      <c r="C247" s="23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19"/>
      <c r="C248" s="23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19"/>
      <c r="C249" s="23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19"/>
      <c r="C250" s="23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19"/>
      <c r="C251" s="23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19"/>
      <c r="C252" s="23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19"/>
      <c r="C253" s="23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19"/>
      <c r="C254" s="23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19"/>
      <c r="C255" s="23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19"/>
      <c r="C256" s="23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19"/>
      <c r="C257" s="23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19"/>
      <c r="C258" s="23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19"/>
      <c r="C259" s="23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19"/>
      <c r="C260" s="23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19"/>
      <c r="C261" s="23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19"/>
      <c r="C262" s="23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19"/>
      <c r="C263" s="23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19"/>
      <c r="C264" s="23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19"/>
      <c r="C265" s="23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19"/>
      <c r="C266" s="23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19"/>
      <c r="C267" s="23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19"/>
      <c r="C268" s="23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19"/>
      <c r="C269" s="23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19"/>
      <c r="C270" s="23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19"/>
      <c r="C271" s="23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19"/>
      <c r="C272" s="23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19"/>
      <c r="C273" s="23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19"/>
      <c r="C274" s="23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19"/>
      <c r="C275" s="23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19"/>
      <c r="C276" s="23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19"/>
      <c r="C277" s="23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19"/>
      <c r="C278" s="23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19"/>
      <c r="C279" s="23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19"/>
      <c r="C280" s="23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19"/>
      <c r="C281" s="23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19"/>
      <c r="C282" s="23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19"/>
      <c r="C283" s="23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19"/>
      <c r="C284" s="23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19"/>
      <c r="C285" s="23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19"/>
      <c r="C286" s="23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19"/>
      <c r="C287" s="23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19"/>
      <c r="C288" s="23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19"/>
      <c r="C289" s="23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19"/>
      <c r="C290" s="23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19"/>
      <c r="C291" s="23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19"/>
      <c r="C292" s="23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19"/>
      <c r="C293" s="23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19"/>
      <c r="C294" s="23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19"/>
      <c r="C295" s="23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19"/>
      <c r="C296" s="23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19"/>
      <c r="C297" s="23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19"/>
      <c r="C298" s="23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19"/>
      <c r="C299" s="23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19"/>
      <c r="C300" s="23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19"/>
      <c r="C301" s="23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19"/>
      <c r="C302" s="23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19"/>
      <c r="C303" s="23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19"/>
      <c r="C304" s="23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19"/>
      <c r="C305" s="23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19"/>
      <c r="C306" s="23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19"/>
      <c r="C307" s="23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19"/>
      <c r="C308" s="23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19"/>
      <c r="C309" s="23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19"/>
      <c r="C310" s="23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19"/>
      <c r="C311" s="23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19"/>
      <c r="C312" s="23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19"/>
      <c r="C313" s="23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19"/>
      <c r="C314" s="23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19"/>
      <c r="C315" s="23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19"/>
      <c r="C316" s="23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19"/>
      <c r="C317" s="23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19"/>
      <c r="C318" s="23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19"/>
      <c r="C319" s="23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19"/>
      <c r="C320" s="23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19"/>
      <c r="C321" s="23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19"/>
      <c r="C322" s="23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19"/>
      <c r="C323" s="23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19"/>
      <c r="C324" s="23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19"/>
      <c r="C325" s="23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19"/>
      <c r="C326" s="23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19"/>
      <c r="C327" s="23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19"/>
      <c r="C328" s="23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19"/>
      <c r="C329" s="23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19"/>
      <c r="C330" s="23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19"/>
      <c r="C331" s="23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19"/>
      <c r="C332" s="23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19"/>
      <c r="C333" s="23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19"/>
      <c r="C334" s="23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19"/>
      <c r="C335" s="23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19"/>
      <c r="C336" s="23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19"/>
      <c r="C337" s="23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19"/>
      <c r="C338" s="23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19"/>
      <c r="C339" s="23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19"/>
      <c r="C340" s="23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19"/>
      <c r="C341" s="23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19"/>
      <c r="C342" s="23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19"/>
      <c r="C343" s="23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19"/>
      <c r="C344" s="23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19"/>
      <c r="C345" s="23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19"/>
      <c r="C346" s="23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19"/>
      <c r="C347" s="23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19"/>
      <c r="C348" s="23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19"/>
      <c r="C349" s="23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19"/>
      <c r="C350" s="23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19"/>
      <c r="C351" s="23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19"/>
      <c r="C352" s="23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19"/>
      <c r="C353" s="23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19"/>
      <c r="C354" s="23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19"/>
      <c r="C355" s="23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19"/>
      <c r="C356" s="23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19"/>
      <c r="C357" s="23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19"/>
      <c r="C358" s="23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19"/>
      <c r="C359" s="23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19"/>
      <c r="C360" s="23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19"/>
      <c r="C361" s="23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19"/>
      <c r="C362" s="23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19"/>
      <c r="C363" s="23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19"/>
      <c r="C364" s="23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19"/>
      <c r="C365" s="23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19"/>
      <c r="C366" s="23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19"/>
      <c r="C367" s="23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19"/>
      <c r="C368" s="23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19"/>
      <c r="C369" s="23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19"/>
      <c r="C370" s="23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19"/>
      <c r="C371" s="23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19"/>
      <c r="C372" s="23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19"/>
      <c r="C373" s="23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19"/>
      <c r="C374" s="23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19"/>
      <c r="C375" s="23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19"/>
      <c r="C376" s="23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19"/>
      <c r="C377" s="23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19"/>
      <c r="C378" s="23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19"/>
      <c r="C379" s="23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19"/>
      <c r="C380" s="23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19"/>
      <c r="C381" s="23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19"/>
      <c r="C382" s="23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19"/>
      <c r="C383" s="23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19"/>
      <c r="C384" s="23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19"/>
      <c r="C385" s="23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19"/>
      <c r="C386" s="23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19"/>
      <c r="C387" s="23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19"/>
      <c r="C388" s="23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19"/>
      <c r="C389" s="23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19"/>
      <c r="C390" s="23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19"/>
      <c r="C391" s="23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19"/>
      <c r="C392" s="23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19"/>
      <c r="C393" s="23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19"/>
      <c r="C394" s="23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19"/>
      <c r="C395" s="23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19"/>
      <c r="C396" s="23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19"/>
      <c r="C397" s="23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19"/>
      <c r="C398" s="23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19"/>
      <c r="C399" s="23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19"/>
      <c r="C400" s="23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19"/>
      <c r="C401" s="23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19"/>
      <c r="C402" s="23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19"/>
      <c r="C403" s="23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19"/>
      <c r="C404" s="23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19"/>
      <c r="C405" s="23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19"/>
      <c r="C406" s="23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19"/>
      <c r="C407" s="23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19"/>
      <c r="C408" s="23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19"/>
      <c r="C409" s="23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19"/>
      <c r="C410" s="23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19"/>
      <c r="C411" s="23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19"/>
      <c r="C412" s="23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19"/>
      <c r="C413" s="23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19"/>
      <c r="C414" s="23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19"/>
      <c r="C415" s="23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19"/>
      <c r="C416" s="23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19"/>
      <c r="C417" s="23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19"/>
      <c r="C418" s="23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19"/>
      <c r="C419" s="23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19"/>
      <c r="C420" s="23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19"/>
      <c r="C421" s="23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19"/>
      <c r="C422" s="23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19"/>
      <c r="C423" s="23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19"/>
      <c r="C424" s="23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19"/>
      <c r="C425" s="23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19"/>
      <c r="C426" s="23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19"/>
      <c r="C427" s="23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19"/>
      <c r="C428" s="23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19"/>
      <c r="C429" s="23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19"/>
      <c r="C430" s="23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19"/>
      <c r="C431" s="23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19"/>
      <c r="C432" s="23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19"/>
      <c r="C433" s="23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19"/>
      <c r="C434" s="23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19"/>
      <c r="C435" s="23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19"/>
      <c r="C436" s="23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19"/>
      <c r="C437" s="23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19"/>
      <c r="C438" s="23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19"/>
      <c r="C439" s="23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19"/>
      <c r="C440" s="23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19"/>
      <c r="C441" s="23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19"/>
      <c r="C442" s="23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19"/>
      <c r="C443" s="23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19"/>
      <c r="C444" s="23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19"/>
      <c r="C445" s="23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19"/>
      <c r="C446" s="23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19"/>
      <c r="C447" s="23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19"/>
      <c r="C448" s="23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19"/>
      <c r="C449" s="23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19"/>
      <c r="C450" s="23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19"/>
      <c r="C451" s="23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19"/>
      <c r="C452" s="23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19"/>
      <c r="C453" s="23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19"/>
      <c r="C454" s="23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19"/>
      <c r="C455" s="23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19"/>
      <c r="C456" s="23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19"/>
      <c r="C457" s="23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19"/>
      <c r="C458" s="23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19"/>
      <c r="C459" s="23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19"/>
      <c r="C460" s="23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19"/>
      <c r="C461" s="23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19"/>
      <c r="C462" s="23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19"/>
      <c r="C463" s="23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19"/>
      <c r="C464" s="23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19"/>
      <c r="C465" s="23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19"/>
      <c r="C466" s="23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19"/>
      <c r="C467" s="23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19"/>
      <c r="C468" s="23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19"/>
      <c r="C469" s="23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19"/>
      <c r="C470" s="23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19"/>
      <c r="C471" s="23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19"/>
      <c r="C472" s="23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19"/>
      <c r="C473" s="23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19"/>
      <c r="C474" s="23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19"/>
      <c r="C475" s="23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19"/>
      <c r="C476" s="23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19"/>
      <c r="C477" s="23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19"/>
      <c r="C478" s="23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19"/>
      <c r="C479" s="23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19"/>
      <c r="C480" s="23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19"/>
      <c r="C481" s="23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19"/>
      <c r="C482" s="23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19"/>
      <c r="C483" s="23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19"/>
      <c r="C484" s="23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19"/>
      <c r="C485" s="23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19"/>
      <c r="C486" s="23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19"/>
      <c r="C487" s="23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19"/>
      <c r="C488" s="23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19"/>
      <c r="C489" s="23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19"/>
      <c r="C490" s="23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19"/>
      <c r="C491" s="23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19"/>
      <c r="C492" s="23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19"/>
      <c r="C493" s="23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19"/>
      <c r="C494" s="23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19"/>
      <c r="C495" s="23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19"/>
      <c r="C496" s="23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19"/>
      <c r="C497" s="23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19"/>
      <c r="C498" s="23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19"/>
      <c r="C499" s="23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19"/>
      <c r="C500" s="23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19"/>
      <c r="C501" s="23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19"/>
      <c r="C502" s="23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19"/>
      <c r="C503" s="23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19"/>
      <c r="C504" s="23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19"/>
      <c r="C505" s="23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19"/>
      <c r="C506" s="23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19"/>
      <c r="C507" s="23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19"/>
      <c r="C508" s="23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19"/>
      <c r="C509" s="23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19"/>
      <c r="C510" s="23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19"/>
      <c r="C511" s="23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19"/>
      <c r="C512" s="23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19"/>
      <c r="C513" s="23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19"/>
      <c r="C514" s="23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19"/>
      <c r="C515" s="23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19"/>
      <c r="C516" s="23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19"/>
      <c r="C517" s="23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19"/>
      <c r="C518" s="23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19"/>
      <c r="C519" s="23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19"/>
      <c r="C520" s="23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19"/>
      <c r="C521" s="23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19"/>
      <c r="C522" s="23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19"/>
      <c r="C523" s="23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19"/>
      <c r="C524" s="23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19"/>
      <c r="C525" s="23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19"/>
      <c r="C526" s="23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19"/>
      <c r="C527" s="23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19"/>
      <c r="C528" s="23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19"/>
      <c r="C529" s="23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19"/>
      <c r="C530" s="23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19"/>
      <c r="C531" s="23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19"/>
      <c r="C532" s="23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19"/>
      <c r="C533" s="23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19"/>
      <c r="C534" s="23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19"/>
      <c r="C535" s="23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19"/>
      <c r="C536" s="23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19"/>
      <c r="C537" s="23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19"/>
      <c r="C538" s="23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19"/>
      <c r="C539" s="23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19"/>
      <c r="C540" s="23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19"/>
      <c r="C541" s="23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19"/>
      <c r="C542" s="23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19"/>
      <c r="C543" s="23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19"/>
      <c r="C544" s="23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19"/>
      <c r="C545" s="23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19"/>
      <c r="C546" s="23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19"/>
      <c r="C547" s="23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19"/>
      <c r="C548" s="23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19"/>
      <c r="C549" s="23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19"/>
      <c r="C550" s="23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19"/>
      <c r="C551" s="23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19"/>
      <c r="C552" s="23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19"/>
      <c r="C553" s="23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19"/>
      <c r="C554" s="23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19"/>
      <c r="C555" s="23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19"/>
      <c r="C556" s="23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19"/>
      <c r="C557" s="23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19"/>
      <c r="C558" s="23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19"/>
      <c r="C559" s="23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19"/>
      <c r="C560" s="23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19"/>
      <c r="C561" s="23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19"/>
      <c r="C562" s="23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19"/>
      <c r="C563" s="23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19"/>
      <c r="C564" s="23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19"/>
      <c r="C565" s="23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19"/>
      <c r="C566" s="23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19"/>
      <c r="C567" s="23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19"/>
      <c r="C568" s="23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19"/>
      <c r="C569" s="23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19"/>
      <c r="C570" s="23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19"/>
      <c r="C571" s="23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19"/>
      <c r="C572" s="23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19"/>
      <c r="C573" s="23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19"/>
      <c r="C574" s="23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19"/>
      <c r="C575" s="23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19"/>
      <c r="C576" s="23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19"/>
      <c r="C577" s="23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19"/>
      <c r="C578" s="23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19"/>
      <c r="C579" s="23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19"/>
      <c r="C580" s="23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19"/>
      <c r="C581" s="23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19"/>
      <c r="C582" s="23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19"/>
      <c r="C583" s="23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19"/>
      <c r="C584" s="23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19"/>
      <c r="C585" s="23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19"/>
      <c r="C586" s="23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19"/>
      <c r="C587" s="23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19"/>
      <c r="C588" s="23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19"/>
      <c r="C589" s="23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19"/>
      <c r="C590" s="23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19"/>
      <c r="C591" s="23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19"/>
      <c r="C592" s="23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19"/>
      <c r="C593" s="23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19"/>
      <c r="C594" s="23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19"/>
      <c r="C595" s="23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19"/>
      <c r="C596" s="23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19"/>
      <c r="C597" s="23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19"/>
      <c r="C598" s="23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19"/>
      <c r="C599" s="23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19"/>
      <c r="C600" s="23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19"/>
      <c r="C601" s="23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19"/>
      <c r="C602" s="23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19"/>
      <c r="C603" s="23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19"/>
      <c r="C604" s="23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19"/>
      <c r="C605" s="23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19"/>
      <c r="C606" s="23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19"/>
      <c r="C607" s="23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19"/>
      <c r="C608" s="23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19"/>
      <c r="C609" s="23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19"/>
      <c r="C610" s="23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19"/>
      <c r="C611" s="23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19"/>
      <c r="C612" s="23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19"/>
      <c r="C613" s="23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19"/>
      <c r="C614" s="23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19"/>
      <c r="C615" s="23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19"/>
      <c r="C616" s="23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19"/>
      <c r="C617" s="23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19"/>
      <c r="C618" s="23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19"/>
      <c r="C619" s="23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19"/>
      <c r="C620" s="23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19"/>
      <c r="C621" s="23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19"/>
      <c r="C622" s="23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19"/>
      <c r="C623" s="23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19"/>
      <c r="C624" s="23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19"/>
      <c r="C625" s="23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19"/>
      <c r="C626" s="23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19"/>
      <c r="C627" s="23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19"/>
      <c r="C628" s="23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19"/>
      <c r="C629" s="23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19"/>
      <c r="C630" s="23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19"/>
      <c r="C631" s="23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19"/>
      <c r="C632" s="23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19"/>
      <c r="C633" s="23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19"/>
      <c r="C634" s="23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19"/>
      <c r="C635" s="23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19"/>
      <c r="C636" s="23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19"/>
      <c r="C637" s="23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19"/>
      <c r="C638" s="23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19"/>
      <c r="C639" s="23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19"/>
      <c r="C640" s="23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19"/>
      <c r="C641" s="23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19"/>
      <c r="C642" s="23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19"/>
      <c r="C643" s="23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19"/>
      <c r="C644" s="23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19"/>
      <c r="C645" s="23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19"/>
      <c r="C646" s="23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19"/>
      <c r="C647" s="23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19"/>
      <c r="C648" s="23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19"/>
      <c r="C649" s="23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19"/>
      <c r="C650" s="23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19"/>
      <c r="C651" s="23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19"/>
      <c r="C652" s="23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19"/>
      <c r="C653" s="23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19"/>
      <c r="C654" s="23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19"/>
      <c r="C655" s="23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19"/>
      <c r="C656" s="23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19"/>
      <c r="C657" s="23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19"/>
      <c r="C658" s="23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19"/>
      <c r="C659" s="23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19"/>
      <c r="C660" s="23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19"/>
      <c r="C661" s="23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19"/>
      <c r="C662" s="23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19"/>
      <c r="C663" s="23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19"/>
      <c r="C664" s="23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19"/>
      <c r="C665" s="23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19"/>
      <c r="C666" s="23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19"/>
      <c r="C667" s="23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19"/>
      <c r="C668" s="23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19"/>
      <c r="C669" s="23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19"/>
      <c r="C670" s="23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19"/>
      <c r="C671" s="23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19"/>
      <c r="C672" s="23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19"/>
      <c r="C673" s="23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19"/>
      <c r="C674" s="23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19"/>
      <c r="C675" s="23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19"/>
      <c r="C676" s="23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19"/>
      <c r="C677" s="23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19"/>
      <c r="C678" s="23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19"/>
      <c r="C679" s="23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19"/>
      <c r="C680" s="23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19"/>
      <c r="C681" s="23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19"/>
      <c r="C682" s="23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19"/>
      <c r="C683" s="23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19"/>
      <c r="C684" s="23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19"/>
      <c r="C685" s="23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19"/>
      <c r="C686" s="23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19"/>
      <c r="C687" s="23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19"/>
      <c r="C688" s="23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19"/>
      <c r="C689" s="23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19"/>
      <c r="C690" s="23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19"/>
      <c r="C691" s="23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19"/>
      <c r="C692" s="23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19"/>
      <c r="C693" s="23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19"/>
      <c r="C694" s="23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19"/>
      <c r="C695" s="23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19"/>
      <c r="C696" s="23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19"/>
      <c r="C697" s="23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19"/>
      <c r="C698" s="23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19"/>
      <c r="C699" s="23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19"/>
      <c r="C700" s="23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19"/>
      <c r="C701" s="23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19"/>
      <c r="C702" s="23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19"/>
      <c r="C703" s="23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19"/>
      <c r="C704" s="23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19"/>
      <c r="C705" s="23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19"/>
      <c r="C706" s="23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19"/>
      <c r="C707" s="23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19"/>
      <c r="C708" s="23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19"/>
      <c r="C709" s="23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19"/>
      <c r="C710" s="23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19"/>
      <c r="C711" s="23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19"/>
      <c r="C712" s="23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19"/>
      <c r="C713" s="23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19"/>
      <c r="C714" s="23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19"/>
      <c r="C715" s="23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19"/>
      <c r="C716" s="23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19"/>
      <c r="C717" s="23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19"/>
      <c r="C718" s="23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19"/>
      <c r="C719" s="23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19"/>
      <c r="C720" s="23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19"/>
      <c r="C721" s="23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19"/>
      <c r="C722" s="23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19"/>
      <c r="C723" s="23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19"/>
      <c r="C724" s="23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19"/>
      <c r="C725" s="23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19"/>
      <c r="C726" s="23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19"/>
      <c r="C727" s="23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19"/>
      <c r="C728" s="23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19"/>
      <c r="C729" s="23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19"/>
      <c r="C730" s="23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19"/>
      <c r="C731" s="23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19"/>
      <c r="C732" s="23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19"/>
      <c r="C733" s="23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19"/>
      <c r="C734" s="23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19"/>
      <c r="C735" s="23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19"/>
      <c r="C736" s="23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19"/>
      <c r="C737" s="23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19"/>
      <c r="C738" s="23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19"/>
      <c r="C739" s="23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19"/>
      <c r="C740" s="23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19"/>
      <c r="C741" s="23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19"/>
      <c r="C742" s="23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19"/>
      <c r="C743" s="23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19"/>
      <c r="C744" s="23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19"/>
      <c r="C745" s="23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19"/>
      <c r="C746" s="23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19"/>
      <c r="C747" s="23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19"/>
      <c r="C748" s="23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19"/>
      <c r="C749" s="23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19"/>
      <c r="C750" s="23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19"/>
      <c r="C751" s="23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19"/>
      <c r="C752" s="23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19"/>
      <c r="C753" s="23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19"/>
      <c r="C754" s="23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19"/>
      <c r="C755" s="23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19"/>
      <c r="C756" s="23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19"/>
      <c r="C757" s="23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19"/>
      <c r="C758" s="23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19"/>
      <c r="C759" s="23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19"/>
      <c r="C760" s="23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19"/>
      <c r="C761" s="23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19"/>
      <c r="C762" s="23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19"/>
      <c r="C763" s="23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19"/>
      <c r="C764" s="23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19"/>
      <c r="C765" s="23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19"/>
      <c r="C766" s="23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19"/>
      <c r="C767" s="23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19"/>
      <c r="C768" s="23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19"/>
      <c r="C769" s="23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19"/>
      <c r="C770" s="23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19"/>
      <c r="C771" s="23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19"/>
      <c r="C772" s="23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19"/>
      <c r="C773" s="23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19"/>
      <c r="C774" s="23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19"/>
      <c r="C775" s="23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19"/>
      <c r="C776" s="23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19"/>
      <c r="C777" s="23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19"/>
      <c r="C778" s="23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19"/>
      <c r="C779" s="23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19"/>
      <c r="C780" s="23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19"/>
      <c r="C781" s="23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19"/>
      <c r="C782" s="23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19"/>
      <c r="C783" s="23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19"/>
      <c r="C784" s="23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19"/>
      <c r="C785" s="23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19"/>
      <c r="C786" s="23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19"/>
      <c r="C787" s="23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19"/>
      <c r="C788" s="23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19"/>
      <c r="C789" s="23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19"/>
      <c r="C790" s="23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19"/>
      <c r="C791" s="23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19"/>
      <c r="C792" s="23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19"/>
      <c r="C793" s="23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19"/>
      <c r="C794" s="23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19"/>
      <c r="C795" s="23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19"/>
      <c r="C796" s="23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19"/>
      <c r="C797" s="23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19"/>
      <c r="C798" s="23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19"/>
      <c r="C799" s="23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19"/>
      <c r="C800" s="23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19"/>
      <c r="C801" s="23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19"/>
      <c r="C802" s="23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19"/>
      <c r="C803" s="23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19"/>
      <c r="C804" s="23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19"/>
      <c r="C805" s="23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19"/>
      <c r="C806" s="23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19"/>
      <c r="C807" s="23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19"/>
      <c r="C808" s="23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19"/>
      <c r="C809" s="23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19"/>
      <c r="C810" s="23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19"/>
      <c r="C811" s="23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19"/>
      <c r="C812" s="23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19"/>
      <c r="C813" s="23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19"/>
      <c r="C814" s="23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19"/>
      <c r="C815" s="23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19"/>
      <c r="C816" s="23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19"/>
      <c r="C817" s="23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19"/>
      <c r="C818" s="23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19"/>
      <c r="C819" s="23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19"/>
      <c r="C820" s="23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19"/>
      <c r="C821" s="23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19"/>
      <c r="C822" s="23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19"/>
      <c r="C823" s="23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19"/>
      <c r="C824" s="23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19"/>
      <c r="C825" s="23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19"/>
      <c r="C826" s="23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19"/>
      <c r="C827" s="23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19"/>
      <c r="C828" s="23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19"/>
      <c r="C829" s="23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19"/>
      <c r="C830" s="23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19"/>
      <c r="C831" s="23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19"/>
      <c r="C832" s="23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19"/>
      <c r="C833" s="23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19"/>
      <c r="C834" s="23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19"/>
      <c r="C835" s="23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19"/>
      <c r="C836" s="23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19"/>
      <c r="C837" s="23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19"/>
      <c r="C838" s="23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19"/>
      <c r="C839" s="23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19"/>
      <c r="C840" s="23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19"/>
      <c r="C841" s="23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19"/>
      <c r="C842" s="23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19"/>
      <c r="C843" s="23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19"/>
      <c r="C844" s="23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19"/>
      <c r="C845" s="23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19"/>
      <c r="C846" s="23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19"/>
      <c r="C847" s="23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19"/>
      <c r="C848" s="23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19"/>
      <c r="C849" s="23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19"/>
      <c r="C850" s="23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19"/>
      <c r="C851" s="23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19"/>
      <c r="C852" s="23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19"/>
      <c r="C853" s="23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19"/>
      <c r="C854" s="23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19"/>
      <c r="C855" s="23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19"/>
      <c r="C856" s="23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19"/>
      <c r="C857" s="23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19"/>
      <c r="C858" s="23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19"/>
      <c r="C859" s="23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19"/>
      <c r="C860" s="23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19"/>
      <c r="C861" s="23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19"/>
      <c r="C862" s="23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19"/>
      <c r="C863" s="23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19"/>
      <c r="C864" s="23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19"/>
      <c r="C865" s="23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19"/>
      <c r="C866" s="23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19"/>
      <c r="C867" s="23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19"/>
      <c r="C868" s="23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19"/>
      <c r="C869" s="23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19"/>
      <c r="C870" s="23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19"/>
      <c r="C871" s="23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19"/>
      <c r="C872" s="23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19"/>
      <c r="C873" s="23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19"/>
      <c r="C874" s="23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19"/>
      <c r="C875" s="23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19"/>
      <c r="C876" s="23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19"/>
      <c r="C877" s="23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19"/>
      <c r="C878" s="23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19"/>
      <c r="C879" s="23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19"/>
      <c r="C880" s="23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19"/>
      <c r="C881" s="23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19"/>
      <c r="C882" s="23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19"/>
      <c r="C883" s="23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19"/>
      <c r="C884" s="23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19"/>
      <c r="C885" s="23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19"/>
      <c r="C886" s="23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19"/>
      <c r="C887" s="23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19"/>
      <c r="C888" s="23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19"/>
      <c r="C889" s="23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19"/>
      <c r="C890" s="23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19"/>
      <c r="C891" s="23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19"/>
      <c r="C892" s="23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19"/>
      <c r="C893" s="23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19"/>
      <c r="C894" s="23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19"/>
      <c r="C895" s="23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19"/>
      <c r="C896" s="23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19"/>
      <c r="C897" s="23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19"/>
      <c r="C898" s="23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19"/>
      <c r="C899" s="23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19"/>
      <c r="C900" s="23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19"/>
      <c r="C901" s="23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19"/>
      <c r="C902" s="23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19"/>
      <c r="C903" s="23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19"/>
      <c r="C904" s="23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19"/>
      <c r="C905" s="23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19"/>
      <c r="C906" s="23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19"/>
      <c r="C907" s="23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19"/>
      <c r="C908" s="23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19"/>
      <c r="C909" s="23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19"/>
      <c r="C910" s="23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19"/>
      <c r="C911" s="23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19"/>
      <c r="C912" s="23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19"/>
      <c r="C913" s="23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19"/>
      <c r="C914" s="23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19"/>
      <c r="C915" s="23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19"/>
      <c r="C916" s="23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19"/>
      <c r="C917" s="23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19"/>
      <c r="C918" s="23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19"/>
      <c r="C919" s="23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19"/>
      <c r="C920" s="23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19"/>
      <c r="C921" s="23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19"/>
      <c r="C922" s="23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19"/>
      <c r="C923" s="23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19"/>
      <c r="C924" s="23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19"/>
      <c r="C925" s="23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19"/>
      <c r="C926" s="23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19"/>
      <c r="C927" s="23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19"/>
      <c r="C928" s="23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19"/>
      <c r="C929" s="23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19"/>
      <c r="C930" s="23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19"/>
      <c r="C931" s="23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19"/>
      <c r="C932" s="23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19"/>
      <c r="C933" s="23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19"/>
      <c r="C934" s="23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19"/>
      <c r="C935" s="23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19"/>
      <c r="C936" s="23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19"/>
      <c r="C937" s="23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19"/>
      <c r="C938" s="23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19"/>
      <c r="C939" s="23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19"/>
      <c r="C940" s="23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19"/>
      <c r="C941" s="23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19"/>
      <c r="C942" s="23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19"/>
      <c r="C943" s="23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19"/>
      <c r="C944" s="23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19"/>
      <c r="C945" s="23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19"/>
      <c r="C946" s="23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19"/>
      <c r="C947" s="23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19"/>
      <c r="C948" s="23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19"/>
      <c r="C949" s="23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19"/>
      <c r="C950" s="23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19"/>
      <c r="C951" s="23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19"/>
      <c r="C952" s="23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19"/>
      <c r="C953" s="23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19"/>
      <c r="C954" s="23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19"/>
      <c r="C955" s="23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19"/>
      <c r="C956" s="23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19"/>
      <c r="C957" s="23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19"/>
      <c r="C958" s="23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19"/>
      <c r="C959" s="23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19"/>
      <c r="C960" s="23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19"/>
      <c r="C961" s="23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19"/>
      <c r="C962" s="23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19"/>
      <c r="C963" s="23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19"/>
      <c r="C964" s="23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19"/>
      <c r="C965" s="23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19"/>
      <c r="C966" s="23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19"/>
      <c r="C967" s="23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19"/>
      <c r="C968" s="23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19"/>
      <c r="C969" s="23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19"/>
      <c r="C970" s="23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19"/>
      <c r="C971" s="23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19"/>
      <c r="C972" s="23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19"/>
      <c r="C973" s="23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19"/>
      <c r="C974" s="23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19"/>
      <c r="C975" s="23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19"/>
      <c r="C976" s="23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19"/>
      <c r="C977" s="23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19"/>
      <c r="C978" s="23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19"/>
      <c r="C979" s="23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19"/>
      <c r="C980" s="23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19"/>
      <c r="C981" s="23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19"/>
      <c r="C982" s="23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19"/>
      <c r="C983" s="23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19"/>
      <c r="C984" s="23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19"/>
      <c r="C985" s="23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19"/>
      <c r="C986" s="23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19"/>
      <c r="C987" s="23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19"/>
      <c r="C988" s="23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19"/>
      <c r="C989" s="23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19"/>
      <c r="C990" s="23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19"/>
      <c r="C991" s="23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19"/>
      <c r="C992" s="23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19"/>
      <c r="C993" s="23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19"/>
      <c r="C994" s="23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19"/>
      <c r="C995" s="23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19"/>
      <c r="C996" s="23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19"/>
      <c r="C997" s="23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19"/>
      <c r="C998" s="23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19"/>
      <c r="C999" s="23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19"/>
      <c r="C1000" s="23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  <row r="1001">
      <c r="A1001" s="7"/>
      <c r="B1001" s="19"/>
      <c r="C1001" s="23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</row>
    <row r="1002">
      <c r="A1002" s="7"/>
      <c r="B1002" s="19"/>
      <c r="C1002" s="23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</row>
    <row r="1003">
      <c r="A1003" s="7"/>
      <c r="B1003" s="19"/>
      <c r="C1003" s="23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38"/>
  </cols>
  <sheetData>
    <row r="1">
      <c r="A1" s="1" t="str">
        <f>Specs!E1</f>
        <v>Wireless</v>
      </c>
      <c r="B1" s="39" t="s">
        <v>135</v>
      </c>
      <c r="C1" s="39" t="s">
        <v>136</v>
      </c>
      <c r="D1" s="39" t="s">
        <v>137</v>
      </c>
      <c r="E1" s="39" t="s">
        <v>138</v>
      </c>
      <c r="F1" s="39" t="s">
        <v>139</v>
      </c>
      <c r="G1" s="39" t="s">
        <v>140</v>
      </c>
      <c r="H1" s="39" t="s">
        <v>141</v>
      </c>
      <c r="I1" s="39" t="s">
        <v>142</v>
      </c>
      <c r="J1" s="39" t="s">
        <v>143</v>
      </c>
      <c r="K1" s="39" t="s">
        <v>144</v>
      </c>
      <c r="L1" s="39" t="s">
        <v>145</v>
      </c>
      <c r="M1" s="39" t="s">
        <v>146</v>
      </c>
      <c r="N1" s="39" t="s">
        <v>147</v>
      </c>
      <c r="O1" s="39" t="s">
        <v>148</v>
      </c>
      <c r="P1" s="40"/>
      <c r="Q1" s="39" t="s">
        <v>149</v>
      </c>
      <c r="R1" s="39" t="s">
        <v>150</v>
      </c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>
      <c r="A2" s="8" t="str">
        <f>Specs!E2</f>
        <v>Loại Access Point (indoor/outdoor)</v>
      </c>
      <c r="B2" s="43" t="s">
        <v>151</v>
      </c>
      <c r="C2" s="43" t="s">
        <v>151</v>
      </c>
      <c r="D2" s="43" t="s">
        <v>151</v>
      </c>
      <c r="E2" s="43" t="s">
        <v>151</v>
      </c>
      <c r="F2" s="43" t="s">
        <v>151</v>
      </c>
      <c r="G2" s="43" t="s">
        <v>151</v>
      </c>
      <c r="H2" s="43" t="s">
        <v>151</v>
      </c>
      <c r="I2" s="43" t="s">
        <v>151</v>
      </c>
      <c r="J2" s="43" t="s">
        <v>151</v>
      </c>
      <c r="K2" s="43" t="s">
        <v>151</v>
      </c>
      <c r="L2" s="43" t="s">
        <v>152</v>
      </c>
      <c r="M2" s="43" t="s">
        <v>152</v>
      </c>
      <c r="N2" s="43" t="s">
        <v>152</v>
      </c>
      <c r="O2" s="43" t="s">
        <v>152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</row>
    <row r="3">
      <c r="A3" s="8" t="str">
        <f>Specs!E3</f>
        <v>Công nghệ WiFi (WiFi6/WiFi7)</v>
      </c>
      <c r="B3" s="43" t="s">
        <v>153</v>
      </c>
      <c r="C3" s="43" t="s">
        <v>153</v>
      </c>
      <c r="D3" s="43" t="s">
        <v>153</v>
      </c>
      <c r="E3" s="43" t="s">
        <v>153</v>
      </c>
      <c r="F3" s="43" t="s">
        <v>153</v>
      </c>
      <c r="G3" s="43" t="s">
        <v>154</v>
      </c>
      <c r="H3" s="43" t="s">
        <v>154</v>
      </c>
      <c r="I3" s="43" t="s">
        <v>154</v>
      </c>
      <c r="J3" s="43" t="s">
        <v>154</v>
      </c>
      <c r="K3" s="43" t="s">
        <v>154</v>
      </c>
      <c r="L3" s="43" t="s">
        <v>155</v>
      </c>
      <c r="M3" s="43" t="s">
        <v>155</v>
      </c>
      <c r="N3" s="43" t="s">
        <v>155</v>
      </c>
      <c r="O3" s="43" t="s">
        <v>153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</row>
    <row r="4">
      <c r="A4" s="8" t="str">
        <f>Specs!E4</f>
        <v>Số lượng người dùng trong phạm vi phủ sóng 1 AP</v>
      </c>
      <c r="B4" s="43">
        <v>400.0</v>
      </c>
      <c r="C4" s="43">
        <v>400.0</v>
      </c>
      <c r="D4" s="43">
        <v>400.0</v>
      </c>
      <c r="E4" s="43">
        <v>400.0</v>
      </c>
      <c r="F4" s="43">
        <v>400.0</v>
      </c>
      <c r="G4" s="43">
        <v>256.0</v>
      </c>
      <c r="H4" s="43">
        <v>256.0</v>
      </c>
      <c r="I4" s="43">
        <v>400.0</v>
      </c>
      <c r="J4" s="43">
        <v>400.0</v>
      </c>
      <c r="K4" s="43">
        <v>400.0</v>
      </c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</row>
    <row r="5">
      <c r="A5" s="8" t="str">
        <f>Specs!E5</f>
        <v>Bán kính phủ sóng (m)</v>
      </c>
      <c r="B5" s="45">
        <f t="shared" ref="B5:O5" si="1">roundup(1000*POWER(10,(((B18+B19-0-(-75)-30)-32.44-20*LOG10(6000))/20)),0)</f>
        <v>20</v>
      </c>
      <c r="C5" s="45">
        <f t="shared" si="1"/>
        <v>13</v>
      </c>
      <c r="D5" s="45">
        <f t="shared" si="1"/>
        <v>16</v>
      </c>
      <c r="E5" s="45">
        <f t="shared" si="1"/>
        <v>16</v>
      </c>
      <c r="F5" s="45">
        <f t="shared" si="1"/>
        <v>26</v>
      </c>
      <c r="G5" s="45">
        <f t="shared" si="1"/>
        <v>20</v>
      </c>
      <c r="H5" s="45">
        <f t="shared" si="1"/>
        <v>20</v>
      </c>
      <c r="I5" s="45">
        <f t="shared" si="1"/>
        <v>20</v>
      </c>
      <c r="J5" s="45">
        <f t="shared" si="1"/>
        <v>26</v>
      </c>
      <c r="K5" s="45">
        <f t="shared" si="1"/>
        <v>20</v>
      </c>
      <c r="L5" s="45">
        <f t="shared" si="1"/>
        <v>51</v>
      </c>
      <c r="M5" s="45">
        <f t="shared" si="1"/>
        <v>64</v>
      </c>
      <c r="N5" s="45">
        <f t="shared" si="1"/>
        <v>100</v>
      </c>
      <c r="O5" s="45">
        <f t="shared" si="1"/>
        <v>26</v>
      </c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</row>
    <row r="6">
      <c r="A6" s="8" t="s">
        <v>156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</row>
    <row r="7">
      <c r="A7" s="8" t="s">
        <v>157</v>
      </c>
      <c r="B7" s="43">
        <v>2.0</v>
      </c>
      <c r="C7" s="43">
        <v>1.0</v>
      </c>
      <c r="D7" s="43">
        <v>1.0</v>
      </c>
      <c r="E7" s="43">
        <v>1.0</v>
      </c>
      <c r="F7" s="43">
        <v>1.0</v>
      </c>
      <c r="G7" s="43">
        <v>1.0</v>
      </c>
      <c r="H7" s="43">
        <v>1.0</v>
      </c>
      <c r="I7" s="43">
        <v>1.0</v>
      </c>
      <c r="J7" s="43">
        <v>1.0</v>
      </c>
      <c r="K7" s="43">
        <v>2.0</v>
      </c>
      <c r="L7" s="43">
        <v>1.0</v>
      </c>
      <c r="M7" s="43">
        <v>1.0</v>
      </c>
      <c r="N7" s="43">
        <v>1.0</v>
      </c>
      <c r="O7" s="43">
        <v>1.0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</row>
    <row r="8">
      <c r="A8" s="8" t="s">
        <v>158</v>
      </c>
      <c r="B8" s="8"/>
      <c r="C8" s="8"/>
      <c r="D8" s="8"/>
      <c r="E8" s="8"/>
      <c r="F8" s="8"/>
      <c r="G8" s="8"/>
      <c r="H8" s="8"/>
      <c r="I8" s="43">
        <v>1.0</v>
      </c>
      <c r="J8" s="43">
        <v>1.0</v>
      </c>
      <c r="K8" s="43">
        <v>2.0</v>
      </c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</row>
    <row r="9">
      <c r="A9" s="8" t="s">
        <v>159</v>
      </c>
      <c r="B9" s="8"/>
      <c r="C9" s="8"/>
      <c r="D9" s="8"/>
      <c r="E9" s="8"/>
      <c r="F9" s="8"/>
      <c r="G9" s="8"/>
      <c r="H9" s="8"/>
      <c r="I9" s="8"/>
      <c r="J9" s="8"/>
      <c r="K9" s="8"/>
      <c r="L9" s="43">
        <v>1.0</v>
      </c>
      <c r="M9" s="43">
        <v>1.0</v>
      </c>
      <c r="N9" s="43">
        <v>1.0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</row>
    <row r="10">
      <c r="A10" s="8" t="s">
        <v>160</v>
      </c>
      <c r="B10" s="43" t="s">
        <v>161</v>
      </c>
      <c r="C10" s="43" t="s">
        <v>161</v>
      </c>
      <c r="D10" s="43" t="s">
        <v>161</v>
      </c>
      <c r="E10" s="43" t="s">
        <v>161</v>
      </c>
      <c r="F10" s="43" t="s">
        <v>162</v>
      </c>
      <c r="G10" s="43" t="s">
        <v>161</v>
      </c>
      <c r="H10" s="43" t="s">
        <v>161</v>
      </c>
      <c r="I10" s="43" t="s">
        <v>161</v>
      </c>
      <c r="J10" s="43" t="s">
        <v>162</v>
      </c>
      <c r="K10" s="43" t="s">
        <v>161</v>
      </c>
      <c r="L10" s="43" t="s">
        <v>161</v>
      </c>
      <c r="M10" s="43" t="s">
        <v>162</v>
      </c>
      <c r="N10" s="43" t="s">
        <v>163</v>
      </c>
      <c r="O10" s="43" t="s">
        <v>163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</row>
    <row r="11">
      <c r="A11" s="7" t="s">
        <v>164</v>
      </c>
      <c r="B11" s="25" t="str">
        <f t="shared" ref="B11:P11" si="2">if(ISNUMBER(find("WiFi6",B3)),"Mid Range",if(ISNUMBER(find("WiFi7",B3)),"High End",""))</f>
        <v>Mid Range</v>
      </c>
      <c r="C11" s="25" t="str">
        <f t="shared" si="2"/>
        <v>Mid Range</v>
      </c>
      <c r="D11" s="25" t="str">
        <f t="shared" si="2"/>
        <v>Mid Range</v>
      </c>
      <c r="E11" s="25" t="str">
        <f t="shared" si="2"/>
        <v>Mid Range</v>
      </c>
      <c r="F11" s="25" t="str">
        <f t="shared" si="2"/>
        <v>Mid Range</v>
      </c>
      <c r="G11" s="25" t="str">
        <f t="shared" si="2"/>
        <v>High End</v>
      </c>
      <c r="H11" s="25" t="str">
        <f t="shared" si="2"/>
        <v>High End</v>
      </c>
      <c r="I11" s="25" t="str">
        <f t="shared" si="2"/>
        <v>High End</v>
      </c>
      <c r="J11" s="25" t="str">
        <f t="shared" si="2"/>
        <v>High End</v>
      </c>
      <c r="K11" s="25" t="str">
        <f t="shared" si="2"/>
        <v>High End</v>
      </c>
      <c r="L11" s="25" t="str">
        <f t="shared" si="2"/>
        <v>Mid Range</v>
      </c>
      <c r="M11" s="25" t="str">
        <f t="shared" si="2"/>
        <v>Mid Range</v>
      </c>
      <c r="N11" s="25" t="str">
        <f t="shared" si="2"/>
        <v>Mid Range</v>
      </c>
      <c r="O11" s="25" t="str">
        <f t="shared" si="2"/>
        <v>Mid Range</v>
      </c>
      <c r="P11" s="7" t="str">
        <f t="shared" si="2"/>
        <v/>
      </c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25" t="s">
        <v>25</v>
      </c>
      <c r="AR11" s="25" t="s">
        <v>25</v>
      </c>
      <c r="AS11" s="25" t="s">
        <v>25</v>
      </c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</row>
    <row r="12">
      <c r="A12" s="7" t="s">
        <v>27</v>
      </c>
      <c r="B12" s="27">
        <f>iferror(vlookup(B1,AllListPrice!$A$2:$D$1000,4,0),0)</f>
        <v>4892.02</v>
      </c>
      <c r="C12" s="27">
        <f>iferror(vlookup(C1,AllListPrice!$A$2:$D$1000,4,0),0)</f>
        <v>2476.36</v>
      </c>
      <c r="D12" s="27">
        <f>iferror(vlookup(D1,AllListPrice!$A$2:$D$1000,4,0),0)</f>
        <v>3786.46</v>
      </c>
      <c r="E12" s="27">
        <f>iferror(vlookup(E1,AllListPrice!$A$2:$D$1000,4,0),0)</f>
        <v>4201.05</v>
      </c>
      <c r="F12" s="27">
        <f>iferror(vlookup(F1,AllListPrice!$A$2:$D$1000,4,0),0)</f>
        <v>4615.63</v>
      </c>
      <c r="G12" s="27">
        <f>iferror(vlookup(G1,AllListPrice!$A$2:$D$1000,4,0),0)</f>
        <v>2643.68</v>
      </c>
      <c r="H12" s="27">
        <f>iferror(vlookup(H1,AllListPrice!$A$2:$D$1000,4,0),0)</f>
        <v>2350.28</v>
      </c>
      <c r="I12" s="27">
        <f>iferror(vlookup(I1,AllListPrice!$A$2:$D$1000,4,0),0)</f>
        <v>4414.06</v>
      </c>
      <c r="J12" s="27">
        <f>iferror(vlookup(J1,AllListPrice!$A$2:$D$1000,4,0),0)</f>
        <v>4854.66</v>
      </c>
      <c r="K12" s="27">
        <f>iferror(vlookup(K1,AllListPrice!$A$2:$D$1000,4,0),0)</f>
        <v>5149.29</v>
      </c>
      <c r="L12" s="27">
        <f>iferror(vlookup(L1,AllListPrice!$A$2:$D$1000,4,0),0)</f>
        <v>4605.48</v>
      </c>
      <c r="M12" s="27">
        <f>iferror(vlookup(M1,AllListPrice!$A$2:$D$1000,4,0),0)</f>
        <v>4933.2</v>
      </c>
      <c r="N12" s="27">
        <f>iferror(vlookup(N1,AllListPrice!$A$2:$D$1000,4,0),0)</f>
        <v>4933.2</v>
      </c>
      <c r="O12" s="27">
        <f>iferror(vlookup(O1,AllListPrice!$A$2:$D$1000,4,0),0)</f>
        <v>4041.49</v>
      </c>
      <c r="P12" s="27">
        <f>iferror(vlookup(P1,AllListPrice!$A$2:$D$1000,4,0),0)</f>
        <v>0</v>
      </c>
      <c r="Q12" s="27">
        <f>iferror(vlookup(Q1,AllListPrice!$A$2:$D$1000,4,0),0)</f>
        <v>483.4</v>
      </c>
      <c r="R12" s="27">
        <f>iferror(vlookup(R1,AllListPrice!$A$2:$D$1000,4,0),0)</f>
        <v>1292.5</v>
      </c>
      <c r="S12" s="27">
        <f>iferror(vlookup(S1,AllListPrice!$A$2:$D$1000,4,0),0)</f>
        <v>0</v>
      </c>
      <c r="T12" s="27">
        <f>iferror(vlookup(T1,AllListPrice!$A$2:$D$1000,4,0),0)</f>
        <v>0</v>
      </c>
      <c r="U12" s="27">
        <f>iferror(vlookup(U1,AllListPrice!$A$2:$D$1000,4,0),0)</f>
        <v>0</v>
      </c>
      <c r="V12" s="27">
        <f>iferror(vlookup(V1,AllListPrice!$A$2:$D$1000,4,0),0)</f>
        <v>0</v>
      </c>
      <c r="W12" s="27">
        <f>iferror(vlookup(W1,AllListPrice!$A$2:$D$1000,4,0),0)</f>
        <v>0</v>
      </c>
      <c r="X12" s="27">
        <f>iferror(vlookup(X1,AllListPrice!$A$2:$D$1000,4,0),0)</f>
        <v>0</v>
      </c>
      <c r="Y12" s="27">
        <f>iferror(vlookup(Y1,AllListPrice!$A$2:$D$1000,4,0),0)</f>
        <v>0</v>
      </c>
      <c r="Z12" s="27">
        <f>iferror(vlookup(Z1,AllListPrice!$A$2:$D$1000,4,0),0)</f>
        <v>0</v>
      </c>
      <c r="AA12" s="27">
        <f>iferror(vlookup(AA1,AllListPrice!$A$2:$D$1000,4,0),0)</f>
        <v>0</v>
      </c>
      <c r="AB12" s="27">
        <f>iferror(vlookup(AB1,AllListPrice!$A$2:$D$1000,4,0),0)</f>
        <v>0</v>
      </c>
      <c r="AC12" s="27">
        <f>iferror(vlookup(AC1,AllListPrice!$A$2:$D$1000,4,0),0)</f>
        <v>0</v>
      </c>
      <c r="AD12" s="27">
        <f>iferror(vlookup(AD1,AllListPrice!$A$2:$D$1000,4,0),0)</f>
        <v>0</v>
      </c>
      <c r="AE12" s="27">
        <f>iferror(vlookup(AE1,AllListPrice!$A$2:$D$1000,4,0),0)</f>
        <v>0</v>
      </c>
      <c r="AF12" s="27">
        <f>iferror(vlookup(AF1,AllListPrice!$A$2:$D$1000,4,0),0)</f>
        <v>0</v>
      </c>
      <c r="AG12" s="27">
        <f>iferror(vlookup(AG1,AllListPrice!$A$2:$D$1000,4,0),0)</f>
        <v>0</v>
      </c>
      <c r="AH12" s="27">
        <f>iferror(vlookup(AH1,AllListPrice!$A$2:$D$1000,4,0),0)</f>
        <v>0</v>
      </c>
      <c r="AI12" s="27">
        <f>iferror(vlookup(AI1,AllListPrice!$A$2:$D$1000,4,0),0)</f>
        <v>0</v>
      </c>
      <c r="AJ12" s="27">
        <f>iferror(vlookup(AJ1,AllListPrice!$A$2:$D$1000,4,0),0)</f>
        <v>0</v>
      </c>
      <c r="AK12" s="27">
        <f>iferror(vlookup(AK1,AllListPrice!$A$2:$D$1000,4,0),0)</f>
        <v>0</v>
      </c>
      <c r="AL12" s="27">
        <f>iferror(vlookup(AL1,AllListPrice!$A$2:$D$1000,4,0),0)</f>
        <v>0</v>
      </c>
      <c r="AM12" s="27">
        <f>iferror(vlookup(AM1,AllListPrice!$A$2:$D$1000,4,0),0)</f>
        <v>0</v>
      </c>
      <c r="AN12" s="27">
        <f>iferror(vlookup(AN1,AllListPrice!$A$2:$D$1000,4,0),0)</f>
        <v>0</v>
      </c>
      <c r="AO12" s="27">
        <f>iferror(vlookup(AO1,AllListPrice!$A$2:$D$1000,4,0),0)</f>
        <v>0</v>
      </c>
      <c r="AP12" s="27">
        <f>iferror(vlookup(AP1,AllListPrice!$A$2:$D$1000,4,0),0)</f>
        <v>0</v>
      </c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</row>
    <row r="16">
      <c r="A16" s="7" t="str">
        <f t="shared" ref="A16:A17" si="3">A9</f>
        <v>Số lượng cổng Uplink 1GE SFP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</row>
    <row r="17">
      <c r="A17" s="7" t="str">
        <f t="shared" si="3"/>
        <v>Antenna Type (Omni or Directional)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</row>
    <row r="18">
      <c r="A18" s="7" t="s">
        <v>165</v>
      </c>
      <c r="B18" s="25">
        <v>23.0</v>
      </c>
      <c r="C18" s="25">
        <v>20.0</v>
      </c>
      <c r="D18" s="25">
        <v>23.0</v>
      </c>
      <c r="E18" s="25">
        <v>23.0</v>
      </c>
      <c r="F18" s="25">
        <v>23.0</v>
      </c>
      <c r="G18" s="25">
        <v>23.0</v>
      </c>
      <c r="H18" s="25">
        <v>23.0</v>
      </c>
      <c r="I18" s="25">
        <v>23.0</v>
      </c>
      <c r="J18" s="25">
        <v>23.0</v>
      </c>
      <c r="K18" s="25">
        <v>23.0</v>
      </c>
      <c r="L18" s="25">
        <v>30.0</v>
      </c>
      <c r="M18" s="25">
        <v>30.0</v>
      </c>
      <c r="N18" s="25">
        <v>30.0</v>
      </c>
      <c r="O18" s="25">
        <v>23.0</v>
      </c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</row>
    <row r="19">
      <c r="A19" s="7" t="s">
        <v>166</v>
      </c>
      <c r="B19" s="25">
        <v>6.0</v>
      </c>
      <c r="C19" s="25">
        <v>5.0</v>
      </c>
      <c r="D19" s="25">
        <v>4.0</v>
      </c>
      <c r="E19" s="25">
        <v>4.0</v>
      </c>
      <c r="F19" s="25">
        <v>8.0</v>
      </c>
      <c r="G19" s="25">
        <v>6.0</v>
      </c>
      <c r="H19" s="25">
        <v>6.0</v>
      </c>
      <c r="I19" s="25">
        <v>6.0</v>
      </c>
      <c r="J19" s="25">
        <v>8.0</v>
      </c>
      <c r="K19" s="25">
        <v>6.0</v>
      </c>
      <c r="L19" s="25">
        <v>7.0</v>
      </c>
      <c r="M19" s="25">
        <v>9.0</v>
      </c>
      <c r="N19" s="25">
        <v>13.0</v>
      </c>
      <c r="O19" s="25">
        <v>8.0</v>
      </c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2" max="2" width="22.13"/>
  </cols>
  <sheetData>
    <row r="1">
      <c r="A1" s="48" t="s">
        <v>167</v>
      </c>
      <c r="B1" s="48" t="s">
        <v>168</v>
      </c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>
      <c r="A2" s="50" t="str">
        <f>IFERROR(__xludf.DUMMYFUNCTION("transpose(HSTACK(
FILTER(Router!D1:EA1, Router!D1:EA1&lt;&gt;""""),
FILTER(SwitchCampus!D1:CO1, SwitchCampus!D1:CO1&lt;&gt;""""),
FILTER(NexusSwitch!D1:CY1, NexusSwitch!D1:CY1&lt;&gt;""""),
FILTER(ModularSwitch!D1:CX1, ModularSwitch!D1:CX1&lt;&gt;""""),
FILTER(WiFi!D1:CO1, WiFi!"&amp;"D1:CO1&lt;&gt;""""),
FILTER(SFP!D1:CP1, SFP!D1:CP1&lt;&gt;"""")
))"),"C1161-8P")</f>
        <v>C1161-8P</v>
      </c>
      <c r="B2" s="51">
        <f>countif(AllListPrice!A:A,A2)</f>
        <v>1</v>
      </c>
    </row>
    <row r="3">
      <c r="A3" s="50" t="str">
        <f>IFERROR(__xludf.DUMMYFUNCTION("""COMPUTED_VALUE"""),"C1161X-8P")</f>
        <v>C1161X-8P</v>
      </c>
      <c r="B3" s="51">
        <f>countif(AllListPrice!A:A,A3)</f>
        <v>1</v>
      </c>
    </row>
    <row r="4">
      <c r="A4" s="50" t="str">
        <f>IFERROR(__xludf.DUMMYFUNCTION("""COMPUTED_VALUE"""),"C1131-8PWS")</f>
        <v>C1131-8PWS</v>
      </c>
      <c r="B4" s="51">
        <f>countif(AllListPrice!A:A,A4)</f>
        <v>1</v>
      </c>
    </row>
    <row r="5">
      <c r="A5" s="50" t="str">
        <f>IFERROR(__xludf.DUMMYFUNCTION("""COMPUTED_VALUE"""),"C1131X-8PWS")</f>
        <v>C1131X-8PWS</v>
      </c>
      <c r="B5" s="51">
        <f>countif(AllListPrice!A:A,A5)</f>
        <v>1</v>
      </c>
    </row>
    <row r="6">
      <c r="A6" s="50" t="str">
        <f>IFERROR(__xludf.DUMMYFUNCTION("""COMPUTED_VALUE"""),"C1121-4P")</f>
        <v>C1121-4P</v>
      </c>
      <c r="B6" s="51">
        <f>countif(AllListPrice!A:A,A6)</f>
        <v>1</v>
      </c>
    </row>
    <row r="7">
      <c r="A7" s="50" t="str">
        <f>IFERROR(__xludf.DUMMYFUNCTION("""COMPUTED_VALUE"""),"C1121-8P")</f>
        <v>C1121-8P</v>
      </c>
      <c r="B7" s="51">
        <f>countif(AllListPrice!A:A,A7)</f>
        <v>1</v>
      </c>
    </row>
    <row r="8">
      <c r="A8" s="50" t="str">
        <f>IFERROR(__xludf.DUMMYFUNCTION("""COMPUTED_VALUE"""),"C1127-8PLTEP")</f>
        <v>C1127-8PLTEP</v>
      </c>
      <c r="B8" s="51">
        <f>countif(AllListPrice!A:A,A8)</f>
        <v>1</v>
      </c>
    </row>
    <row r="9">
      <c r="A9" s="50" t="str">
        <f>IFERROR(__xludf.DUMMYFUNCTION("""COMPUTED_VALUE"""),"C1116-4P")</f>
        <v>C1116-4P</v>
      </c>
      <c r="B9" s="51">
        <f>countif(AllListPrice!A:A,A9)</f>
        <v>1</v>
      </c>
    </row>
    <row r="10">
      <c r="A10" s="50" t="str">
        <f>IFERROR(__xludf.DUMMYFUNCTION("""COMPUTED_VALUE"""),"C1117-4P")</f>
        <v>C1117-4P</v>
      </c>
      <c r="B10" s="51">
        <f>countif(AllListPrice!A:A,A10)</f>
        <v>1</v>
      </c>
    </row>
    <row r="11">
      <c r="A11" s="50" t="str">
        <f>IFERROR(__xludf.DUMMYFUNCTION("""COMPUTED_VALUE"""),"C1112-8P")</f>
        <v>C1112-8P</v>
      </c>
      <c r="B11" s="51">
        <f>countif(AllListPrice!A:A,A11)</f>
        <v>1</v>
      </c>
    </row>
    <row r="12">
      <c r="A12" s="50" t="str">
        <f>IFERROR(__xludf.DUMMYFUNCTION("""COMPUTED_VALUE"""),"C1109-4PLTE2P")</f>
        <v>C1109-4PLTE2P</v>
      </c>
      <c r="B12" s="51">
        <f>countif(AllListPrice!A:A,A12)</f>
        <v>1</v>
      </c>
    </row>
    <row r="13">
      <c r="A13" s="50" t="str">
        <f>IFERROR(__xludf.DUMMYFUNCTION("""COMPUTED_VALUE"""),"C8200L-1N-4T")</f>
        <v>C8200L-1N-4T</v>
      </c>
      <c r="B13" s="51">
        <f>countif(AllListPrice!A:A,A13)</f>
        <v>1</v>
      </c>
    </row>
    <row r="14">
      <c r="A14" s="50" t="str">
        <f>IFERROR(__xludf.DUMMYFUNCTION("""COMPUTED_VALUE"""),"C8200-1N-4T")</f>
        <v>C8200-1N-4T</v>
      </c>
      <c r="B14" s="51">
        <f>countif(AllListPrice!A:A,A14)</f>
        <v>1</v>
      </c>
    </row>
    <row r="15">
      <c r="A15" s="50" t="str">
        <f>IFERROR(__xludf.DUMMYFUNCTION("""COMPUTED_VALUE"""),"C8300-1N1S-6T")</f>
        <v>C8300-1N1S-6T</v>
      </c>
      <c r="B15" s="51">
        <f>countif(AllListPrice!A:A,A15)</f>
        <v>1</v>
      </c>
    </row>
    <row r="16">
      <c r="A16" s="50" t="str">
        <f>IFERROR(__xludf.DUMMYFUNCTION("""COMPUTED_VALUE"""),"C8300-2N2S-6T")</f>
        <v>C8300-2N2S-6T</v>
      </c>
      <c r="B16" s="51">
        <f>countif(AllListPrice!A:A,A16)</f>
        <v>1</v>
      </c>
    </row>
    <row r="17">
      <c r="A17" s="50" t="str">
        <f>IFERROR(__xludf.DUMMYFUNCTION("""COMPUTED_VALUE"""),"C8300-1N1S-4T2X")</f>
        <v>C8300-1N1S-4T2X</v>
      </c>
      <c r="B17" s="51">
        <f>countif(AllListPrice!A:A,A17)</f>
        <v>1</v>
      </c>
    </row>
    <row r="18">
      <c r="A18" s="50" t="str">
        <f>IFERROR(__xludf.DUMMYFUNCTION("""COMPUTED_VALUE"""),"C8300-2N2S-4T2X")</f>
        <v>C8300-2N2S-4T2X</v>
      </c>
      <c r="B18" s="51">
        <f>countif(AllListPrice!A:A,A18)</f>
        <v>1</v>
      </c>
    </row>
    <row r="19">
      <c r="A19" s="50" t="str">
        <f>IFERROR(__xludf.DUMMYFUNCTION("""COMPUTED_VALUE"""),"C8500L-8S4X")</f>
        <v>C8500L-8S4X</v>
      </c>
      <c r="B19" s="51">
        <f>countif(AllListPrice!A:A,A19)</f>
        <v>1</v>
      </c>
    </row>
    <row r="20">
      <c r="A20" s="50" t="str">
        <f>IFERROR(__xludf.DUMMYFUNCTION("""COMPUTED_VALUE"""),"C8500-12X")</f>
        <v>C8500-12X</v>
      </c>
      <c r="B20" s="51">
        <f>countif(AllListPrice!A:A,A20)</f>
        <v>1</v>
      </c>
    </row>
    <row r="21">
      <c r="A21" s="50" t="str">
        <f>IFERROR(__xludf.DUMMYFUNCTION("""COMPUTED_VALUE"""),"C8500-12X4QC")</f>
        <v>C8500-12X4QC</v>
      </c>
      <c r="B21" s="51">
        <f>countif(AllListPrice!A:A,A21)</f>
        <v>1</v>
      </c>
    </row>
    <row r="22">
      <c r="A22" s="50" t="str">
        <f>IFERROR(__xludf.DUMMYFUNCTION("""COMPUTED_VALUE"""),"C8500-20X6C")</f>
        <v>C8500-20X6C</v>
      </c>
      <c r="B22" s="51">
        <f>countif(AllListPrice!A:A,A22)</f>
        <v>1</v>
      </c>
    </row>
    <row r="23">
      <c r="A23" s="50" t="str">
        <f>IFERROR(__xludf.DUMMYFUNCTION("""COMPUTED_VALUE"""),"C1300-8T-E-2G")</f>
        <v>C1300-8T-E-2G</v>
      </c>
      <c r="B23" s="51">
        <f>countif(AllListPrice!A:A,A23)</f>
        <v>1</v>
      </c>
    </row>
    <row r="24">
      <c r="A24" s="50" t="str">
        <f>IFERROR(__xludf.DUMMYFUNCTION("""COMPUTED_VALUE"""),"C1300-8P-E-2G")</f>
        <v>C1300-8P-E-2G</v>
      </c>
      <c r="B24" s="51">
        <f>countif(AllListPrice!A:A,A24)</f>
        <v>1</v>
      </c>
    </row>
    <row r="25">
      <c r="A25" s="50" t="str">
        <f>IFERROR(__xludf.DUMMYFUNCTION("""COMPUTED_VALUE"""),"C1300-8FP-2G")</f>
        <v>C1300-8FP-2G</v>
      </c>
      <c r="B25" s="51">
        <f>countif(AllListPrice!A:A,A25)</f>
        <v>1</v>
      </c>
    </row>
    <row r="26">
      <c r="A26" s="50" t="str">
        <f>IFERROR(__xludf.DUMMYFUNCTION("""COMPUTED_VALUE"""),"C1300-16T-2G")</f>
        <v>C1300-16T-2G</v>
      </c>
      <c r="B26" s="51">
        <f>countif(AllListPrice!A:A,A26)</f>
        <v>1</v>
      </c>
    </row>
    <row r="27">
      <c r="A27" s="50" t="str">
        <f>IFERROR(__xludf.DUMMYFUNCTION("""COMPUTED_VALUE"""),"C1300-16P-2G")</f>
        <v>C1300-16P-2G</v>
      </c>
      <c r="B27" s="51">
        <f>countif(AllListPrice!A:A,A27)</f>
        <v>1</v>
      </c>
    </row>
    <row r="28">
      <c r="A28" s="50" t="str">
        <f>IFERROR(__xludf.DUMMYFUNCTION("""COMPUTED_VALUE"""),"C1300-16FP-2G")</f>
        <v>C1300-16FP-2G</v>
      </c>
      <c r="B28" s="51">
        <f>countif(AllListPrice!A:A,A28)</f>
        <v>1</v>
      </c>
    </row>
    <row r="29">
      <c r="A29" s="50" t="str">
        <f>IFERROR(__xludf.DUMMYFUNCTION("""COMPUTED_VALUE"""),"C1300-24T-4G")</f>
        <v>C1300-24T-4G</v>
      </c>
      <c r="B29" s="51">
        <f>countif(AllListPrice!A:A,A29)</f>
        <v>1</v>
      </c>
    </row>
    <row r="30">
      <c r="A30" s="50" t="str">
        <f>IFERROR(__xludf.DUMMYFUNCTION("""COMPUTED_VALUE"""),"C1300-24P-4G")</f>
        <v>C1300-24P-4G</v>
      </c>
      <c r="B30" s="51">
        <f>countif(AllListPrice!A:A,A30)</f>
        <v>1</v>
      </c>
    </row>
    <row r="31">
      <c r="A31" s="50" t="str">
        <f>IFERROR(__xludf.DUMMYFUNCTION("""COMPUTED_VALUE"""),"C1300-24FP-4G")</f>
        <v>C1300-24FP-4G</v>
      </c>
      <c r="B31" s="51">
        <f>countif(AllListPrice!A:A,A31)</f>
        <v>1</v>
      </c>
    </row>
    <row r="32">
      <c r="A32" s="50" t="str">
        <f>IFERROR(__xludf.DUMMYFUNCTION("""COMPUTED_VALUE"""),"C1300-48T-4G")</f>
        <v>C1300-48T-4G</v>
      </c>
      <c r="B32" s="51">
        <f>countif(AllListPrice!A:A,A32)</f>
        <v>1</v>
      </c>
    </row>
    <row r="33">
      <c r="A33" s="50" t="str">
        <f>IFERROR(__xludf.DUMMYFUNCTION("""COMPUTED_VALUE"""),"C1300-48P-4G")</f>
        <v>C1300-48P-4G</v>
      </c>
      <c r="B33" s="51">
        <f>countif(AllListPrice!A:A,A33)</f>
        <v>1</v>
      </c>
    </row>
    <row r="34">
      <c r="A34" s="50" t="str">
        <f>IFERROR(__xludf.DUMMYFUNCTION("""COMPUTED_VALUE"""),"C1300-48FP-4G")</f>
        <v>C1300-48FP-4G</v>
      </c>
      <c r="B34" s="51">
        <f>countif(AllListPrice!A:A,A34)</f>
        <v>1</v>
      </c>
    </row>
    <row r="35">
      <c r="A35" s="50" t="str">
        <f>IFERROR(__xludf.DUMMYFUNCTION("""COMPUTED_VALUE"""),"C1300-16P-4X")</f>
        <v>C1300-16P-4X</v>
      </c>
      <c r="B35" s="51">
        <f>countif(AllListPrice!A:A,A35)</f>
        <v>1</v>
      </c>
    </row>
    <row r="36">
      <c r="A36" s="50" t="str">
        <f>IFERROR(__xludf.DUMMYFUNCTION("""COMPUTED_VALUE"""),"C1300-24T-4X")</f>
        <v>C1300-24T-4X</v>
      </c>
      <c r="B36" s="51">
        <f>countif(AllListPrice!A:A,A36)</f>
        <v>1</v>
      </c>
    </row>
    <row r="37">
      <c r="A37" s="50" t="str">
        <f>IFERROR(__xludf.DUMMYFUNCTION("""COMPUTED_VALUE"""),"C1300-24P-4X")</f>
        <v>C1300-24P-4X</v>
      </c>
      <c r="B37" s="51">
        <f>countif(AllListPrice!A:A,A37)</f>
        <v>1</v>
      </c>
    </row>
    <row r="38">
      <c r="A38" s="50" t="str">
        <f>IFERROR(__xludf.DUMMYFUNCTION("""COMPUTED_VALUE"""),"C1300-24FP-4X")</f>
        <v>C1300-24FP-4X</v>
      </c>
      <c r="B38" s="51">
        <f>countif(AllListPrice!A:A,A38)</f>
        <v>1</v>
      </c>
    </row>
    <row r="39">
      <c r="A39" s="50" t="str">
        <f>IFERROR(__xludf.DUMMYFUNCTION("""COMPUTED_VALUE"""),"C1300-48T-4X")</f>
        <v>C1300-48T-4X</v>
      </c>
      <c r="B39" s="51">
        <f>countif(AllListPrice!A:A,A39)</f>
        <v>1</v>
      </c>
    </row>
    <row r="40">
      <c r="A40" s="50" t="str">
        <f>IFERROR(__xludf.DUMMYFUNCTION("""COMPUTED_VALUE"""),"C1300-48P-4X")</f>
        <v>C1300-48P-4X</v>
      </c>
      <c r="B40" s="51">
        <f>countif(AllListPrice!A:A,A40)</f>
        <v>1</v>
      </c>
    </row>
    <row r="41">
      <c r="A41" s="50" t="str">
        <f>IFERROR(__xludf.DUMMYFUNCTION("""COMPUTED_VALUE"""),"C1300-48FP-4X")</f>
        <v>C1300-48FP-4X</v>
      </c>
      <c r="B41" s="51">
        <f>countif(AllListPrice!A:A,A41)</f>
        <v>1</v>
      </c>
    </row>
    <row r="42">
      <c r="A42" s="50" t="str">
        <f>IFERROR(__xludf.DUMMYFUNCTION("""COMPUTED_VALUE"""),"C1300-12XT-2X")</f>
        <v>C1300-12XT-2X</v>
      </c>
      <c r="B42" s="51">
        <f>countif(AllListPrice!A:A,A42)</f>
        <v>1</v>
      </c>
    </row>
    <row r="43">
      <c r="A43" s="50" t="str">
        <f>IFERROR(__xludf.DUMMYFUNCTION("""COMPUTED_VALUE"""),"C1300-12XS")</f>
        <v>C1300-12XS</v>
      </c>
      <c r="B43" s="51">
        <f>countif(AllListPrice!A:A,A43)</f>
        <v>1</v>
      </c>
    </row>
    <row r="44">
      <c r="A44" s="50" t="str">
        <f>IFERROR(__xludf.DUMMYFUNCTION("""COMPUTED_VALUE"""),"C1300-16XTS")</f>
        <v>C1300-16XTS</v>
      </c>
      <c r="B44" s="51">
        <f>countif(AllListPrice!A:A,A44)</f>
        <v>1</v>
      </c>
    </row>
    <row r="45">
      <c r="A45" s="50" t="str">
        <f>IFERROR(__xludf.DUMMYFUNCTION("""COMPUTED_VALUE"""),"C1300-24XS")</f>
        <v>C1300-24XS</v>
      </c>
      <c r="B45" s="51">
        <f>countif(AllListPrice!A:A,A45)</f>
        <v>1</v>
      </c>
    </row>
    <row r="46">
      <c r="A46" s="50" t="str">
        <f>IFERROR(__xludf.DUMMYFUNCTION("""COMPUTED_VALUE"""),"C1300-24XT")</f>
        <v>C1300-24XT</v>
      </c>
      <c r="B46" s="51">
        <f>countif(AllListPrice!A:A,A46)</f>
        <v>1</v>
      </c>
    </row>
    <row r="47">
      <c r="A47" s="50" t="str">
        <f>IFERROR(__xludf.DUMMYFUNCTION("""COMPUTED_VALUE"""),"C1300-24XTS")</f>
        <v>C1300-24XTS</v>
      </c>
      <c r="B47" s="51">
        <f>countif(AllListPrice!A:A,A47)</f>
        <v>1</v>
      </c>
    </row>
    <row r="48">
      <c r="A48" s="50" t="str">
        <f>IFERROR(__xludf.DUMMYFUNCTION("""COMPUTED_VALUE"""),"C1300X-24T-4X")</f>
        <v>C1300X-24T-4X</v>
      </c>
      <c r="B48" s="51">
        <f>countif(AllListPrice!A:A,A48)</f>
        <v>1</v>
      </c>
    </row>
    <row r="49">
      <c r="A49" s="50" t="str">
        <f>IFERROR(__xludf.DUMMYFUNCTION("""COMPUTED_VALUE"""),"C1300X-48T-4X")</f>
        <v>C1300X-48T-4X</v>
      </c>
      <c r="B49" s="51">
        <f>countif(AllListPrice!A:A,A49)</f>
        <v>1</v>
      </c>
    </row>
    <row r="50">
      <c r="A50" s="50" t="str">
        <f>IFERROR(__xludf.DUMMYFUNCTION("""COMPUTED_VALUE"""),"C1300X-24P-4X")</f>
        <v>C1300X-24P-4X</v>
      </c>
      <c r="B50" s="51">
        <f>countif(AllListPrice!A:A,A50)</f>
        <v>1</v>
      </c>
    </row>
    <row r="51">
      <c r="A51" s="50" t="str">
        <f>IFERROR(__xludf.DUMMYFUNCTION("""COMPUTED_VALUE"""),"C1300X-48P-4X")</f>
        <v>C1300X-48P-4X</v>
      </c>
      <c r="B51" s="51">
        <f>countif(AllListPrice!A:A,A51)</f>
        <v>1</v>
      </c>
    </row>
    <row r="52">
      <c r="A52" s="50" t="str">
        <f>IFERROR(__xludf.DUMMYFUNCTION("""COMPUTED_VALUE"""),"C9200-24T")</f>
        <v>C9200-24T</v>
      </c>
      <c r="B52" s="51">
        <f>countif(AllListPrice!A:A,A52)</f>
        <v>1</v>
      </c>
    </row>
    <row r="53">
      <c r="A53" s="50" t="str">
        <f>IFERROR(__xludf.DUMMYFUNCTION("""COMPUTED_VALUE"""),"C9200-24P")</f>
        <v>C9200-24P</v>
      </c>
      <c r="B53" s="51">
        <f>countif(AllListPrice!A:A,A53)</f>
        <v>1</v>
      </c>
    </row>
    <row r="54">
      <c r="A54" s="50" t="str">
        <f>IFERROR(__xludf.DUMMYFUNCTION("""COMPUTED_VALUE"""),"C9200-48T")</f>
        <v>C9200-48T</v>
      </c>
      <c r="B54" s="51">
        <f>countif(AllListPrice!A:A,A54)</f>
        <v>1</v>
      </c>
    </row>
    <row r="55">
      <c r="A55" s="50" t="str">
        <f>IFERROR(__xludf.DUMMYFUNCTION("""COMPUTED_VALUE"""),"C9200-48P")</f>
        <v>C9200-48P</v>
      </c>
      <c r="B55" s="51">
        <f>countif(AllListPrice!A:A,A55)</f>
        <v>1</v>
      </c>
    </row>
    <row r="56">
      <c r="A56" s="50" t="str">
        <f>IFERROR(__xludf.DUMMYFUNCTION("""COMPUTED_VALUE"""),"C9200L-24T-4G")</f>
        <v>C9200L-24T-4G</v>
      </c>
      <c r="B56" s="51">
        <f>countif(AllListPrice!A:A,A56)</f>
        <v>1</v>
      </c>
    </row>
    <row r="57">
      <c r="A57" s="50" t="str">
        <f>IFERROR(__xludf.DUMMYFUNCTION("""COMPUTED_VALUE"""),"C9200L-24P-4G")</f>
        <v>C9200L-24P-4G</v>
      </c>
      <c r="B57" s="51">
        <f>countif(AllListPrice!A:A,A57)</f>
        <v>1</v>
      </c>
    </row>
    <row r="58">
      <c r="A58" s="50" t="str">
        <f>IFERROR(__xludf.DUMMYFUNCTION("""COMPUTED_VALUE"""),"C9200L-48T-4G")</f>
        <v>C9200L-48T-4G</v>
      </c>
      <c r="B58" s="51">
        <f>countif(AllListPrice!A:A,A58)</f>
        <v>1</v>
      </c>
    </row>
    <row r="59">
      <c r="A59" s="50" t="str">
        <f>IFERROR(__xludf.DUMMYFUNCTION("""COMPUTED_VALUE"""),"C9200L-48P-4G")</f>
        <v>C9200L-48P-4G</v>
      </c>
      <c r="B59" s="51">
        <f>countif(AllListPrice!A:A,A59)</f>
        <v>1</v>
      </c>
    </row>
    <row r="60">
      <c r="A60" s="50" t="str">
        <f>IFERROR(__xludf.DUMMYFUNCTION("""COMPUTED_VALUE"""),"C9200L-24T-4X")</f>
        <v>C9200L-24T-4X</v>
      </c>
      <c r="B60" s="51">
        <f>countif(AllListPrice!A:A,A60)</f>
        <v>1</v>
      </c>
    </row>
    <row r="61">
      <c r="A61" s="50" t="str">
        <f>IFERROR(__xludf.DUMMYFUNCTION("""COMPUTED_VALUE"""),"C9200L-24P-4X")</f>
        <v>C9200L-24P-4X</v>
      </c>
      <c r="B61" s="51">
        <f>countif(AllListPrice!A:A,A61)</f>
        <v>1</v>
      </c>
    </row>
    <row r="62">
      <c r="A62" s="50" t="str">
        <f>IFERROR(__xludf.DUMMYFUNCTION("""COMPUTED_VALUE"""),"C9200L-48T-4X")</f>
        <v>C9200L-48T-4X</v>
      </c>
      <c r="B62" s="51">
        <f>countif(AllListPrice!A:A,A62)</f>
        <v>1</v>
      </c>
    </row>
    <row r="63">
      <c r="A63" s="50" t="str">
        <f>IFERROR(__xludf.DUMMYFUNCTION("""COMPUTED_VALUE"""),"C9200L-48P-4X")</f>
        <v>C9200L-48P-4X</v>
      </c>
      <c r="B63" s="51">
        <f>countif(AllListPrice!A:A,A63)</f>
        <v>1</v>
      </c>
    </row>
    <row r="64">
      <c r="A64" s="50" t="str">
        <f>IFERROR(__xludf.DUMMYFUNCTION("""COMPUTED_VALUE"""),"C9200CX-8P-2X2G")</f>
        <v>C9200CX-8P-2X2G</v>
      </c>
      <c r="B64" s="51">
        <f>countif(AllListPrice!A:A,A64)</f>
        <v>1</v>
      </c>
    </row>
    <row r="65">
      <c r="A65" s="50" t="str">
        <f>IFERROR(__xludf.DUMMYFUNCTION("""COMPUTED_VALUE"""),"C9200CX-12T-2X2G")</f>
        <v>C9200CX-12T-2X2G</v>
      </c>
      <c r="B65" s="51">
        <f>countif(AllListPrice!A:A,A65)</f>
        <v>1</v>
      </c>
    </row>
    <row r="66">
      <c r="A66" s="50" t="str">
        <f>IFERROR(__xludf.DUMMYFUNCTION("""COMPUTED_VALUE"""),"C9200CX-12P-2X2G")</f>
        <v>C9200CX-12P-2X2G</v>
      </c>
      <c r="B66" s="51">
        <f>countif(AllListPrice!A:A,A66)</f>
        <v>1</v>
      </c>
    </row>
    <row r="67">
      <c r="A67" s="50" t="str">
        <f>IFERROR(__xludf.DUMMYFUNCTION("""COMPUTED_VALUE"""),"C9300L-24T-4G")</f>
        <v>C9300L-24T-4G</v>
      </c>
      <c r="B67" s="51">
        <f>countif(AllListPrice!A:A,A67)</f>
        <v>1</v>
      </c>
    </row>
    <row r="68">
      <c r="A68" s="50" t="str">
        <f>IFERROR(__xludf.DUMMYFUNCTION("""COMPUTED_VALUE"""),"C9300L-24P-4G")</f>
        <v>C9300L-24P-4G</v>
      </c>
      <c r="B68" s="51">
        <f>countif(AllListPrice!A:A,A68)</f>
        <v>1</v>
      </c>
    </row>
    <row r="69">
      <c r="A69" s="50" t="str">
        <f>IFERROR(__xludf.DUMMYFUNCTION("""COMPUTED_VALUE"""),"C9300L-24T-4X")</f>
        <v>C9300L-24T-4X</v>
      </c>
      <c r="B69" s="51">
        <f>countif(AllListPrice!A:A,A69)</f>
        <v>1</v>
      </c>
    </row>
    <row r="70">
      <c r="A70" s="50" t="str">
        <f>IFERROR(__xludf.DUMMYFUNCTION("""COMPUTED_VALUE"""),"C9300L-24P-4X")</f>
        <v>C9300L-24P-4X</v>
      </c>
      <c r="B70" s="51">
        <f>countif(AllListPrice!A:A,A70)</f>
        <v>1</v>
      </c>
    </row>
    <row r="71">
      <c r="A71" s="50" t="str">
        <f>IFERROR(__xludf.DUMMYFUNCTION("""COMPUTED_VALUE"""),"C9300L-48T-4G")</f>
        <v>C9300L-48T-4G</v>
      </c>
      <c r="B71" s="51">
        <f>countif(AllListPrice!A:A,A71)</f>
        <v>1</v>
      </c>
    </row>
    <row r="72">
      <c r="A72" s="50" t="str">
        <f>IFERROR(__xludf.DUMMYFUNCTION("""COMPUTED_VALUE"""),"C9300L-48P-4G")</f>
        <v>C9300L-48P-4G</v>
      </c>
      <c r="B72" s="51">
        <f>countif(AllListPrice!A:A,A72)</f>
        <v>1</v>
      </c>
    </row>
    <row r="73">
      <c r="A73" s="50" t="str">
        <f>IFERROR(__xludf.DUMMYFUNCTION("""COMPUTED_VALUE"""),"C9300L-48T-4X")</f>
        <v>C9300L-48T-4X</v>
      </c>
      <c r="B73" s="51">
        <f>countif(AllListPrice!A:A,A73)</f>
        <v>1</v>
      </c>
    </row>
    <row r="74">
      <c r="A74" s="50" t="str">
        <f>IFERROR(__xludf.DUMMYFUNCTION("""COMPUTED_VALUE"""),"C9300L-48P-4X")</f>
        <v>C9300L-48P-4X</v>
      </c>
      <c r="B74" s="51">
        <f>countif(AllListPrice!A:A,A74)</f>
        <v>1</v>
      </c>
    </row>
    <row r="75">
      <c r="A75" s="50" t="str">
        <f>IFERROR(__xludf.DUMMYFUNCTION("""COMPUTED_VALUE"""),"C9300-24T")</f>
        <v>C9300-24T</v>
      </c>
      <c r="B75" s="51">
        <f>countif(AllListPrice!A:A,A75)</f>
        <v>1</v>
      </c>
    </row>
    <row r="76">
      <c r="A76" s="50" t="str">
        <f>IFERROR(__xludf.DUMMYFUNCTION("""COMPUTED_VALUE"""),"C9300-24P")</f>
        <v>C9300-24P</v>
      </c>
      <c r="B76" s="51">
        <f>countif(AllListPrice!A:A,A76)</f>
        <v>1</v>
      </c>
    </row>
    <row r="77">
      <c r="A77" s="50" t="str">
        <f>IFERROR(__xludf.DUMMYFUNCTION("""COMPUTED_VALUE"""),"C9300-24U")</f>
        <v>C9300-24U</v>
      </c>
      <c r="B77" s="51">
        <f>countif(AllListPrice!A:A,A77)</f>
        <v>1</v>
      </c>
    </row>
    <row r="78">
      <c r="A78" s="50" t="str">
        <f>IFERROR(__xludf.DUMMYFUNCTION("""COMPUTED_VALUE"""),"C9300-24H")</f>
        <v>C9300-24H</v>
      </c>
      <c r="B78" s="51">
        <f>countif(AllListPrice!A:A,A78)</f>
        <v>1</v>
      </c>
    </row>
    <row r="79">
      <c r="A79" s="50" t="str">
        <f>IFERROR(__xludf.DUMMYFUNCTION("""COMPUTED_VALUE"""),"C9300-24S")</f>
        <v>C9300-24S</v>
      </c>
      <c r="B79" s="51">
        <f>countif(AllListPrice!A:A,A79)</f>
        <v>1</v>
      </c>
    </row>
    <row r="80">
      <c r="A80" s="50" t="str">
        <f>IFERROR(__xludf.DUMMYFUNCTION("""COMPUTED_VALUE"""),"C9300-24UB")</f>
        <v>C9300-24UB</v>
      </c>
      <c r="B80" s="51">
        <f>countif(AllListPrice!A:A,A80)</f>
        <v>1</v>
      </c>
    </row>
    <row r="81">
      <c r="A81" s="50" t="str">
        <f>IFERROR(__xludf.DUMMYFUNCTION("""COMPUTED_VALUE"""),"C9300-48T")</f>
        <v>C9300-48T</v>
      </c>
      <c r="B81" s="51">
        <f>countif(AllListPrice!A:A,A81)</f>
        <v>1</v>
      </c>
    </row>
    <row r="82">
      <c r="A82" s="50" t="str">
        <f>IFERROR(__xludf.DUMMYFUNCTION("""COMPUTED_VALUE"""),"C9300-48P")</f>
        <v>C9300-48P</v>
      </c>
      <c r="B82" s="51">
        <f>countif(AllListPrice!A:A,A82)</f>
        <v>1</v>
      </c>
    </row>
    <row r="83">
      <c r="A83" s="50" t="str">
        <f>IFERROR(__xludf.DUMMYFUNCTION("""COMPUTED_VALUE"""),"C9300-48U")</f>
        <v>C9300-48U</v>
      </c>
      <c r="B83" s="51">
        <f>countif(AllListPrice!A:A,A83)</f>
        <v>1</v>
      </c>
    </row>
    <row r="84">
      <c r="A84" s="50" t="str">
        <f>IFERROR(__xludf.DUMMYFUNCTION("""COMPUTED_VALUE"""),"C9300-48H")</f>
        <v>C9300-48H</v>
      </c>
      <c r="B84" s="51">
        <f>countif(AllListPrice!A:A,A84)</f>
        <v>1</v>
      </c>
    </row>
    <row r="85">
      <c r="A85" s="50" t="str">
        <f>IFERROR(__xludf.DUMMYFUNCTION("""COMPUTED_VALUE"""),"C9300-48S")</f>
        <v>C9300-48S</v>
      </c>
      <c r="B85" s="51">
        <f>countif(AllListPrice!A:A,A85)</f>
        <v>1</v>
      </c>
    </row>
    <row r="86">
      <c r="A86" s="50" t="str">
        <f>IFERROR(__xludf.DUMMYFUNCTION("""COMPUTED_VALUE"""),"C9300-48UB")</f>
        <v>C9300-48UB</v>
      </c>
      <c r="B86" s="51">
        <f>countif(AllListPrice!A:A,A86)</f>
        <v>1</v>
      </c>
    </row>
    <row r="87">
      <c r="A87" s="50" t="str">
        <f>IFERROR(__xludf.DUMMYFUNCTION("""COMPUTED_VALUE"""),"C9500-32C")</f>
        <v>C9500-32C</v>
      </c>
      <c r="B87" s="51">
        <f>countif(AllListPrice!A:A,A87)</f>
        <v>1</v>
      </c>
    </row>
    <row r="88">
      <c r="A88" s="50" t="str">
        <f>IFERROR(__xludf.DUMMYFUNCTION("""COMPUTED_VALUE"""),"C9500-32QC")</f>
        <v>C9500-32QC</v>
      </c>
      <c r="B88" s="51">
        <f>countif(AllListPrice!A:A,A88)</f>
        <v>1</v>
      </c>
    </row>
    <row r="89">
      <c r="A89" s="50" t="str">
        <f>IFERROR(__xludf.DUMMYFUNCTION("""COMPUTED_VALUE"""),"C9500-48Y4C")</f>
        <v>C9500-48Y4C</v>
      </c>
      <c r="B89" s="51">
        <f>countif(AllListPrice!A:A,A89)</f>
        <v>1</v>
      </c>
    </row>
    <row r="90">
      <c r="A90" s="50" t="str">
        <f>IFERROR(__xludf.DUMMYFUNCTION("""COMPUTED_VALUE"""),"C9500-24Y4C")</f>
        <v>C9500-24Y4C</v>
      </c>
      <c r="B90" s="51">
        <f>countif(AllListPrice!A:A,A90)</f>
        <v>1</v>
      </c>
    </row>
    <row r="91">
      <c r="A91" s="50" t="str">
        <f>IFERROR(__xludf.DUMMYFUNCTION("""COMPUTED_VALUE"""),"C9500X-28C8D")</f>
        <v>C9500X-28C8D</v>
      </c>
      <c r="B91" s="51">
        <f>countif(AllListPrice!A:A,A91)</f>
        <v>1</v>
      </c>
    </row>
    <row r="92">
      <c r="A92" s="50" t="str">
        <f>IFERROR(__xludf.DUMMYFUNCTION("""COMPUTED_VALUE"""),"C9500X-60L4D")</f>
        <v>C9500X-60L4D</v>
      </c>
      <c r="B92" s="51">
        <f>countif(AllListPrice!A:A,A92)</f>
        <v>1</v>
      </c>
    </row>
    <row r="93">
      <c r="A93" s="50" t="str">
        <f>IFERROR(__xludf.DUMMYFUNCTION("""COMPUTED_VALUE"""),"EX4200-24T")</f>
        <v>EX4200-24T</v>
      </c>
      <c r="B93" s="51">
        <f>countif(AllListPrice!A:A,A93)</f>
        <v>1</v>
      </c>
    </row>
    <row r="94">
      <c r="A94" s="50" t="str">
        <f>IFERROR(__xludf.DUMMYFUNCTION("""COMPUTED_VALUE"""),"EX4300-48S")</f>
        <v>EX4300-48S</v>
      </c>
      <c r="B94" s="51">
        <f>countif(AllListPrice!A:A,A94)</f>
        <v>1</v>
      </c>
    </row>
    <row r="95">
      <c r="A95" s="50" t="str">
        <f>IFERROR(__xludf.DUMMYFUNCTION("""COMPUTED_VALUE"""),"EX4600")</f>
        <v>EX4600</v>
      </c>
      <c r="B95" s="51">
        <f>countif(AllListPrice!A:A,A95)</f>
        <v>1</v>
      </c>
    </row>
    <row r="96">
      <c r="A96" s="50" t="str">
        <f>IFERROR(__xludf.DUMMYFUNCTION("""COMPUTED_VALUE"""),"N9K-C9504")</f>
        <v>N9K-C9504</v>
      </c>
      <c r="B96" s="51">
        <f>countif(AllListPrice!A:A,A96)</f>
        <v>1</v>
      </c>
    </row>
    <row r="97">
      <c r="A97" s="50" t="str">
        <f>IFERROR(__xludf.DUMMYFUNCTION("""COMPUTED_VALUE"""),"N9K-C9508")</f>
        <v>N9K-C9508</v>
      </c>
      <c r="B97" s="51">
        <f>countif(AllListPrice!A:A,A97)</f>
        <v>1</v>
      </c>
    </row>
    <row r="98">
      <c r="A98" s="50" t="str">
        <f>IFERROR(__xludf.DUMMYFUNCTION("""COMPUTED_VALUE"""),"N9K-C9516")</f>
        <v>N9K-C9516</v>
      </c>
      <c r="B98" s="51">
        <f>countif(AllListPrice!A:A,A98)</f>
        <v>1</v>
      </c>
    </row>
    <row r="99">
      <c r="A99" s="50" t="str">
        <f>IFERROR(__xludf.DUMMYFUNCTION("""COMPUTED_VALUE"""),"N9K-C9348GC-FX3")</f>
        <v>N9K-C9348GC-FX3</v>
      </c>
      <c r="B99" s="51">
        <f>countif(AllListPrice!A:A,A99)</f>
        <v>1</v>
      </c>
    </row>
    <row r="100">
      <c r="A100" s="50" t="str">
        <f>IFERROR(__xludf.DUMMYFUNCTION("""COMPUTED_VALUE"""),"N9K-C93108TC-FX3")</f>
        <v>N9K-C93108TC-FX3</v>
      </c>
      <c r="B100" s="51">
        <f>countif(AllListPrice!A:A,A100)</f>
        <v>1</v>
      </c>
    </row>
    <row r="101">
      <c r="A101" s="50" t="str">
        <f>IFERROR(__xludf.DUMMYFUNCTION("""COMPUTED_VALUE"""),"N9K-C93216TC-FX2")</f>
        <v>N9K-C93216TC-FX2</v>
      </c>
      <c r="B101" s="51">
        <f>countif(AllListPrice!A:A,A101)</f>
        <v>1</v>
      </c>
    </row>
    <row r="102">
      <c r="A102" s="50" t="str">
        <f>IFERROR(__xludf.DUMMYFUNCTION("""COMPUTED_VALUE"""),"N9K-C93360YC-FX2")</f>
        <v>N9K-C93360YC-FX2</v>
      </c>
      <c r="B102" s="51">
        <f>countif(AllListPrice!A:A,A102)</f>
        <v>1</v>
      </c>
    </row>
    <row r="103">
      <c r="A103" s="50" t="str">
        <f>IFERROR(__xludf.DUMMYFUNCTION("""COMPUTED_VALUE"""),"N9K-C93240YC-FX2")</f>
        <v>N9K-C93240YC-FX2</v>
      </c>
      <c r="B103" s="51">
        <f>countif(AllListPrice!A:A,A103)</f>
        <v>1</v>
      </c>
    </row>
    <row r="104">
      <c r="A104" s="50" t="str">
        <f>IFERROR(__xludf.DUMMYFUNCTION("""COMPUTED_VALUE"""),"N9K-C93180YC-FX3")</f>
        <v>N9K-C93180YC-FX3</v>
      </c>
      <c r="B104" s="51">
        <f>countif(AllListPrice!A:A,A104)</f>
        <v>1</v>
      </c>
    </row>
    <row r="105">
      <c r="A105" s="50" t="str">
        <f>IFERROR(__xludf.DUMMYFUNCTION("""COMPUTED_VALUE"""),"N9K-C93600CD-GX")</f>
        <v>N9K-C93600CD-GX</v>
      </c>
      <c r="B105" s="51">
        <f>countif(AllListPrice!A:A,A105)</f>
        <v>1</v>
      </c>
    </row>
    <row r="106">
      <c r="A106" s="50" t="str">
        <f>IFERROR(__xludf.DUMMYFUNCTION("""COMPUTED_VALUE"""),"N9K-C9316D-GX")</f>
        <v>N9K-C9316D-GX</v>
      </c>
      <c r="B106" s="51">
        <f>countif(AllListPrice!A:A,A106)</f>
        <v>1</v>
      </c>
    </row>
    <row r="107">
      <c r="A107" s="50" t="str">
        <f>IFERROR(__xludf.DUMMYFUNCTION("""COMPUTED_VALUE"""),"N9K-C9364C-GX")</f>
        <v>N9K-C9364C-GX</v>
      </c>
      <c r="B107" s="51">
        <f>countif(AllListPrice!A:A,A107)</f>
        <v>1</v>
      </c>
    </row>
    <row r="108">
      <c r="A108" s="50" t="str">
        <f>IFERROR(__xludf.DUMMYFUNCTION("""COMPUTED_VALUE"""),"N9K-X9736C-FX3=")</f>
        <v>N9K-X9736C-FX3=</v>
      </c>
      <c r="B108" s="51">
        <f>countif(AllListPrice!A:A,A108)</f>
        <v>1</v>
      </c>
    </row>
    <row r="109">
      <c r="A109" s="50" t="str">
        <f>IFERROR(__xludf.DUMMYFUNCTION("""COMPUTED_VALUE"""),"C9404R")</f>
        <v>C9404R</v>
      </c>
      <c r="B109" s="51">
        <f>countif(AllListPrice!A:A,A109)</f>
        <v>1</v>
      </c>
    </row>
    <row r="110">
      <c r="A110" s="50" t="str">
        <f>IFERROR(__xludf.DUMMYFUNCTION("""COMPUTED_VALUE"""),"C9407R")</f>
        <v>C9407R</v>
      </c>
      <c r="B110" s="51">
        <f>countif(AllListPrice!A:A,A110)</f>
        <v>1</v>
      </c>
    </row>
    <row r="111">
      <c r="A111" s="50" t="str">
        <f>IFERROR(__xludf.DUMMYFUNCTION("""COMPUTED_VALUE"""),"C9410R")</f>
        <v>C9410R</v>
      </c>
      <c r="B111" s="51">
        <f>countif(AllListPrice!A:A,A111)</f>
        <v>1</v>
      </c>
    </row>
    <row r="112">
      <c r="A112" s="50" t="str">
        <f>IFERROR(__xludf.DUMMYFUNCTION("""COMPUTED_VALUE"""),"C9606R")</f>
        <v>C9606R</v>
      </c>
      <c r="B112" s="51">
        <f>countif(AllListPrice!A:A,A112)</f>
        <v>1</v>
      </c>
    </row>
    <row r="113">
      <c r="A113" s="50" t="str">
        <f>IFERROR(__xludf.DUMMYFUNCTION("""COMPUTED_VALUE"""),"C9400-LC-12QC=")</f>
        <v>C9400-LC-12QC=</v>
      </c>
      <c r="B113" s="51">
        <f>countif(AllListPrice!A:A,A113)</f>
        <v>1</v>
      </c>
    </row>
    <row r="114">
      <c r="A114" s="50" t="str">
        <f>IFERROR(__xludf.DUMMYFUNCTION("""COMPUTED_VALUE"""),"C9400-LC-48T=")</f>
        <v>C9400-LC-48T=</v>
      </c>
      <c r="B114" s="51">
        <f>countif(AllListPrice!A:A,A114)</f>
        <v>1</v>
      </c>
    </row>
    <row r="115">
      <c r="A115" s="50" t="str">
        <f>IFERROR(__xludf.DUMMYFUNCTION("""COMPUTED_VALUE"""),"C9400-LC-48TX=")</f>
        <v>C9400-LC-48TX=</v>
      </c>
      <c r="B115" s="51">
        <f>countif(AllListPrice!A:A,A115)</f>
        <v>1</v>
      </c>
    </row>
    <row r="116">
      <c r="A116" s="50" t="str">
        <f>IFERROR(__xludf.DUMMYFUNCTION("""COMPUTED_VALUE"""),"C9400-LC-48S=")</f>
        <v>C9400-LC-48S=</v>
      </c>
      <c r="B116" s="51">
        <f>countif(AllListPrice!A:A,A116)</f>
        <v>1</v>
      </c>
    </row>
    <row r="117">
      <c r="A117" s="50" t="str">
        <f>IFERROR(__xludf.DUMMYFUNCTION("""COMPUTED_VALUE"""),"C9400-LC-48XS=")</f>
        <v>C9400-LC-48XS=</v>
      </c>
      <c r="B117" s="51">
        <f>countif(AllListPrice!A:A,A117)</f>
        <v>1</v>
      </c>
    </row>
    <row r="118">
      <c r="A118" s="50" t="str">
        <f>IFERROR(__xludf.DUMMYFUNCTION("""COMPUTED_VALUE"""),"C9600-LC-48TX=")</f>
        <v>C9600-LC-48TX=</v>
      </c>
      <c r="B118" s="51">
        <f>countif(AllListPrice!A:A,A118)</f>
        <v>1</v>
      </c>
    </row>
    <row r="119">
      <c r="A119" s="50" t="str">
        <f>IFERROR(__xludf.DUMMYFUNCTION("""COMPUTED_VALUE"""),"C9600-LC-48YL=")</f>
        <v>C9600-LC-48YL=</v>
      </c>
      <c r="B119" s="51">
        <f>countif(AllListPrice!A:A,A119)</f>
        <v>1</v>
      </c>
    </row>
    <row r="120">
      <c r="A120" s="50" t="str">
        <f>IFERROR(__xludf.DUMMYFUNCTION("""COMPUTED_VALUE"""),"C9600-LC-40YL4CD=")</f>
        <v>C9600-LC-40YL4CD=</v>
      </c>
      <c r="B120" s="51">
        <f>countif(AllListPrice!A:A,A120)</f>
        <v>1</v>
      </c>
    </row>
    <row r="121">
      <c r="A121" s="50" t="str">
        <f>IFERROR(__xludf.DUMMYFUNCTION("""COMPUTED_VALUE"""),"C9600-LC-24C=")</f>
        <v>C9600-LC-24C=</v>
      </c>
      <c r="B121" s="51">
        <f>countif(AllListPrice!A:A,A121)</f>
        <v>1</v>
      </c>
    </row>
    <row r="122">
      <c r="A122" s="50" t="str">
        <f>IFERROR(__xludf.DUMMYFUNCTION("""COMPUTED_VALUE"""),"CW9164I")</f>
        <v>CW9164I</v>
      </c>
      <c r="B122" s="51">
        <f>countif(AllListPrice!A:A,A122)</f>
        <v>1</v>
      </c>
    </row>
    <row r="123">
      <c r="A123" s="50" t="str">
        <f>IFERROR(__xludf.DUMMYFUNCTION("""COMPUTED_VALUE"""),"CW9166I")</f>
        <v>CW9166I</v>
      </c>
      <c r="B123" s="51">
        <f>countif(AllListPrice!A:A,A123)</f>
        <v>1</v>
      </c>
    </row>
    <row r="124">
      <c r="A124" s="50" t="str">
        <f>IFERROR(__xludf.DUMMYFUNCTION("""COMPUTED_VALUE"""),"CW9166D1")</f>
        <v>CW9166D1</v>
      </c>
      <c r="B124" s="51">
        <f>countif(AllListPrice!A:A,A124)</f>
        <v>1</v>
      </c>
    </row>
    <row r="125">
      <c r="A125" s="50" t="str">
        <f>IFERROR(__xludf.DUMMYFUNCTION("""COMPUTED_VALUE"""),"CW9172I")</f>
        <v>CW9172I</v>
      </c>
      <c r="B125" s="51">
        <f>countif(AllListPrice!A:A,A125)</f>
        <v>1</v>
      </c>
    </row>
    <row r="126">
      <c r="A126" s="50" t="str">
        <f>IFERROR(__xludf.DUMMYFUNCTION("""COMPUTED_VALUE"""),"CW9172H")</f>
        <v>CW9172H</v>
      </c>
      <c r="B126" s="51">
        <f>countif(AllListPrice!A:A,A126)</f>
        <v>1</v>
      </c>
    </row>
    <row r="127">
      <c r="A127" s="50" t="str">
        <f>IFERROR(__xludf.DUMMYFUNCTION("""COMPUTED_VALUE"""),"CW9176I")</f>
        <v>CW9176I</v>
      </c>
      <c r="B127" s="51">
        <f>countif(AllListPrice!A:A,A127)</f>
        <v>1</v>
      </c>
    </row>
    <row r="128">
      <c r="A128" s="50" t="str">
        <f>IFERROR(__xludf.DUMMYFUNCTION("""COMPUTED_VALUE"""),"CW9176D1")</f>
        <v>CW9176D1</v>
      </c>
      <c r="B128" s="51"/>
    </row>
    <row r="129">
      <c r="A129" s="50" t="str">
        <f>IFERROR(__xludf.DUMMYFUNCTION("""COMPUTED_VALUE"""),"CW9178I")</f>
        <v>CW9178I</v>
      </c>
      <c r="B129" s="51"/>
    </row>
    <row r="130">
      <c r="A130" s="50" t="str">
        <f>IFERROR(__xludf.DUMMYFUNCTION("""COMPUTED_VALUE"""),"C9124AXI")</f>
        <v>C9124AXI</v>
      </c>
      <c r="B130" s="51"/>
    </row>
    <row r="131">
      <c r="A131" s="50" t="str">
        <f>IFERROR(__xludf.DUMMYFUNCTION("""COMPUTED_VALUE"""),"C9124AXD")</f>
        <v>C9124AXD</v>
      </c>
      <c r="B131" s="51"/>
    </row>
    <row r="132">
      <c r="A132" s="50" t="str">
        <f>IFERROR(__xludf.DUMMYFUNCTION("""COMPUTED_VALUE"""),"C9124AXE")</f>
        <v>C9124AXE</v>
      </c>
      <c r="B132" s="51"/>
    </row>
    <row r="133">
      <c r="A133" s="50" t="str">
        <f>IFERROR(__xludf.DUMMYFUNCTION("""COMPUTED_VALUE"""),"CW9163E")</f>
        <v>CW9163E</v>
      </c>
      <c r="B133" s="51"/>
    </row>
    <row r="134">
      <c r="A134" s="50" t="str">
        <f>IFERROR(__xludf.DUMMYFUNCTION("""COMPUTED_VALUE"""),"AIR-PWRINJ7=")</f>
        <v>AIR-PWRINJ7=</v>
      </c>
      <c r="B134" s="51"/>
    </row>
    <row r="135">
      <c r="A135" s="50" t="str">
        <f>IFERROR(__xludf.DUMMYFUNCTION("""COMPUTED_VALUE"""),"IW-PWRINJ-60RGDMG=")</f>
        <v>IW-PWRINJ-60RGDMG=</v>
      </c>
      <c r="B135" s="51"/>
    </row>
    <row r="136">
      <c r="A136" s="50" t="str">
        <f>IFERROR(__xludf.DUMMYFUNCTION("""COMPUTED_VALUE"""),"Ficer-1G-80km")</f>
        <v>Ficer-1G-80km</v>
      </c>
      <c r="B136" s="51"/>
    </row>
    <row r="137">
      <c r="A137" s="50" t="str">
        <f>IFERROR(__xludf.DUMMYFUNCTION("""COMPUTED_VALUE"""),"Ficer-10G-10km")</f>
        <v>Ficer-10G-10km</v>
      </c>
      <c r="B137" s="51"/>
    </row>
    <row r="138">
      <c r="A138" s="50" t="str">
        <f>IFERROR(__xludf.DUMMYFUNCTION("""COMPUTED_VALUE"""),"Ficer-10G-40km")</f>
        <v>Ficer-10G-40km</v>
      </c>
      <c r="B138" s="51"/>
    </row>
    <row r="139">
      <c r="A139" s="50" t="str">
        <f>IFERROR(__xludf.DUMMYFUNCTION("""COMPUTED_VALUE"""),"Ficer-10G-80km")</f>
        <v>Ficer-10G-80km</v>
      </c>
      <c r="B139" s="51"/>
    </row>
    <row r="140">
      <c r="A140" s="50" t="str">
        <f>IFERROR(__xludf.DUMMYFUNCTION("""COMPUTED_VALUE"""),"Ficer-100G-10km")</f>
        <v>Ficer-100G-10km</v>
      </c>
      <c r="B140" s="51"/>
    </row>
    <row r="141">
      <c r="A141" s="50" t="str">
        <f>IFERROR(__xludf.DUMMYFUNCTION("""COMPUTED_VALUE"""),"Ficer-100G-40km")</f>
        <v>Ficer-100G-40km</v>
      </c>
      <c r="B141" s="51"/>
    </row>
    <row r="142">
      <c r="A142" s="50" t="str">
        <f>IFERROR(__xludf.DUMMYFUNCTION("""COMPUTED_VALUE"""),"Ficer-100G-80km")</f>
        <v>Ficer-100G-80km</v>
      </c>
      <c r="B142" s="51"/>
    </row>
    <row r="143">
      <c r="A143" s="50" t="str">
        <f>IFERROR(__xludf.DUMMYFUNCTION("""COMPUTED_VALUE"""),"GLC-SX-MMD=")</f>
        <v>GLC-SX-MMD=</v>
      </c>
      <c r="B143" s="51"/>
    </row>
    <row r="144">
      <c r="A144" s="50" t="str">
        <f>IFERROR(__xludf.DUMMYFUNCTION("""COMPUTED_VALUE"""),"GLC-LH-SMD=")</f>
        <v>GLC-LH-SMD=</v>
      </c>
      <c r="B144" s="51"/>
    </row>
    <row r="145">
      <c r="A145" s="50" t="str">
        <f>IFERROR(__xludf.DUMMYFUNCTION("""COMPUTED_VALUE"""),"GLC-EX-SMD=")</f>
        <v>GLC-EX-SMD=</v>
      </c>
      <c r="B145" s="51"/>
    </row>
    <row r="146">
      <c r="A146" s="50" t="str">
        <f>IFERROR(__xludf.DUMMYFUNCTION("""COMPUTED_VALUE"""),"GLC-ZX-SMD=")</f>
        <v>GLC-ZX-SMD=</v>
      </c>
      <c r="B146" s="51"/>
    </row>
    <row r="147">
      <c r="A147" s="50" t="str">
        <f>IFERROR(__xludf.DUMMYFUNCTION("""COMPUTED_VALUE"""),"SFP-10G-SR-S=")</f>
        <v>SFP-10G-SR-S=</v>
      </c>
      <c r="B147" s="51"/>
    </row>
    <row r="148">
      <c r="A148" s="50" t="str">
        <f>IFERROR(__xludf.DUMMYFUNCTION("""COMPUTED_VALUE"""),"SFP-10G-SR=")</f>
        <v>SFP-10G-SR=</v>
      </c>
      <c r="B148" s="51"/>
    </row>
    <row r="149">
      <c r="A149" s="50" t="str">
        <f>IFERROR(__xludf.DUMMYFUNCTION("""COMPUTED_VALUE"""),"SFP-10G-LR-S=")</f>
        <v>SFP-10G-LR-S=</v>
      </c>
      <c r="B149" s="51"/>
    </row>
    <row r="150">
      <c r="A150" s="50" t="str">
        <f>IFERROR(__xludf.DUMMYFUNCTION("""COMPUTED_VALUE"""),"SFP-10G-LR=")</f>
        <v>SFP-10G-LR=</v>
      </c>
      <c r="B150" s="51"/>
    </row>
    <row r="151">
      <c r="A151" s="50" t="str">
        <f>IFERROR(__xludf.DUMMYFUNCTION("""COMPUTED_VALUE"""),"SFP-10G-ER-S=")</f>
        <v>SFP-10G-ER-S=</v>
      </c>
      <c r="B151" s="51"/>
    </row>
    <row r="152">
      <c r="A152" s="50" t="str">
        <f>IFERROR(__xludf.DUMMYFUNCTION("""COMPUTED_VALUE"""),"SFP-10G-ER=")</f>
        <v>SFP-10G-ER=</v>
      </c>
      <c r="B152" s="51"/>
    </row>
    <row r="153">
      <c r="A153" s="50" t="str">
        <f>IFERROR(__xludf.DUMMYFUNCTION("""COMPUTED_VALUE"""),"SFP-10G-ZR-S=")</f>
        <v>SFP-10G-ZR-S=</v>
      </c>
      <c r="B153" s="51"/>
    </row>
    <row r="154">
      <c r="A154" s="50" t="str">
        <f>IFERROR(__xludf.DUMMYFUNCTION("""COMPUTED_VALUE"""),"SFP-10G-ZR=")</f>
        <v>SFP-10G-ZR=</v>
      </c>
      <c r="B154" s="51"/>
    </row>
    <row r="155">
      <c r="A155" s="50" t="str">
        <f>IFERROR(__xludf.DUMMYFUNCTION("""COMPUTED_VALUE"""),"QSFP-100G-LR4-S")</f>
        <v>QSFP-100G-LR4-S</v>
      </c>
      <c r="B155" s="51"/>
    </row>
    <row r="156">
      <c r="A156" s="50" t="str">
        <f>IFERROR(__xludf.DUMMYFUNCTION("""COMPUTED_VALUE"""),"QSFP-100G-LR-S=")</f>
        <v>QSFP-100G-LR-S=</v>
      </c>
      <c r="B156" s="51"/>
    </row>
    <row r="157">
      <c r="A157" s="50" t="str">
        <f>IFERROR(__xludf.DUMMYFUNCTION("""COMPUTED_VALUE"""),"QSFP-100G-ER4L-S=")</f>
        <v>QSFP-100G-ER4L-S=</v>
      </c>
      <c r="B157" s="51"/>
    </row>
    <row r="158">
      <c r="A158" s="50" t="str">
        <f>IFERROR(__xludf.DUMMYFUNCTION("""COMPUTED_VALUE"""),"QSFP-100G-ZR4-S=")</f>
        <v>QSFP-100G-ZR4-S=</v>
      </c>
      <c r="B158" s="51"/>
    </row>
    <row r="159">
      <c r="B159" s="51"/>
    </row>
    <row r="160">
      <c r="B160" s="51"/>
    </row>
    <row r="161">
      <c r="B161" s="51"/>
    </row>
    <row r="162">
      <c r="B162" s="51"/>
    </row>
    <row r="163">
      <c r="B163" s="51"/>
    </row>
    <row r="164">
      <c r="B164" s="51"/>
    </row>
    <row r="165">
      <c r="B165" s="51"/>
    </row>
    <row r="166">
      <c r="B166" s="51"/>
    </row>
    <row r="167">
      <c r="B167" s="51"/>
    </row>
    <row r="168">
      <c r="B168" s="51"/>
    </row>
    <row r="169">
      <c r="B169" s="51"/>
    </row>
    <row r="170">
      <c r="B170" s="51"/>
    </row>
    <row r="171">
      <c r="B171" s="51"/>
    </row>
    <row r="172">
      <c r="B172" s="51"/>
    </row>
    <row r="173">
      <c r="B173" s="51"/>
    </row>
    <row r="174">
      <c r="B174" s="51"/>
    </row>
    <row r="175">
      <c r="B175" s="51"/>
    </row>
    <row r="176">
      <c r="B176" s="51"/>
    </row>
    <row r="177">
      <c r="B177" s="51"/>
    </row>
    <row r="178">
      <c r="B178" s="51"/>
    </row>
    <row r="179">
      <c r="B179" s="51"/>
    </row>
    <row r="180">
      <c r="B180" s="51"/>
    </row>
    <row r="181">
      <c r="B181" s="51"/>
    </row>
    <row r="182">
      <c r="B182" s="51"/>
    </row>
    <row r="183">
      <c r="B183" s="51"/>
    </row>
    <row r="184">
      <c r="B184" s="51"/>
    </row>
    <row r="185">
      <c r="B185" s="51"/>
    </row>
    <row r="186">
      <c r="B186" s="51"/>
    </row>
    <row r="187">
      <c r="B187" s="51"/>
    </row>
    <row r="188">
      <c r="B188" s="51"/>
    </row>
    <row r="189">
      <c r="B189" s="51"/>
    </row>
    <row r="190">
      <c r="B190" s="51"/>
    </row>
    <row r="191">
      <c r="B191" s="51"/>
    </row>
    <row r="192">
      <c r="B192" s="51"/>
    </row>
    <row r="193">
      <c r="B193" s="51"/>
    </row>
    <row r="194">
      <c r="B194" s="51"/>
    </row>
    <row r="195">
      <c r="B195" s="51"/>
    </row>
    <row r="196">
      <c r="B196" s="51"/>
    </row>
    <row r="197">
      <c r="B197" s="51"/>
    </row>
    <row r="198">
      <c r="B198" s="51"/>
    </row>
    <row r="199">
      <c r="B199" s="51"/>
    </row>
    <row r="200">
      <c r="B200" s="51"/>
    </row>
    <row r="201">
      <c r="B201" s="51"/>
    </row>
    <row r="202">
      <c r="B202" s="51"/>
    </row>
    <row r="203">
      <c r="B203" s="51"/>
    </row>
    <row r="204">
      <c r="B204" s="51"/>
    </row>
    <row r="205">
      <c r="B205" s="51"/>
    </row>
    <row r="206">
      <c r="B206" s="51"/>
    </row>
    <row r="207">
      <c r="B207" s="51"/>
    </row>
    <row r="208">
      <c r="B208" s="51"/>
    </row>
    <row r="209">
      <c r="B209" s="51"/>
    </row>
    <row r="210">
      <c r="B210" s="51"/>
    </row>
    <row r="211">
      <c r="B211" s="51"/>
    </row>
    <row r="212">
      <c r="B212" s="51"/>
    </row>
    <row r="213">
      <c r="B213" s="51"/>
    </row>
    <row r="214">
      <c r="B214" s="51"/>
    </row>
    <row r="215">
      <c r="B215" s="51"/>
    </row>
    <row r="216">
      <c r="B216" s="51"/>
    </row>
    <row r="217">
      <c r="B217" s="51"/>
    </row>
    <row r="218">
      <c r="B218" s="51"/>
    </row>
    <row r="219">
      <c r="B219" s="51"/>
    </row>
    <row r="220">
      <c r="B220" s="51"/>
    </row>
    <row r="221">
      <c r="B221" s="51"/>
    </row>
    <row r="222">
      <c r="B222" s="51"/>
    </row>
    <row r="223">
      <c r="B223" s="51"/>
    </row>
    <row r="224">
      <c r="B224" s="51"/>
    </row>
    <row r="225">
      <c r="B225" s="51"/>
    </row>
    <row r="226">
      <c r="B226" s="51"/>
    </row>
    <row r="227">
      <c r="B227" s="51"/>
    </row>
    <row r="228">
      <c r="B228" s="51"/>
    </row>
    <row r="229">
      <c r="B229" s="51"/>
    </row>
    <row r="230">
      <c r="B230" s="51"/>
    </row>
    <row r="231">
      <c r="B231" s="51"/>
    </row>
    <row r="232">
      <c r="B232" s="51"/>
    </row>
    <row r="233">
      <c r="B233" s="51"/>
    </row>
    <row r="234">
      <c r="B234" s="51"/>
    </row>
    <row r="235">
      <c r="B235" s="51"/>
    </row>
    <row r="236">
      <c r="B236" s="51"/>
    </row>
    <row r="237">
      <c r="B237" s="51"/>
    </row>
    <row r="238">
      <c r="B238" s="51"/>
    </row>
    <row r="239">
      <c r="B239" s="51"/>
    </row>
    <row r="240">
      <c r="B240" s="51"/>
    </row>
    <row r="241">
      <c r="B241" s="51"/>
    </row>
    <row r="242">
      <c r="B242" s="51"/>
    </row>
    <row r="243">
      <c r="B243" s="51"/>
    </row>
    <row r="244">
      <c r="B244" s="51"/>
    </row>
    <row r="245">
      <c r="B245" s="51"/>
    </row>
    <row r="246">
      <c r="B246" s="51"/>
    </row>
    <row r="247">
      <c r="B247" s="51"/>
    </row>
    <row r="248">
      <c r="B248" s="51"/>
    </row>
    <row r="249">
      <c r="B249" s="51"/>
    </row>
    <row r="250">
      <c r="B250" s="51"/>
    </row>
    <row r="251">
      <c r="B251" s="51"/>
    </row>
    <row r="252">
      <c r="B252" s="51"/>
    </row>
    <row r="253">
      <c r="B253" s="51"/>
    </row>
    <row r="254">
      <c r="B254" s="51"/>
    </row>
    <row r="255">
      <c r="B255" s="51"/>
    </row>
    <row r="256">
      <c r="B256" s="51"/>
    </row>
    <row r="257">
      <c r="B257" s="51"/>
    </row>
    <row r="258">
      <c r="B258" s="51"/>
    </row>
    <row r="259">
      <c r="B259" s="51"/>
    </row>
    <row r="260">
      <c r="B260" s="51"/>
    </row>
    <row r="261">
      <c r="B261" s="51"/>
    </row>
    <row r="262">
      <c r="B262" s="51"/>
    </row>
    <row r="263">
      <c r="B263" s="51"/>
    </row>
    <row r="264">
      <c r="B264" s="51"/>
    </row>
    <row r="265">
      <c r="B265" s="51"/>
    </row>
    <row r="266">
      <c r="B266" s="51"/>
    </row>
    <row r="267">
      <c r="B267" s="51"/>
    </row>
    <row r="268">
      <c r="B268" s="51"/>
    </row>
    <row r="269">
      <c r="B269" s="51"/>
    </row>
    <row r="270">
      <c r="B270" s="51"/>
    </row>
    <row r="271">
      <c r="B271" s="51"/>
    </row>
    <row r="272">
      <c r="B272" s="51"/>
    </row>
    <row r="273">
      <c r="B273" s="51"/>
    </row>
    <row r="274">
      <c r="B274" s="51"/>
    </row>
    <row r="275">
      <c r="B275" s="51"/>
    </row>
    <row r="276">
      <c r="B276" s="51"/>
    </row>
    <row r="277">
      <c r="B277" s="51"/>
    </row>
    <row r="278">
      <c r="B278" s="51"/>
    </row>
    <row r="279">
      <c r="B279" s="51"/>
    </row>
    <row r="280">
      <c r="B280" s="51"/>
    </row>
    <row r="281">
      <c r="B281" s="51"/>
    </row>
    <row r="282">
      <c r="B282" s="51"/>
    </row>
    <row r="283">
      <c r="B283" s="51"/>
    </row>
    <row r="284">
      <c r="B284" s="51"/>
    </row>
    <row r="285">
      <c r="B285" s="51"/>
    </row>
    <row r="286">
      <c r="B286" s="51"/>
    </row>
    <row r="287">
      <c r="B287" s="51"/>
    </row>
    <row r="288">
      <c r="B288" s="51"/>
    </row>
    <row r="289">
      <c r="B289" s="51"/>
    </row>
    <row r="290">
      <c r="B290" s="51"/>
    </row>
    <row r="291">
      <c r="B291" s="51"/>
    </row>
    <row r="292">
      <c r="B292" s="51"/>
    </row>
    <row r="293">
      <c r="B293" s="51"/>
    </row>
    <row r="294">
      <c r="B294" s="51"/>
    </row>
    <row r="295">
      <c r="B295" s="51"/>
    </row>
    <row r="296">
      <c r="B296" s="51"/>
    </row>
    <row r="297">
      <c r="B297" s="51"/>
    </row>
    <row r="298">
      <c r="B298" s="51"/>
    </row>
    <row r="299">
      <c r="B299" s="51"/>
    </row>
    <row r="300">
      <c r="B300" s="51"/>
    </row>
    <row r="301">
      <c r="B301" s="51"/>
    </row>
    <row r="302">
      <c r="B302" s="51"/>
    </row>
    <row r="303">
      <c r="B303" s="51"/>
    </row>
    <row r="304">
      <c r="B304" s="51"/>
    </row>
    <row r="305">
      <c r="B305" s="51"/>
    </row>
    <row r="306">
      <c r="B306" s="51"/>
    </row>
    <row r="307">
      <c r="B307" s="51"/>
    </row>
    <row r="308">
      <c r="B308" s="51"/>
    </row>
    <row r="309">
      <c r="B309" s="51"/>
    </row>
    <row r="310">
      <c r="B310" s="51"/>
    </row>
    <row r="311">
      <c r="B311" s="51"/>
    </row>
    <row r="312">
      <c r="B312" s="51"/>
    </row>
    <row r="313">
      <c r="B313" s="51"/>
    </row>
    <row r="314">
      <c r="B314" s="51"/>
    </row>
    <row r="315">
      <c r="B315" s="51"/>
    </row>
    <row r="316">
      <c r="B316" s="51"/>
    </row>
    <row r="317">
      <c r="B317" s="51"/>
    </row>
    <row r="318">
      <c r="B318" s="51"/>
    </row>
    <row r="319">
      <c r="B319" s="51"/>
    </row>
    <row r="320">
      <c r="B320" s="51"/>
    </row>
    <row r="321">
      <c r="B321" s="51"/>
    </row>
    <row r="322">
      <c r="B322" s="51"/>
    </row>
    <row r="323">
      <c r="B323" s="51"/>
    </row>
    <row r="324">
      <c r="B324" s="51"/>
    </row>
    <row r="325">
      <c r="B325" s="51"/>
    </row>
    <row r="326">
      <c r="B326" s="51"/>
    </row>
    <row r="327">
      <c r="B327" s="51"/>
    </row>
    <row r="328">
      <c r="B328" s="51"/>
    </row>
    <row r="329">
      <c r="B329" s="51"/>
    </row>
    <row r="330">
      <c r="B330" s="51"/>
    </row>
    <row r="331">
      <c r="B331" s="51"/>
    </row>
    <row r="332">
      <c r="B332" s="51"/>
    </row>
    <row r="333">
      <c r="B333" s="51"/>
    </row>
    <row r="334">
      <c r="B334" s="51"/>
    </row>
    <row r="335">
      <c r="B335" s="51"/>
    </row>
    <row r="336">
      <c r="B336" s="51"/>
    </row>
    <row r="337">
      <c r="B337" s="51"/>
    </row>
    <row r="338">
      <c r="B338" s="51"/>
    </row>
    <row r="339">
      <c r="B339" s="51"/>
    </row>
    <row r="340">
      <c r="B340" s="51"/>
    </row>
    <row r="341">
      <c r="B341" s="51"/>
    </row>
    <row r="342">
      <c r="B342" s="51"/>
    </row>
    <row r="343">
      <c r="B343" s="51"/>
    </row>
    <row r="344">
      <c r="B344" s="51"/>
    </row>
    <row r="345">
      <c r="B345" s="51"/>
    </row>
    <row r="346">
      <c r="B346" s="51"/>
    </row>
    <row r="347">
      <c r="B347" s="51"/>
    </row>
    <row r="348">
      <c r="B348" s="51"/>
    </row>
    <row r="349">
      <c r="B349" s="51"/>
    </row>
    <row r="350">
      <c r="B350" s="51"/>
    </row>
    <row r="351">
      <c r="B351" s="51"/>
    </row>
    <row r="352">
      <c r="B352" s="51"/>
    </row>
    <row r="353">
      <c r="B353" s="51"/>
    </row>
    <row r="354">
      <c r="B354" s="51"/>
    </row>
    <row r="355">
      <c r="B355" s="51"/>
    </row>
    <row r="356">
      <c r="B356" s="51"/>
    </row>
    <row r="357">
      <c r="B357" s="51"/>
    </row>
    <row r="358">
      <c r="B358" s="51"/>
    </row>
    <row r="359">
      <c r="B359" s="51"/>
    </row>
    <row r="360">
      <c r="B360" s="51"/>
    </row>
    <row r="361">
      <c r="B361" s="51"/>
    </row>
    <row r="362">
      <c r="B362" s="51"/>
    </row>
    <row r="363">
      <c r="B363" s="51"/>
    </row>
    <row r="364">
      <c r="B364" s="51"/>
    </row>
    <row r="365">
      <c r="B365" s="51"/>
    </row>
    <row r="366">
      <c r="B366" s="51"/>
    </row>
    <row r="367">
      <c r="B367" s="51"/>
    </row>
    <row r="368">
      <c r="B368" s="51"/>
    </row>
    <row r="369">
      <c r="B369" s="51"/>
    </row>
    <row r="370">
      <c r="B370" s="51"/>
    </row>
    <row r="371">
      <c r="B371" s="51"/>
    </row>
    <row r="372">
      <c r="B372" s="51"/>
    </row>
    <row r="373">
      <c r="B373" s="51"/>
    </row>
    <row r="374">
      <c r="B374" s="51"/>
    </row>
    <row r="375">
      <c r="B375" s="51"/>
    </row>
    <row r="376">
      <c r="B376" s="51"/>
    </row>
    <row r="377">
      <c r="B377" s="51"/>
    </row>
    <row r="378">
      <c r="B378" s="51"/>
    </row>
    <row r="379">
      <c r="B379" s="51"/>
    </row>
    <row r="380">
      <c r="B380" s="51"/>
    </row>
    <row r="381">
      <c r="B381" s="51"/>
    </row>
    <row r="382">
      <c r="B382" s="51"/>
    </row>
    <row r="383">
      <c r="B383" s="51"/>
    </row>
    <row r="384">
      <c r="B384" s="51"/>
    </row>
    <row r="385">
      <c r="B385" s="51"/>
    </row>
    <row r="386">
      <c r="B386" s="51"/>
    </row>
    <row r="387">
      <c r="B387" s="51"/>
    </row>
    <row r="388">
      <c r="B388" s="51"/>
    </row>
    <row r="389">
      <c r="B389" s="51"/>
    </row>
    <row r="390">
      <c r="B390" s="51"/>
    </row>
    <row r="391">
      <c r="B391" s="51"/>
    </row>
    <row r="392">
      <c r="B392" s="51"/>
    </row>
    <row r="393">
      <c r="B393" s="51"/>
    </row>
    <row r="394">
      <c r="B394" s="51"/>
    </row>
    <row r="395">
      <c r="B395" s="51"/>
    </row>
    <row r="396">
      <c r="B396" s="51"/>
    </row>
    <row r="397">
      <c r="B397" s="51"/>
    </row>
    <row r="398">
      <c r="B398" s="51"/>
    </row>
    <row r="399">
      <c r="B399" s="51"/>
    </row>
    <row r="400">
      <c r="B400" s="51"/>
    </row>
    <row r="401">
      <c r="B401" s="51"/>
    </row>
    <row r="402">
      <c r="B402" s="51"/>
    </row>
    <row r="403">
      <c r="B403" s="51"/>
    </row>
    <row r="404">
      <c r="B404" s="51"/>
    </row>
    <row r="405">
      <c r="B405" s="51"/>
    </row>
    <row r="406">
      <c r="B406" s="51"/>
    </row>
    <row r="407">
      <c r="B407" s="51"/>
    </row>
    <row r="408">
      <c r="B408" s="51"/>
    </row>
    <row r="409">
      <c r="B409" s="51"/>
    </row>
    <row r="410">
      <c r="B410" s="51"/>
    </row>
    <row r="411">
      <c r="B411" s="51"/>
    </row>
    <row r="412">
      <c r="B412" s="51"/>
    </row>
    <row r="413">
      <c r="B413" s="51"/>
    </row>
    <row r="414">
      <c r="B414" s="51"/>
    </row>
    <row r="415">
      <c r="B415" s="51"/>
    </row>
    <row r="416">
      <c r="B416" s="51"/>
    </row>
    <row r="417">
      <c r="B417" s="51"/>
    </row>
    <row r="418">
      <c r="B418" s="51"/>
    </row>
    <row r="419">
      <c r="B419" s="51"/>
    </row>
    <row r="420">
      <c r="B420" s="51"/>
    </row>
    <row r="421">
      <c r="B421" s="51"/>
    </row>
    <row r="422">
      <c r="B422" s="51"/>
    </row>
    <row r="423">
      <c r="B423" s="51"/>
    </row>
    <row r="424">
      <c r="B424" s="51"/>
    </row>
    <row r="425">
      <c r="B425" s="51"/>
    </row>
    <row r="426">
      <c r="B426" s="51"/>
    </row>
    <row r="427">
      <c r="B427" s="51"/>
    </row>
    <row r="428">
      <c r="B428" s="51"/>
    </row>
    <row r="429">
      <c r="B429" s="51"/>
    </row>
    <row r="430">
      <c r="B430" s="51"/>
    </row>
    <row r="431">
      <c r="B431" s="51"/>
    </row>
    <row r="432">
      <c r="B432" s="51"/>
    </row>
    <row r="433">
      <c r="B433" s="51"/>
    </row>
    <row r="434">
      <c r="B434" s="51"/>
    </row>
    <row r="435">
      <c r="B435" s="51"/>
    </row>
    <row r="436">
      <c r="B436" s="51"/>
    </row>
    <row r="437">
      <c r="B437" s="51"/>
    </row>
    <row r="438">
      <c r="B438" s="51"/>
    </row>
    <row r="439">
      <c r="B439" s="51"/>
    </row>
    <row r="440">
      <c r="B440" s="51"/>
    </row>
    <row r="441">
      <c r="B441" s="51"/>
    </row>
    <row r="442">
      <c r="B442" s="51"/>
    </row>
    <row r="443">
      <c r="B443" s="51"/>
    </row>
    <row r="444">
      <c r="B444" s="51"/>
    </row>
    <row r="445">
      <c r="B445" s="51"/>
    </row>
    <row r="446">
      <c r="B446" s="51"/>
    </row>
    <row r="447">
      <c r="B447" s="51"/>
    </row>
    <row r="448">
      <c r="B448" s="51"/>
    </row>
    <row r="449">
      <c r="B449" s="51"/>
    </row>
    <row r="450">
      <c r="B450" s="51"/>
    </row>
    <row r="451">
      <c r="B451" s="51"/>
    </row>
    <row r="452">
      <c r="B452" s="51"/>
    </row>
    <row r="453">
      <c r="B453" s="51"/>
    </row>
    <row r="454">
      <c r="B454" s="51"/>
    </row>
    <row r="455">
      <c r="B455" s="51"/>
    </row>
    <row r="456">
      <c r="B456" s="51"/>
    </row>
    <row r="457">
      <c r="B457" s="51"/>
    </row>
    <row r="458">
      <c r="B458" s="51"/>
    </row>
    <row r="459">
      <c r="B459" s="51"/>
    </row>
    <row r="460">
      <c r="B460" s="51"/>
    </row>
    <row r="461">
      <c r="B461" s="51"/>
    </row>
    <row r="462">
      <c r="B462" s="51"/>
    </row>
    <row r="463">
      <c r="B463" s="51"/>
    </row>
    <row r="464">
      <c r="B464" s="51"/>
    </row>
    <row r="465">
      <c r="B465" s="51"/>
    </row>
    <row r="466">
      <c r="B466" s="51"/>
    </row>
    <row r="467">
      <c r="B467" s="51"/>
    </row>
    <row r="468">
      <c r="B468" s="51"/>
    </row>
    <row r="469">
      <c r="B469" s="51"/>
    </row>
    <row r="470">
      <c r="B470" s="51"/>
    </row>
    <row r="471">
      <c r="B471" s="51"/>
    </row>
    <row r="472">
      <c r="B472" s="51"/>
    </row>
    <row r="473">
      <c r="B473" s="51"/>
    </row>
    <row r="474">
      <c r="B474" s="51"/>
    </row>
    <row r="475">
      <c r="B475" s="51"/>
    </row>
    <row r="476">
      <c r="B476" s="51"/>
    </row>
    <row r="477">
      <c r="B477" s="51"/>
    </row>
    <row r="478">
      <c r="B478" s="51"/>
    </row>
    <row r="479">
      <c r="B479" s="51"/>
    </row>
    <row r="480">
      <c r="B480" s="51"/>
    </row>
    <row r="481">
      <c r="B481" s="51"/>
    </row>
    <row r="482">
      <c r="B482" s="51"/>
    </row>
    <row r="483">
      <c r="B483" s="51"/>
    </row>
    <row r="484">
      <c r="B484" s="51"/>
    </row>
    <row r="485">
      <c r="B485" s="51"/>
    </row>
    <row r="486">
      <c r="B486" s="51"/>
    </row>
    <row r="487">
      <c r="B487" s="51"/>
    </row>
    <row r="488">
      <c r="B488" s="51"/>
    </row>
    <row r="489">
      <c r="B489" s="51"/>
    </row>
    <row r="490">
      <c r="B490" s="51"/>
    </row>
    <row r="491">
      <c r="B491" s="51"/>
    </row>
    <row r="492">
      <c r="B492" s="51"/>
    </row>
    <row r="493">
      <c r="B493" s="51"/>
    </row>
    <row r="494">
      <c r="B494" s="51"/>
    </row>
    <row r="495">
      <c r="B495" s="51"/>
    </row>
    <row r="496">
      <c r="B496" s="51"/>
    </row>
    <row r="497">
      <c r="B497" s="51"/>
    </row>
    <row r="498">
      <c r="B498" s="51"/>
    </row>
    <row r="499">
      <c r="B499" s="51"/>
    </row>
    <row r="500">
      <c r="B500" s="51"/>
    </row>
    <row r="501">
      <c r="B501" s="51"/>
    </row>
    <row r="502">
      <c r="B502" s="51"/>
    </row>
    <row r="503">
      <c r="B503" s="51"/>
    </row>
    <row r="504">
      <c r="B504" s="51"/>
    </row>
    <row r="505">
      <c r="B505" s="51"/>
    </row>
    <row r="506">
      <c r="B506" s="51"/>
    </row>
    <row r="507">
      <c r="B507" s="51"/>
    </row>
    <row r="508">
      <c r="B508" s="51"/>
    </row>
    <row r="509">
      <c r="B509" s="51"/>
    </row>
    <row r="510">
      <c r="B510" s="51"/>
    </row>
    <row r="511">
      <c r="B511" s="51"/>
    </row>
    <row r="512">
      <c r="B512" s="51"/>
    </row>
    <row r="513">
      <c r="B513" s="51"/>
    </row>
    <row r="514">
      <c r="B514" s="51"/>
    </row>
    <row r="515">
      <c r="B515" s="51"/>
    </row>
    <row r="516">
      <c r="B516" s="51"/>
    </row>
    <row r="517">
      <c r="B517" s="51"/>
    </row>
    <row r="518">
      <c r="B518" s="51"/>
    </row>
    <row r="519">
      <c r="B519" s="51"/>
    </row>
    <row r="520">
      <c r="B520" s="51"/>
    </row>
    <row r="521">
      <c r="B521" s="51"/>
    </row>
    <row r="522">
      <c r="B522" s="51"/>
    </row>
    <row r="523">
      <c r="B523" s="51"/>
    </row>
    <row r="524">
      <c r="B524" s="51"/>
    </row>
    <row r="525">
      <c r="B525" s="51"/>
    </row>
    <row r="526">
      <c r="B526" s="51"/>
    </row>
    <row r="527">
      <c r="B527" s="51"/>
    </row>
    <row r="528">
      <c r="B528" s="51"/>
    </row>
    <row r="529">
      <c r="B529" s="51"/>
    </row>
    <row r="530">
      <c r="B530" s="51"/>
    </row>
    <row r="531">
      <c r="B531" s="51"/>
    </row>
    <row r="532">
      <c r="B532" s="51"/>
    </row>
    <row r="533">
      <c r="B533" s="51"/>
    </row>
    <row r="534">
      <c r="B534" s="51"/>
    </row>
    <row r="535">
      <c r="B535" s="51"/>
    </row>
    <row r="536">
      <c r="B536" s="51"/>
    </row>
    <row r="537">
      <c r="B537" s="51"/>
    </row>
    <row r="538">
      <c r="B538" s="51"/>
    </row>
    <row r="539">
      <c r="B539" s="51"/>
    </row>
    <row r="540">
      <c r="B540" s="51"/>
    </row>
    <row r="541">
      <c r="B541" s="51"/>
    </row>
    <row r="542">
      <c r="B542" s="51"/>
    </row>
    <row r="543">
      <c r="B543" s="51"/>
    </row>
    <row r="544">
      <c r="B544" s="51"/>
    </row>
    <row r="545">
      <c r="B545" s="51"/>
    </row>
    <row r="546">
      <c r="B546" s="51"/>
    </row>
    <row r="547">
      <c r="B547" s="51"/>
    </row>
    <row r="548">
      <c r="B548" s="51"/>
    </row>
    <row r="549">
      <c r="B549" s="51"/>
    </row>
    <row r="550">
      <c r="B550" s="51"/>
    </row>
    <row r="551">
      <c r="B551" s="51"/>
    </row>
    <row r="552">
      <c r="B552" s="51"/>
    </row>
    <row r="553">
      <c r="B553" s="51"/>
    </row>
    <row r="554">
      <c r="B554" s="51"/>
    </row>
    <row r="555">
      <c r="B555" s="51"/>
    </row>
    <row r="556">
      <c r="B556" s="51"/>
    </row>
    <row r="557">
      <c r="B557" s="51"/>
    </row>
    <row r="558">
      <c r="B558" s="51"/>
    </row>
    <row r="559">
      <c r="B559" s="51"/>
    </row>
    <row r="560">
      <c r="B560" s="51"/>
    </row>
    <row r="561">
      <c r="B561" s="51"/>
    </row>
    <row r="562">
      <c r="B562" s="51"/>
    </row>
    <row r="563">
      <c r="B563" s="51"/>
    </row>
    <row r="564">
      <c r="B564" s="51"/>
    </row>
    <row r="565">
      <c r="B565" s="51"/>
    </row>
    <row r="566">
      <c r="B566" s="51"/>
    </row>
    <row r="567">
      <c r="B567" s="51"/>
    </row>
    <row r="568">
      <c r="B568" s="51"/>
    </row>
    <row r="569">
      <c r="B569" s="51"/>
    </row>
    <row r="570">
      <c r="B570" s="51"/>
    </row>
    <row r="571">
      <c r="B571" s="51"/>
    </row>
    <row r="572">
      <c r="B572" s="51"/>
    </row>
    <row r="573">
      <c r="B573" s="51"/>
    </row>
    <row r="574">
      <c r="B574" s="51"/>
    </row>
    <row r="575">
      <c r="B575" s="51"/>
    </row>
    <row r="576">
      <c r="B576" s="51"/>
    </row>
    <row r="577">
      <c r="B577" s="51"/>
    </row>
    <row r="578">
      <c r="B578" s="51"/>
    </row>
    <row r="579">
      <c r="B579" s="51"/>
    </row>
    <row r="580">
      <c r="B580" s="51"/>
    </row>
    <row r="581">
      <c r="B581" s="51"/>
    </row>
    <row r="582">
      <c r="B582" s="51"/>
    </row>
    <row r="583">
      <c r="B583" s="51"/>
    </row>
    <row r="584">
      <c r="B584" s="51"/>
    </row>
    <row r="585">
      <c r="B585" s="51"/>
    </row>
    <row r="586">
      <c r="B586" s="51"/>
    </row>
    <row r="587">
      <c r="B587" s="51"/>
    </row>
    <row r="588">
      <c r="B588" s="51"/>
    </row>
    <row r="589">
      <c r="B589" s="51"/>
    </row>
    <row r="590">
      <c r="B590" s="51"/>
    </row>
    <row r="591">
      <c r="B591" s="51"/>
    </row>
    <row r="592">
      <c r="B592" s="51"/>
    </row>
    <row r="593">
      <c r="B593" s="51"/>
    </row>
    <row r="594">
      <c r="B594" s="51"/>
    </row>
    <row r="595">
      <c r="B595" s="51"/>
    </row>
    <row r="596">
      <c r="B596" s="51"/>
    </row>
    <row r="597">
      <c r="B597" s="51"/>
    </row>
    <row r="598">
      <c r="B598" s="51"/>
    </row>
    <row r="599">
      <c r="B599" s="51"/>
    </row>
    <row r="600">
      <c r="B600" s="51"/>
    </row>
    <row r="601">
      <c r="B601" s="51"/>
    </row>
    <row r="602">
      <c r="B602" s="51"/>
    </row>
    <row r="603">
      <c r="B603" s="51"/>
    </row>
    <row r="604">
      <c r="B604" s="51"/>
    </row>
    <row r="605">
      <c r="B605" s="51"/>
    </row>
    <row r="606">
      <c r="B606" s="51"/>
    </row>
    <row r="607">
      <c r="B607" s="51"/>
    </row>
    <row r="608">
      <c r="B608" s="51"/>
    </row>
    <row r="609">
      <c r="B609" s="51"/>
    </row>
    <row r="610">
      <c r="B610" s="51"/>
    </row>
    <row r="611">
      <c r="B611" s="51"/>
    </row>
    <row r="612">
      <c r="B612" s="51"/>
    </row>
    <row r="613">
      <c r="B613" s="51"/>
    </row>
    <row r="614">
      <c r="B614" s="51"/>
    </row>
    <row r="615">
      <c r="B615" s="51"/>
    </row>
    <row r="616">
      <c r="B616" s="51"/>
    </row>
    <row r="617">
      <c r="B617" s="51"/>
    </row>
    <row r="618">
      <c r="B618" s="51"/>
    </row>
    <row r="619">
      <c r="B619" s="51"/>
    </row>
    <row r="620">
      <c r="B620" s="51"/>
    </row>
    <row r="621">
      <c r="B621" s="51"/>
    </row>
    <row r="622">
      <c r="B622" s="51"/>
    </row>
    <row r="623">
      <c r="B623" s="51"/>
    </row>
    <row r="624">
      <c r="B624" s="51"/>
    </row>
    <row r="625">
      <c r="B625" s="51"/>
    </row>
    <row r="626">
      <c r="B626" s="51"/>
    </row>
    <row r="627">
      <c r="B627" s="51"/>
    </row>
    <row r="628">
      <c r="B628" s="51"/>
    </row>
    <row r="629">
      <c r="B629" s="51"/>
    </row>
    <row r="630">
      <c r="B630" s="51"/>
    </row>
    <row r="631">
      <c r="B631" s="51"/>
    </row>
    <row r="632">
      <c r="B632" s="51"/>
    </row>
    <row r="633">
      <c r="B633" s="51"/>
    </row>
    <row r="634">
      <c r="B634" s="51"/>
    </row>
    <row r="635">
      <c r="B635" s="51"/>
    </row>
    <row r="636">
      <c r="B636" s="51"/>
    </row>
    <row r="637">
      <c r="B637" s="51"/>
    </row>
    <row r="638">
      <c r="B638" s="51"/>
    </row>
    <row r="639">
      <c r="B639" s="51"/>
    </row>
    <row r="640">
      <c r="B640" s="51"/>
    </row>
    <row r="641">
      <c r="B641" s="51"/>
    </row>
    <row r="642">
      <c r="B642" s="51"/>
    </row>
    <row r="643">
      <c r="B643" s="51"/>
    </row>
    <row r="644">
      <c r="B644" s="51"/>
    </row>
    <row r="645">
      <c r="B645" s="51"/>
    </row>
    <row r="646">
      <c r="B646" s="51"/>
    </row>
    <row r="647">
      <c r="B647" s="51"/>
    </row>
    <row r="648">
      <c r="B648" s="51"/>
    </row>
    <row r="649">
      <c r="B649" s="51"/>
    </row>
    <row r="650">
      <c r="B650" s="51"/>
    </row>
    <row r="651">
      <c r="B651" s="51"/>
    </row>
    <row r="652">
      <c r="B652" s="51"/>
    </row>
    <row r="653">
      <c r="B653" s="51"/>
    </row>
    <row r="654">
      <c r="B654" s="51"/>
    </row>
    <row r="655">
      <c r="B655" s="51"/>
    </row>
    <row r="656">
      <c r="B656" s="51"/>
    </row>
    <row r="657">
      <c r="B657" s="51"/>
    </row>
    <row r="658">
      <c r="B658" s="51"/>
    </row>
    <row r="659">
      <c r="B659" s="51"/>
    </row>
    <row r="660">
      <c r="B660" s="51"/>
    </row>
    <row r="661">
      <c r="B661" s="51"/>
    </row>
    <row r="662">
      <c r="B662" s="51"/>
    </row>
    <row r="663">
      <c r="B663" s="51"/>
    </row>
    <row r="664">
      <c r="B664" s="51"/>
    </row>
    <row r="665">
      <c r="B665" s="51"/>
    </row>
    <row r="666">
      <c r="B666" s="51"/>
    </row>
    <row r="667">
      <c r="B667" s="51"/>
    </row>
    <row r="668">
      <c r="B668" s="51"/>
    </row>
    <row r="669">
      <c r="B669" s="51"/>
    </row>
    <row r="670">
      <c r="B670" s="51"/>
    </row>
    <row r="671">
      <c r="B671" s="51"/>
    </row>
    <row r="672">
      <c r="B672" s="51"/>
    </row>
    <row r="673">
      <c r="B673" s="51"/>
    </row>
    <row r="674">
      <c r="B674" s="51"/>
    </row>
    <row r="675">
      <c r="B675" s="51"/>
    </row>
    <row r="676">
      <c r="B676" s="51"/>
    </row>
    <row r="677">
      <c r="B677" s="51"/>
    </row>
    <row r="678">
      <c r="B678" s="51"/>
    </row>
    <row r="679">
      <c r="B679" s="51"/>
    </row>
    <row r="680">
      <c r="B680" s="51"/>
    </row>
    <row r="681">
      <c r="B681" s="51"/>
    </row>
    <row r="682">
      <c r="B682" s="51"/>
    </row>
    <row r="683">
      <c r="B683" s="51"/>
    </row>
    <row r="684">
      <c r="B684" s="51"/>
    </row>
    <row r="685">
      <c r="B685" s="51"/>
    </row>
    <row r="686">
      <c r="B686" s="51"/>
    </row>
    <row r="687">
      <c r="B687" s="51"/>
    </row>
    <row r="688">
      <c r="B688" s="51"/>
    </row>
    <row r="689">
      <c r="B689" s="51"/>
    </row>
    <row r="690">
      <c r="B690" s="51"/>
    </row>
    <row r="691">
      <c r="B691" s="51"/>
    </row>
    <row r="692">
      <c r="B692" s="51"/>
    </row>
    <row r="693">
      <c r="B693" s="51"/>
    </row>
    <row r="694">
      <c r="B694" s="51"/>
    </row>
    <row r="695">
      <c r="B695" s="51"/>
    </row>
    <row r="696">
      <c r="B696" s="51"/>
    </row>
    <row r="697">
      <c r="B697" s="51"/>
    </row>
    <row r="698">
      <c r="B698" s="51"/>
    </row>
    <row r="699">
      <c r="B699" s="51"/>
    </row>
    <row r="700">
      <c r="B700" s="51"/>
    </row>
    <row r="701">
      <c r="B701" s="51"/>
    </row>
    <row r="702">
      <c r="B702" s="51"/>
    </row>
    <row r="703">
      <c r="B703" s="51"/>
    </row>
    <row r="704">
      <c r="B704" s="51"/>
    </row>
    <row r="705">
      <c r="B705" s="51"/>
    </row>
    <row r="706">
      <c r="B706" s="51"/>
    </row>
    <row r="707">
      <c r="B707" s="51"/>
    </row>
    <row r="708">
      <c r="B708" s="51"/>
    </row>
    <row r="709">
      <c r="B709" s="51"/>
    </row>
    <row r="710">
      <c r="B710" s="51"/>
    </row>
    <row r="711">
      <c r="B711" s="51"/>
    </row>
    <row r="712">
      <c r="B712" s="51"/>
    </row>
    <row r="713">
      <c r="B713" s="51"/>
    </row>
    <row r="714">
      <c r="B714" s="51"/>
    </row>
    <row r="715">
      <c r="B715" s="51"/>
    </row>
    <row r="716">
      <c r="B716" s="51"/>
    </row>
    <row r="717">
      <c r="B717" s="51"/>
    </row>
    <row r="718">
      <c r="B718" s="51"/>
    </row>
    <row r="719">
      <c r="B719" s="51"/>
    </row>
    <row r="720">
      <c r="B720" s="51"/>
    </row>
    <row r="721">
      <c r="B721" s="51"/>
    </row>
    <row r="722">
      <c r="B722" s="51"/>
    </row>
    <row r="723">
      <c r="B723" s="51"/>
    </row>
    <row r="724">
      <c r="B724" s="51"/>
    </row>
    <row r="725">
      <c r="B725" s="51"/>
    </row>
    <row r="726">
      <c r="B726" s="51"/>
    </row>
    <row r="727">
      <c r="B727" s="51"/>
    </row>
    <row r="728">
      <c r="B728" s="51"/>
    </row>
    <row r="729">
      <c r="B729" s="51"/>
    </row>
    <row r="730">
      <c r="B730" s="51"/>
    </row>
    <row r="731">
      <c r="B731" s="51"/>
    </row>
    <row r="732">
      <c r="B732" s="51"/>
    </row>
    <row r="733">
      <c r="B733" s="51"/>
    </row>
    <row r="734">
      <c r="B734" s="51"/>
    </row>
    <row r="735">
      <c r="B735" s="51"/>
    </row>
    <row r="736">
      <c r="B736" s="51"/>
    </row>
    <row r="737">
      <c r="B737" s="51"/>
    </row>
    <row r="738">
      <c r="B738" s="51"/>
    </row>
    <row r="739">
      <c r="B739" s="51"/>
    </row>
    <row r="740">
      <c r="B740" s="51"/>
    </row>
    <row r="741">
      <c r="B741" s="51"/>
    </row>
    <row r="742">
      <c r="B742" s="51"/>
    </row>
    <row r="743">
      <c r="B743" s="51"/>
    </row>
    <row r="744">
      <c r="B744" s="51"/>
    </row>
    <row r="745">
      <c r="B745" s="51"/>
    </row>
    <row r="746">
      <c r="B746" s="51"/>
    </row>
    <row r="747">
      <c r="B747" s="51"/>
    </row>
    <row r="748">
      <c r="B748" s="51"/>
    </row>
    <row r="749">
      <c r="B749" s="51"/>
    </row>
    <row r="750">
      <c r="B750" s="51"/>
    </row>
    <row r="751">
      <c r="B751" s="51"/>
    </row>
    <row r="752">
      <c r="B752" s="51"/>
    </row>
    <row r="753">
      <c r="B753" s="51"/>
    </row>
    <row r="754">
      <c r="B754" s="51"/>
    </row>
    <row r="755">
      <c r="B755" s="51"/>
    </row>
    <row r="756">
      <c r="B756" s="51"/>
    </row>
    <row r="757">
      <c r="B757" s="51"/>
    </row>
    <row r="758">
      <c r="B758" s="51"/>
    </row>
    <row r="759">
      <c r="B759" s="51"/>
    </row>
    <row r="760">
      <c r="B760" s="51"/>
    </row>
    <row r="761">
      <c r="B761" s="51"/>
    </row>
    <row r="762">
      <c r="B762" s="51"/>
    </row>
    <row r="763">
      <c r="B763" s="51"/>
    </row>
    <row r="764">
      <c r="B764" s="51"/>
    </row>
    <row r="765">
      <c r="B765" s="51"/>
    </row>
    <row r="766">
      <c r="B766" s="51"/>
    </row>
    <row r="767">
      <c r="B767" s="51"/>
    </row>
    <row r="768">
      <c r="B768" s="51"/>
    </row>
    <row r="769">
      <c r="B769" s="51"/>
    </row>
    <row r="770">
      <c r="B770" s="51"/>
    </row>
    <row r="771">
      <c r="B771" s="51"/>
    </row>
    <row r="772">
      <c r="B772" s="51"/>
    </row>
    <row r="773">
      <c r="B773" s="51"/>
    </row>
    <row r="774">
      <c r="B774" s="51"/>
    </row>
    <row r="775">
      <c r="B775" s="51"/>
    </row>
    <row r="776">
      <c r="B776" s="51"/>
    </row>
    <row r="777">
      <c r="B777" s="51"/>
    </row>
    <row r="778">
      <c r="B778" s="51"/>
    </row>
    <row r="779">
      <c r="B779" s="51"/>
    </row>
    <row r="780">
      <c r="B780" s="51"/>
    </row>
    <row r="781">
      <c r="B781" s="51"/>
    </row>
    <row r="782">
      <c r="B782" s="51"/>
    </row>
    <row r="783">
      <c r="B783" s="51"/>
    </row>
    <row r="784">
      <c r="B784" s="51"/>
    </row>
    <row r="785">
      <c r="B785" s="51"/>
    </row>
    <row r="786">
      <c r="B786" s="51"/>
    </row>
    <row r="787">
      <c r="B787" s="51"/>
    </row>
    <row r="788">
      <c r="B788" s="51"/>
    </row>
    <row r="789">
      <c r="B789" s="51"/>
    </row>
    <row r="790">
      <c r="B790" s="51"/>
    </row>
    <row r="791">
      <c r="B791" s="51"/>
    </row>
    <row r="792">
      <c r="B792" s="51"/>
    </row>
    <row r="793">
      <c r="B793" s="51"/>
    </row>
    <row r="794">
      <c r="B794" s="51"/>
    </row>
    <row r="795">
      <c r="B795" s="51"/>
    </row>
    <row r="796">
      <c r="B796" s="51"/>
    </row>
    <row r="797">
      <c r="B797" s="51"/>
    </row>
    <row r="798">
      <c r="B798" s="51"/>
    </row>
    <row r="799">
      <c r="B799" s="51"/>
    </row>
    <row r="800">
      <c r="B800" s="51"/>
    </row>
    <row r="801">
      <c r="B801" s="51"/>
    </row>
    <row r="802">
      <c r="B802" s="51"/>
    </row>
    <row r="803">
      <c r="B803" s="51"/>
    </row>
    <row r="804">
      <c r="B804" s="51"/>
    </row>
    <row r="805">
      <c r="B805" s="51"/>
    </row>
    <row r="806">
      <c r="B806" s="51"/>
    </row>
    <row r="807">
      <c r="B807" s="51"/>
    </row>
    <row r="808">
      <c r="B808" s="51"/>
    </row>
    <row r="809">
      <c r="B809" s="51"/>
    </row>
    <row r="810">
      <c r="B810" s="51"/>
    </row>
    <row r="811">
      <c r="B811" s="51"/>
    </row>
    <row r="812">
      <c r="B812" s="51"/>
    </row>
    <row r="813">
      <c r="B813" s="51"/>
    </row>
    <row r="814">
      <c r="B814" s="51"/>
    </row>
    <row r="815">
      <c r="B815" s="51"/>
    </row>
    <row r="816">
      <c r="B816" s="51"/>
    </row>
    <row r="817">
      <c r="B817" s="51"/>
    </row>
    <row r="818">
      <c r="B818" s="51"/>
    </row>
    <row r="819">
      <c r="B819" s="51"/>
    </row>
    <row r="820">
      <c r="B820" s="51"/>
    </row>
    <row r="821">
      <c r="B821" s="51"/>
    </row>
    <row r="822">
      <c r="B822" s="51"/>
    </row>
    <row r="823">
      <c r="B823" s="51"/>
    </row>
    <row r="824">
      <c r="B824" s="51"/>
    </row>
    <row r="825">
      <c r="B825" s="51"/>
    </row>
    <row r="826">
      <c r="B826" s="51"/>
    </row>
    <row r="827">
      <c r="B827" s="51"/>
    </row>
    <row r="828">
      <c r="B828" s="51"/>
    </row>
    <row r="829">
      <c r="B829" s="51"/>
    </row>
    <row r="830">
      <c r="B830" s="51"/>
    </row>
    <row r="831">
      <c r="B831" s="51"/>
    </row>
    <row r="832">
      <c r="B832" s="51"/>
    </row>
    <row r="833">
      <c r="B833" s="51"/>
    </row>
    <row r="834">
      <c r="B834" s="51"/>
    </row>
    <row r="835">
      <c r="B835" s="51"/>
    </row>
    <row r="836">
      <c r="B836" s="51"/>
    </row>
    <row r="837">
      <c r="B837" s="51"/>
    </row>
    <row r="838">
      <c r="B838" s="51"/>
    </row>
    <row r="839">
      <c r="B839" s="51"/>
    </row>
    <row r="840">
      <c r="B840" s="51"/>
    </row>
    <row r="841">
      <c r="B841" s="51"/>
    </row>
    <row r="842">
      <c r="B842" s="51"/>
    </row>
    <row r="843">
      <c r="B843" s="51"/>
    </row>
    <row r="844">
      <c r="B844" s="51"/>
    </row>
    <row r="845">
      <c r="B845" s="51"/>
    </row>
    <row r="846">
      <c r="B846" s="51"/>
    </row>
    <row r="847">
      <c r="B847" s="51"/>
    </row>
    <row r="848">
      <c r="B848" s="51"/>
    </row>
    <row r="849">
      <c r="B849" s="51"/>
    </row>
    <row r="850">
      <c r="B850" s="51"/>
    </row>
    <row r="851">
      <c r="B851" s="51"/>
    </row>
    <row r="852">
      <c r="B852" s="51"/>
    </row>
    <row r="853">
      <c r="B853" s="51"/>
    </row>
    <row r="854">
      <c r="B854" s="51"/>
    </row>
    <row r="855">
      <c r="B855" s="51"/>
    </row>
    <row r="856">
      <c r="B856" s="51"/>
    </row>
    <row r="857">
      <c r="B857" s="51"/>
    </row>
    <row r="858">
      <c r="B858" s="51"/>
    </row>
    <row r="859">
      <c r="B859" s="51"/>
    </row>
    <row r="860">
      <c r="B860" s="51"/>
    </row>
    <row r="861">
      <c r="B861" s="51"/>
    </row>
    <row r="862">
      <c r="B862" s="51"/>
    </row>
    <row r="863">
      <c r="B863" s="51"/>
    </row>
    <row r="864">
      <c r="B864" s="51"/>
    </row>
    <row r="865">
      <c r="B865" s="51"/>
    </row>
    <row r="866">
      <c r="B866" s="51"/>
    </row>
    <row r="867">
      <c r="B867" s="51"/>
    </row>
    <row r="868">
      <c r="B868" s="51"/>
    </row>
    <row r="869">
      <c r="B869" s="51"/>
    </row>
    <row r="870">
      <c r="B870" s="51"/>
    </row>
    <row r="871">
      <c r="B871" s="51"/>
    </row>
    <row r="872">
      <c r="B872" s="51"/>
    </row>
    <row r="873">
      <c r="B873" s="51"/>
    </row>
    <row r="874">
      <c r="B874" s="51"/>
    </row>
    <row r="875">
      <c r="B875" s="51"/>
    </row>
    <row r="876">
      <c r="B876" s="51"/>
    </row>
    <row r="877">
      <c r="B877" s="51"/>
    </row>
    <row r="878">
      <c r="B878" s="51"/>
    </row>
    <row r="879">
      <c r="B879" s="51"/>
    </row>
    <row r="880">
      <c r="B880" s="51"/>
    </row>
    <row r="881">
      <c r="B881" s="51"/>
    </row>
    <row r="882">
      <c r="B882" s="51"/>
    </row>
    <row r="883">
      <c r="B883" s="51"/>
    </row>
    <row r="884">
      <c r="B884" s="51"/>
    </row>
    <row r="885">
      <c r="B885" s="51"/>
    </row>
    <row r="886">
      <c r="B886" s="51"/>
    </row>
    <row r="887">
      <c r="B887" s="51"/>
    </row>
    <row r="888">
      <c r="B888" s="51"/>
    </row>
    <row r="889">
      <c r="B889" s="51"/>
    </row>
    <row r="890">
      <c r="B890" s="51"/>
    </row>
    <row r="891">
      <c r="B891" s="51"/>
    </row>
    <row r="892">
      <c r="B892" s="51"/>
    </row>
    <row r="893">
      <c r="B893" s="51"/>
    </row>
    <row r="894">
      <c r="B894" s="51"/>
    </row>
    <row r="895">
      <c r="B895" s="51"/>
    </row>
    <row r="896">
      <c r="B896" s="51"/>
    </row>
    <row r="897">
      <c r="B897" s="51"/>
    </row>
    <row r="898">
      <c r="B898" s="51"/>
    </row>
    <row r="899">
      <c r="B899" s="51"/>
    </row>
    <row r="900">
      <c r="B900" s="51"/>
    </row>
    <row r="901">
      <c r="B901" s="51"/>
    </row>
    <row r="902">
      <c r="B902" s="51"/>
    </row>
    <row r="903">
      <c r="B903" s="51"/>
    </row>
    <row r="904">
      <c r="B904" s="51"/>
    </row>
    <row r="905">
      <c r="B905" s="51"/>
    </row>
    <row r="906">
      <c r="B906" s="51"/>
    </row>
    <row r="907">
      <c r="B907" s="51"/>
    </row>
    <row r="908">
      <c r="B908" s="51"/>
    </row>
    <row r="909">
      <c r="B909" s="51"/>
    </row>
    <row r="910">
      <c r="B910" s="51"/>
    </row>
    <row r="911">
      <c r="B911" s="51"/>
    </row>
    <row r="912">
      <c r="B912" s="51"/>
    </row>
    <row r="913">
      <c r="B913" s="51"/>
    </row>
    <row r="914">
      <c r="B914" s="51"/>
    </row>
    <row r="915">
      <c r="B915" s="51"/>
    </row>
    <row r="916">
      <c r="B916" s="51"/>
    </row>
    <row r="917">
      <c r="B917" s="51"/>
    </row>
    <row r="918">
      <c r="B918" s="51"/>
    </row>
    <row r="919">
      <c r="B919" s="51"/>
    </row>
    <row r="920">
      <c r="B920" s="51"/>
    </row>
    <row r="921">
      <c r="B921" s="51"/>
    </row>
    <row r="922">
      <c r="B922" s="51"/>
    </row>
    <row r="923">
      <c r="B923" s="51"/>
    </row>
    <row r="924">
      <c r="B924" s="51"/>
    </row>
    <row r="925">
      <c r="B925" s="51"/>
    </row>
    <row r="926">
      <c r="B926" s="51"/>
    </row>
    <row r="927">
      <c r="B927" s="51"/>
    </row>
    <row r="928">
      <c r="B928" s="51"/>
    </row>
    <row r="929">
      <c r="B929" s="51"/>
    </row>
    <row r="930">
      <c r="B930" s="51"/>
    </row>
    <row r="931">
      <c r="B931" s="51"/>
    </row>
    <row r="932">
      <c r="B932" s="51"/>
    </row>
    <row r="933">
      <c r="B933" s="51"/>
    </row>
    <row r="934">
      <c r="B934" s="51"/>
    </row>
    <row r="935">
      <c r="B935" s="51"/>
    </row>
    <row r="936">
      <c r="B936" s="51"/>
    </row>
    <row r="937">
      <c r="B937" s="51"/>
    </row>
    <row r="938">
      <c r="B938" s="51"/>
    </row>
    <row r="939">
      <c r="B939" s="51"/>
    </row>
    <row r="940">
      <c r="B940" s="51"/>
    </row>
    <row r="941">
      <c r="B941" s="51"/>
    </row>
    <row r="942">
      <c r="B942" s="51"/>
    </row>
    <row r="943">
      <c r="B943" s="51"/>
    </row>
    <row r="944">
      <c r="B944" s="51"/>
    </row>
    <row r="945">
      <c r="B945" s="51"/>
    </row>
    <row r="946">
      <c r="B946" s="51"/>
    </row>
    <row r="947">
      <c r="B947" s="51"/>
    </row>
    <row r="948">
      <c r="B948" s="51"/>
    </row>
    <row r="949">
      <c r="B949" s="51"/>
    </row>
    <row r="950">
      <c r="B950" s="51"/>
    </row>
    <row r="951">
      <c r="B951" s="51"/>
    </row>
    <row r="952">
      <c r="B952" s="51"/>
    </row>
    <row r="953">
      <c r="B953" s="51"/>
    </row>
    <row r="954">
      <c r="B954" s="51"/>
    </row>
    <row r="955">
      <c r="B955" s="51"/>
    </row>
    <row r="956">
      <c r="B956" s="51"/>
    </row>
    <row r="957">
      <c r="B957" s="51"/>
    </row>
    <row r="958">
      <c r="B958" s="51"/>
    </row>
    <row r="959">
      <c r="B959" s="51"/>
    </row>
    <row r="960">
      <c r="B960" s="51"/>
    </row>
    <row r="961">
      <c r="B961" s="51"/>
    </row>
    <row r="962">
      <c r="B962" s="51"/>
    </row>
    <row r="963">
      <c r="B963" s="51"/>
    </row>
    <row r="964">
      <c r="B964" s="51"/>
    </row>
    <row r="965">
      <c r="B965" s="51"/>
    </row>
    <row r="966">
      <c r="B966" s="51"/>
    </row>
    <row r="967">
      <c r="B967" s="51"/>
    </row>
    <row r="968">
      <c r="B968" s="51"/>
    </row>
    <row r="969">
      <c r="B969" s="51"/>
    </row>
    <row r="970">
      <c r="B970" s="51"/>
    </row>
    <row r="971">
      <c r="B971" s="51"/>
    </row>
    <row r="972">
      <c r="B972" s="51"/>
    </row>
    <row r="973">
      <c r="B973" s="51"/>
    </row>
    <row r="974">
      <c r="B974" s="51"/>
    </row>
    <row r="975">
      <c r="B975" s="51"/>
    </row>
    <row r="976">
      <c r="B976" s="51"/>
    </row>
    <row r="977">
      <c r="B977" s="51"/>
    </row>
    <row r="978">
      <c r="B978" s="51"/>
    </row>
    <row r="979">
      <c r="B979" s="51"/>
    </row>
    <row r="980">
      <c r="B980" s="51"/>
    </row>
    <row r="981">
      <c r="B981" s="51"/>
    </row>
    <row r="982">
      <c r="B982" s="51"/>
    </row>
    <row r="983">
      <c r="B983" s="51"/>
    </row>
    <row r="984">
      <c r="B984" s="51"/>
    </row>
    <row r="985">
      <c r="B985" s="51"/>
    </row>
    <row r="986">
      <c r="B986" s="51"/>
    </row>
    <row r="987">
      <c r="B987" s="51"/>
    </row>
    <row r="988">
      <c r="B988" s="51"/>
    </row>
    <row r="989">
      <c r="B989" s="51"/>
    </row>
    <row r="990">
      <c r="B990" s="51"/>
    </row>
    <row r="991">
      <c r="B991" s="51"/>
    </row>
    <row r="992">
      <c r="B992" s="51"/>
    </row>
    <row r="993">
      <c r="B993" s="51"/>
    </row>
    <row r="994">
      <c r="B994" s="51"/>
    </row>
    <row r="995">
      <c r="B995" s="51"/>
    </row>
    <row r="996">
      <c r="B996" s="51"/>
    </row>
    <row r="997">
      <c r="B997" s="51"/>
    </row>
    <row r="998">
      <c r="B998" s="51"/>
    </row>
    <row r="999">
      <c r="B999" s="51"/>
    </row>
    <row r="1000">
      <c r="B1000" s="51"/>
    </row>
    <row r="1001">
      <c r="B1001" s="51"/>
    </row>
  </sheetData>
  <autoFilter ref="$A$1:$Z$84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5"/>
    <col customWidth="1" min="2" max="6" width="15.88"/>
    <col customWidth="1" min="9" max="9" width="13.13"/>
  </cols>
  <sheetData>
    <row r="1">
      <c r="A1" s="48" t="str">
        <f>IFERROR(__xludf.DUMMYFUNCTION("IMPORTRANGE(""https://docs.google.com/spreadsheets/d/1ctPXcx7hfCzmjvCqyMaRqRYeCF5tAFMlXFOh56O9Jw4/edit?gid=0#gid=0"",""Cisco!A1:D1000"")"),"Devices")</f>
        <v>Devices</v>
      </c>
      <c r="B1" s="52" t="str">
        <f>IFERROR(__xludf.DUMMYFUNCTION("""COMPUTED_VALUE"""),"List Price")</f>
        <v>List Price</v>
      </c>
      <c r="C1" s="48" t="str">
        <f>IFERROR(__xludf.DUMMYFUNCTION("""COMPUTED_VALUE"""),"Giá AM nhập")</f>
        <v>Giá AM nhập</v>
      </c>
      <c r="D1" s="48" t="str">
        <f>IFERROR(__xludf.DUMMYFUNCTION("""COMPUTED_VALUE"""),"Final Price")</f>
        <v>Final Price</v>
      </c>
      <c r="E1" s="53"/>
      <c r="F1" s="53"/>
      <c r="G1" s="48"/>
      <c r="H1" s="54"/>
      <c r="I1" s="53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</row>
    <row r="2">
      <c r="A2" s="50" t="str">
        <f>IFERROR(__xludf.DUMMYFUNCTION("""COMPUTED_VALUE"""),"C8200L-1N-4T")</f>
        <v>C8200L-1N-4T</v>
      </c>
      <c r="B2" s="55">
        <f>IFERROR(__xludf.DUMMYFUNCTION("""COMPUTED_VALUE"""),22728.05)</f>
        <v>22728.05</v>
      </c>
      <c r="C2" s="55">
        <f>IFERROR(__xludf.DUMMYFUNCTION("""COMPUTED_VALUE"""),18000.0)</f>
        <v>18000</v>
      </c>
      <c r="D2" s="55">
        <f>IFERROR(__xludf.DUMMYFUNCTION("""COMPUTED_VALUE"""),18000.0)</f>
        <v>18000</v>
      </c>
      <c r="G2" s="55"/>
    </row>
    <row r="3">
      <c r="A3" s="50" t="str">
        <f>IFERROR(__xludf.DUMMYFUNCTION("""COMPUTED_VALUE"""),"C8200-1N-4T")</f>
        <v>C8200-1N-4T</v>
      </c>
      <c r="B3" s="55">
        <f>IFERROR(__xludf.DUMMYFUNCTION("""COMPUTED_VALUE"""),29504.46)</f>
        <v>29504.46</v>
      </c>
      <c r="C3" s="55">
        <f>IFERROR(__xludf.DUMMYFUNCTION("""COMPUTED_VALUE"""),15000.0)</f>
        <v>15000</v>
      </c>
      <c r="D3" s="55">
        <f>IFERROR(__xludf.DUMMYFUNCTION("""COMPUTED_VALUE"""),15000.0)</f>
        <v>15000</v>
      </c>
      <c r="G3" s="55"/>
    </row>
    <row r="4">
      <c r="A4" s="50" t="str">
        <f>IFERROR(__xludf.DUMMYFUNCTION("""COMPUTED_VALUE"""),"C8300-2N2S-4T2X")</f>
        <v>C8300-2N2S-4T2X</v>
      </c>
      <c r="B4" s="55">
        <f>IFERROR(__xludf.DUMMYFUNCTION("""COMPUTED_VALUE"""),91782.43)</f>
        <v>91782.43</v>
      </c>
      <c r="C4" s="50"/>
      <c r="D4" s="55">
        <f>IFERROR(__xludf.DUMMYFUNCTION("""COMPUTED_VALUE"""),91782.43)</f>
        <v>91782.43</v>
      </c>
      <c r="G4" s="55"/>
    </row>
    <row r="5">
      <c r="A5" s="50" t="str">
        <f>IFERROR(__xludf.DUMMYFUNCTION("""COMPUTED_VALUE"""),"C8300-1N1S-4T2X")</f>
        <v>C8300-1N1S-4T2X</v>
      </c>
      <c r="B5" s="55">
        <f>IFERROR(__xludf.DUMMYFUNCTION("""COMPUTED_VALUE"""),75749.61)</f>
        <v>75749.61</v>
      </c>
      <c r="C5" s="50"/>
      <c r="D5" s="55">
        <f>IFERROR(__xludf.DUMMYFUNCTION("""COMPUTED_VALUE"""),75749.61)</f>
        <v>75749.61</v>
      </c>
      <c r="G5" s="55"/>
    </row>
    <row r="6">
      <c r="A6" s="50" t="str">
        <f>IFERROR(__xludf.DUMMYFUNCTION("""COMPUTED_VALUE"""),"C8300-2N2S-6T")</f>
        <v>C8300-2N2S-6T</v>
      </c>
      <c r="B6" s="55">
        <f>IFERROR(__xludf.DUMMYFUNCTION("""COMPUTED_VALUE"""),50264.61)</f>
        <v>50264.61</v>
      </c>
      <c r="C6" s="50"/>
      <c r="D6" s="55">
        <f>IFERROR(__xludf.DUMMYFUNCTION("""COMPUTED_VALUE"""),50264.61)</f>
        <v>50264.61</v>
      </c>
      <c r="G6" s="55"/>
    </row>
    <row r="7">
      <c r="A7" s="50" t="str">
        <f>IFERROR(__xludf.DUMMYFUNCTION("""COMPUTED_VALUE"""),"C8300-1N1S-6T")</f>
        <v>C8300-1N1S-6T</v>
      </c>
      <c r="B7" s="55">
        <f>IFERROR(__xludf.DUMMYFUNCTION("""COMPUTED_VALUE"""),41045.93)</f>
        <v>41045.93</v>
      </c>
      <c r="C7" s="50"/>
      <c r="D7" s="55">
        <f>IFERROR(__xludf.DUMMYFUNCTION("""COMPUTED_VALUE"""),41045.93)</f>
        <v>41045.93</v>
      </c>
      <c r="G7" s="55"/>
    </row>
    <row r="8">
      <c r="A8" s="50" t="str">
        <f>IFERROR(__xludf.DUMMYFUNCTION("""COMPUTED_VALUE"""),"C8500-20X6C")</f>
        <v>C8500-20X6C</v>
      </c>
      <c r="B8" s="55">
        <f>IFERROR(__xludf.DUMMYFUNCTION("""COMPUTED_VALUE"""),553572.06)</f>
        <v>553572.06</v>
      </c>
      <c r="C8" s="50"/>
      <c r="D8" s="55">
        <f>IFERROR(__xludf.DUMMYFUNCTION("""COMPUTED_VALUE"""),553572.06)</f>
        <v>553572.06</v>
      </c>
      <c r="G8" s="55"/>
    </row>
    <row r="9">
      <c r="A9" s="50" t="str">
        <f>IFERROR(__xludf.DUMMYFUNCTION("""COMPUTED_VALUE"""),"C8500-12X4QC")</f>
        <v>C8500-12X4QC</v>
      </c>
      <c r="B9" s="55">
        <f>IFERROR(__xludf.DUMMYFUNCTION("""COMPUTED_VALUE"""),297234.95)</f>
        <v>297234.95</v>
      </c>
      <c r="C9" s="50"/>
      <c r="D9" s="55">
        <f>IFERROR(__xludf.DUMMYFUNCTION("""COMPUTED_VALUE"""),297234.95)</f>
        <v>297234.95</v>
      </c>
      <c r="G9" s="55"/>
    </row>
    <row r="10">
      <c r="A10" s="50" t="str">
        <f>IFERROR(__xludf.DUMMYFUNCTION("""COMPUTED_VALUE"""),"C8500-12X")</f>
        <v>C8500-12X</v>
      </c>
      <c r="B10" s="55">
        <f>IFERROR(__xludf.DUMMYFUNCTION("""COMPUTED_VALUE"""),206911.8)</f>
        <v>206911.8</v>
      </c>
      <c r="C10" s="50"/>
      <c r="D10" s="55">
        <f>IFERROR(__xludf.DUMMYFUNCTION("""COMPUTED_VALUE"""),206911.8)</f>
        <v>206911.8</v>
      </c>
      <c r="G10" s="55"/>
    </row>
    <row r="11">
      <c r="A11" s="50" t="str">
        <f>IFERROR(__xludf.DUMMYFUNCTION("""COMPUTED_VALUE"""),"C8500L-8S4X")</f>
        <v>C8500L-8S4X</v>
      </c>
      <c r="B11" s="55">
        <f>IFERROR(__xludf.DUMMYFUNCTION("""COMPUTED_VALUE"""),97005.56)</f>
        <v>97005.56</v>
      </c>
      <c r="C11" s="50"/>
      <c r="D11" s="55">
        <f>IFERROR(__xludf.DUMMYFUNCTION("""COMPUTED_VALUE"""),97005.56)</f>
        <v>97005.56</v>
      </c>
      <c r="G11" s="55"/>
    </row>
    <row r="12">
      <c r="A12" s="50" t="str">
        <f>IFERROR(__xludf.DUMMYFUNCTION("""COMPUTED_VALUE"""),"C9200-24T")</f>
        <v>C9200-24T</v>
      </c>
      <c r="B12" s="55">
        <f>IFERROR(__xludf.DUMMYFUNCTION("""COMPUTED_VALUE"""),9916.42)</f>
        <v>9916.42</v>
      </c>
      <c r="C12" s="50"/>
      <c r="D12" s="55">
        <f>IFERROR(__xludf.DUMMYFUNCTION("""COMPUTED_VALUE"""),9916.42)</f>
        <v>9916.42</v>
      </c>
      <c r="G12" s="55"/>
    </row>
    <row r="13">
      <c r="A13" s="50" t="str">
        <f>IFERROR(__xludf.DUMMYFUNCTION("""COMPUTED_VALUE"""),"C9200-24P")</f>
        <v>C9200-24P</v>
      </c>
      <c r="B13" s="55">
        <f>IFERROR(__xludf.DUMMYFUNCTION("""COMPUTED_VALUE"""),11052.8)</f>
        <v>11052.8</v>
      </c>
      <c r="C13" s="50"/>
      <c r="D13" s="55">
        <f>IFERROR(__xludf.DUMMYFUNCTION("""COMPUTED_VALUE"""),11052.8)</f>
        <v>11052.8</v>
      </c>
      <c r="G13" s="55"/>
    </row>
    <row r="14">
      <c r="A14" s="50" t="str">
        <f>IFERROR(__xludf.DUMMYFUNCTION("""COMPUTED_VALUE"""),"C9200-48T")</f>
        <v>C9200-48T</v>
      </c>
      <c r="B14" s="55">
        <f>IFERROR(__xludf.DUMMYFUNCTION("""COMPUTED_VALUE"""),15602.18)</f>
        <v>15602.18</v>
      </c>
      <c r="C14" s="50"/>
      <c r="D14" s="55">
        <f>IFERROR(__xludf.DUMMYFUNCTION("""COMPUTED_VALUE"""),15602.18)</f>
        <v>15602.18</v>
      </c>
      <c r="G14" s="55"/>
    </row>
    <row r="15">
      <c r="A15" s="50" t="str">
        <f>IFERROR(__xludf.DUMMYFUNCTION("""COMPUTED_VALUE"""),"C9200-48P")</f>
        <v>C9200-48P</v>
      </c>
      <c r="B15" s="55">
        <f>IFERROR(__xludf.DUMMYFUNCTION("""COMPUTED_VALUE"""),19860.05)</f>
        <v>19860.05</v>
      </c>
      <c r="C15" s="50"/>
      <c r="D15" s="55">
        <f>IFERROR(__xludf.DUMMYFUNCTION("""COMPUTED_VALUE"""),19860.05)</f>
        <v>19860.05</v>
      </c>
      <c r="G15" s="55"/>
    </row>
    <row r="16">
      <c r="A16" s="50" t="str">
        <f>IFERROR(__xludf.DUMMYFUNCTION("""COMPUTED_VALUE"""),"C9200L-24T-4G")</f>
        <v>C9200L-24T-4G</v>
      </c>
      <c r="B16" s="55">
        <f>IFERROR(__xludf.DUMMYFUNCTION("""COMPUTED_VALUE"""),6063.41)</f>
        <v>6063.41</v>
      </c>
      <c r="C16" s="50"/>
      <c r="D16" s="55">
        <f>IFERROR(__xludf.DUMMYFUNCTION("""COMPUTED_VALUE"""),6063.41)</f>
        <v>6063.41</v>
      </c>
      <c r="G16" s="55"/>
    </row>
    <row r="17">
      <c r="A17" s="50" t="str">
        <f>IFERROR(__xludf.DUMMYFUNCTION("""COMPUTED_VALUE"""),"C9200L-24P-4G")</f>
        <v>C9200L-24P-4G</v>
      </c>
      <c r="B17" s="55">
        <f>IFERROR(__xludf.DUMMYFUNCTION("""COMPUTED_VALUE"""),7529.2)</f>
        <v>7529.2</v>
      </c>
      <c r="C17" s="50"/>
      <c r="D17" s="55">
        <f>IFERROR(__xludf.DUMMYFUNCTION("""COMPUTED_VALUE"""),7529.2)</f>
        <v>7529.2</v>
      </c>
      <c r="G17" s="55"/>
    </row>
    <row r="18">
      <c r="A18" s="50" t="str">
        <f>IFERROR(__xludf.DUMMYFUNCTION("""COMPUTED_VALUE"""),"C9200L-48T-4G")</f>
        <v>C9200L-48T-4G</v>
      </c>
      <c r="B18" s="55">
        <f>IFERROR(__xludf.DUMMYFUNCTION("""COMPUTED_VALUE"""),10867.95)</f>
        <v>10867.95</v>
      </c>
      <c r="C18" s="50"/>
      <c r="D18" s="55">
        <f>IFERROR(__xludf.DUMMYFUNCTION("""COMPUTED_VALUE"""),10867.95)</f>
        <v>10867.95</v>
      </c>
      <c r="G18" s="55"/>
    </row>
    <row r="19">
      <c r="A19" s="50" t="str">
        <f>IFERROR(__xludf.DUMMYFUNCTION("""COMPUTED_VALUE"""),"C9200L-48P-4G")</f>
        <v>C9200L-48P-4G</v>
      </c>
      <c r="B19" s="55">
        <f>IFERROR(__xludf.DUMMYFUNCTION("""COMPUTED_VALUE"""),15269.17)</f>
        <v>15269.17</v>
      </c>
      <c r="C19" s="50"/>
      <c r="D19" s="55">
        <f>IFERROR(__xludf.DUMMYFUNCTION("""COMPUTED_VALUE"""),15269.17)</f>
        <v>15269.17</v>
      </c>
      <c r="G19" s="55"/>
    </row>
    <row r="20">
      <c r="A20" s="50" t="str">
        <f>IFERROR(__xludf.DUMMYFUNCTION("""COMPUTED_VALUE"""),"C9200L-24T-4X")</f>
        <v>C9200L-24T-4X</v>
      </c>
      <c r="B20" s="55">
        <f>IFERROR(__xludf.DUMMYFUNCTION("""COMPUTED_VALUE"""),8631.47)</f>
        <v>8631.47</v>
      </c>
      <c r="C20" s="50"/>
      <c r="D20" s="55">
        <f>IFERROR(__xludf.DUMMYFUNCTION("""COMPUTED_VALUE"""),8631.47)</f>
        <v>8631.47</v>
      </c>
      <c r="G20" s="55"/>
    </row>
    <row r="21">
      <c r="A21" s="50" t="str">
        <f>IFERROR(__xludf.DUMMYFUNCTION("""COMPUTED_VALUE"""),"C9200L-24P-4X")</f>
        <v>C9200L-24P-4X</v>
      </c>
      <c r="B21" s="55">
        <f>IFERROR(__xludf.DUMMYFUNCTION("""COMPUTED_VALUE"""),10097.26)</f>
        <v>10097.26</v>
      </c>
      <c r="C21" s="50"/>
      <c r="D21" s="55">
        <f>IFERROR(__xludf.DUMMYFUNCTION("""COMPUTED_VALUE"""),10097.26)</f>
        <v>10097.26</v>
      </c>
      <c r="G21" s="55"/>
    </row>
    <row r="22">
      <c r="A22" s="50" t="str">
        <f>IFERROR(__xludf.DUMMYFUNCTION("""COMPUTED_VALUE"""),"C9200L-48T-4X")</f>
        <v>C9200L-48T-4X</v>
      </c>
      <c r="B22" s="55">
        <f>IFERROR(__xludf.DUMMYFUNCTION("""COMPUTED_VALUE"""),13436.01)</f>
        <v>13436.01</v>
      </c>
      <c r="C22" s="50"/>
      <c r="D22" s="55">
        <f>IFERROR(__xludf.DUMMYFUNCTION("""COMPUTED_VALUE"""),13436.01)</f>
        <v>13436.01</v>
      </c>
      <c r="G22" s="55"/>
    </row>
    <row r="23">
      <c r="A23" s="50" t="str">
        <f>IFERROR(__xludf.DUMMYFUNCTION("""COMPUTED_VALUE"""),"C9200L-48P-4X")</f>
        <v>C9200L-48P-4X</v>
      </c>
      <c r="B23" s="55">
        <f>IFERROR(__xludf.DUMMYFUNCTION("""COMPUTED_VALUE"""),17837.21)</f>
        <v>17837.21</v>
      </c>
      <c r="C23" s="50"/>
      <c r="D23" s="55">
        <f>IFERROR(__xludf.DUMMYFUNCTION("""COMPUTED_VALUE"""),17837.21)</f>
        <v>17837.21</v>
      </c>
      <c r="G23" s="55"/>
    </row>
    <row r="24">
      <c r="A24" s="50" t="str">
        <f>IFERROR(__xludf.DUMMYFUNCTION("""COMPUTED_VALUE"""),"C9200CX-8P-2X2G")</f>
        <v>C9200CX-8P-2X2G</v>
      </c>
      <c r="B24" s="55">
        <f>IFERROR(__xludf.DUMMYFUNCTION("""COMPUTED_VALUE"""),5197.72)</f>
        <v>5197.72</v>
      </c>
      <c r="C24" s="50"/>
      <c r="D24" s="55">
        <f>IFERROR(__xludf.DUMMYFUNCTION("""COMPUTED_VALUE"""),5197.72)</f>
        <v>5197.72</v>
      </c>
      <c r="G24" s="55"/>
    </row>
    <row r="25">
      <c r="A25" s="50" t="str">
        <f>IFERROR(__xludf.DUMMYFUNCTION("""COMPUTED_VALUE"""),"C9200CX-12T-2X2G")</f>
        <v>C9200CX-12T-2X2G</v>
      </c>
      <c r="B25" s="55">
        <f>IFERROR(__xludf.DUMMYFUNCTION("""COMPUTED_VALUE"""),4748.49)</f>
        <v>4748.49</v>
      </c>
      <c r="C25" s="50"/>
      <c r="D25" s="55">
        <f>IFERROR(__xludf.DUMMYFUNCTION("""COMPUTED_VALUE"""),4748.49)</f>
        <v>4748.49</v>
      </c>
      <c r="G25" s="55"/>
    </row>
    <row r="26">
      <c r="A26" s="50" t="str">
        <f>IFERROR(__xludf.DUMMYFUNCTION("""COMPUTED_VALUE"""),"C9200CX-12P-2X2G")</f>
        <v>C9200CX-12P-2X2G</v>
      </c>
      <c r="B26" s="55">
        <f>IFERROR(__xludf.DUMMYFUNCTION("""COMPUTED_VALUE"""),5672.87)</f>
        <v>5672.87</v>
      </c>
      <c r="C26" s="50"/>
      <c r="D26" s="55">
        <f>IFERROR(__xludf.DUMMYFUNCTION("""COMPUTED_VALUE"""),5672.87)</f>
        <v>5672.87</v>
      </c>
      <c r="G26" s="55"/>
    </row>
    <row r="27">
      <c r="A27" s="50" t="str">
        <f>IFERROR(__xludf.DUMMYFUNCTION("""COMPUTED_VALUE"""),"C9300L-24T-4G")</f>
        <v>C9300L-24T-4G</v>
      </c>
      <c r="B27" s="55">
        <f>IFERROR(__xludf.DUMMYFUNCTION("""COMPUTED_VALUE"""),13699.63)</f>
        <v>13699.63</v>
      </c>
      <c r="C27" s="50"/>
      <c r="D27" s="55">
        <f>IFERROR(__xludf.DUMMYFUNCTION("""COMPUTED_VALUE"""),13699.63)</f>
        <v>13699.63</v>
      </c>
      <c r="G27" s="55"/>
    </row>
    <row r="28">
      <c r="A28" s="50" t="str">
        <f>IFERROR(__xludf.DUMMYFUNCTION("""COMPUTED_VALUE"""),"C9300L-24P-4G")</f>
        <v>C9300L-24P-4G</v>
      </c>
      <c r="B28" s="55">
        <f>IFERROR(__xludf.DUMMYFUNCTION("""COMPUTED_VALUE"""),14671.04)</f>
        <v>14671.04</v>
      </c>
      <c r="C28" s="50"/>
      <c r="D28" s="55">
        <f>IFERROR(__xludf.DUMMYFUNCTION("""COMPUTED_VALUE"""),14671.04)</f>
        <v>14671.04</v>
      </c>
      <c r="G28" s="55"/>
    </row>
    <row r="29">
      <c r="A29" s="50" t="str">
        <f>IFERROR(__xludf.DUMMYFUNCTION("""COMPUTED_VALUE"""),"C9300L-24T-4X")</f>
        <v>C9300L-24T-4X</v>
      </c>
      <c r="B29" s="55">
        <f>IFERROR(__xludf.DUMMYFUNCTION("""COMPUTED_VALUE"""),16613.85)</f>
        <v>16613.85</v>
      </c>
      <c r="C29" s="50"/>
      <c r="D29" s="55">
        <f>IFERROR(__xludf.DUMMYFUNCTION("""COMPUTED_VALUE"""),16613.85)</f>
        <v>16613.85</v>
      </c>
      <c r="G29" s="55"/>
    </row>
    <row r="30">
      <c r="A30" s="50" t="str">
        <f>IFERROR(__xludf.DUMMYFUNCTION("""COMPUTED_VALUE"""),"C9300L-24P-4X")</f>
        <v>C9300L-24P-4X</v>
      </c>
      <c r="B30" s="55">
        <f>IFERROR(__xludf.DUMMYFUNCTION("""COMPUTED_VALUE"""),17585.24)</f>
        <v>17585.24</v>
      </c>
      <c r="C30" s="50"/>
      <c r="D30" s="55">
        <f>IFERROR(__xludf.DUMMYFUNCTION("""COMPUTED_VALUE"""),17585.24)</f>
        <v>17585.24</v>
      </c>
      <c r="G30" s="55"/>
    </row>
    <row r="31">
      <c r="A31" s="50" t="str">
        <f>IFERROR(__xludf.DUMMYFUNCTION("""COMPUTED_VALUE"""),"C9300L-48T-4G")</f>
        <v>C9300L-48T-4G</v>
      </c>
      <c r="B31" s="55">
        <f>IFERROR(__xludf.DUMMYFUNCTION("""COMPUTED_VALUE"""),19825.33)</f>
        <v>19825.33</v>
      </c>
      <c r="C31" s="50"/>
      <c r="D31" s="55">
        <f>IFERROR(__xludf.DUMMYFUNCTION("""COMPUTED_VALUE"""),19825.33)</f>
        <v>19825.33</v>
      </c>
      <c r="G31" s="55"/>
    </row>
    <row r="32">
      <c r="A32" s="50" t="str">
        <f>IFERROR(__xludf.DUMMYFUNCTION("""COMPUTED_VALUE"""),"C9300L-48P-4G")</f>
        <v>C9300L-48P-4G</v>
      </c>
      <c r="B32" s="55">
        <f>IFERROR(__xludf.DUMMYFUNCTION("""COMPUTED_VALUE"""),22545.48)</f>
        <v>22545.48</v>
      </c>
      <c r="C32" s="50"/>
      <c r="D32" s="55">
        <f>IFERROR(__xludf.DUMMYFUNCTION("""COMPUTED_VALUE"""),22545.48)</f>
        <v>22545.48</v>
      </c>
      <c r="G32" s="55"/>
    </row>
    <row r="33">
      <c r="A33" s="50" t="str">
        <f>IFERROR(__xludf.DUMMYFUNCTION("""COMPUTED_VALUE"""),"C9300L-48T-4X")</f>
        <v>C9300L-48T-4X</v>
      </c>
      <c r="B33" s="55">
        <f>IFERROR(__xludf.DUMMYFUNCTION("""COMPUTED_VALUE"""),22736.79)</f>
        <v>22736.79</v>
      </c>
      <c r="C33" s="50"/>
      <c r="D33" s="55">
        <f>IFERROR(__xludf.DUMMYFUNCTION("""COMPUTED_VALUE"""),22736.79)</f>
        <v>22736.79</v>
      </c>
      <c r="G33" s="55"/>
    </row>
    <row r="34">
      <c r="A34" s="50" t="str">
        <f>IFERROR(__xludf.DUMMYFUNCTION("""COMPUTED_VALUE"""),"C9300L-48P-4X")</f>
        <v>C9300L-48P-4X</v>
      </c>
      <c r="B34" s="55">
        <f>IFERROR(__xludf.DUMMYFUNCTION("""COMPUTED_VALUE"""),25455.65)</f>
        <v>25455.65</v>
      </c>
      <c r="C34" s="50"/>
      <c r="D34" s="55">
        <f>IFERROR(__xludf.DUMMYFUNCTION("""COMPUTED_VALUE"""),25455.65)</f>
        <v>25455.65</v>
      </c>
      <c r="G34" s="55"/>
    </row>
    <row r="35">
      <c r="A35" s="50" t="str">
        <f>IFERROR(__xludf.DUMMYFUNCTION("""COMPUTED_VALUE"""),"C9300-24T")</f>
        <v>C9300-24T</v>
      </c>
      <c r="B35" s="55">
        <f>IFERROR(__xludf.DUMMYFUNCTION("""COMPUTED_VALUE"""),18011.91)</f>
        <v>18011.91</v>
      </c>
      <c r="C35" s="50"/>
      <c r="D35" s="55">
        <f>IFERROR(__xludf.DUMMYFUNCTION("""COMPUTED_VALUE"""),18011.91)</f>
        <v>18011.91</v>
      </c>
      <c r="G35" s="55"/>
    </row>
    <row r="36">
      <c r="A36" s="50" t="str">
        <f>IFERROR(__xludf.DUMMYFUNCTION("""COMPUTED_VALUE"""),"C9300-24P")</f>
        <v>C9300-24P</v>
      </c>
      <c r="B36" s="55">
        <f>IFERROR(__xludf.DUMMYFUNCTION("""COMPUTED_VALUE"""),19547.88)</f>
        <v>19547.88</v>
      </c>
      <c r="C36" s="50"/>
      <c r="D36" s="55">
        <f>IFERROR(__xludf.DUMMYFUNCTION("""COMPUTED_VALUE"""),19547.88)</f>
        <v>19547.88</v>
      </c>
      <c r="G36" s="55"/>
    </row>
    <row r="37">
      <c r="A37" s="50" t="str">
        <f>IFERROR(__xludf.DUMMYFUNCTION("""COMPUTED_VALUE"""),"C9300-24U")</f>
        <v>C9300-24U</v>
      </c>
      <c r="B37" s="55">
        <f>IFERROR(__xludf.DUMMYFUNCTION("""COMPUTED_VALUE"""),20505.61)</f>
        <v>20505.61</v>
      </c>
      <c r="C37" s="50"/>
      <c r="D37" s="55">
        <f>IFERROR(__xludf.DUMMYFUNCTION("""COMPUTED_VALUE"""),20505.61)</f>
        <v>20505.61</v>
      </c>
      <c r="G37" s="55"/>
    </row>
    <row r="38">
      <c r="A38" s="50" t="str">
        <f>IFERROR(__xludf.DUMMYFUNCTION("""COMPUTED_VALUE"""),"C9300-24H")</f>
        <v>C9300-24H</v>
      </c>
      <c r="B38" s="55">
        <f>IFERROR(__xludf.DUMMYFUNCTION("""COMPUTED_VALUE"""),21073.06)</f>
        <v>21073.06</v>
      </c>
      <c r="C38" s="50"/>
      <c r="D38" s="55">
        <f>IFERROR(__xludf.DUMMYFUNCTION("""COMPUTED_VALUE"""),21073.06)</f>
        <v>21073.06</v>
      </c>
      <c r="G38" s="55"/>
    </row>
    <row r="39">
      <c r="A39" s="50" t="str">
        <f>IFERROR(__xludf.DUMMYFUNCTION("""COMPUTED_VALUE"""),"C9300-24S")</f>
        <v>C9300-24S</v>
      </c>
      <c r="B39" s="55">
        <f>IFERROR(__xludf.DUMMYFUNCTION("""COMPUTED_VALUE"""),50184.37)</f>
        <v>50184.37</v>
      </c>
      <c r="C39" s="50"/>
      <c r="D39" s="55">
        <f>IFERROR(__xludf.DUMMYFUNCTION("""COMPUTED_VALUE"""),50184.37)</f>
        <v>50184.37</v>
      </c>
      <c r="G39" s="55"/>
    </row>
    <row r="40">
      <c r="A40" s="50" t="str">
        <f>IFERROR(__xludf.DUMMYFUNCTION("""COMPUTED_VALUE"""),"C9300-24UB")</f>
        <v>C9300-24UB</v>
      </c>
      <c r="B40" s="55">
        <f>IFERROR(__xludf.DUMMYFUNCTION("""COMPUTED_VALUE"""),25086.8)</f>
        <v>25086.8</v>
      </c>
      <c r="C40" s="50"/>
      <c r="D40" s="55">
        <f>IFERROR(__xludf.DUMMYFUNCTION("""COMPUTED_VALUE"""),25086.8)</f>
        <v>25086.8</v>
      </c>
      <c r="G40" s="55"/>
    </row>
    <row r="41">
      <c r="A41" s="50" t="str">
        <f>IFERROR(__xludf.DUMMYFUNCTION("""COMPUTED_VALUE"""),"C9300-48T")</f>
        <v>C9300-48T</v>
      </c>
      <c r="B41" s="55">
        <f>IFERROR(__xludf.DUMMYFUNCTION("""COMPUTED_VALUE"""),26361.21)</f>
        <v>26361.21</v>
      </c>
      <c r="C41" s="50"/>
      <c r="D41" s="55">
        <f>IFERROR(__xludf.DUMMYFUNCTION("""COMPUTED_VALUE"""),26361.21)</f>
        <v>26361.21</v>
      </c>
      <c r="G41" s="55"/>
    </row>
    <row r="42">
      <c r="A42" s="50" t="str">
        <f>IFERROR(__xludf.DUMMYFUNCTION("""COMPUTED_VALUE"""),"C9300-48P")</f>
        <v>C9300-48P</v>
      </c>
      <c r="B42" s="55">
        <f>IFERROR(__xludf.DUMMYFUNCTION("""COMPUTED_VALUE"""),29374.16)</f>
        <v>29374.16</v>
      </c>
      <c r="C42" s="50"/>
      <c r="D42" s="55">
        <f>IFERROR(__xludf.DUMMYFUNCTION("""COMPUTED_VALUE"""),29374.16)</f>
        <v>29374.16</v>
      </c>
      <c r="G42" s="55"/>
    </row>
    <row r="43">
      <c r="A43" s="50" t="str">
        <f>IFERROR(__xludf.DUMMYFUNCTION("""COMPUTED_VALUE"""),"C9300-48U")</f>
        <v>C9300-48U</v>
      </c>
      <c r="B43" s="55">
        <f>IFERROR(__xludf.DUMMYFUNCTION("""COMPUTED_VALUE"""),31290.78)</f>
        <v>31290.78</v>
      </c>
      <c r="C43" s="50"/>
      <c r="D43" s="55">
        <f>IFERROR(__xludf.DUMMYFUNCTION("""COMPUTED_VALUE"""),31290.78)</f>
        <v>31290.78</v>
      </c>
      <c r="G43" s="55"/>
    </row>
    <row r="44">
      <c r="A44" s="50" t="str">
        <f>IFERROR(__xludf.DUMMYFUNCTION("""COMPUTED_VALUE"""),"C9300-48H")</f>
        <v>C9300-48H</v>
      </c>
      <c r="B44" s="55">
        <f>IFERROR(__xludf.DUMMYFUNCTION("""COMPUTED_VALUE"""),32286.54)</f>
        <v>32286.54</v>
      </c>
      <c r="C44" s="50"/>
      <c r="D44" s="55">
        <f>IFERROR(__xludf.DUMMYFUNCTION("""COMPUTED_VALUE"""),32286.54)</f>
        <v>32286.54</v>
      </c>
      <c r="G44" s="55"/>
    </row>
    <row r="45">
      <c r="A45" s="50" t="str">
        <f>IFERROR(__xludf.DUMMYFUNCTION("""COMPUTED_VALUE"""),"C9300-48S")</f>
        <v>C9300-48S</v>
      </c>
      <c r="B45" s="55">
        <f>IFERROR(__xludf.DUMMYFUNCTION("""COMPUTED_VALUE"""),57322.71)</f>
        <v>57322.71</v>
      </c>
      <c r="C45" s="50"/>
      <c r="D45" s="55">
        <f>IFERROR(__xludf.DUMMYFUNCTION("""COMPUTED_VALUE"""),57322.71)</f>
        <v>57322.71</v>
      </c>
      <c r="G45" s="55"/>
    </row>
    <row r="46">
      <c r="A46" s="50" t="str">
        <f>IFERROR(__xludf.DUMMYFUNCTION("""COMPUTED_VALUE"""),"C9300-48UB")</f>
        <v>C9300-48UB</v>
      </c>
      <c r="B46" s="55">
        <f>IFERROR(__xludf.DUMMYFUNCTION("""COMPUTED_VALUE"""),37491.48)</f>
        <v>37491.48</v>
      </c>
      <c r="C46" s="50"/>
      <c r="D46" s="55">
        <f>IFERROR(__xludf.DUMMYFUNCTION("""COMPUTED_VALUE"""),37491.48)</f>
        <v>37491.48</v>
      </c>
      <c r="G46" s="55"/>
    </row>
    <row r="47">
      <c r="A47" s="50" t="str">
        <f>IFERROR(__xludf.DUMMYFUNCTION("""COMPUTED_VALUE"""),"C1300-8T-E-2G")</f>
        <v>C1300-8T-E-2G</v>
      </c>
      <c r="B47" s="55">
        <f>IFERROR(__xludf.DUMMYFUNCTION("""COMPUTED_VALUE"""),463.29)</f>
        <v>463.29</v>
      </c>
      <c r="C47" s="50"/>
      <c r="D47" s="55">
        <f>IFERROR(__xludf.DUMMYFUNCTION("""COMPUTED_VALUE"""),463.29)</f>
        <v>463.29</v>
      </c>
      <c r="G47" s="55"/>
    </row>
    <row r="48">
      <c r="A48" s="50" t="str">
        <f>IFERROR(__xludf.DUMMYFUNCTION("""COMPUTED_VALUE"""),"C1300-8P-E-2G")</f>
        <v>C1300-8P-E-2G</v>
      </c>
      <c r="B48" s="55">
        <f>IFERROR(__xludf.DUMMYFUNCTION("""COMPUTED_VALUE"""),570.56)</f>
        <v>570.56</v>
      </c>
      <c r="C48" s="50"/>
      <c r="D48" s="55">
        <f>IFERROR(__xludf.DUMMYFUNCTION("""COMPUTED_VALUE"""),570.56)</f>
        <v>570.56</v>
      </c>
      <c r="G48" s="55"/>
    </row>
    <row r="49">
      <c r="A49" s="50" t="str">
        <f>IFERROR(__xludf.DUMMYFUNCTION("""COMPUTED_VALUE"""),"C1300-8FP-2G")</f>
        <v>C1300-8FP-2G</v>
      </c>
      <c r="B49" s="55">
        <f>IFERROR(__xludf.DUMMYFUNCTION("""COMPUTED_VALUE"""),757.69)</f>
        <v>757.69</v>
      </c>
      <c r="C49" s="50"/>
      <c r="D49" s="55">
        <f>IFERROR(__xludf.DUMMYFUNCTION("""COMPUTED_VALUE"""),757.69)</f>
        <v>757.69</v>
      </c>
      <c r="G49" s="55"/>
    </row>
    <row r="50">
      <c r="A50" s="50" t="str">
        <f>IFERROR(__xludf.DUMMYFUNCTION("""COMPUTED_VALUE"""),"C1300-16T-2G")</f>
        <v>C1300-16T-2G</v>
      </c>
      <c r="B50" s="55">
        <f>IFERROR(__xludf.DUMMYFUNCTION("""COMPUTED_VALUE"""),655.57)</f>
        <v>655.57</v>
      </c>
      <c r="C50" s="50"/>
      <c r="D50" s="55">
        <f>IFERROR(__xludf.DUMMYFUNCTION("""COMPUTED_VALUE"""),655.57)</f>
        <v>655.57</v>
      </c>
      <c r="G50" s="55"/>
    </row>
    <row r="51">
      <c r="A51" s="50" t="str">
        <f>IFERROR(__xludf.DUMMYFUNCTION("""COMPUTED_VALUE"""),"C1300-16P-2G")</f>
        <v>C1300-16P-2G</v>
      </c>
      <c r="B51" s="55">
        <f>IFERROR(__xludf.DUMMYFUNCTION("""COMPUTED_VALUE"""),952.7)</f>
        <v>952.7</v>
      </c>
      <c r="C51" s="50"/>
      <c r="D51" s="55">
        <f>IFERROR(__xludf.DUMMYFUNCTION("""COMPUTED_VALUE"""),952.7)</f>
        <v>952.7</v>
      </c>
      <c r="G51" s="55"/>
    </row>
    <row r="52">
      <c r="A52" s="50" t="str">
        <f>IFERROR(__xludf.DUMMYFUNCTION("""COMPUTED_VALUE"""),"C1300-16FP-2G")</f>
        <v>C1300-16FP-2G</v>
      </c>
      <c r="B52" s="55">
        <f>IFERROR(__xludf.DUMMYFUNCTION("""COMPUTED_VALUE"""),1350.49)</f>
        <v>1350.49</v>
      </c>
      <c r="C52" s="50"/>
      <c r="D52" s="55">
        <f>IFERROR(__xludf.DUMMYFUNCTION("""COMPUTED_VALUE"""),1350.49)</f>
        <v>1350.49</v>
      </c>
      <c r="G52" s="55"/>
    </row>
    <row r="53">
      <c r="A53" s="50" t="str">
        <f>IFERROR(__xludf.DUMMYFUNCTION("""COMPUTED_VALUE"""),"C1300-24T-4G")</f>
        <v>C1300-24T-4G</v>
      </c>
      <c r="B53" s="55">
        <f>IFERROR(__xludf.DUMMYFUNCTION("""COMPUTED_VALUE"""),913.34)</f>
        <v>913.34</v>
      </c>
      <c r="C53" s="50"/>
      <c r="D53" s="55">
        <f>IFERROR(__xludf.DUMMYFUNCTION("""COMPUTED_VALUE"""),913.34)</f>
        <v>913.34</v>
      </c>
      <c r="G53" s="55"/>
    </row>
    <row r="54">
      <c r="A54" s="50" t="str">
        <f>IFERROR(__xludf.DUMMYFUNCTION("""COMPUTED_VALUE"""),"C1300-24P-4G")</f>
        <v>C1300-24P-4G</v>
      </c>
      <c r="B54" s="55">
        <f>IFERROR(__xludf.DUMMYFUNCTION("""COMPUTED_VALUE"""),1300.65)</f>
        <v>1300.65</v>
      </c>
      <c r="C54" s="50"/>
      <c r="D54" s="55">
        <f>IFERROR(__xludf.DUMMYFUNCTION("""COMPUTED_VALUE"""),1300.65)</f>
        <v>1300.65</v>
      </c>
      <c r="G54" s="55"/>
    </row>
    <row r="55">
      <c r="A55" s="50" t="str">
        <f>IFERROR(__xludf.DUMMYFUNCTION("""COMPUTED_VALUE"""),"C1300-24FP-4G")</f>
        <v>C1300-24FP-4G</v>
      </c>
      <c r="B55" s="55">
        <f>IFERROR(__xludf.DUMMYFUNCTION("""COMPUTED_VALUE"""),1770.54)</f>
        <v>1770.54</v>
      </c>
      <c r="C55" s="50"/>
      <c r="D55" s="55">
        <f>IFERROR(__xludf.DUMMYFUNCTION("""COMPUTED_VALUE"""),1770.54)</f>
        <v>1770.54</v>
      </c>
      <c r="G55" s="55"/>
    </row>
    <row r="56">
      <c r="A56" s="50" t="str">
        <f>IFERROR(__xludf.DUMMYFUNCTION("""COMPUTED_VALUE"""),"C1300-48T-4G")</f>
        <v>C1300-48T-4G</v>
      </c>
      <c r="B56" s="55">
        <f>IFERROR(__xludf.DUMMYFUNCTION("""COMPUTED_VALUE"""),1434.22)</f>
        <v>1434.22</v>
      </c>
      <c r="C56" s="50"/>
      <c r="D56" s="55">
        <f>IFERROR(__xludf.DUMMYFUNCTION("""COMPUTED_VALUE"""),1434.22)</f>
        <v>1434.22</v>
      </c>
      <c r="G56" s="55"/>
    </row>
    <row r="57">
      <c r="A57" s="50" t="str">
        <f>IFERROR(__xludf.DUMMYFUNCTION("""COMPUTED_VALUE"""),"C1300-48P-4G")</f>
        <v>C1300-48P-4G</v>
      </c>
      <c r="B57" s="55">
        <f>IFERROR(__xludf.DUMMYFUNCTION("""COMPUTED_VALUE"""),2368.53)</f>
        <v>2368.53</v>
      </c>
      <c r="C57" s="50"/>
      <c r="D57" s="55">
        <f>IFERROR(__xludf.DUMMYFUNCTION("""COMPUTED_VALUE"""),2368.53)</f>
        <v>2368.53</v>
      </c>
      <c r="G57" s="55"/>
    </row>
    <row r="58">
      <c r="A58" s="50" t="str">
        <f>IFERROR(__xludf.DUMMYFUNCTION("""COMPUTED_VALUE"""),"C1300-48FP-4G")</f>
        <v>C1300-48FP-4G</v>
      </c>
      <c r="B58" s="55">
        <f>IFERROR(__xludf.DUMMYFUNCTION("""COMPUTED_VALUE"""),2962.61)</f>
        <v>2962.61</v>
      </c>
      <c r="C58" s="50"/>
      <c r="D58" s="55">
        <f>IFERROR(__xludf.DUMMYFUNCTION("""COMPUTED_VALUE"""),2962.61)</f>
        <v>2962.61</v>
      </c>
      <c r="G58" s="55"/>
    </row>
    <row r="59">
      <c r="A59" s="50" t="str">
        <f>IFERROR(__xludf.DUMMYFUNCTION("""COMPUTED_VALUE"""),"C1300-16P-4X")</f>
        <v>C1300-16P-4X</v>
      </c>
      <c r="B59" s="55">
        <f>IFERROR(__xludf.DUMMYFUNCTION("""COMPUTED_VALUE"""),1019.52)</f>
        <v>1019.52</v>
      </c>
      <c r="C59" s="50"/>
      <c r="D59" s="55">
        <f>IFERROR(__xludf.DUMMYFUNCTION("""COMPUTED_VALUE"""),1019.52)</f>
        <v>1019.52</v>
      </c>
      <c r="G59" s="55"/>
    </row>
    <row r="60">
      <c r="A60" s="50" t="str">
        <f>IFERROR(__xludf.DUMMYFUNCTION("""COMPUTED_VALUE"""),"C1300-24T-4X")</f>
        <v>C1300-24T-4X</v>
      </c>
      <c r="B60" s="55">
        <f>IFERROR(__xludf.DUMMYFUNCTION("""COMPUTED_VALUE"""),1315.75)</f>
        <v>1315.75</v>
      </c>
      <c r="C60" s="50"/>
      <c r="D60" s="55">
        <f>IFERROR(__xludf.DUMMYFUNCTION("""COMPUTED_VALUE"""),1315.75)</f>
        <v>1315.75</v>
      </c>
      <c r="G60" s="55"/>
    </row>
    <row r="61">
      <c r="A61" s="50" t="str">
        <f>IFERROR(__xludf.DUMMYFUNCTION("""COMPUTED_VALUE"""),"C1300-24P-4X")</f>
        <v>C1300-24P-4X</v>
      </c>
      <c r="B61" s="55">
        <f>IFERROR(__xludf.DUMMYFUNCTION("""COMPUTED_VALUE"""),1567.48)</f>
        <v>1567.48</v>
      </c>
      <c r="C61" s="50"/>
      <c r="D61" s="55">
        <f>IFERROR(__xludf.DUMMYFUNCTION("""COMPUTED_VALUE"""),1567.48)</f>
        <v>1567.48</v>
      </c>
      <c r="G61" s="55"/>
    </row>
    <row r="62">
      <c r="A62" s="50" t="str">
        <f>IFERROR(__xludf.DUMMYFUNCTION("""COMPUTED_VALUE"""),"C1300-24FP-4X")</f>
        <v>C1300-24FP-4X</v>
      </c>
      <c r="B62" s="55">
        <f>IFERROR(__xludf.DUMMYFUNCTION("""COMPUTED_VALUE"""),2131.86)</f>
        <v>2131.86</v>
      </c>
      <c r="C62" s="50"/>
      <c r="D62" s="55">
        <f>IFERROR(__xludf.DUMMYFUNCTION("""COMPUTED_VALUE"""),2131.86)</f>
        <v>2131.86</v>
      </c>
      <c r="G62" s="55"/>
    </row>
    <row r="63">
      <c r="A63" s="50" t="str">
        <f>IFERROR(__xludf.DUMMYFUNCTION("""COMPUTED_VALUE"""),"C1300-48T-4X")</f>
        <v>C1300-48T-4X</v>
      </c>
      <c r="B63" s="55">
        <f>IFERROR(__xludf.DUMMYFUNCTION("""COMPUTED_VALUE"""),2062.75)</f>
        <v>2062.75</v>
      </c>
      <c r="C63" s="50"/>
      <c r="D63" s="55">
        <f>IFERROR(__xludf.DUMMYFUNCTION("""COMPUTED_VALUE"""),2062.75)</f>
        <v>2062.75</v>
      </c>
      <c r="G63" s="55"/>
    </row>
    <row r="64">
      <c r="A64" s="50" t="str">
        <f>IFERROR(__xludf.DUMMYFUNCTION("""COMPUTED_VALUE"""),"C1300-48P-4X")</f>
        <v>C1300-48P-4X</v>
      </c>
      <c r="B64" s="55">
        <f>IFERROR(__xludf.DUMMYFUNCTION("""COMPUTED_VALUE"""),2557.45)</f>
        <v>2557.45</v>
      </c>
      <c r="C64" s="50"/>
      <c r="D64" s="55">
        <f>IFERROR(__xludf.DUMMYFUNCTION("""COMPUTED_VALUE"""),2557.45)</f>
        <v>2557.45</v>
      </c>
      <c r="G64" s="55"/>
    </row>
    <row r="65">
      <c r="A65" s="50" t="str">
        <f>IFERROR(__xludf.DUMMYFUNCTION("""COMPUTED_VALUE"""),"C1300-48FP-4X")</f>
        <v>C1300-48FP-4X</v>
      </c>
      <c r="B65" s="55">
        <f>IFERROR(__xludf.DUMMYFUNCTION("""COMPUTED_VALUE"""),3302.25)</f>
        <v>3302.25</v>
      </c>
      <c r="C65" s="50"/>
      <c r="D65" s="55">
        <f>IFERROR(__xludf.DUMMYFUNCTION("""COMPUTED_VALUE"""),3302.25)</f>
        <v>3302.25</v>
      </c>
      <c r="G65" s="55"/>
    </row>
    <row r="66">
      <c r="A66" s="50" t="str">
        <f>IFERROR(__xludf.DUMMYFUNCTION("""COMPUTED_VALUE"""),"C1300-12XT-2X")</f>
        <v>C1300-12XT-2X</v>
      </c>
      <c r="B66" s="55">
        <f>IFERROR(__xludf.DUMMYFUNCTION("""COMPUTED_VALUE"""),2264.01)</f>
        <v>2264.01</v>
      </c>
      <c r="C66" s="50"/>
      <c r="D66" s="55">
        <f>IFERROR(__xludf.DUMMYFUNCTION("""COMPUTED_VALUE"""),2264.01)</f>
        <v>2264.01</v>
      </c>
      <c r="G66" s="55"/>
    </row>
    <row r="67">
      <c r="A67" s="50" t="str">
        <f>IFERROR(__xludf.DUMMYFUNCTION("""COMPUTED_VALUE"""),"C1300-12XS")</f>
        <v>C1300-12XS</v>
      </c>
      <c r="B67" s="55">
        <f>IFERROR(__xludf.DUMMYFUNCTION("""COMPUTED_VALUE"""),2306.8)</f>
        <v>2306.8</v>
      </c>
      <c r="C67" s="50"/>
      <c r="D67" s="55">
        <f>IFERROR(__xludf.DUMMYFUNCTION("""COMPUTED_VALUE"""),2306.8)</f>
        <v>2306.8</v>
      </c>
      <c r="G67" s="55"/>
    </row>
    <row r="68">
      <c r="A68" s="50" t="str">
        <f>IFERROR(__xludf.DUMMYFUNCTION("""COMPUTED_VALUE"""),"C1300-16XTS")</f>
        <v>C1300-16XTS</v>
      </c>
      <c r="B68" s="55">
        <f>IFERROR(__xludf.DUMMYFUNCTION("""COMPUTED_VALUE"""),3602.8)</f>
        <v>3602.8</v>
      </c>
      <c r="C68" s="50"/>
      <c r="D68" s="55">
        <f>IFERROR(__xludf.DUMMYFUNCTION("""COMPUTED_VALUE"""),3602.8)</f>
        <v>3602.8</v>
      </c>
      <c r="G68" s="55"/>
    </row>
    <row r="69">
      <c r="A69" s="50" t="str">
        <f>IFERROR(__xludf.DUMMYFUNCTION("""COMPUTED_VALUE"""),"C1300-24XS")</f>
        <v>C1300-24XS</v>
      </c>
      <c r="B69" s="55">
        <f>IFERROR(__xludf.DUMMYFUNCTION("""COMPUTED_VALUE"""),3725.66)</f>
        <v>3725.66</v>
      </c>
      <c r="C69" s="50"/>
      <c r="D69" s="55">
        <f>IFERROR(__xludf.DUMMYFUNCTION("""COMPUTED_VALUE"""),3725.66)</f>
        <v>3725.66</v>
      </c>
      <c r="G69" s="55"/>
    </row>
    <row r="70">
      <c r="A70" s="50" t="str">
        <f>IFERROR(__xludf.DUMMYFUNCTION("""COMPUTED_VALUE"""),"C1300-24XT")</f>
        <v>C1300-24XT</v>
      </c>
      <c r="B70" s="55">
        <f>IFERROR(__xludf.DUMMYFUNCTION("""COMPUTED_VALUE"""),4790.18)</f>
        <v>4790.18</v>
      </c>
      <c r="C70" s="50"/>
      <c r="D70" s="55">
        <f>IFERROR(__xludf.DUMMYFUNCTION("""COMPUTED_VALUE"""),4790.18)</f>
        <v>4790.18</v>
      </c>
      <c r="G70" s="55"/>
    </row>
    <row r="71">
      <c r="A71" s="50" t="str">
        <f>IFERROR(__xludf.DUMMYFUNCTION("""COMPUTED_VALUE"""),"C1300-24XTS")</f>
        <v>C1300-24XTS</v>
      </c>
      <c r="B71" s="55">
        <f>IFERROR(__xludf.DUMMYFUNCTION("""COMPUTED_VALUE"""),4622.36)</f>
        <v>4622.36</v>
      </c>
      <c r="C71" s="50"/>
      <c r="D71" s="55">
        <f>IFERROR(__xludf.DUMMYFUNCTION("""COMPUTED_VALUE"""),4622.36)</f>
        <v>4622.36</v>
      </c>
      <c r="G71" s="55"/>
    </row>
    <row r="72">
      <c r="A72" s="50" t="str">
        <f>IFERROR(__xludf.DUMMYFUNCTION("""COMPUTED_VALUE"""),"C1300X-24T-4X")</f>
        <v>C1300X-24T-4X</v>
      </c>
      <c r="B72" s="55">
        <f>IFERROR(__xludf.DUMMYFUNCTION("""COMPUTED_VALUE"""),1379.74)</f>
        <v>1379.74</v>
      </c>
      <c r="C72" s="50"/>
      <c r="D72" s="55">
        <f>IFERROR(__xludf.DUMMYFUNCTION("""COMPUTED_VALUE"""),1379.74)</f>
        <v>1379.74</v>
      </c>
      <c r="G72" s="55"/>
    </row>
    <row r="73">
      <c r="A73" s="50" t="str">
        <f>IFERROR(__xludf.DUMMYFUNCTION("""COMPUTED_VALUE"""),"C1300X-48T-4X")</f>
        <v>C1300X-48T-4X</v>
      </c>
      <c r="B73" s="55">
        <f>IFERROR(__xludf.DUMMYFUNCTION("""COMPUTED_VALUE"""),2116.76)</f>
        <v>2116.76</v>
      </c>
      <c r="C73" s="50"/>
      <c r="D73" s="55">
        <f>IFERROR(__xludf.DUMMYFUNCTION("""COMPUTED_VALUE"""),2116.76)</f>
        <v>2116.76</v>
      </c>
      <c r="G73" s="55"/>
    </row>
    <row r="74">
      <c r="A74" s="50" t="str">
        <f>IFERROR(__xludf.DUMMYFUNCTION("""COMPUTED_VALUE"""),"C1300X-24P-4X")</f>
        <v>C1300X-24P-4X</v>
      </c>
      <c r="B74" s="55">
        <f>IFERROR(__xludf.DUMMYFUNCTION("""COMPUTED_VALUE"""),2238.02)</f>
        <v>2238.02</v>
      </c>
      <c r="C74" s="50"/>
      <c r="D74" s="55">
        <f>IFERROR(__xludf.DUMMYFUNCTION("""COMPUTED_VALUE"""),2238.02)</f>
        <v>2238.02</v>
      </c>
      <c r="G74" s="55"/>
    </row>
    <row r="75">
      <c r="A75" s="50" t="str">
        <f>IFERROR(__xludf.DUMMYFUNCTION("""COMPUTED_VALUE"""),"C1300X-48P-4X")</f>
        <v>C1300X-48P-4X</v>
      </c>
      <c r="B75" s="55">
        <f>IFERROR(__xludf.DUMMYFUNCTION("""COMPUTED_VALUE"""),3466.95)</f>
        <v>3466.95</v>
      </c>
      <c r="C75" s="50"/>
      <c r="D75" s="55">
        <f>IFERROR(__xludf.DUMMYFUNCTION("""COMPUTED_VALUE"""),3466.95)</f>
        <v>3466.95</v>
      </c>
      <c r="G75" s="55"/>
    </row>
    <row r="76">
      <c r="A76" s="50" t="str">
        <f>IFERROR(__xludf.DUMMYFUNCTION("""COMPUTED_VALUE"""),"C9500-32C")</f>
        <v>C9500-32C</v>
      </c>
      <c r="B76" s="55">
        <f>IFERROR(__xludf.DUMMYFUNCTION("""COMPUTED_VALUE"""),86779.49)</f>
        <v>86779.49</v>
      </c>
      <c r="C76" s="50"/>
      <c r="D76" s="55">
        <f>IFERROR(__xludf.DUMMYFUNCTION("""COMPUTED_VALUE"""),86779.49)</f>
        <v>86779.49</v>
      </c>
      <c r="G76" s="55"/>
    </row>
    <row r="77">
      <c r="A77" s="50" t="str">
        <f>IFERROR(__xludf.DUMMYFUNCTION("""COMPUTED_VALUE"""),"C9500-32QC")</f>
        <v>C9500-32QC</v>
      </c>
      <c r="B77" s="55">
        <f>IFERROR(__xludf.DUMMYFUNCTION("""COMPUTED_VALUE"""),78332.98)</f>
        <v>78332.98</v>
      </c>
      <c r="C77" s="50"/>
      <c r="D77" s="55">
        <f>IFERROR(__xludf.DUMMYFUNCTION("""COMPUTED_VALUE"""),78332.98)</f>
        <v>78332.98</v>
      </c>
      <c r="G77" s="55"/>
    </row>
    <row r="78">
      <c r="A78" s="50" t="str">
        <f>IFERROR(__xludf.DUMMYFUNCTION("""COMPUTED_VALUE"""),"C9500-48Y4C")</f>
        <v>C9500-48Y4C</v>
      </c>
      <c r="B78" s="55">
        <f>IFERROR(__xludf.DUMMYFUNCTION("""COMPUTED_VALUE"""),66036.97)</f>
        <v>66036.97</v>
      </c>
      <c r="C78" s="50"/>
      <c r="D78" s="55">
        <f>IFERROR(__xludf.DUMMYFUNCTION("""COMPUTED_VALUE"""),66036.97)</f>
        <v>66036.97</v>
      </c>
      <c r="G78" s="55"/>
    </row>
    <row r="79">
      <c r="A79" s="50" t="str">
        <f>IFERROR(__xludf.DUMMYFUNCTION("""COMPUTED_VALUE"""),"C9500-24Y4C")</f>
        <v>C9500-24Y4C</v>
      </c>
      <c r="B79" s="55">
        <f>IFERROR(__xludf.DUMMYFUNCTION("""COMPUTED_VALUE"""),55686.03)</f>
        <v>55686.03</v>
      </c>
      <c r="C79" s="50"/>
      <c r="D79" s="55">
        <f>IFERROR(__xludf.DUMMYFUNCTION("""COMPUTED_VALUE"""),55686.03)</f>
        <v>55686.03</v>
      </c>
      <c r="G79" s="55"/>
    </row>
    <row r="80">
      <c r="A80" s="50" t="str">
        <f>IFERROR(__xludf.DUMMYFUNCTION("""COMPUTED_VALUE"""),"C9500X-28C8D")</f>
        <v>C9500X-28C8D</v>
      </c>
      <c r="B80" s="55">
        <f>IFERROR(__xludf.DUMMYFUNCTION("""COMPUTED_VALUE"""),170302.47)</f>
        <v>170302.47</v>
      </c>
      <c r="C80" s="50"/>
      <c r="D80" s="55">
        <f>IFERROR(__xludf.DUMMYFUNCTION("""COMPUTED_VALUE"""),170302.47)</f>
        <v>170302.47</v>
      </c>
      <c r="G80" s="55"/>
    </row>
    <row r="81">
      <c r="A81" s="50" t="str">
        <f>IFERROR(__xludf.DUMMYFUNCTION("""COMPUTED_VALUE"""),"C9500X-60L4D")</f>
        <v>C9500X-60L4D</v>
      </c>
      <c r="B81" s="55">
        <f>IFERROR(__xludf.DUMMYFUNCTION("""COMPUTED_VALUE"""),130669.25)</f>
        <v>130669.25</v>
      </c>
      <c r="C81" s="50"/>
      <c r="D81" s="55">
        <f>IFERROR(__xludf.DUMMYFUNCTION("""COMPUTED_VALUE"""),130669.25)</f>
        <v>130669.25</v>
      </c>
      <c r="G81" s="55"/>
    </row>
    <row r="82">
      <c r="A82" s="50" t="str">
        <f>IFERROR(__xludf.DUMMYFUNCTION("""COMPUTED_VALUE"""),"C9500-16X")</f>
        <v>C9500-16X</v>
      </c>
      <c r="B82" s="55">
        <f>IFERROR(__xludf.DUMMYFUNCTION("""COMPUTED_VALUE"""),41745.39)</f>
        <v>41745.39</v>
      </c>
      <c r="C82" s="50"/>
      <c r="D82" s="55">
        <f>IFERROR(__xludf.DUMMYFUNCTION("""COMPUTED_VALUE"""),41745.39)</f>
        <v>41745.39</v>
      </c>
      <c r="G82" s="55"/>
    </row>
    <row r="83">
      <c r="A83" s="50" t="str">
        <f>IFERROR(__xludf.DUMMYFUNCTION("""COMPUTED_VALUE"""),"APIC-CLUSTERG5")</f>
        <v>APIC-CLUSTERG5</v>
      </c>
      <c r="B83" s="55">
        <f>IFERROR(__xludf.DUMMYFUNCTION("""COMPUTED_VALUE"""),161856.78)</f>
        <v>161856.78</v>
      </c>
      <c r="C83" s="50"/>
      <c r="D83" s="55">
        <f>IFERROR(__xludf.DUMMYFUNCTION("""COMPUTED_VALUE"""),161856.78)</f>
        <v>161856.78</v>
      </c>
      <c r="G83" s="55"/>
    </row>
    <row r="84">
      <c r="A84" s="50" t="str">
        <f>IFERROR(__xludf.DUMMYFUNCTION("""COMPUTED_VALUE"""),"N9K-C9504")</f>
        <v>N9K-C9504</v>
      </c>
      <c r="B84" s="55">
        <f>IFERROR(__xludf.DUMMYFUNCTION("""COMPUTED_VALUE"""),383674.39)</f>
        <v>383674.39</v>
      </c>
      <c r="C84" s="50"/>
      <c r="D84" s="55">
        <f>IFERROR(__xludf.DUMMYFUNCTION("""COMPUTED_VALUE"""),383674.39)</f>
        <v>383674.39</v>
      </c>
      <c r="G84" s="55"/>
    </row>
    <row r="85">
      <c r="A85" s="50" t="str">
        <f>IFERROR(__xludf.DUMMYFUNCTION("""COMPUTED_VALUE"""),"N9K-C9508")</f>
        <v>N9K-C9508</v>
      </c>
      <c r="B85" s="55">
        <f>IFERROR(__xludf.DUMMYFUNCTION("""COMPUTED_VALUE"""),645324.61)</f>
        <v>645324.61</v>
      </c>
      <c r="C85" s="50"/>
      <c r="D85" s="55">
        <f>IFERROR(__xludf.DUMMYFUNCTION("""COMPUTED_VALUE"""),645324.61)</f>
        <v>645324.61</v>
      </c>
      <c r="G85" s="55"/>
    </row>
    <row r="86">
      <c r="A86" s="50" t="str">
        <f>IFERROR(__xludf.DUMMYFUNCTION("""COMPUTED_VALUE"""),"N9K-C9516")</f>
        <v>N9K-C9516</v>
      </c>
      <c r="B86" s="55">
        <f>IFERROR(__xludf.DUMMYFUNCTION("""COMPUTED_VALUE"""),761874.61)</f>
        <v>761874.61</v>
      </c>
      <c r="C86" s="50"/>
      <c r="D86" s="55">
        <f>IFERROR(__xludf.DUMMYFUNCTION("""COMPUTED_VALUE"""),761874.61)</f>
        <v>761874.61</v>
      </c>
      <c r="G86" s="55"/>
    </row>
    <row r="87">
      <c r="A87" s="50" t="str">
        <f>IFERROR(__xludf.DUMMYFUNCTION("""COMPUTED_VALUE"""),"N9K-X9736C-FX3=")</f>
        <v>N9K-X9736C-FX3=</v>
      </c>
      <c r="B87" s="55">
        <f>IFERROR(__xludf.DUMMYFUNCTION("""COMPUTED_VALUE"""),59012.02)</f>
        <v>59012.02</v>
      </c>
      <c r="C87" s="50"/>
      <c r="D87" s="55">
        <f>IFERROR(__xludf.DUMMYFUNCTION("""COMPUTED_VALUE"""),59012.02)</f>
        <v>59012.02</v>
      </c>
      <c r="G87" s="55"/>
    </row>
    <row r="88">
      <c r="A88" s="50" t="str">
        <f>IFERROR(__xludf.DUMMYFUNCTION("""COMPUTED_VALUE"""),"N9K-C9364C-GX")</f>
        <v>N9K-C9364C-GX</v>
      </c>
      <c r="B88" s="55">
        <f>IFERROR(__xludf.DUMMYFUNCTION("""COMPUTED_VALUE"""),150153.17)</f>
        <v>150153.17</v>
      </c>
      <c r="C88" s="50"/>
      <c r="D88" s="55">
        <f>IFERROR(__xludf.DUMMYFUNCTION("""COMPUTED_VALUE"""),150153.17)</f>
        <v>150153.17</v>
      </c>
      <c r="G88" s="55"/>
    </row>
    <row r="89">
      <c r="A89" s="50" t="str">
        <f>IFERROR(__xludf.DUMMYFUNCTION("""COMPUTED_VALUE"""),"N9K-C9316D-GX")</f>
        <v>N9K-C9316D-GX</v>
      </c>
      <c r="B89" s="55">
        <f>IFERROR(__xludf.DUMMYFUNCTION("""COMPUTED_VALUE"""),125701.93)</f>
        <v>125701.93</v>
      </c>
      <c r="C89" s="55">
        <f>IFERROR(__xludf.DUMMYFUNCTION("""COMPUTED_VALUE"""),26500.0)</f>
        <v>26500</v>
      </c>
      <c r="D89" s="55">
        <f>IFERROR(__xludf.DUMMYFUNCTION("""COMPUTED_VALUE"""),26500.0)</f>
        <v>26500</v>
      </c>
      <c r="G89" s="55"/>
    </row>
    <row r="90">
      <c r="A90" s="50" t="str">
        <f>IFERROR(__xludf.DUMMYFUNCTION("""COMPUTED_VALUE"""),"N9K-C93600CD-GX")</f>
        <v>N9K-C93600CD-GX</v>
      </c>
      <c r="B90" s="55">
        <f>IFERROR(__xludf.DUMMYFUNCTION("""COMPUTED_VALUE"""),121246.9)</f>
        <v>121246.9</v>
      </c>
      <c r="C90" s="55">
        <f>IFERROR(__xludf.DUMMYFUNCTION("""COMPUTED_VALUE"""),32500.0)</f>
        <v>32500</v>
      </c>
      <c r="D90" s="55">
        <f>IFERROR(__xludf.DUMMYFUNCTION("""COMPUTED_VALUE"""),32500.0)</f>
        <v>32500</v>
      </c>
      <c r="G90" s="55"/>
    </row>
    <row r="91">
      <c r="A91" s="50" t="str">
        <f>IFERROR(__xludf.DUMMYFUNCTION("""COMPUTED_VALUE"""),"N9K-C93180YC-FX3")</f>
        <v>N9K-C93180YC-FX3</v>
      </c>
      <c r="B91" s="55">
        <f>IFERROR(__xludf.DUMMYFUNCTION("""COMPUTED_VALUE"""),73302.82)</f>
        <v>73302.82</v>
      </c>
      <c r="C91" s="55">
        <f>IFERROR(__xludf.DUMMYFUNCTION("""COMPUTED_VALUE"""),192000.0)</f>
        <v>192000</v>
      </c>
      <c r="D91" s="55">
        <f>IFERROR(__xludf.DUMMYFUNCTION("""COMPUTED_VALUE"""),192000.0)</f>
        <v>192000</v>
      </c>
      <c r="G91" s="55"/>
    </row>
    <row r="92">
      <c r="A92" s="50" t="str">
        <f>IFERROR(__xludf.DUMMYFUNCTION("""COMPUTED_VALUE"""),"N9K-C93240YC-FX2")</f>
        <v>N9K-C93240YC-FX2</v>
      </c>
      <c r="B92" s="55">
        <f>IFERROR(__xludf.DUMMYFUNCTION("""COMPUTED_VALUE"""),81871.35)</f>
        <v>81871.35</v>
      </c>
      <c r="C92" s="50"/>
      <c r="D92" s="55">
        <f>IFERROR(__xludf.DUMMYFUNCTION("""COMPUTED_VALUE"""),81871.35)</f>
        <v>81871.35</v>
      </c>
      <c r="G92" s="55"/>
    </row>
    <row r="93">
      <c r="A93" s="50" t="str">
        <f>IFERROR(__xludf.DUMMYFUNCTION("""COMPUTED_VALUE"""),"N9K-C93360YC-FX2")</f>
        <v>N9K-C93360YC-FX2</v>
      </c>
      <c r="B93" s="55">
        <f>IFERROR(__xludf.DUMMYFUNCTION("""COMPUTED_VALUE"""),95456.27)</f>
        <v>95456.27</v>
      </c>
      <c r="C93" s="50"/>
      <c r="D93" s="55">
        <f>IFERROR(__xludf.DUMMYFUNCTION("""COMPUTED_VALUE"""),95456.27)</f>
        <v>95456.27</v>
      </c>
      <c r="G93" s="55"/>
    </row>
    <row r="94">
      <c r="A94" s="50" t="str">
        <f>IFERROR(__xludf.DUMMYFUNCTION("""COMPUTED_VALUE"""),"N9K-C93216TC-FX2")</f>
        <v>N9K-C93216TC-FX2</v>
      </c>
      <c r="B94" s="55">
        <f>IFERROR(__xludf.DUMMYFUNCTION("""COMPUTED_VALUE"""),95212.19)</f>
        <v>95212.19</v>
      </c>
      <c r="C94" s="50"/>
      <c r="D94" s="55">
        <f>IFERROR(__xludf.DUMMYFUNCTION("""COMPUTED_VALUE"""),95212.19)</f>
        <v>95212.19</v>
      </c>
      <c r="G94" s="55"/>
    </row>
    <row r="95">
      <c r="A95" s="50" t="str">
        <f>IFERROR(__xludf.DUMMYFUNCTION("""COMPUTED_VALUE"""),"N9K-C93108TC-FX3")</f>
        <v>N9K-C93108TC-FX3</v>
      </c>
      <c r="B95" s="55">
        <f>IFERROR(__xludf.DUMMYFUNCTION("""COMPUTED_VALUE"""),78416.27)</f>
        <v>78416.27</v>
      </c>
      <c r="C95" s="50"/>
      <c r="D95" s="55">
        <f>IFERROR(__xludf.DUMMYFUNCTION("""COMPUTED_VALUE"""),78416.27)</f>
        <v>78416.27</v>
      </c>
      <c r="G95" s="55"/>
    </row>
    <row r="96">
      <c r="A96" s="50" t="str">
        <f>IFERROR(__xludf.DUMMYFUNCTION("""COMPUTED_VALUE"""),"N9K-C9348GC-FX3")</f>
        <v>N9K-C9348GC-FX3</v>
      </c>
      <c r="B96" s="55">
        <f>IFERROR(__xludf.DUMMYFUNCTION("""COMPUTED_VALUE"""),32577.06)</f>
        <v>32577.06</v>
      </c>
      <c r="C96" s="50"/>
      <c r="D96" s="55">
        <f>IFERROR(__xludf.DUMMYFUNCTION("""COMPUTED_VALUE"""),32577.06)</f>
        <v>32577.06</v>
      </c>
      <c r="G96" s="55"/>
    </row>
    <row r="97">
      <c r="A97" s="50" t="str">
        <f>IFERROR(__xludf.DUMMYFUNCTION("""COMPUTED_VALUE"""),"C1161X-8P")</f>
        <v>C1161X-8P</v>
      </c>
      <c r="B97" s="55">
        <f>IFERROR(__xludf.DUMMYFUNCTION("""COMPUTED_VALUE"""),10265.06)</f>
        <v>10265.06</v>
      </c>
      <c r="C97" s="50"/>
      <c r="D97" s="55">
        <f>IFERROR(__xludf.DUMMYFUNCTION("""COMPUTED_VALUE"""),10265.06)</f>
        <v>10265.06</v>
      </c>
      <c r="G97" s="55"/>
    </row>
    <row r="98">
      <c r="A98" s="50" t="str">
        <f>IFERROR(__xludf.DUMMYFUNCTION("""COMPUTED_VALUE"""),"C1127-8PLTEP")</f>
        <v>C1127-8PLTEP</v>
      </c>
      <c r="B98" s="55">
        <f>IFERROR(__xludf.DUMMYFUNCTION("""COMPUTED_VALUE"""),8935.48)</f>
        <v>8935.48</v>
      </c>
      <c r="C98" s="50"/>
      <c r="D98" s="55">
        <f>IFERROR(__xludf.DUMMYFUNCTION("""COMPUTED_VALUE"""),8935.48)</f>
        <v>8935.48</v>
      </c>
      <c r="G98" s="55"/>
    </row>
    <row r="99">
      <c r="A99" s="50" t="str">
        <f>IFERROR(__xludf.DUMMYFUNCTION("""COMPUTED_VALUE"""),"C1117-4P")</f>
        <v>C1117-4P</v>
      </c>
      <c r="B99" s="55">
        <f>IFERROR(__xludf.DUMMYFUNCTION("""COMPUTED_VALUE"""),8519.2)</f>
        <v>8519.2</v>
      </c>
      <c r="C99" s="50"/>
      <c r="D99" s="55">
        <f>IFERROR(__xludf.DUMMYFUNCTION("""COMPUTED_VALUE"""),8519.2)</f>
        <v>8519.2</v>
      </c>
      <c r="G99" s="55"/>
    </row>
    <row r="100">
      <c r="A100" s="50" t="str">
        <f>IFERROR(__xludf.DUMMYFUNCTION("""COMPUTED_VALUE"""),"C1109-4PLTE2P")</f>
        <v>C1109-4PLTE2P</v>
      </c>
      <c r="B100" s="55">
        <f>IFERROR(__xludf.DUMMYFUNCTION("""COMPUTED_VALUE"""),9070.11)</f>
        <v>9070.11</v>
      </c>
      <c r="C100" s="50"/>
      <c r="D100" s="55">
        <f>IFERROR(__xludf.DUMMYFUNCTION("""COMPUTED_VALUE"""),9070.11)</f>
        <v>9070.11</v>
      </c>
      <c r="G100" s="55"/>
    </row>
    <row r="101">
      <c r="A101" s="50" t="str">
        <f>IFERROR(__xludf.DUMMYFUNCTION("""COMPUTED_VALUE"""),"C1161-8P")</f>
        <v>C1161-8P</v>
      </c>
      <c r="B101" s="55">
        <f>IFERROR(__xludf.DUMMYFUNCTION("""COMPUTED_VALUE"""),9713.63)</f>
        <v>9713.63</v>
      </c>
      <c r="C101" s="50"/>
      <c r="D101" s="55">
        <f>IFERROR(__xludf.DUMMYFUNCTION("""COMPUTED_VALUE"""),9713.63)</f>
        <v>9713.63</v>
      </c>
      <c r="G101" s="55"/>
    </row>
    <row r="102">
      <c r="A102" s="50" t="str">
        <f>IFERROR(__xludf.DUMMYFUNCTION("""COMPUTED_VALUE"""),"C1131-8PWS")</f>
        <v>C1131-8PWS</v>
      </c>
      <c r="B102" s="55">
        <f>IFERROR(__xludf.DUMMYFUNCTION("""COMPUTED_VALUE"""),8922.97)</f>
        <v>8922.97</v>
      </c>
      <c r="C102" s="50"/>
      <c r="D102" s="55">
        <f>IFERROR(__xludf.DUMMYFUNCTION("""COMPUTED_VALUE"""),8922.97)</f>
        <v>8922.97</v>
      </c>
      <c r="G102" s="55"/>
    </row>
    <row r="103">
      <c r="A103" s="50" t="str">
        <f>IFERROR(__xludf.DUMMYFUNCTION("""COMPUTED_VALUE"""),"C1131X-8PWS")</f>
        <v>C1131X-8PWS</v>
      </c>
      <c r="B103" s="55">
        <f>IFERROR(__xludf.DUMMYFUNCTION("""COMPUTED_VALUE"""),9142.75)</f>
        <v>9142.75</v>
      </c>
      <c r="C103" s="50"/>
      <c r="D103" s="55">
        <f>IFERROR(__xludf.DUMMYFUNCTION("""COMPUTED_VALUE"""),9142.75)</f>
        <v>9142.75</v>
      </c>
      <c r="G103" s="55"/>
    </row>
    <row r="104">
      <c r="A104" s="50" t="str">
        <f>IFERROR(__xludf.DUMMYFUNCTION("""COMPUTED_VALUE"""),"C1121-4P")</f>
        <v>C1121-4P</v>
      </c>
      <c r="B104" s="55">
        <f>IFERROR(__xludf.DUMMYFUNCTION("""COMPUTED_VALUE"""),8003.549999999999)</f>
        <v>8003.55</v>
      </c>
      <c r="C104" s="50"/>
      <c r="D104" s="55">
        <f>IFERROR(__xludf.DUMMYFUNCTION("""COMPUTED_VALUE"""),8003.549999999999)</f>
        <v>8003.55</v>
      </c>
      <c r="G104" s="55"/>
    </row>
    <row r="105">
      <c r="A105" s="50" t="str">
        <f>IFERROR(__xludf.DUMMYFUNCTION("""COMPUTED_VALUE"""),"C1121-8P")</f>
        <v>C1121-8P</v>
      </c>
      <c r="B105" s="55">
        <f>IFERROR(__xludf.DUMMYFUNCTION("""COMPUTED_VALUE"""),8311.31)</f>
        <v>8311.31</v>
      </c>
      <c r="C105" s="50"/>
      <c r="D105" s="55">
        <f>IFERROR(__xludf.DUMMYFUNCTION("""COMPUTED_VALUE"""),8311.31)</f>
        <v>8311.31</v>
      </c>
      <c r="G105" s="55"/>
    </row>
    <row r="106">
      <c r="A106" s="50" t="str">
        <f>IFERROR(__xludf.DUMMYFUNCTION("""COMPUTED_VALUE"""),"C1116-4P")</f>
        <v>C1116-4P</v>
      </c>
      <c r="B106" s="55">
        <f>IFERROR(__xludf.DUMMYFUNCTION("""COMPUTED_VALUE"""),8519.2)</f>
        <v>8519.2</v>
      </c>
      <c r="C106" s="50"/>
      <c r="D106" s="55">
        <f>IFERROR(__xludf.DUMMYFUNCTION("""COMPUTED_VALUE"""),8519.2)</f>
        <v>8519.2</v>
      </c>
      <c r="G106" s="55"/>
    </row>
    <row r="107">
      <c r="A107" s="50" t="str">
        <f>IFERROR(__xludf.DUMMYFUNCTION("""COMPUTED_VALUE"""),"C1112-8P")</f>
        <v>C1112-8P</v>
      </c>
      <c r="B107" s="55">
        <f>IFERROR(__xludf.DUMMYFUNCTION("""COMPUTED_VALUE"""),9556.939999999999)</f>
        <v>9556.94</v>
      </c>
      <c r="C107" s="50"/>
      <c r="D107" s="55">
        <f>IFERROR(__xludf.DUMMYFUNCTION("""COMPUTED_VALUE"""),9556.939999999999)</f>
        <v>9556.94</v>
      </c>
      <c r="G107" s="55"/>
    </row>
    <row r="108">
      <c r="A108" s="50" t="str">
        <f>IFERROR(__xludf.DUMMYFUNCTION("""COMPUTED_VALUE"""),"C8355-G2 (Default Routing)")</f>
        <v>C8355-G2 (Default Routing)</v>
      </c>
      <c r="B108" s="55">
        <f>IFERROR(__xludf.DUMMYFUNCTION("""COMPUTED_VALUE"""),24102.27)</f>
        <v>24102.27</v>
      </c>
      <c r="C108" s="50"/>
      <c r="D108" s="55">
        <f>IFERROR(__xludf.DUMMYFUNCTION("""COMPUTED_VALUE"""),24102.27)</f>
        <v>24102.27</v>
      </c>
      <c r="G108" s="55"/>
    </row>
    <row r="109">
      <c r="A109" s="50" t="str">
        <f>IFERROR(__xludf.DUMMYFUNCTION("""COMPUTED_VALUE"""),"C8355-G2 (Adv Routing)")</f>
        <v>C8355-G2 (Adv Routing)</v>
      </c>
      <c r="B109" s="55">
        <f>IFERROR(__xludf.DUMMYFUNCTION("""COMPUTED_VALUE"""),34182.270000000004)</f>
        <v>34182.27</v>
      </c>
      <c r="C109" s="50"/>
      <c r="D109" s="55">
        <f>IFERROR(__xludf.DUMMYFUNCTION("""COMPUTED_VALUE"""),34182.270000000004)</f>
        <v>34182.27</v>
      </c>
      <c r="G109" s="55"/>
    </row>
    <row r="110">
      <c r="A110" s="50" t="str">
        <f>IFERROR(__xludf.DUMMYFUNCTION("""COMPUTED_VALUE"""),"C8355-G2 (SDWAN)")</f>
        <v>C8355-G2 (SDWAN)</v>
      </c>
      <c r="B110" s="55">
        <f>IFERROR(__xludf.DUMMYFUNCTION("""COMPUTED_VALUE"""),38286.270000000004)</f>
        <v>38286.27</v>
      </c>
      <c r="C110" s="50"/>
      <c r="D110" s="55">
        <f>IFERROR(__xludf.DUMMYFUNCTION("""COMPUTED_VALUE"""),38286.270000000004)</f>
        <v>38286.27</v>
      </c>
      <c r="G110" s="55"/>
    </row>
    <row r="111">
      <c r="A111" s="50" t="str">
        <f>IFERROR(__xludf.DUMMYFUNCTION("""COMPUTED_VALUE"""),"C8355-G2 (Full Adds On)")</f>
        <v>C8355-G2 (Full Adds On)</v>
      </c>
      <c r="B111" s="55">
        <f>IFERROR(__xludf.DUMMYFUNCTION("""COMPUTED_VALUE"""),40122.270000000004)</f>
        <v>40122.27</v>
      </c>
      <c r="C111" s="50"/>
      <c r="D111" s="55">
        <f>IFERROR(__xludf.DUMMYFUNCTION("""COMPUTED_VALUE"""),40122.270000000004)</f>
        <v>40122.27</v>
      </c>
      <c r="G111" s="55"/>
    </row>
    <row r="112">
      <c r="A112" s="50" t="str">
        <f>IFERROR(__xludf.DUMMYFUNCTION("""COMPUTED_VALUE"""),"C8375-E-G2 (Default Routing)")</f>
        <v>C8375-E-G2 (Default Routing)</v>
      </c>
      <c r="B112" s="55">
        <f>IFERROR(__xludf.DUMMYFUNCTION("""COMPUTED_VALUE"""),40699.17)</f>
        <v>40699.17</v>
      </c>
      <c r="C112" s="50"/>
      <c r="D112" s="55">
        <f>IFERROR(__xludf.DUMMYFUNCTION("""COMPUTED_VALUE"""),40699.17)</f>
        <v>40699.17</v>
      </c>
      <c r="G112" s="55"/>
    </row>
    <row r="113">
      <c r="A113" s="50" t="str">
        <f>IFERROR(__xludf.DUMMYFUNCTION("""COMPUTED_VALUE"""),"C8375-E-G2 (Adv Routing)")</f>
        <v>C8375-E-G2 (Adv Routing)</v>
      </c>
      <c r="B113" s="55">
        <f>IFERROR(__xludf.DUMMYFUNCTION("""COMPUTED_VALUE"""),50779.17)</f>
        <v>50779.17</v>
      </c>
      <c r="C113" s="50"/>
      <c r="D113" s="55">
        <f>IFERROR(__xludf.DUMMYFUNCTION("""COMPUTED_VALUE"""),50779.17)</f>
        <v>50779.17</v>
      </c>
      <c r="G113" s="55"/>
    </row>
    <row r="114">
      <c r="A114" s="50" t="str">
        <f>IFERROR(__xludf.DUMMYFUNCTION("""COMPUTED_VALUE"""),"C8375-E-G2 (SDWAN)")</f>
        <v>C8375-E-G2 (SDWAN)</v>
      </c>
      <c r="B114" s="55">
        <f>IFERROR(__xludf.DUMMYFUNCTION("""COMPUTED_VALUE"""),54883.17)</f>
        <v>54883.17</v>
      </c>
      <c r="C114" s="50"/>
      <c r="D114" s="55">
        <f>IFERROR(__xludf.DUMMYFUNCTION("""COMPUTED_VALUE"""),54883.17)</f>
        <v>54883.17</v>
      </c>
      <c r="G114" s="55"/>
    </row>
    <row r="115">
      <c r="A115" s="50" t="str">
        <f>IFERROR(__xludf.DUMMYFUNCTION("""COMPUTED_VALUE"""),"C8375-E-G2 (Full Adds On)")</f>
        <v>C8375-E-G2 (Full Adds On)</v>
      </c>
      <c r="B115" s="55">
        <f>IFERROR(__xludf.DUMMYFUNCTION("""COMPUTED_VALUE"""),56719.17)</f>
        <v>56719.17</v>
      </c>
      <c r="C115" s="50"/>
      <c r="D115" s="55">
        <f>IFERROR(__xludf.DUMMYFUNCTION("""COMPUTED_VALUE"""),56719.17)</f>
        <v>56719.17</v>
      </c>
      <c r="G115" s="55"/>
    </row>
    <row r="116">
      <c r="A116" s="50" t="str">
        <f>IFERROR(__xludf.DUMMYFUNCTION("""COMPUTED_VALUE"""),"C8550-G2 (Default Routing)")</f>
        <v>C8550-G2 (Default Routing)</v>
      </c>
      <c r="B116" s="55">
        <f>IFERROR(__xludf.DUMMYFUNCTION("""COMPUTED_VALUE"""),164387.73)</f>
        <v>164387.73</v>
      </c>
      <c r="C116" s="50"/>
      <c r="D116" s="55">
        <f>IFERROR(__xludf.DUMMYFUNCTION("""COMPUTED_VALUE"""),164387.73)</f>
        <v>164387.73</v>
      </c>
      <c r="G116" s="55"/>
    </row>
    <row r="117">
      <c r="A117" s="50" t="str">
        <f>IFERROR(__xludf.DUMMYFUNCTION("""COMPUTED_VALUE"""),"C8550-G2 (Adv Routing)")</f>
        <v>C8550-G2 (Adv Routing)</v>
      </c>
      <c r="B117" s="55">
        <f>IFERROR(__xludf.DUMMYFUNCTION("""COMPUTED_VALUE"""),197987.73)</f>
        <v>197987.73</v>
      </c>
      <c r="C117" s="50"/>
      <c r="D117" s="55">
        <f>IFERROR(__xludf.DUMMYFUNCTION("""COMPUTED_VALUE"""),197987.73)</f>
        <v>197987.73</v>
      </c>
      <c r="G117" s="55"/>
    </row>
    <row r="118">
      <c r="A118" s="50" t="str">
        <f>IFERROR(__xludf.DUMMYFUNCTION("""COMPUTED_VALUE"""),"C8550-G2 (SDWAN)")</f>
        <v>C8550-G2 (SDWAN)</v>
      </c>
      <c r="B118" s="55">
        <f>IFERROR(__xludf.DUMMYFUNCTION("""COMPUTED_VALUE"""),219575.73)</f>
        <v>219575.73</v>
      </c>
      <c r="C118" s="50"/>
      <c r="D118" s="55">
        <f>IFERROR(__xludf.DUMMYFUNCTION("""COMPUTED_VALUE"""),219575.73)</f>
        <v>219575.73</v>
      </c>
      <c r="G118" s="55"/>
    </row>
    <row r="119">
      <c r="A119" s="50" t="str">
        <f>IFERROR(__xludf.DUMMYFUNCTION("""COMPUTED_VALUE"""),"C8570-G2 (Default Routing)")</f>
        <v>C8570-G2 (Default Routing)</v>
      </c>
      <c r="B119" s="55">
        <f>IFERROR(__xludf.DUMMYFUNCTION("""COMPUTED_VALUE"""),229697.16)</f>
        <v>229697.16</v>
      </c>
      <c r="C119" s="50"/>
      <c r="D119" s="55">
        <f>IFERROR(__xludf.DUMMYFUNCTION("""COMPUTED_VALUE"""),229697.16)</f>
        <v>229697.16</v>
      </c>
      <c r="G119" s="55"/>
    </row>
    <row r="120">
      <c r="A120" s="50" t="str">
        <f>IFERROR(__xludf.DUMMYFUNCTION("""COMPUTED_VALUE"""),"C8570-G2 (Adv Routing)")</f>
        <v>C8570-G2 (Adv Routing)</v>
      </c>
      <c r="B120" s="55">
        <f>IFERROR(__xludf.DUMMYFUNCTION("""COMPUTED_VALUE"""),263297.16000000003)</f>
        <v>263297.16</v>
      </c>
      <c r="C120" s="50"/>
      <c r="D120" s="55">
        <f>IFERROR(__xludf.DUMMYFUNCTION("""COMPUTED_VALUE"""),263297.16000000003)</f>
        <v>263297.16</v>
      </c>
      <c r="G120" s="55"/>
    </row>
    <row r="121">
      <c r="A121" s="50" t="str">
        <f>IFERROR(__xludf.DUMMYFUNCTION("""COMPUTED_VALUE"""),"C8570-G2 (SDWAN)")</f>
        <v>C8570-G2 (SDWAN)</v>
      </c>
      <c r="B121" s="55">
        <f>IFERROR(__xludf.DUMMYFUNCTION("""COMPUTED_VALUE"""),284885.16000000003)</f>
        <v>284885.16</v>
      </c>
      <c r="C121" s="50"/>
      <c r="D121" s="55">
        <f>IFERROR(__xludf.DUMMYFUNCTION("""COMPUTED_VALUE"""),284885.16000000003)</f>
        <v>284885.16</v>
      </c>
      <c r="G121" s="55"/>
    </row>
    <row r="122">
      <c r="A122" s="50" t="str">
        <f>IFERROR(__xludf.DUMMYFUNCTION("""COMPUTED_VALUE"""),"C8455-G2 (Default Routing)")</f>
        <v>C8455-G2 (Default Routing)</v>
      </c>
      <c r="B122" s="55">
        <f>IFERROR(__xludf.DUMMYFUNCTION("""COMPUTED_VALUE"""),55540.54)</f>
        <v>55540.54</v>
      </c>
      <c r="C122" s="50"/>
      <c r="D122" s="55">
        <f>IFERROR(__xludf.DUMMYFUNCTION("""COMPUTED_VALUE"""),55540.54)</f>
        <v>55540.54</v>
      </c>
      <c r="G122" s="55"/>
    </row>
    <row r="123">
      <c r="A123" s="50" t="str">
        <f>IFERROR(__xludf.DUMMYFUNCTION("""COMPUTED_VALUE"""),"C8455-G2 (Adv Routing)")</f>
        <v>C8455-G2 (Adv Routing)</v>
      </c>
      <c r="B123" s="55">
        <f>IFERROR(__xludf.DUMMYFUNCTION("""COMPUTED_VALUE"""),89140.54000000001)</f>
        <v>89140.54</v>
      </c>
      <c r="C123" s="50"/>
      <c r="D123" s="55">
        <f>IFERROR(__xludf.DUMMYFUNCTION("""COMPUTED_VALUE"""),89140.54000000001)</f>
        <v>89140.54</v>
      </c>
      <c r="G123" s="55"/>
    </row>
    <row r="124">
      <c r="A124" s="50" t="str">
        <f>IFERROR(__xludf.DUMMYFUNCTION("""COMPUTED_VALUE"""),"C8455-G2 (SDWAN)")</f>
        <v>C8455-G2 (SDWAN)</v>
      </c>
      <c r="B124" s="55">
        <f>IFERROR(__xludf.DUMMYFUNCTION("""COMPUTED_VALUE"""),110728.54000000001)</f>
        <v>110728.54</v>
      </c>
      <c r="C124" s="50"/>
      <c r="D124" s="55">
        <f>IFERROR(__xludf.DUMMYFUNCTION("""COMPUTED_VALUE"""),110728.54000000001)</f>
        <v>110728.54</v>
      </c>
      <c r="G124" s="55"/>
    </row>
    <row r="125">
      <c r="A125" s="50" t="str">
        <f>IFERROR(__xludf.DUMMYFUNCTION("""COMPUTED_VALUE"""),"C8455-G2 (Full Adds On)")</f>
        <v>C8455-G2 (Full Adds On)</v>
      </c>
      <c r="B125" s="55">
        <f>IFERROR(__xludf.DUMMYFUNCTION("""COMPUTED_VALUE"""),114400.54000000001)</f>
        <v>114400.54</v>
      </c>
      <c r="C125" s="50"/>
      <c r="D125" s="55">
        <f>IFERROR(__xludf.DUMMYFUNCTION("""COMPUTED_VALUE"""),114400.54000000001)</f>
        <v>114400.54</v>
      </c>
      <c r="G125" s="55"/>
    </row>
    <row r="126">
      <c r="A126" s="50" t="str">
        <f>IFERROR(__xludf.DUMMYFUNCTION("""COMPUTED_VALUE"""),"C8475-G2 (Default Routing)")</f>
        <v>C8475-G2 (Default Routing)</v>
      </c>
      <c r="B126" s="55">
        <f>IFERROR(__xludf.DUMMYFUNCTION("""COMPUTED_VALUE"""),99078.32)</f>
        <v>99078.32</v>
      </c>
      <c r="C126" s="50"/>
      <c r="D126" s="55">
        <f>IFERROR(__xludf.DUMMYFUNCTION("""COMPUTED_VALUE"""),99078.32)</f>
        <v>99078.32</v>
      </c>
      <c r="G126" s="55"/>
    </row>
    <row r="127">
      <c r="A127" s="50" t="str">
        <f>IFERROR(__xludf.DUMMYFUNCTION("""COMPUTED_VALUE"""),"C8475-G2 (Adv Routing)")</f>
        <v>C8475-G2 (Adv Routing)</v>
      </c>
      <c r="B127" s="55">
        <f>IFERROR(__xludf.DUMMYFUNCTION("""COMPUTED_VALUE"""),132678.32)</f>
        <v>132678.32</v>
      </c>
      <c r="C127" s="50"/>
      <c r="D127" s="55">
        <f>IFERROR(__xludf.DUMMYFUNCTION("""COMPUTED_VALUE"""),132678.32)</f>
        <v>132678.32</v>
      </c>
      <c r="G127" s="55"/>
    </row>
    <row r="128">
      <c r="A128" s="50" t="str">
        <f>IFERROR(__xludf.DUMMYFUNCTION("""COMPUTED_VALUE"""),"C8475-G2 (SDWAN)")</f>
        <v>C8475-G2 (SDWAN)</v>
      </c>
      <c r="B128" s="55">
        <f>IFERROR(__xludf.DUMMYFUNCTION("""COMPUTED_VALUE"""),154266.32)</f>
        <v>154266.32</v>
      </c>
      <c r="C128" s="50"/>
      <c r="D128" s="55">
        <f>IFERROR(__xludf.DUMMYFUNCTION("""COMPUTED_VALUE"""),154266.32)</f>
        <v>154266.32</v>
      </c>
      <c r="G128" s="55"/>
    </row>
    <row r="129">
      <c r="A129" s="50" t="str">
        <f>IFERROR(__xludf.DUMMYFUNCTION("""COMPUTED_VALUE"""),"C8475-G2 (Full Adds On)")</f>
        <v>C8475-G2 (Full Adds On)</v>
      </c>
      <c r="B129" s="55">
        <f>IFERROR(__xludf.DUMMYFUNCTION("""COMPUTED_VALUE"""),157938.32)</f>
        <v>157938.32</v>
      </c>
      <c r="C129" s="50"/>
      <c r="D129" s="55">
        <f>IFERROR(__xludf.DUMMYFUNCTION("""COMPUTED_VALUE"""),157938.32)</f>
        <v>157938.32</v>
      </c>
      <c r="G129" s="55"/>
    </row>
    <row r="130">
      <c r="A130" s="50" t="str">
        <f>IFERROR(__xludf.DUMMYFUNCTION("""COMPUTED_VALUE"""),"C8235-E-G2 (Default Routing)")</f>
        <v>C8235-E-G2 (Default Routing)</v>
      </c>
      <c r="B130" s="55">
        <f>IFERROR(__xludf.DUMMYFUNCTION("""COMPUTED_VALUE"""),12676.0)</f>
        <v>12676</v>
      </c>
      <c r="C130" s="50"/>
      <c r="D130" s="55">
        <f>IFERROR(__xludf.DUMMYFUNCTION("""COMPUTED_VALUE"""),12676.0)</f>
        <v>12676</v>
      </c>
      <c r="G130" s="55"/>
    </row>
    <row r="131">
      <c r="A131" s="50" t="str">
        <f>IFERROR(__xludf.DUMMYFUNCTION("""COMPUTED_VALUE"""),"C8235-E-G2 (Adv Routing)")</f>
        <v>C8235-E-G2 (Adv Routing)</v>
      </c>
      <c r="B131" s="55">
        <f>IFERROR(__xludf.DUMMYFUNCTION("""COMPUTED_VALUE"""),16708.0)</f>
        <v>16708</v>
      </c>
      <c r="C131" s="50"/>
      <c r="D131" s="55">
        <f>IFERROR(__xludf.DUMMYFUNCTION("""COMPUTED_VALUE"""),16708.0)</f>
        <v>16708</v>
      </c>
      <c r="G131" s="55"/>
    </row>
    <row r="132">
      <c r="A132" s="50" t="str">
        <f>IFERROR(__xludf.DUMMYFUNCTION("""COMPUTED_VALUE"""),"C8235-E-G2 (SDWAN)")</f>
        <v>C8235-E-G2 (SDWAN)</v>
      </c>
      <c r="B132" s="55">
        <f>IFERROR(__xludf.DUMMYFUNCTION("""COMPUTED_VALUE"""),17356.0)</f>
        <v>17356</v>
      </c>
      <c r="C132" s="50"/>
      <c r="D132" s="55">
        <f>IFERROR(__xludf.DUMMYFUNCTION("""COMPUTED_VALUE"""),17356.0)</f>
        <v>17356</v>
      </c>
      <c r="G132" s="55"/>
    </row>
    <row r="133">
      <c r="A133" s="50" t="str">
        <f>IFERROR(__xludf.DUMMYFUNCTION("""COMPUTED_VALUE"""),"C8235-E-G2 (Full Adds On)")</f>
        <v>C8235-E-G2 (Full Adds On)</v>
      </c>
      <c r="B133" s="55">
        <f>IFERROR(__xludf.DUMMYFUNCTION("""COMPUTED_VALUE"""),18004.0)</f>
        <v>18004</v>
      </c>
      <c r="C133" s="50"/>
      <c r="D133" s="55">
        <f>IFERROR(__xludf.DUMMYFUNCTION("""COMPUTED_VALUE"""),18004.0)</f>
        <v>18004</v>
      </c>
      <c r="G133" s="55"/>
    </row>
    <row r="134">
      <c r="A134" s="50" t="str">
        <f>IFERROR(__xludf.DUMMYFUNCTION("""COMPUTED_VALUE"""),"C8231-E-G2 (Default Routing)")</f>
        <v>C8231-E-G2 (Default Routing)</v>
      </c>
      <c r="B134" s="55">
        <f>IFERROR(__xludf.DUMMYFUNCTION("""COMPUTED_VALUE"""),10123.96)</f>
        <v>10123.96</v>
      </c>
      <c r="C134" s="50"/>
      <c r="D134" s="55">
        <f>IFERROR(__xludf.DUMMYFUNCTION("""COMPUTED_VALUE"""),10123.96)</f>
        <v>10123.96</v>
      </c>
      <c r="G134" s="55"/>
    </row>
    <row r="135">
      <c r="A135" s="50" t="str">
        <f>IFERROR(__xludf.DUMMYFUNCTION("""COMPUTED_VALUE"""),"C8231-E-G2 (Adv Routing)")</f>
        <v>C8231-E-G2 (Adv Routing)</v>
      </c>
      <c r="B135" s="55">
        <f>IFERROR(__xludf.DUMMYFUNCTION("""COMPUTED_VALUE"""),14155.96)</f>
        <v>14155.96</v>
      </c>
      <c r="C135" s="50"/>
      <c r="D135" s="55">
        <f>IFERROR(__xludf.DUMMYFUNCTION("""COMPUTED_VALUE"""),14155.96)</f>
        <v>14155.96</v>
      </c>
      <c r="G135" s="55"/>
    </row>
    <row r="136">
      <c r="A136" s="50" t="str">
        <f>IFERROR(__xludf.DUMMYFUNCTION("""COMPUTED_VALUE"""),"C8231-E-G2 (SDWAN)")</f>
        <v>C8231-E-G2 (SDWAN)</v>
      </c>
      <c r="B136" s="55">
        <f>IFERROR(__xludf.DUMMYFUNCTION("""COMPUTED_VALUE"""),14803.96)</f>
        <v>14803.96</v>
      </c>
      <c r="C136" s="50"/>
      <c r="D136" s="55">
        <f>IFERROR(__xludf.DUMMYFUNCTION("""COMPUTED_VALUE"""),14803.96)</f>
        <v>14803.96</v>
      </c>
      <c r="G136" s="55"/>
    </row>
    <row r="137">
      <c r="A137" s="50" t="str">
        <f>IFERROR(__xludf.DUMMYFUNCTION("""COMPUTED_VALUE"""),"C8231-E-G2 (Full Adds On)")</f>
        <v>C8231-E-G2 (Full Adds On)</v>
      </c>
      <c r="B137" s="55">
        <f>IFERROR(__xludf.DUMMYFUNCTION("""COMPUTED_VALUE"""),15451.96)</f>
        <v>15451.96</v>
      </c>
      <c r="C137" s="50"/>
      <c r="D137" s="55">
        <f>IFERROR(__xludf.DUMMYFUNCTION("""COMPUTED_VALUE"""),15451.96)</f>
        <v>15451.96</v>
      </c>
      <c r="G137" s="55"/>
    </row>
    <row r="138">
      <c r="A138" s="50" t="str">
        <f>IFERROR(__xludf.DUMMYFUNCTION("""COMPUTED_VALUE"""),"C8235-G2 (Default Routing)")</f>
        <v>C8235-G2 (Default Routing)</v>
      </c>
      <c r="B138" s="55">
        <f>IFERROR(__xludf.DUMMYFUNCTION("""COMPUTED_VALUE"""),10306.39)</f>
        <v>10306.39</v>
      </c>
      <c r="C138" s="50"/>
      <c r="D138" s="55">
        <f>IFERROR(__xludf.DUMMYFUNCTION("""COMPUTED_VALUE"""),10306.39)</f>
        <v>10306.39</v>
      </c>
      <c r="G138" s="55"/>
    </row>
    <row r="139">
      <c r="A139" s="50" t="str">
        <f>IFERROR(__xludf.DUMMYFUNCTION("""COMPUTED_VALUE"""),"C8235-G2 (Adv Routing)")</f>
        <v>C8235-G2 (Adv Routing)</v>
      </c>
      <c r="B139" s="55">
        <f>IFERROR(__xludf.DUMMYFUNCTION("""COMPUTED_VALUE"""),14338.39)</f>
        <v>14338.39</v>
      </c>
      <c r="C139" s="50"/>
      <c r="D139" s="55">
        <f>IFERROR(__xludf.DUMMYFUNCTION("""COMPUTED_VALUE"""),14338.39)</f>
        <v>14338.39</v>
      </c>
      <c r="G139" s="55"/>
    </row>
    <row r="140">
      <c r="A140" s="50" t="str">
        <f>IFERROR(__xludf.DUMMYFUNCTION("""COMPUTED_VALUE"""),"C8235-G2 (SDWAN)")</f>
        <v>C8235-G2 (SDWAN)</v>
      </c>
      <c r="B140" s="55">
        <f>IFERROR(__xludf.DUMMYFUNCTION("""COMPUTED_VALUE"""),14986.39)</f>
        <v>14986.39</v>
      </c>
      <c r="C140" s="50"/>
      <c r="D140" s="55">
        <f>IFERROR(__xludf.DUMMYFUNCTION("""COMPUTED_VALUE"""),14986.39)</f>
        <v>14986.39</v>
      </c>
      <c r="G140" s="55"/>
    </row>
    <row r="141">
      <c r="A141" s="50" t="str">
        <f>IFERROR(__xludf.DUMMYFUNCTION("""COMPUTED_VALUE"""),"C8235-G2 (Full Adds On)")</f>
        <v>C8235-G2 (Full Adds On)</v>
      </c>
      <c r="B141" s="55">
        <f>IFERROR(__xludf.DUMMYFUNCTION("""COMPUTED_VALUE"""),15634.39)</f>
        <v>15634.39</v>
      </c>
      <c r="C141" s="50"/>
      <c r="D141" s="55">
        <f>IFERROR(__xludf.DUMMYFUNCTION("""COMPUTED_VALUE"""),15634.39)</f>
        <v>15634.39</v>
      </c>
      <c r="G141" s="55"/>
    </row>
    <row r="142">
      <c r="A142" s="50" t="str">
        <f>IFERROR(__xludf.DUMMYFUNCTION("""COMPUTED_VALUE"""),"C8231-G2 (Default Routing)")</f>
        <v>C8231-G2 (Default Routing)</v>
      </c>
      <c r="B142" s="55">
        <f>IFERROR(__xludf.DUMMYFUNCTION("""COMPUTED_VALUE"""),6545.14)</f>
        <v>6545.14</v>
      </c>
      <c r="C142" s="50"/>
      <c r="D142" s="55">
        <f>IFERROR(__xludf.DUMMYFUNCTION("""COMPUTED_VALUE"""),6545.14)</f>
        <v>6545.14</v>
      </c>
      <c r="G142" s="55"/>
    </row>
    <row r="143">
      <c r="A143" s="50" t="str">
        <f>IFERROR(__xludf.DUMMYFUNCTION("""COMPUTED_VALUE"""),"C8231-G2 (Adv Routing)")</f>
        <v>C8231-G2 (Adv Routing)</v>
      </c>
      <c r="B143" s="55">
        <f>IFERROR(__xludf.DUMMYFUNCTION("""COMPUTED_VALUE"""),10577.14)</f>
        <v>10577.14</v>
      </c>
      <c r="C143" s="50"/>
      <c r="D143" s="55">
        <f>IFERROR(__xludf.DUMMYFUNCTION("""COMPUTED_VALUE"""),10577.14)</f>
        <v>10577.14</v>
      </c>
      <c r="G143" s="55"/>
    </row>
    <row r="144">
      <c r="A144" s="50" t="str">
        <f>IFERROR(__xludf.DUMMYFUNCTION("""COMPUTED_VALUE"""),"C8231-G2 (SDWAN)")</f>
        <v>C8231-G2 (SDWAN)</v>
      </c>
      <c r="B144" s="55">
        <f>IFERROR(__xludf.DUMMYFUNCTION("""COMPUTED_VALUE"""),11225.14)</f>
        <v>11225.14</v>
      </c>
      <c r="C144" s="50"/>
      <c r="D144" s="55">
        <f>IFERROR(__xludf.DUMMYFUNCTION("""COMPUTED_VALUE"""),11225.14)</f>
        <v>11225.14</v>
      </c>
      <c r="G144" s="55"/>
    </row>
    <row r="145">
      <c r="A145" s="50" t="str">
        <f>IFERROR(__xludf.DUMMYFUNCTION("""COMPUTED_VALUE"""),"C8231-G2 (Full Adds On)")</f>
        <v>C8231-G2 (Full Adds On)</v>
      </c>
      <c r="B145" s="55">
        <f>IFERROR(__xludf.DUMMYFUNCTION("""COMPUTED_VALUE"""),11873.14)</f>
        <v>11873.14</v>
      </c>
      <c r="C145" s="50"/>
      <c r="D145" s="55">
        <f>IFERROR(__xludf.DUMMYFUNCTION("""COMPUTED_VALUE"""),11873.14)</f>
        <v>11873.14</v>
      </c>
      <c r="G145" s="55"/>
    </row>
    <row r="146">
      <c r="A146" s="50" t="str">
        <f>IFERROR(__xludf.DUMMYFUNCTION("""COMPUTED_VALUE"""),"C8130-G2 (Default Routing)")</f>
        <v>C8130-G2 (Default Routing)</v>
      </c>
      <c r="B146" s="55">
        <f>IFERROR(__xludf.DUMMYFUNCTION("""COMPUTED_VALUE"""),2142.02)</f>
        <v>2142.02</v>
      </c>
      <c r="C146" s="50"/>
      <c r="D146" s="55">
        <f>IFERROR(__xludf.DUMMYFUNCTION("""COMPUTED_VALUE"""),2142.02)</f>
        <v>2142.02</v>
      </c>
      <c r="G146" s="55"/>
    </row>
    <row r="147">
      <c r="A147" s="50" t="str">
        <f>IFERROR(__xludf.DUMMYFUNCTION("""COMPUTED_VALUE"""),"C8130-G2 (Adv Routing)")</f>
        <v>C8130-G2 (Adv Routing)</v>
      </c>
      <c r="B147" s="55">
        <f>IFERROR(__xludf.DUMMYFUNCTION("""COMPUTED_VALUE"""),3822.02)</f>
        <v>3822.02</v>
      </c>
      <c r="C147" s="50"/>
      <c r="D147" s="55">
        <f>IFERROR(__xludf.DUMMYFUNCTION("""COMPUTED_VALUE"""),3822.02)</f>
        <v>3822.02</v>
      </c>
      <c r="G147" s="55"/>
    </row>
    <row r="148">
      <c r="A148" s="50" t="str">
        <f>IFERROR(__xludf.DUMMYFUNCTION("""COMPUTED_VALUE"""),"C8131-G2 (Default Routing)")</f>
        <v>C8131-G2 (Default Routing)</v>
      </c>
      <c r="B148" s="55">
        <f>IFERROR(__xludf.DUMMYFUNCTION("""COMPUTED_VALUE"""),2559.26)</f>
        <v>2559.26</v>
      </c>
      <c r="C148" s="50"/>
      <c r="D148" s="55">
        <f>IFERROR(__xludf.DUMMYFUNCTION("""COMPUTED_VALUE"""),2559.26)</f>
        <v>2559.26</v>
      </c>
      <c r="G148" s="55"/>
    </row>
    <row r="149">
      <c r="A149" s="50" t="str">
        <f>IFERROR(__xludf.DUMMYFUNCTION("""COMPUTED_VALUE"""),"C8131-G2 (Adv Routing)")</f>
        <v>C8131-G2 (Adv Routing)</v>
      </c>
      <c r="B149" s="55">
        <f>IFERROR(__xludf.DUMMYFUNCTION("""COMPUTED_VALUE"""),4239.26)</f>
        <v>4239.26</v>
      </c>
      <c r="C149" s="50"/>
      <c r="D149" s="55">
        <f>IFERROR(__xludf.DUMMYFUNCTION("""COMPUTED_VALUE"""),4239.26)</f>
        <v>4239.26</v>
      </c>
      <c r="G149" s="55"/>
    </row>
    <row r="150">
      <c r="A150" s="50" t="str">
        <f>IFERROR(__xludf.DUMMYFUNCTION("""COMPUTED_VALUE"""),"C8131-G2 (SDWAN)")</f>
        <v>C8131-G2 (SDWAN)</v>
      </c>
      <c r="B150" s="55">
        <f>IFERROR(__xludf.DUMMYFUNCTION("""COMPUTED_VALUE"""),4575.26)</f>
        <v>4575.26</v>
      </c>
      <c r="C150" s="50"/>
      <c r="D150" s="55">
        <f>IFERROR(__xludf.DUMMYFUNCTION("""COMPUTED_VALUE"""),4575.26)</f>
        <v>4575.26</v>
      </c>
      <c r="G150" s="55"/>
    </row>
    <row r="151">
      <c r="A151" s="50" t="str">
        <f>IFERROR(__xludf.DUMMYFUNCTION("""COMPUTED_VALUE"""),"C8131-G2 (Full Adds On)")</f>
        <v>C8131-G2 (Full Adds On)</v>
      </c>
      <c r="B151" s="55">
        <f>IFERROR(__xludf.DUMMYFUNCTION("""COMPUTED_VALUE"""),4899.26)</f>
        <v>4899.26</v>
      </c>
      <c r="C151" s="50"/>
      <c r="D151" s="55">
        <f>IFERROR(__xludf.DUMMYFUNCTION("""COMPUTED_VALUE"""),4899.26)</f>
        <v>4899.26</v>
      </c>
      <c r="G151" s="55"/>
    </row>
    <row r="152">
      <c r="A152" s="50" t="str">
        <f>IFERROR(__xludf.DUMMYFUNCTION("""COMPUTED_VALUE"""),"C8140-G2 (Default Routing)")</f>
        <v>C8140-G2 (Default Routing)</v>
      </c>
      <c r="B152" s="55">
        <f>IFERROR(__xludf.DUMMYFUNCTION("""COMPUTED_VALUE"""),2563.32)</f>
        <v>2563.32</v>
      </c>
      <c r="C152" s="50"/>
      <c r="D152" s="55">
        <f>IFERROR(__xludf.DUMMYFUNCTION("""COMPUTED_VALUE"""),2563.32)</f>
        <v>2563.32</v>
      </c>
      <c r="G152" s="55"/>
    </row>
    <row r="153">
      <c r="A153" s="50" t="str">
        <f>IFERROR(__xludf.DUMMYFUNCTION("""COMPUTED_VALUE"""),"C8140-G2 (Adv Routing)")</f>
        <v>C8140-G2 (Adv Routing)</v>
      </c>
      <c r="B153" s="55">
        <f>IFERROR(__xludf.DUMMYFUNCTION("""COMPUTED_VALUE"""),4243.32)</f>
        <v>4243.32</v>
      </c>
      <c r="C153" s="50"/>
      <c r="D153" s="55">
        <f>IFERROR(__xludf.DUMMYFUNCTION("""COMPUTED_VALUE"""),4243.32)</f>
        <v>4243.32</v>
      </c>
      <c r="G153" s="55"/>
    </row>
    <row r="154">
      <c r="A154" s="50" t="str">
        <f>IFERROR(__xludf.DUMMYFUNCTION("""COMPUTED_VALUE"""),"C8151-G2 (Default Routing)")</f>
        <v>C8151-G2 (Default Routing)</v>
      </c>
      <c r="B154" s="55">
        <f>IFERROR(__xludf.DUMMYFUNCTION("""COMPUTED_VALUE"""),3265.48)</f>
        <v>3265.48</v>
      </c>
      <c r="C154" s="50"/>
      <c r="D154" s="55">
        <f>IFERROR(__xludf.DUMMYFUNCTION("""COMPUTED_VALUE"""),3265.48)</f>
        <v>3265.48</v>
      </c>
      <c r="G154" s="55"/>
    </row>
    <row r="155">
      <c r="A155" s="50" t="str">
        <f>IFERROR(__xludf.DUMMYFUNCTION("""COMPUTED_VALUE"""),"C8151-G2 (Adv Routing)")</f>
        <v>C8151-G2 (Adv Routing)</v>
      </c>
      <c r="B155" s="55">
        <f>IFERROR(__xludf.DUMMYFUNCTION("""COMPUTED_VALUE"""),4945.48)</f>
        <v>4945.48</v>
      </c>
      <c r="C155" s="50"/>
      <c r="D155" s="55">
        <f>IFERROR(__xludf.DUMMYFUNCTION("""COMPUTED_VALUE"""),4945.48)</f>
        <v>4945.48</v>
      </c>
      <c r="G155" s="55"/>
    </row>
    <row r="156">
      <c r="A156" s="50" t="str">
        <f>IFERROR(__xludf.DUMMYFUNCTION("""COMPUTED_VALUE"""),"C8151-G2 (SDWAN)")</f>
        <v>C8151-G2 (SDWAN)</v>
      </c>
      <c r="B156" s="55">
        <f>IFERROR(__xludf.DUMMYFUNCTION("""COMPUTED_VALUE"""),5281.48)</f>
        <v>5281.48</v>
      </c>
      <c r="C156" s="50"/>
      <c r="D156" s="55">
        <f>IFERROR(__xludf.DUMMYFUNCTION("""COMPUTED_VALUE"""),5281.48)</f>
        <v>5281.48</v>
      </c>
      <c r="G156" s="55"/>
    </row>
    <row r="157">
      <c r="A157" s="50" t="str">
        <f>IFERROR(__xludf.DUMMYFUNCTION("""COMPUTED_VALUE"""),"C8151-G2 (Full Adds On)")</f>
        <v>C8151-G2 (Full Adds On)</v>
      </c>
      <c r="B157" s="55">
        <f>IFERROR(__xludf.DUMMYFUNCTION("""COMPUTED_VALUE"""),5605.48)</f>
        <v>5605.48</v>
      </c>
      <c r="C157" s="50"/>
      <c r="D157" s="55">
        <f>IFERROR(__xludf.DUMMYFUNCTION("""COMPUTED_VALUE"""),5605.48)</f>
        <v>5605.48</v>
      </c>
      <c r="G157" s="55"/>
    </row>
    <row r="158">
      <c r="A158" s="50" t="str">
        <f>IFERROR(__xludf.DUMMYFUNCTION("""COMPUTED_VALUE"""),"C8161-G2 (Default Routing)")</f>
        <v>C8161-G2 (Default Routing)</v>
      </c>
      <c r="B158" s="55">
        <f>IFERROR(__xludf.DUMMYFUNCTION("""COMPUTED_VALUE"""),3824.45)</f>
        <v>3824.45</v>
      </c>
      <c r="C158" s="50"/>
      <c r="D158" s="55">
        <f>IFERROR(__xludf.DUMMYFUNCTION("""COMPUTED_VALUE"""),3824.45)</f>
        <v>3824.45</v>
      </c>
      <c r="G158" s="55"/>
    </row>
    <row r="159">
      <c r="A159" s="50" t="str">
        <f>IFERROR(__xludf.DUMMYFUNCTION("""COMPUTED_VALUE"""),"C8161-G2 (Adv Routing)")</f>
        <v>C8161-G2 (Adv Routing)</v>
      </c>
      <c r="B159" s="55">
        <f>IFERROR(__xludf.DUMMYFUNCTION("""COMPUTED_VALUE"""),5504.45)</f>
        <v>5504.45</v>
      </c>
      <c r="C159" s="50"/>
      <c r="D159" s="55">
        <f>IFERROR(__xludf.DUMMYFUNCTION("""COMPUTED_VALUE"""),5504.45)</f>
        <v>5504.45</v>
      </c>
      <c r="G159" s="55"/>
    </row>
    <row r="160">
      <c r="A160" s="50" t="str">
        <f>IFERROR(__xludf.DUMMYFUNCTION("""COMPUTED_VALUE"""),"C8161-G2 (SDWAN)")</f>
        <v>C8161-G2 (SDWAN)</v>
      </c>
      <c r="B160" s="55">
        <f>IFERROR(__xludf.DUMMYFUNCTION("""COMPUTED_VALUE"""),5840.45)</f>
        <v>5840.45</v>
      </c>
      <c r="C160" s="50"/>
      <c r="D160" s="55">
        <f>IFERROR(__xludf.DUMMYFUNCTION("""COMPUTED_VALUE"""),5840.45)</f>
        <v>5840.45</v>
      </c>
      <c r="G160" s="55"/>
    </row>
    <row r="161">
      <c r="A161" s="50" t="str">
        <f>IFERROR(__xludf.DUMMYFUNCTION("""COMPUTED_VALUE"""),"C8161-G2 (Full Adds On)")</f>
        <v>C8161-G2 (Full Adds On)</v>
      </c>
      <c r="B161" s="55">
        <f>IFERROR(__xludf.DUMMYFUNCTION("""COMPUTED_VALUE"""),6164.45)</f>
        <v>6164.45</v>
      </c>
      <c r="C161" s="50"/>
      <c r="D161" s="55">
        <f>IFERROR(__xludf.DUMMYFUNCTION("""COMPUTED_VALUE"""),6164.45)</f>
        <v>6164.45</v>
      </c>
      <c r="G161" s="55"/>
    </row>
    <row r="162">
      <c r="A162" s="50" t="str">
        <f>IFERROR(__xludf.DUMMYFUNCTION("""COMPUTED_VALUE"""),"100GQSFP-LR4-4=")</f>
        <v>100GQSFP-LR4-4=</v>
      </c>
      <c r="B162" s="55">
        <f>IFERROR(__xludf.DUMMYFUNCTION("""COMPUTED_VALUE"""),36510.54)</f>
        <v>36510.54</v>
      </c>
      <c r="C162" s="50"/>
      <c r="D162" s="55">
        <f>IFERROR(__xludf.DUMMYFUNCTION("""COMPUTED_VALUE"""),36510.54)</f>
        <v>36510.54</v>
      </c>
      <c r="G162" s="55"/>
    </row>
    <row r="163">
      <c r="A163" s="50" t="str">
        <f>IFERROR(__xludf.DUMMYFUNCTION("""COMPUTED_VALUE"""),"QSFP-100G-LR-S=")</f>
        <v>QSFP-100G-LR-S=</v>
      </c>
      <c r="B163" s="55">
        <f>IFERROR(__xludf.DUMMYFUNCTION("""COMPUTED_VALUE"""),4130.83)</f>
        <v>4130.83</v>
      </c>
      <c r="C163" s="50"/>
      <c r="D163" s="55">
        <f>IFERROR(__xludf.DUMMYFUNCTION("""COMPUTED_VALUE"""),4130.83)</f>
        <v>4130.83</v>
      </c>
      <c r="G163" s="55"/>
    </row>
    <row r="164">
      <c r="A164" s="50" t="str">
        <f>IFERROR(__xludf.DUMMYFUNCTION("""COMPUTED_VALUE"""),"QSFP-100G-ER4L-S=")</f>
        <v>QSFP-100G-ER4L-S=</v>
      </c>
      <c r="B164" s="55">
        <f>IFERROR(__xludf.DUMMYFUNCTION("""COMPUTED_VALUE"""),91270.27)</f>
        <v>91270.27</v>
      </c>
      <c r="C164" s="50"/>
      <c r="D164" s="55">
        <f>IFERROR(__xludf.DUMMYFUNCTION("""COMPUTED_VALUE"""),91270.27)</f>
        <v>91270.27</v>
      </c>
      <c r="G164" s="55"/>
    </row>
    <row r="165">
      <c r="A165" s="50" t="str">
        <f>IFERROR(__xludf.DUMMYFUNCTION("""COMPUTED_VALUE"""),"QSFP-100G-ZR4-S=")</f>
        <v>QSFP-100G-ZR4-S=</v>
      </c>
      <c r="B165" s="55">
        <f>IFERROR(__xludf.DUMMYFUNCTION("""COMPUTED_VALUE"""),36190.0)</f>
        <v>36190</v>
      </c>
      <c r="C165" s="50"/>
      <c r="D165" s="55">
        <f>IFERROR(__xludf.DUMMYFUNCTION("""COMPUTED_VALUE"""),36190.0)</f>
        <v>36190</v>
      </c>
      <c r="G165" s="55"/>
    </row>
    <row r="166">
      <c r="A166" s="50" t="str">
        <f>IFERROR(__xludf.DUMMYFUNCTION("""COMPUTED_VALUE"""),"SFP-10G-SR=")</f>
        <v>SFP-10G-SR=</v>
      </c>
      <c r="B166" s="55">
        <f>IFERROR(__xludf.DUMMYFUNCTION("""COMPUTED_VALUE"""),1210.94)</f>
        <v>1210.94</v>
      </c>
      <c r="C166" s="50"/>
      <c r="D166" s="55">
        <f>IFERROR(__xludf.DUMMYFUNCTION("""COMPUTED_VALUE"""),1210.94)</f>
        <v>1210.94</v>
      </c>
      <c r="G166" s="55"/>
    </row>
    <row r="167">
      <c r="A167" s="50" t="str">
        <f>IFERROR(__xludf.DUMMYFUNCTION("""COMPUTED_VALUE"""),"SFP-10G-LR=")</f>
        <v>SFP-10G-LR=</v>
      </c>
      <c r="B167" s="55">
        <f>IFERROR(__xludf.DUMMYFUNCTION("""COMPUTED_VALUE"""),4861.99)</f>
        <v>4861.99</v>
      </c>
      <c r="C167" s="50"/>
      <c r="D167" s="55">
        <f>IFERROR(__xludf.DUMMYFUNCTION("""COMPUTED_VALUE"""),4861.99)</f>
        <v>4861.99</v>
      </c>
      <c r="G167" s="55"/>
    </row>
    <row r="168">
      <c r="A168" s="50" t="str">
        <f>IFERROR(__xludf.DUMMYFUNCTION("""COMPUTED_VALUE"""),"SFP-10G-ER=")</f>
        <v>SFP-10G-ER=</v>
      </c>
      <c r="B168" s="55">
        <f>IFERROR(__xludf.DUMMYFUNCTION("""COMPUTED_VALUE"""),12170.18)</f>
        <v>12170.18</v>
      </c>
      <c r="C168" s="50"/>
      <c r="D168" s="55">
        <f>IFERROR(__xludf.DUMMYFUNCTION("""COMPUTED_VALUE"""),12170.18)</f>
        <v>12170.18</v>
      </c>
      <c r="G168" s="55"/>
    </row>
    <row r="169">
      <c r="A169" s="50" t="str">
        <f>IFERROR(__xludf.DUMMYFUNCTION("""COMPUTED_VALUE"""),"SFP-10G-ZR=")</f>
        <v>SFP-10G-ZR=</v>
      </c>
      <c r="B169" s="55">
        <f>IFERROR(__xludf.DUMMYFUNCTION("""COMPUTED_VALUE"""),19472.29)</f>
        <v>19472.29</v>
      </c>
      <c r="C169" s="50"/>
      <c r="D169" s="55">
        <f>IFERROR(__xludf.DUMMYFUNCTION("""COMPUTED_VALUE"""),19472.29)</f>
        <v>19472.29</v>
      </c>
      <c r="G169" s="55"/>
    </row>
    <row r="170">
      <c r="A170" s="50" t="str">
        <f>IFERROR(__xludf.DUMMYFUNCTION("""COMPUTED_VALUE"""),"GLC-LH-SMD=")</f>
        <v>GLC-LH-SMD=</v>
      </c>
      <c r="B170" s="55">
        <f>IFERROR(__xludf.DUMMYFUNCTION("""COMPUTED_VALUE"""),1210.94)</f>
        <v>1210.94</v>
      </c>
      <c r="C170" s="50"/>
      <c r="D170" s="55">
        <f>IFERROR(__xludf.DUMMYFUNCTION("""COMPUTED_VALUE"""),1210.94)</f>
        <v>1210.94</v>
      </c>
      <c r="G170" s="55"/>
    </row>
    <row r="171">
      <c r="A171" s="50" t="str">
        <f>IFERROR(__xludf.DUMMYFUNCTION("""COMPUTED_VALUE"""),"GLC-EX-SMD=")</f>
        <v>GLC-EX-SMD=</v>
      </c>
      <c r="B171" s="55">
        <f>IFERROR(__xludf.DUMMYFUNCTION("""COMPUTED_VALUE"""),2427.96)</f>
        <v>2427.96</v>
      </c>
      <c r="C171" s="50"/>
      <c r="D171" s="55">
        <f>IFERROR(__xludf.DUMMYFUNCTION("""COMPUTED_VALUE"""),2427.96)</f>
        <v>2427.96</v>
      </c>
      <c r="G171" s="55"/>
    </row>
    <row r="172">
      <c r="A172" s="50" t="str">
        <f>IFERROR(__xludf.DUMMYFUNCTION("""COMPUTED_VALUE"""),"GLC-ZX-SMD=")</f>
        <v>GLC-ZX-SMD=</v>
      </c>
      <c r="B172" s="55">
        <f>IFERROR(__xludf.DUMMYFUNCTION("""COMPUTED_VALUE"""),4861.99)</f>
        <v>4861.99</v>
      </c>
      <c r="C172" s="50"/>
      <c r="D172" s="55">
        <f>IFERROR(__xludf.DUMMYFUNCTION("""COMPUTED_VALUE"""),4861.99)</f>
        <v>4861.99</v>
      </c>
      <c r="G172" s="55"/>
    </row>
    <row r="173">
      <c r="A173" s="50" t="str">
        <f>IFERROR(__xludf.DUMMYFUNCTION("""COMPUTED_VALUE"""),"GLC-TE=")</f>
        <v>GLC-TE=</v>
      </c>
      <c r="B173" s="55">
        <f>IFERROR(__xludf.DUMMYFUNCTION("""COMPUTED_VALUE"""),547.66)</f>
        <v>547.66</v>
      </c>
      <c r="C173" s="50"/>
      <c r="D173" s="55">
        <f>IFERROR(__xludf.DUMMYFUNCTION("""COMPUTED_VALUE"""),547.66)</f>
        <v>547.66</v>
      </c>
      <c r="G173" s="55"/>
    </row>
    <row r="174">
      <c r="A174" s="50" t="str">
        <f>IFERROR(__xludf.DUMMYFUNCTION("""COMPUTED_VALUE"""),"SFP-10G-SR-S=")</f>
        <v>SFP-10G-SR-S=</v>
      </c>
      <c r="B174" s="55">
        <f>IFERROR(__xludf.DUMMYFUNCTION("""COMPUTED_VALUE"""),851.91)</f>
        <v>851.91</v>
      </c>
      <c r="C174" s="50"/>
      <c r="D174" s="55">
        <f>IFERROR(__xludf.DUMMYFUNCTION("""COMPUTED_VALUE"""),851.91)</f>
        <v>851.91</v>
      </c>
      <c r="G174" s="55"/>
    </row>
    <row r="175">
      <c r="A175" s="50" t="str">
        <f>IFERROR(__xludf.DUMMYFUNCTION("""COMPUTED_VALUE"""),"SFP-10G-LR-S=")</f>
        <v>SFP-10G-LR-S=</v>
      </c>
      <c r="B175" s="55">
        <f>IFERROR(__xludf.DUMMYFUNCTION("""COMPUTED_VALUE"""),2434.04)</f>
        <v>2434.04</v>
      </c>
      <c r="C175" s="50"/>
      <c r="D175" s="55">
        <f>IFERROR(__xludf.DUMMYFUNCTION("""COMPUTED_VALUE"""),2434.04)</f>
        <v>2434.04</v>
      </c>
      <c r="G175" s="55"/>
    </row>
    <row r="176">
      <c r="A176" s="50" t="str">
        <f>IFERROR(__xludf.DUMMYFUNCTION("""COMPUTED_VALUE"""),"SFP-10G-ER-S=")</f>
        <v>SFP-10G-ER-S=</v>
      </c>
      <c r="B176" s="55">
        <f>IFERROR(__xludf.DUMMYFUNCTION("""COMPUTED_VALUE"""),9614.44)</f>
        <v>9614.44</v>
      </c>
      <c r="C176" s="50"/>
      <c r="D176" s="55">
        <f>IFERROR(__xludf.DUMMYFUNCTION("""COMPUTED_VALUE"""),9614.44)</f>
        <v>9614.44</v>
      </c>
      <c r="G176" s="55"/>
    </row>
    <row r="177">
      <c r="A177" s="50" t="str">
        <f>IFERROR(__xludf.DUMMYFUNCTION("""COMPUTED_VALUE"""),"SFP-10G-ZR-S=")</f>
        <v>SFP-10G-ZR-S=</v>
      </c>
      <c r="B177" s="55">
        <f>IFERROR(__xludf.DUMMYFUNCTION("""COMPUTED_VALUE"""),13265.5)</f>
        <v>13265.5</v>
      </c>
      <c r="C177" s="50"/>
      <c r="D177" s="55">
        <f>IFERROR(__xludf.DUMMYFUNCTION("""COMPUTED_VALUE"""),13265.5)</f>
        <v>13265.5</v>
      </c>
      <c r="G177" s="55"/>
    </row>
    <row r="178">
      <c r="A178" s="50" t="str">
        <f>IFERROR(__xludf.DUMMYFUNCTION("""COMPUTED_VALUE"""),"GLC-SX-MMD=")</f>
        <v>GLC-SX-MMD=</v>
      </c>
      <c r="B178" s="55">
        <f>IFERROR(__xludf.DUMMYFUNCTION("""COMPUTED_VALUE"""),608.51)</f>
        <v>608.51</v>
      </c>
      <c r="C178" s="50"/>
      <c r="D178" s="55">
        <f>IFERROR(__xludf.DUMMYFUNCTION("""COMPUTED_VALUE"""),608.51)</f>
        <v>608.51</v>
      </c>
      <c r="G178" s="55"/>
    </row>
    <row r="179">
      <c r="A179" s="50" t="str">
        <f>IFERROR(__xludf.DUMMYFUNCTION("""COMPUTED_VALUE"""),"C9136I")</f>
        <v>C9136I</v>
      </c>
      <c r="B179" s="55">
        <f>IFERROR(__xludf.DUMMYFUNCTION("""COMPUTED_VALUE"""),4892.02)</f>
        <v>4892.02</v>
      </c>
      <c r="C179" s="50"/>
      <c r="D179" s="55">
        <f>IFERROR(__xludf.DUMMYFUNCTION("""COMPUTED_VALUE"""),4892.02)</f>
        <v>4892.02</v>
      </c>
      <c r="G179" s="55"/>
    </row>
    <row r="180">
      <c r="A180" s="50" t="str">
        <f>IFERROR(__xludf.DUMMYFUNCTION("""COMPUTED_VALUE"""),"CW9162I")</f>
        <v>CW9162I</v>
      </c>
      <c r="B180" s="55">
        <f>IFERROR(__xludf.DUMMYFUNCTION("""COMPUTED_VALUE"""),2476.36)</f>
        <v>2476.36</v>
      </c>
      <c r="C180" s="50"/>
      <c r="D180" s="55">
        <f>IFERROR(__xludf.DUMMYFUNCTION("""COMPUTED_VALUE"""),2476.36)</f>
        <v>2476.36</v>
      </c>
      <c r="G180" s="55"/>
    </row>
    <row r="181">
      <c r="A181" s="50" t="str">
        <f>IFERROR(__xludf.DUMMYFUNCTION("""COMPUTED_VALUE"""),"CW9164I")</f>
        <v>CW9164I</v>
      </c>
      <c r="B181" s="55">
        <f>IFERROR(__xludf.DUMMYFUNCTION("""COMPUTED_VALUE"""),3786.46)</f>
        <v>3786.46</v>
      </c>
      <c r="C181" s="50"/>
      <c r="D181" s="55">
        <f>IFERROR(__xludf.DUMMYFUNCTION("""COMPUTED_VALUE"""),3786.46)</f>
        <v>3786.46</v>
      </c>
      <c r="G181" s="55"/>
    </row>
    <row r="182">
      <c r="A182" s="50" t="str">
        <f>IFERROR(__xludf.DUMMYFUNCTION("""COMPUTED_VALUE"""),"CW9166I")</f>
        <v>CW9166I</v>
      </c>
      <c r="B182" s="55">
        <f>IFERROR(__xludf.DUMMYFUNCTION("""COMPUTED_VALUE"""),4201.05)</f>
        <v>4201.05</v>
      </c>
      <c r="C182" s="50"/>
      <c r="D182" s="55">
        <f>IFERROR(__xludf.DUMMYFUNCTION("""COMPUTED_VALUE"""),4201.05)</f>
        <v>4201.05</v>
      </c>
      <c r="G182" s="55"/>
    </row>
    <row r="183">
      <c r="A183" s="50" t="str">
        <f>IFERROR(__xludf.DUMMYFUNCTION("""COMPUTED_VALUE"""),"CW9166D1")</f>
        <v>CW9166D1</v>
      </c>
      <c r="B183" s="55">
        <f>IFERROR(__xludf.DUMMYFUNCTION("""COMPUTED_VALUE"""),4615.63)</f>
        <v>4615.63</v>
      </c>
      <c r="C183" s="50"/>
      <c r="D183" s="55">
        <f>IFERROR(__xludf.DUMMYFUNCTION("""COMPUTED_VALUE"""),4615.63)</f>
        <v>4615.63</v>
      </c>
      <c r="G183" s="55"/>
    </row>
    <row r="184">
      <c r="A184" s="50" t="str">
        <f>IFERROR(__xludf.DUMMYFUNCTION("""COMPUTED_VALUE"""),"CW9172I")</f>
        <v>CW9172I</v>
      </c>
      <c r="B184" s="55">
        <f>IFERROR(__xludf.DUMMYFUNCTION("""COMPUTED_VALUE"""),2643.68)</f>
        <v>2643.68</v>
      </c>
      <c r="C184" s="50"/>
      <c r="D184" s="55">
        <f>IFERROR(__xludf.DUMMYFUNCTION("""COMPUTED_VALUE"""),2643.68)</f>
        <v>2643.68</v>
      </c>
      <c r="G184" s="55"/>
    </row>
    <row r="185">
      <c r="A185" s="50" t="str">
        <f>IFERROR(__xludf.DUMMYFUNCTION("""COMPUTED_VALUE"""),"CW9172H")</f>
        <v>CW9172H</v>
      </c>
      <c r="B185" s="55">
        <f>IFERROR(__xludf.DUMMYFUNCTION("""COMPUTED_VALUE"""),2350.28)</f>
        <v>2350.28</v>
      </c>
      <c r="C185" s="50"/>
      <c r="D185" s="55">
        <f>IFERROR(__xludf.DUMMYFUNCTION("""COMPUTED_VALUE"""),2350.28)</f>
        <v>2350.28</v>
      </c>
      <c r="G185" s="55"/>
    </row>
    <row r="186">
      <c r="A186" s="50" t="str">
        <f>IFERROR(__xludf.DUMMYFUNCTION("""COMPUTED_VALUE"""),"CW9176I")</f>
        <v>CW9176I</v>
      </c>
      <c r="B186" s="55">
        <f>IFERROR(__xludf.DUMMYFUNCTION("""COMPUTED_VALUE"""),4414.0599999999995)</f>
        <v>4414.06</v>
      </c>
      <c r="C186" s="50"/>
      <c r="D186" s="55">
        <f>IFERROR(__xludf.DUMMYFUNCTION("""COMPUTED_VALUE"""),4414.0599999999995)</f>
        <v>4414.06</v>
      </c>
      <c r="G186" s="55"/>
    </row>
    <row r="187">
      <c r="A187" s="50" t="str">
        <f>IFERROR(__xludf.DUMMYFUNCTION("""COMPUTED_VALUE"""),"CW9176D1")</f>
        <v>CW9176D1</v>
      </c>
      <c r="B187" s="55">
        <f>IFERROR(__xludf.DUMMYFUNCTION("""COMPUTED_VALUE"""),4854.66)</f>
        <v>4854.66</v>
      </c>
      <c r="C187" s="50"/>
      <c r="D187" s="55">
        <f>IFERROR(__xludf.DUMMYFUNCTION("""COMPUTED_VALUE"""),4854.66)</f>
        <v>4854.66</v>
      </c>
      <c r="G187" s="55"/>
    </row>
    <row r="188">
      <c r="A188" s="50" t="str">
        <f>IFERROR(__xludf.DUMMYFUNCTION("""COMPUTED_VALUE"""),"CW9178I")</f>
        <v>CW9178I</v>
      </c>
      <c r="B188" s="55">
        <f>IFERROR(__xludf.DUMMYFUNCTION("""COMPUTED_VALUE"""),5149.29)</f>
        <v>5149.29</v>
      </c>
      <c r="C188" s="50"/>
      <c r="D188" s="55">
        <f>IFERROR(__xludf.DUMMYFUNCTION("""COMPUTED_VALUE"""),5149.29)</f>
        <v>5149.29</v>
      </c>
      <c r="G188" s="55"/>
    </row>
    <row r="189">
      <c r="A189" s="50" t="str">
        <f>IFERROR(__xludf.DUMMYFUNCTION("""COMPUTED_VALUE"""),"C9124AXI")</f>
        <v>C9124AXI</v>
      </c>
      <c r="B189" s="55">
        <f>IFERROR(__xludf.DUMMYFUNCTION("""COMPUTED_VALUE"""),4605.48)</f>
        <v>4605.48</v>
      </c>
      <c r="C189" s="50"/>
      <c r="D189" s="55">
        <f>IFERROR(__xludf.DUMMYFUNCTION("""COMPUTED_VALUE"""),4605.48)</f>
        <v>4605.48</v>
      </c>
      <c r="G189" s="55"/>
    </row>
    <row r="190">
      <c r="A190" s="50" t="str">
        <f>IFERROR(__xludf.DUMMYFUNCTION("""COMPUTED_VALUE"""),"C9124AXD")</f>
        <v>C9124AXD</v>
      </c>
      <c r="B190" s="55">
        <f>IFERROR(__xludf.DUMMYFUNCTION("""COMPUTED_VALUE"""),4933.2)</f>
        <v>4933.2</v>
      </c>
      <c r="C190" s="50"/>
      <c r="D190" s="55">
        <f>IFERROR(__xludf.DUMMYFUNCTION("""COMPUTED_VALUE"""),4933.2)</f>
        <v>4933.2</v>
      </c>
      <c r="G190" s="55"/>
    </row>
    <row r="191">
      <c r="A191" s="50" t="str">
        <f>IFERROR(__xludf.DUMMYFUNCTION("""COMPUTED_VALUE"""),"C9124AXE")</f>
        <v>C9124AXE</v>
      </c>
      <c r="B191" s="55">
        <f>IFERROR(__xludf.DUMMYFUNCTION("""COMPUTED_VALUE"""),4933.2)</f>
        <v>4933.2</v>
      </c>
      <c r="C191" s="50"/>
      <c r="D191" s="55">
        <f>IFERROR(__xludf.DUMMYFUNCTION("""COMPUTED_VALUE"""),4933.2)</f>
        <v>4933.2</v>
      </c>
      <c r="G191" s="55"/>
    </row>
    <row r="192">
      <c r="A192" s="50" t="str">
        <f>IFERROR(__xludf.DUMMYFUNCTION("""COMPUTED_VALUE"""),"CW9163E")</f>
        <v>CW9163E</v>
      </c>
      <c r="B192" s="55">
        <f>IFERROR(__xludf.DUMMYFUNCTION("""COMPUTED_VALUE"""),4041.4900000000002)</f>
        <v>4041.49</v>
      </c>
      <c r="C192" s="50"/>
      <c r="D192" s="55">
        <f>IFERROR(__xludf.DUMMYFUNCTION("""COMPUTED_VALUE"""),4041.4900000000002)</f>
        <v>4041.49</v>
      </c>
      <c r="G192" s="55"/>
    </row>
    <row r="193">
      <c r="A193" s="50" t="str">
        <f>IFERROR(__xludf.DUMMYFUNCTION("""COMPUTED_VALUE"""),"IW-PWRINJ-60RGDMG=")</f>
        <v>IW-PWRINJ-60RGDMG=</v>
      </c>
      <c r="B193" s="55">
        <f>IFERROR(__xludf.DUMMYFUNCTION("""COMPUTED_VALUE"""),1292.5)</f>
        <v>1292.5</v>
      </c>
      <c r="C193" s="50"/>
      <c r="D193" s="55">
        <f>IFERROR(__xludf.DUMMYFUNCTION("""COMPUTED_VALUE"""),1292.5)</f>
        <v>1292.5</v>
      </c>
      <c r="G193" s="55"/>
    </row>
    <row r="194">
      <c r="A194" s="50" t="str">
        <f>IFERROR(__xludf.DUMMYFUNCTION("""COMPUTED_VALUE"""),"AIR-PWRINJ7=")</f>
        <v>AIR-PWRINJ7=</v>
      </c>
      <c r="B194" s="55">
        <f>IFERROR(__xludf.DUMMYFUNCTION("""COMPUTED_VALUE"""),483.4)</f>
        <v>483.4</v>
      </c>
      <c r="C194" s="50"/>
      <c r="D194" s="55">
        <f>IFERROR(__xludf.DUMMYFUNCTION("""COMPUTED_VALUE"""),483.4)</f>
        <v>483.4</v>
      </c>
      <c r="G194" s="55"/>
    </row>
    <row r="195">
      <c r="A195" s="50" t="str">
        <f>IFERROR(__xludf.DUMMYFUNCTION("""COMPUTED_VALUE"""),"C9404R")</f>
        <v>C9404R</v>
      </c>
      <c r="B195" s="55">
        <f>IFERROR(__xludf.DUMMYFUNCTION("""COMPUTED_VALUE"""),117530.33)</f>
        <v>117530.33</v>
      </c>
      <c r="C195" s="50"/>
      <c r="D195" s="55">
        <f>IFERROR(__xludf.DUMMYFUNCTION("""COMPUTED_VALUE"""),117530.33)</f>
        <v>117530.33</v>
      </c>
      <c r="G195" s="55"/>
    </row>
    <row r="196">
      <c r="A196" s="50" t="str">
        <f>IFERROR(__xludf.DUMMYFUNCTION("""COMPUTED_VALUE"""),"C9407R")</f>
        <v>C9407R</v>
      </c>
      <c r="B196" s="55">
        <f>IFERROR(__xludf.DUMMYFUNCTION("""COMPUTED_VALUE"""),136174.7)</f>
        <v>136174.7</v>
      </c>
      <c r="C196" s="50"/>
      <c r="D196" s="55">
        <f>IFERROR(__xludf.DUMMYFUNCTION("""COMPUTED_VALUE"""),136174.7)</f>
        <v>136174.7</v>
      </c>
      <c r="G196" s="55"/>
    </row>
    <row r="197">
      <c r="A197" s="50" t="str">
        <f>IFERROR(__xludf.DUMMYFUNCTION("""COMPUTED_VALUE"""),"C9410R")</f>
        <v>C9410R</v>
      </c>
      <c r="B197" s="55">
        <f>IFERROR(__xludf.DUMMYFUNCTION("""COMPUTED_VALUE"""),144810.28)</f>
        <v>144810.28</v>
      </c>
      <c r="C197" s="50"/>
      <c r="D197" s="55">
        <f>IFERROR(__xludf.DUMMYFUNCTION("""COMPUTED_VALUE"""),144810.28)</f>
        <v>144810.28</v>
      </c>
      <c r="G197" s="55"/>
    </row>
    <row r="198">
      <c r="A198" s="50" t="str">
        <f>IFERROR(__xludf.DUMMYFUNCTION("""COMPUTED_VALUE"""),"C9400-LC-12QC=")</f>
        <v>C9400-LC-12QC=</v>
      </c>
      <c r="B198" s="55">
        <f>IFERROR(__xludf.DUMMYFUNCTION("""COMPUTED_VALUE"""),38258.0)</f>
        <v>38258</v>
      </c>
      <c r="C198" s="50"/>
      <c r="D198" s="55">
        <f>IFERROR(__xludf.DUMMYFUNCTION("""COMPUTED_VALUE"""),38258.0)</f>
        <v>38258</v>
      </c>
      <c r="G198" s="55"/>
    </row>
    <row r="199">
      <c r="A199" s="50" t="str">
        <f>IFERROR(__xludf.DUMMYFUNCTION("""COMPUTED_VALUE"""),"C9400-LC-48T=")</f>
        <v>C9400-LC-48T=</v>
      </c>
      <c r="B199" s="55">
        <f>IFERROR(__xludf.DUMMYFUNCTION("""COMPUTED_VALUE"""),8689.51)</f>
        <v>8689.51</v>
      </c>
      <c r="C199" s="50"/>
      <c r="D199" s="55">
        <f>IFERROR(__xludf.DUMMYFUNCTION("""COMPUTED_VALUE"""),8689.51)</f>
        <v>8689.51</v>
      </c>
      <c r="G199" s="55"/>
    </row>
    <row r="200">
      <c r="A200" s="50" t="str">
        <f>IFERROR(__xludf.DUMMYFUNCTION("""COMPUTED_VALUE"""),"C9400-LC-48TX=")</f>
        <v>C9400-LC-48TX=</v>
      </c>
      <c r="B200" s="55">
        <f>IFERROR(__xludf.DUMMYFUNCTION("""COMPUTED_VALUE"""),19129.0)</f>
        <v>19129</v>
      </c>
      <c r="C200" s="50"/>
      <c r="D200" s="55">
        <f>IFERROR(__xludf.DUMMYFUNCTION("""COMPUTED_VALUE"""),19129.0)</f>
        <v>19129</v>
      </c>
      <c r="G200" s="55"/>
    </row>
    <row r="201">
      <c r="A201" s="50" t="str">
        <f>IFERROR(__xludf.DUMMYFUNCTION("""COMPUTED_VALUE"""),"C9400-LC-48S=")</f>
        <v>C9400-LC-48S=</v>
      </c>
      <c r="B201" s="55">
        <f>IFERROR(__xludf.DUMMYFUNCTION("""COMPUTED_VALUE"""),30425.45)</f>
        <v>30425.45</v>
      </c>
      <c r="C201" s="50"/>
      <c r="D201" s="55">
        <f>IFERROR(__xludf.DUMMYFUNCTION("""COMPUTED_VALUE"""),30425.45)</f>
        <v>30425.45</v>
      </c>
      <c r="G201" s="55"/>
    </row>
    <row r="202">
      <c r="A202" s="50" t="str">
        <f>IFERROR(__xludf.DUMMYFUNCTION("""COMPUTED_VALUE"""),"C9400-LC-48XS=")</f>
        <v>C9400-LC-48XS=</v>
      </c>
      <c r="B202" s="55">
        <f>IFERROR(__xludf.DUMMYFUNCTION("""COMPUTED_VALUE"""),47564.0)</f>
        <v>47564</v>
      </c>
      <c r="C202" s="50"/>
      <c r="D202" s="55">
        <f>IFERROR(__xludf.DUMMYFUNCTION("""COMPUTED_VALUE"""),47564.0)</f>
        <v>47564</v>
      </c>
      <c r="G202" s="55"/>
    </row>
    <row r="203">
      <c r="A203" s="50" t="str">
        <f>IFERROR(__xludf.DUMMYFUNCTION("""COMPUTED_VALUE"""),"C9606R")</f>
        <v>C9606R</v>
      </c>
      <c r="B203" s="55">
        <f>IFERROR(__xludf.DUMMYFUNCTION("""COMPUTED_VALUE"""),246495.41)</f>
        <v>246495.41</v>
      </c>
      <c r="C203" s="50"/>
      <c r="D203" s="55">
        <f>IFERROR(__xludf.DUMMYFUNCTION("""COMPUTED_VALUE"""),246495.41)</f>
        <v>246495.41</v>
      </c>
      <c r="G203" s="55"/>
    </row>
    <row r="204">
      <c r="A204" s="50" t="str">
        <f>IFERROR(__xludf.DUMMYFUNCTION("""COMPUTED_VALUE"""),"C9600-LC-48TX=")</f>
        <v>C9600-LC-48TX=</v>
      </c>
      <c r="B204" s="55">
        <f>IFERROR(__xludf.DUMMYFUNCTION("""COMPUTED_VALUE"""),28916.35)</f>
        <v>28916.35</v>
      </c>
      <c r="C204" s="50"/>
      <c r="D204" s="55">
        <f>IFERROR(__xludf.DUMMYFUNCTION("""COMPUTED_VALUE"""),28916.35)</f>
        <v>28916.35</v>
      </c>
      <c r="G204" s="55"/>
    </row>
    <row r="205">
      <c r="A205" s="50" t="str">
        <f>IFERROR(__xludf.DUMMYFUNCTION("""COMPUTED_VALUE"""),"C9600-LC-48YL=")</f>
        <v>C9600-LC-48YL=</v>
      </c>
      <c r="B205" s="55">
        <f>IFERROR(__xludf.DUMMYFUNCTION("""COMPUTED_VALUE"""),28916.35)</f>
        <v>28916.35</v>
      </c>
      <c r="C205" s="50"/>
      <c r="D205" s="55">
        <f>IFERROR(__xludf.DUMMYFUNCTION("""COMPUTED_VALUE"""),28916.35)</f>
        <v>28916.35</v>
      </c>
      <c r="G205" s="55"/>
    </row>
    <row r="206">
      <c r="A206" s="50" t="str">
        <f>IFERROR(__xludf.DUMMYFUNCTION("""COMPUTED_VALUE"""),"C9600-LC-40YL4CD=")</f>
        <v>C9600-LC-40YL4CD=</v>
      </c>
      <c r="B206" s="55">
        <f>IFERROR(__xludf.DUMMYFUNCTION("""COMPUTED_VALUE"""),34122.0)</f>
        <v>34122</v>
      </c>
      <c r="C206" s="50"/>
      <c r="D206" s="55">
        <f>IFERROR(__xludf.DUMMYFUNCTION("""COMPUTED_VALUE"""),34122.0)</f>
        <v>34122</v>
      </c>
      <c r="G206" s="55"/>
    </row>
    <row r="207">
      <c r="A207" s="50" t="str">
        <f>IFERROR(__xludf.DUMMYFUNCTION("""COMPUTED_VALUE"""),"C9600-LC-24C=")</f>
        <v>C9600-LC-24C=</v>
      </c>
      <c r="B207" s="55">
        <f>IFERROR(__xludf.DUMMYFUNCTION("""COMPUTED_VALUE"""),32859.49)</f>
        <v>32859.49</v>
      </c>
      <c r="C207" s="50"/>
      <c r="D207" s="55">
        <f>IFERROR(__xludf.DUMMYFUNCTION("""COMPUTED_VALUE"""),32859.49)</f>
        <v>32859.49</v>
      </c>
      <c r="G207" s="55"/>
    </row>
    <row r="208">
      <c r="A208" s="50"/>
      <c r="B208" s="50"/>
      <c r="C208" s="50"/>
      <c r="D208" s="50"/>
      <c r="G208" s="55"/>
    </row>
    <row r="209">
      <c r="A209" s="50"/>
      <c r="B209" s="50"/>
      <c r="C209" s="50"/>
      <c r="D209" s="50"/>
      <c r="G209" s="55"/>
    </row>
    <row r="210">
      <c r="A210" s="50"/>
      <c r="B210" s="50"/>
      <c r="C210" s="50"/>
      <c r="D210" s="50"/>
      <c r="G210" s="55"/>
    </row>
    <row r="211">
      <c r="A211" s="50"/>
      <c r="B211" s="50"/>
      <c r="C211" s="50"/>
      <c r="D211" s="50"/>
      <c r="G211" s="55"/>
    </row>
    <row r="212">
      <c r="A212" s="50"/>
      <c r="B212" s="50"/>
      <c r="C212" s="50"/>
      <c r="D212" s="50"/>
      <c r="G212" s="55"/>
    </row>
    <row r="213">
      <c r="A213" s="50"/>
      <c r="B213" s="50"/>
      <c r="C213" s="50"/>
      <c r="D213" s="50"/>
      <c r="G213" s="55"/>
    </row>
    <row r="214">
      <c r="A214" s="50"/>
      <c r="B214" s="50"/>
      <c r="C214" s="50"/>
      <c r="D214" s="50"/>
      <c r="G214" s="55"/>
    </row>
    <row r="215">
      <c r="A215" s="50"/>
      <c r="B215" s="50"/>
      <c r="C215" s="50"/>
      <c r="D215" s="50"/>
      <c r="G215" s="55"/>
    </row>
    <row r="216">
      <c r="A216" s="50"/>
      <c r="B216" s="50"/>
      <c r="C216" s="50"/>
      <c r="D216" s="50"/>
      <c r="G216" s="55"/>
    </row>
    <row r="217">
      <c r="A217" s="50"/>
      <c r="B217" s="50"/>
      <c r="C217" s="50"/>
      <c r="D217" s="50"/>
      <c r="G217" s="55"/>
    </row>
    <row r="218">
      <c r="A218" s="50"/>
      <c r="B218" s="50"/>
      <c r="C218" s="50"/>
      <c r="D218" s="50"/>
      <c r="G218" s="55"/>
    </row>
    <row r="219">
      <c r="A219" s="50"/>
      <c r="B219" s="50"/>
      <c r="C219" s="50"/>
      <c r="D219" s="50"/>
      <c r="G219" s="55"/>
    </row>
    <row r="220">
      <c r="A220" s="50"/>
      <c r="B220" s="50"/>
      <c r="C220" s="50"/>
      <c r="D220" s="50"/>
      <c r="G220" s="55"/>
    </row>
    <row r="221">
      <c r="A221" s="50"/>
      <c r="B221" s="50"/>
      <c r="C221" s="50"/>
      <c r="D221" s="50"/>
      <c r="G221" s="55"/>
    </row>
    <row r="222">
      <c r="A222" s="50"/>
      <c r="B222" s="50"/>
      <c r="C222" s="50"/>
      <c r="D222" s="50"/>
      <c r="G222" s="55"/>
    </row>
    <row r="223">
      <c r="A223" s="50"/>
      <c r="B223" s="50"/>
      <c r="C223" s="50"/>
      <c r="D223" s="50"/>
      <c r="G223" s="55"/>
    </row>
    <row r="224">
      <c r="A224" s="50"/>
      <c r="B224" s="50"/>
      <c r="C224" s="50"/>
      <c r="D224" s="50"/>
      <c r="G224" s="55"/>
    </row>
    <row r="225">
      <c r="A225" s="50"/>
      <c r="B225" s="50"/>
      <c r="C225" s="50"/>
      <c r="D225" s="50"/>
      <c r="G225" s="55"/>
    </row>
    <row r="226">
      <c r="A226" s="50"/>
      <c r="B226" s="50"/>
      <c r="C226" s="50"/>
      <c r="D226" s="50"/>
      <c r="G226" s="55"/>
    </row>
    <row r="227">
      <c r="A227" s="50"/>
      <c r="B227" s="50"/>
      <c r="C227" s="50"/>
      <c r="D227" s="50"/>
      <c r="G227" s="55"/>
    </row>
    <row r="228">
      <c r="A228" s="50"/>
      <c r="B228" s="50"/>
      <c r="C228" s="50"/>
      <c r="D228" s="50"/>
      <c r="G228" s="55"/>
    </row>
    <row r="229">
      <c r="A229" s="50"/>
      <c r="B229" s="50"/>
      <c r="C229" s="50"/>
      <c r="D229" s="50"/>
      <c r="G229" s="55"/>
    </row>
    <row r="230">
      <c r="A230" s="50"/>
      <c r="B230" s="50"/>
      <c r="C230" s="50"/>
      <c r="D230" s="50"/>
      <c r="G230" s="55"/>
    </row>
    <row r="231">
      <c r="A231" s="50"/>
      <c r="B231" s="50"/>
      <c r="C231" s="50"/>
      <c r="D231" s="50"/>
      <c r="G231" s="55"/>
    </row>
    <row r="232">
      <c r="A232" s="50"/>
      <c r="B232" s="50"/>
      <c r="C232" s="50"/>
      <c r="D232" s="50"/>
      <c r="G232" s="55"/>
    </row>
    <row r="233">
      <c r="A233" s="50"/>
      <c r="B233" s="50"/>
      <c r="C233" s="50"/>
      <c r="D233" s="50"/>
      <c r="G233" s="55"/>
    </row>
    <row r="234">
      <c r="A234" s="50"/>
      <c r="B234" s="50"/>
      <c r="C234" s="50"/>
      <c r="D234" s="50"/>
      <c r="G234" s="55"/>
    </row>
    <row r="235">
      <c r="A235" s="50"/>
      <c r="B235" s="50"/>
      <c r="C235" s="50"/>
      <c r="D235" s="50"/>
      <c r="G235" s="55"/>
    </row>
    <row r="236">
      <c r="A236" s="50"/>
      <c r="B236" s="50"/>
      <c r="C236" s="50"/>
      <c r="D236" s="50"/>
      <c r="G236" s="55"/>
    </row>
    <row r="237">
      <c r="A237" s="50"/>
      <c r="B237" s="50"/>
      <c r="C237" s="50"/>
      <c r="D237" s="50"/>
      <c r="G237" s="55"/>
    </row>
    <row r="238">
      <c r="A238" s="50"/>
      <c r="B238" s="50"/>
      <c r="C238" s="50"/>
      <c r="D238" s="50"/>
      <c r="G238" s="55"/>
    </row>
    <row r="239">
      <c r="A239" s="50"/>
      <c r="B239" s="50"/>
      <c r="C239" s="50"/>
      <c r="D239" s="50"/>
      <c r="G239" s="55"/>
    </row>
    <row r="240">
      <c r="A240" s="50"/>
      <c r="B240" s="50"/>
      <c r="C240" s="50"/>
      <c r="D240" s="50"/>
      <c r="G240" s="55"/>
    </row>
    <row r="241">
      <c r="A241" s="50"/>
      <c r="B241" s="50"/>
      <c r="C241" s="50"/>
      <c r="D241" s="50"/>
      <c r="G241" s="55"/>
    </row>
    <row r="242">
      <c r="A242" s="50"/>
      <c r="B242" s="50"/>
      <c r="C242" s="50"/>
      <c r="D242" s="50"/>
      <c r="G242" s="55"/>
    </row>
    <row r="243">
      <c r="A243" s="50"/>
      <c r="B243" s="50"/>
      <c r="C243" s="50"/>
      <c r="D243" s="50"/>
      <c r="G243" s="55"/>
    </row>
    <row r="244">
      <c r="A244" s="50"/>
      <c r="B244" s="50"/>
      <c r="C244" s="50"/>
      <c r="D244" s="50"/>
      <c r="G244" s="55"/>
    </row>
    <row r="245">
      <c r="A245" s="50"/>
      <c r="B245" s="50"/>
      <c r="C245" s="50"/>
      <c r="D245" s="50"/>
      <c r="G245" s="55"/>
    </row>
    <row r="246">
      <c r="A246" s="50"/>
      <c r="B246" s="50"/>
      <c r="C246" s="50"/>
      <c r="D246" s="50"/>
      <c r="G246" s="55"/>
    </row>
    <row r="247">
      <c r="A247" s="50"/>
      <c r="B247" s="50"/>
      <c r="C247" s="50"/>
      <c r="D247" s="50"/>
      <c r="G247" s="55"/>
    </row>
    <row r="248">
      <c r="A248" s="50"/>
      <c r="B248" s="50"/>
      <c r="C248" s="50"/>
      <c r="D248" s="50"/>
      <c r="G248" s="55"/>
    </row>
    <row r="249">
      <c r="A249" s="50"/>
      <c r="B249" s="50"/>
      <c r="C249" s="50"/>
      <c r="D249" s="50"/>
      <c r="G249" s="55"/>
    </row>
    <row r="250">
      <c r="A250" s="50"/>
      <c r="B250" s="50"/>
      <c r="C250" s="50"/>
      <c r="D250" s="50"/>
      <c r="G250" s="55"/>
    </row>
    <row r="251">
      <c r="A251" s="50"/>
      <c r="B251" s="50"/>
      <c r="C251" s="50"/>
      <c r="D251" s="50"/>
      <c r="G251" s="55"/>
    </row>
    <row r="252">
      <c r="A252" s="50"/>
      <c r="B252" s="50"/>
      <c r="C252" s="50"/>
      <c r="D252" s="50"/>
      <c r="G252" s="55"/>
    </row>
    <row r="253">
      <c r="A253" s="50"/>
      <c r="B253" s="50"/>
      <c r="C253" s="50"/>
      <c r="D253" s="50"/>
      <c r="G253" s="55"/>
    </row>
    <row r="254">
      <c r="A254" s="50"/>
      <c r="B254" s="50"/>
      <c r="C254" s="50"/>
      <c r="D254" s="50"/>
      <c r="G254" s="55"/>
    </row>
    <row r="255">
      <c r="A255" s="50"/>
      <c r="B255" s="50"/>
      <c r="C255" s="50"/>
      <c r="D255" s="50"/>
      <c r="G255" s="55"/>
    </row>
    <row r="256">
      <c r="A256" s="50"/>
      <c r="B256" s="50"/>
      <c r="C256" s="50"/>
      <c r="D256" s="50"/>
      <c r="G256" s="55"/>
    </row>
    <row r="257">
      <c r="A257" s="50"/>
      <c r="B257" s="50"/>
      <c r="C257" s="50"/>
      <c r="D257" s="50"/>
      <c r="G257" s="55"/>
    </row>
    <row r="258">
      <c r="A258" s="50"/>
      <c r="B258" s="50"/>
      <c r="C258" s="50"/>
      <c r="D258" s="50"/>
      <c r="G258" s="55"/>
    </row>
    <row r="259">
      <c r="A259" s="50"/>
      <c r="B259" s="50"/>
      <c r="C259" s="50"/>
      <c r="D259" s="50"/>
      <c r="G259" s="55"/>
    </row>
    <row r="260">
      <c r="A260" s="50"/>
      <c r="B260" s="50"/>
      <c r="C260" s="50"/>
      <c r="D260" s="50"/>
      <c r="G260" s="55"/>
    </row>
    <row r="261">
      <c r="A261" s="50"/>
      <c r="B261" s="50"/>
      <c r="C261" s="50"/>
      <c r="D261" s="50"/>
      <c r="G261" s="55"/>
    </row>
    <row r="262">
      <c r="A262" s="50"/>
      <c r="B262" s="50"/>
      <c r="C262" s="50"/>
      <c r="D262" s="50"/>
      <c r="G262" s="55"/>
    </row>
    <row r="263">
      <c r="A263" s="50"/>
      <c r="B263" s="50"/>
      <c r="C263" s="50"/>
      <c r="D263" s="50"/>
      <c r="G263" s="55"/>
    </row>
    <row r="264">
      <c r="A264" s="50"/>
      <c r="B264" s="50"/>
      <c r="C264" s="50"/>
      <c r="D264" s="50"/>
      <c r="G264" s="55"/>
    </row>
    <row r="265">
      <c r="A265" s="50"/>
      <c r="B265" s="50"/>
      <c r="C265" s="50"/>
      <c r="D265" s="50"/>
      <c r="G265" s="55"/>
    </row>
    <row r="266">
      <c r="A266" s="50"/>
      <c r="B266" s="50"/>
      <c r="C266" s="50"/>
      <c r="D266" s="50"/>
      <c r="G266" s="55"/>
    </row>
    <row r="267">
      <c r="A267" s="50"/>
      <c r="B267" s="50"/>
      <c r="C267" s="50"/>
      <c r="D267" s="50"/>
      <c r="G267" s="55"/>
    </row>
    <row r="268">
      <c r="A268" s="50"/>
      <c r="B268" s="50"/>
      <c r="C268" s="50"/>
      <c r="D268" s="50"/>
      <c r="G268" s="55"/>
    </row>
    <row r="269">
      <c r="A269" s="50"/>
      <c r="B269" s="50"/>
      <c r="C269" s="50"/>
      <c r="D269" s="50"/>
      <c r="G269" s="55"/>
    </row>
    <row r="270">
      <c r="A270" s="50"/>
      <c r="B270" s="50"/>
      <c r="C270" s="50"/>
      <c r="D270" s="50"/>
      <c r="G270" s="55"/>
    </row>
    <row r="271">
      <c r="A271" s="50"/>
      <c r="B271" s="50"/>
      <c r="C271" s="55" t="str">
        <f>IFERROR(__xludf.DUMMYFUNCTION("""COMPUTED_VALUE"""),"")</f>
        <v/>
      </c>
      <c r="D271" s="50"/>
      <c r="G271" s="55"/>
    </row>
    <row r="272">
      <c r="A272" s="50"/>
      <c r="B272" s="50"/>
      <c r="C272" s="55" t="str">
        <f>IFERROR(__xludf.DUMMYFUNCTION("""COMPUTED_VALUE"""),"")</f>
        <v/>
      </c>
      <c r="D272" s="50"/>
      <c r="G272" s="55"/>
    </row>
    <row r="273">
      <c r="A273" s="50"/>
      <c r="B273" s="50"/>
      <c r="C273" s="55" t="str">
        <f>IFERROR(__xludf.DUMMYFUNCTION("""COMPUTED_VALUE"""),"")</f>
        <v/>
      </c>
      <c r="D273" s="50"/>
      <c r="G273" s="55"/>
    </row>
    <row r="274">
      <c r="A274" s="50"/>
      <c r="B274" s="50"/>
      <c r="C274" s="55" t="str">
        <f>IFERROR(__xludf.DUMMYFUNCTION("""COMPUTED_VALUE"""),"")</f>
        <v/>
      </c>
      <c r="D274" s="50"/>
      <c r="G274" s="55"/>
    </row>
    <row r="275">
      <c r="A275" s="50"/>
      <c r="B275" s="50"/>
      <c r="C275" s="55" t="str">
        <f>IFERROR(__xludf.DUMMYFUNCTION("""COMPUTED_VALUE"""),"")</f>
        <v/>
      </c>
      <c r="D275" s="50"/>
      <c r="G275" s="55"/>
    </row>
    <row r="276">
      <c r="A276" s="50"/>
      <c r="B276" s="50"/>
      <c r="C276" s="55" t="str">
        <f>IFERROR(__xludf.DUMMYFUNCTION("""COMPUTED_VALUE"""),"")</f>
        <v/>
      </c>
      <c r="D276" s="50"/>
      <c r="G276" s="55"/>
    </row>
    <row r="277">
      <c r="A277" s="50"/>
      <c r="B277" s="50"/>
      <c r="C277" s="55" t="str">
        <f>IFERROR(__xludf.DUMMYFUNCTION("""COMPUTED_VALUE"""),"")</f>
        <v/>
      </c>
      <c r="D277" s="50"/>
      <c r="G277" s="55"/>
    </row>
    <row r="278">
      <c r="A278" s="50"/>
      <c r="B278" s="50"/>
      <c r="C278" s="55" t="str">
        <f>IFERROR(__xludf.DUMMYFUNCTION("""COMPUTED_VALUE"""),"")</f>
        <v/>
      </c>
      <c r="D278" s="50"/>
      <c r="G278" s="55"/>
    </row>
    <row r="279">
      <c r="A279" s="50"/>
      <c r="B279" s="50"/>
      <c r="C279" s="55" t="str">
        <f>IFERROR(__xludf.DUMMYFUNCTION("""COMPUTED_VALUE"""),"")</f>
        <v/>
      </c>
      <c r="D279" s="50"/>
      <c r="G279" s="55"/>
    </row>
    <row r="280">
      <c r="A280" s="50"/>
      <c r="B280" s="50"/>
      <c r="C280" s="55" t="str">
        <f>IFERROR(__xludf.DUMMYFUNCTION("""COMPUTED_VALUE"""),"")</f>
        <v/>
      </c>
      <c r="D280" s="50"/>
      <c r="G280" s="55"/>
    </row>
    <row r="281">
      <c r="A281" s="50"/>
      <c r="B281" s="50"/>
      <c r="C281" s="55" t="str">
        <f>IFERROR(__xludf.DUMMYFUNCTION("""COMPUTED_VALUE"""),"")</f>
        <v/>
      </c>
      <c r="D281" s="50"/>
      <c r="G281" s="55"/>
    </row>
    <row r="282">
      <c r="A282" s="50"/>
      <c r="B282" s="50"/>
      <c r="C282" s="55" t="str">
        <f>IFERROR(__xludf.DUMMYFUNCTION("""COMPUTED_VALUE"""),"")</f>
        <v/>
      </c>
      <c r="D282" s="50"/>
      <c r="G282" s="55"/>
    </row>
    <row r="283">
      <c r="A283" s="50"/>
      <c r="B283" s="50"/>
      <c r="C283" s="55" t="str">
        <f>IFERROR(__xludf.DUMMYFUNCTION("""COMPUTED_VALUE"""),"")</f>
        <v/>
      </c>
      <c r="D283" s="50"/>
      <c r="G283" s="55"/>
    </row>
    <row r="284">
      <c r="A284" s="50"/>
      <c r="B284" s="50"/>
      <c r="C284" s="55" t="str">
        <f>IFERROR(__xludf.DUMMYFUNCTION("""COMPUTED_VALUE"""),"")</f>
        <v/>
      </c>
      <c r="D284" s="50"/>
      <c r="G284" s="55"/>
    </row>
    <row r="285">
      <c r="A285" s="50"/>
      <c r="B285" s="50"/>
      <c r="C285" s="55" t="str">
        <f>IFERROR(__xludf.DUMMYFUNCTION("""COMPUTED_VALUE"""),"")</f>
        <v/>
      </c>
      <c r="D285" s="50"/>
      <c r="G285" s="55"/>
    </row>
    <row r="286">
      <c r="A286" s="50"/>
      <c r="B286" s="50"/>
      <c r="C286" s="55" t="str">
        <f>IFERROR(__xludf.DUMMYFUNCTION("""COMPUTED_VALUE"""),"")</f>
        <v/>
      </c>
      <c r="D286" s="50"/>
      <c r="G286" s="55"/>
    </row>
    <row r="287">
      <c r="A287" s="50"/>
      <c r="B287" s="50"/>
      <c r="C287" s="55" t="str">
        <f>IFERROR(__xludf.DUMMYFUNCTION("""COMPUTED_VALUE"""),"")</f>
        <v/>
      </c>
      <c r="D287" s="50"/>
      <c r="G287" s="55"/>
    </row>
    <row r="288">
      <c r="A288" s="50"/>
      <c r="B288" s="50"/>
      <c r="C288" s="55" t="str">
        <f>IFERROR(__xludf.DUMMYFUNCTION("""COMPUTED_VALUE"""),"")</f>
        <v/>
      </c>
      <c r="D288" s="50"/>
      <c r="G288" s="55"/>
    </row>
    <row r="289">
      <c r="A289" s="50"/>
      <c r="B289" s="50"/>
      <c r="C289" s="55" t="str">
        <f>IFERROR(__xludf.DUMMYFUNCTION("""COMPUTED_VALUE"""),"")</f>
        <v/>
      </c>
      <c r="D289" s="50"/>
      <c r="G289" s="55"/>
    </row>
    <row r="290">
      <c r="A290" s="50"/>
      <c r="B290" s="50"/>
      <c r="C290" s="55" t="str">
        <f>IFERROR(__xludf.DUMMYFUNCTION("""COMPUTED_VALUE"""),"")</f>
        <v/>
      </c>
      <c r="D290" s="50"/>
      <c r="G290" s="55"/>
    </row>
    <row r="291">
      <c r="A291" s="50"/>
      <c r="B291" s="50"/>
      <c r="C291" s="55" t="str">
        <f>IFERROR(__xludf.DUMMYFUNCTION("""COMPUTED_VALUE"""),"")</f>
        <v/>
      </c>
      <c r="D291" s="50"/>
      <c r="G291" s="55"/>
    </row>
    <row r="292">
      <c r="A292" s="50"/>
      <c r="B292" s="50"/>
      <c r="C292" s="55" t="str">
        <f>IFERROR(__xludf.DUMMYFUNCTION("""COMPUTED_VALUE"""),"")</f>
        <v/>
      </c>
      <c r="D292" s="50"/>
      <c r="G292" s="55"/>
    </row>
    <row r="293">
      <c r="A293" s="50"/>
      <c r="B293" s="50"/>
      <c r="C293" s="55" t="str">
        <f>IFERROR(__xludf.DUMMYFUNCTION("""COMPUTED_VALUE"""),"")</f>
        <v/>
      </c>
      <c r="D293" s="50"/>
      <c r="G293" s="55"/>
    </row>
    <row r="294">
      <c r="A294" s="50"/>
      <c r="B294" s="50"/>
      <c r="C294" s="55" t="str">
        <f>IFERROR(__xludf.DUMMYFUNCTION("""COMPUTED_VALUE"""),"")</f>
        <v/>
      </c>
      <c r="D294" s="50"/>
      <c r="G294" s="55"/>
    </row>
    <row r="295">
      <c r="A295" s="50"/>
      <c r="B295" s="50"/>
      <c r="C295" s="55" t="str">
        <f>IFERROR(__xludf.DUMMYFUNCTION("""COMPUTED_VALUE"""),"")</f>
        <v/>
      </c>
      <c r="D295" s="50"/>
      <c r="G295" s="55"/>
    </row>
    <row r="296">
      <c r="A296" s="50"/>
      <c r="B296" s="50"/>
      <c r="C296" s="55" t="str">
        <f>IFERROR(__xludf.DUMMYFUNCTION("""COMPUTED_VALUE"""),"")</f>
        <v/>
      </c>
      <c r="D296" s="50"/>
      <c r="G296" s="55"/>
    </row>
    <row r="297">
      <c r="A297" s="50"/>
      <c r="B297" s="50"/>
      <c r="C297" s="55" t="str">
        <f>IFERROR(__xludf.DUMMYFUNCTION("""COMPUTED_VALUE"""),"")</f>
        <v/>
      </c>
      <c r="D297" s="50"/>
      <c r="G297" s="55"/>
    </row>
    <row r="298">
      <c r="A298" s="50"/>
      <c r="B298" s="50"/>
      <c r="C298" s="55" t="str">
        <f>IFERROR(__xludf.DUMMYFUNCTION("""COMPUTED_VALUE"""),"")</f>
        <v/>
      </c>
      <c r="D298" s="50"/>
      <c r="G298" s="55"/>
    </row>
    <row r="299">
      <c r="A299" s="50"/>
      <c r="B299" s="50"/>
      <c r="C299" s="55" t="str">
        <f>IFERROR(__xludf.DUMMYFUNCTION("""COMPUTED_VALUE"""),"")</f>
        <v/>
      </c>
      <c r="D299" s="50"/>
      <c r="G299" s="55"/>
    </row>
    <row r="300">
      <c r="A300" s="50"/>
      <c r="B300" s="50"/>
      <c r="C300" s="55" t="str">
        <f>IFERROR(__xludf.DUMMYFUNCTION("""COMPUTED_VALUE"""),"")</f>
        <v/>
      </c>
      <c r="D300" s="50"/>
      <c r="G300" s="55"/>
    </row>
    <row r="301">
      <c r="A301" s="50"/>
      <c r="B301" s="50"/>
      <c r="C301" s="55" t="str">
        <f>IFERROR(__xludf.DUMMYFUNCTION("""COMPUTED_VALUE"""),"")</f>
        <v/>
      </c>
      <c r="D301" s="50"/>
      <c r="G301" s="55"/>
    </row>
    <row r="302">
      <c r="A302" s="50"/>
      <c r="B302" s="50"/>
      <c r="C302" s="55" t="str">
        <f>IFERROR(__xludf.DUMMYFUNCTION("""COMPUTED_VALUE"""),"")</f>
        <v/>
      </c>
      <c r="D302" s="50"/>
      <c r="G302" s="55"/>
    </row>
    <row r="303">
      <c r="A303" s="50"/>
      <c r="B303" s="50"/>
      <c r="C303" s="55" t="str">
        <f>IFERROR(__xludf.DUMMYFUNCTION("""COMPUTED_VALUE"""),"")</f>
        <v/>
      </c>
      <c r="D303" s="50"/>
      <c r="G303" s="55"/>
    </row>
    <row r="304">
      <c r="A304" s="50"/>
      <c r="B304" s="50"/>
      <c r="C304" s="55" t="str">
        <f>IFERROR(__xludf.DUMMYFUNCTION("""COMPUTED_VALUE"""),"")</f>
        <v/>
      </c>
      <c r="D304" s="50"/>
      <c r="G304" s="55"/>
    </row>
    <row r="305">
      <c r="A305" s="50"/>
      <c r="B305" s="50"/>
      <c r="C305" s="55" t="str">
        <f>IFERROR(__xludf.DUMMYFUNCTION("""COMPUTED_VALUE"""),"")</f>
        <v/>
      </c>
      <c r="D305" s="50"/>
      <c r="G305" s="55"/>
    </row>
    <row r="306">
      <c r="A306" s="50"/>
      <c r="B306" s="50"/>
      <c r="C306" s="55" t="str">
        <f>IFERROR(__xludf.DUMMYFUNCTION("""COMPUTED_VALUE"""),"")</f>
        <v/>
      </c>
      <c r="D306" s="50"/>
      <c r="G306" s="55"/>
    </row>
    <row r="307">
      <c r="A307" s="50"/>
      <c r="B307" s="50"/>
      <c r="C307" s="55" t="str">
        <f>IFERROR(__xludf.DUMMYFUNCTION("""COMPUTED_VALUE"""),"")</f>
        <v/>
      </c>
      <c r="D307" s="50"/>
      <c r="G307" s="55"/>
    </row>
    <row r="308">
      <c r="A308" s="50"/>
      <c r="B308" s="50"/>
      <c r="C308" s="55" t="str">
        <f>IFERROR(__xludf.DUMMYFUNCTION("""COMPUTED_VALUE"""),"")</f>
        <v/>
      </c>
      <c r="D308" s="50"/>
      <c r="G308" s="55"/>
    </row>
    <row r="309">
      <c r="A309" s="50"/>
      <c r="B309" s="50"/>
      <c r="C309" s="55" t="str">
        <f>IFERROR(__xludf.DUMMYFUNCTION("""COMPUTED_VALUE"""),"")</f>
        <v/>
      </c>
      <c r="D309" s="50"/>
      <c r="G309" s="55"/>
    </row>
    <row r="310">
      <c r="A310" s="50"/>
      <c r="B310" s="50"/>
      <c r="C310" s="55" t="str">
        <f>IFERROR(__xludf.DUMMYFUNCTION("""COMPUTED_VALUE"""),"")</f>
        <v/>
      </c>
      <c r="D310" s="50"/>
      <c r="G310" s="55"/>
    </row>
    <row r="311">
      <c r="A311" s="50"/>
      <c r="B311" s="50"/>
      <c r="C311" s="55" t="str">
        <f>IFERROR(__xludf.DUMMYFUNCTION("""COMPUTED_VALUE"""),"")</f>
        <v/>
      </c>
      <c r="D311" s="50"/>
      <c r="G311" s="55"/>
    </row>
    <row r="312">
      <c r="A312" s="50"/>
      <c r="B312" s="50"/>
      <c r="C312" s="55" t="str">
        <f>IFERROR(__xludf.DUMMYFUNCTION("""COMPUTED_VALUE"""),"")</f>
        <v/>
      </c>
      <c r="D312" s="50"/>
      <c r="G312" s="55"/>
    </row>
    <row r="313">
      <c r="A313" s="50"/>
      <c r="B313" s="50"/>
      <c r="C313" s="55" t="str">
        <f>IFERROR(__xludf.DUMMYFUNCTION("""COMPUTED_VALUE"""),"")</f>
        <v/>
      </c>
      <c r="D313" s="50"/>
      <c r="G313" s="55"/>
    </row>
    <row r="314">
      <c r="A314" s="50"/>
      <c r="B314" s="50"/>
      <c r="C314" s="55" t="str">
        <f>IFERROR(__xludf.DUMMYFUNCTION("""COMPUTED_VALUE"""),"")</f>
        <v/>
      </c>
      <c r="D314" s="50"/>
      <c r="G314" s="55"/>
    </row>
    <row r="315">
      <c r="A315" s="50"/>
      <c r="B315" s="50"/>
      <c r="C315" s="55" t="str">
        <f>IFERROR(__xludf.DUMMYFUNCTION("""COMPUTED_VALUE"""),"")</f>
        <v/>
      </c>
      <c r="D315" s="50"/>
      <c r="G315" s="55"/>
    </row>
    <row r="316">
      <c r="A316" s="50"/>
      <c r="B316" s="50"/>
      <c r="C316" s="55" t="str">
        <f>IFERROR(__xludf.DUMMYFUNCTION("""COMPUTED_VALUE"""),"")</f>
        <v/>
      </c>
      <c r="D316" s="50"/>
      <c r="G316" s="55"/>
    </row>
    <row r="317">
      <c r="A317" s="50"/>
      <c r="B317" s="50"/>
      <c r="C317" s="55" t="str">
        <f>IFERROR(__xludf.DUMMYFUNCTION("""COMPUTED_VALUE"""),"")</f>
        <v/>
      </c>
      <c r="D317" s="50"/>
      <c r="G317" s="55"/>
    </row>
    <row r="318">
      <c r="A318" s="50"/>
      <c r="B318" s="50"/>
      <c r="C318" s="55" t="str">
        <f>IFERROR(__xludf.DUMMYFUNCTION("""COMPUTED_VALUE"""),"")</f>
        <v/>
      </c>
      <c r="D318" s="50"/>
      <c r="G318" s="55"/>
    </row>
    <row r="319">
      <c r="A319" s="50"/>
      <c r="B319" s="50"/>
      <c r="C319" s="55" t="str">
        <f>IFERROR(__xludf.DUMMYFUNCTION("""COMPUTED_VALUE"""),"")</f>
        <v/>
      </c>
      <c r="D319" s="50"/>
      <c r="G319" s="55"/>
    </row>
    <row r="320">
      <c r="A320" s="50"/>
      <c r="B320" s="50"/>
      <c r="C320" s="55" t="str">
        <f>IFERROR(__xludf.DUMMYFUNCTION("""COMPUTED_VALUE"""),"")</f>
        <v/>
      </c>
      <c r="D320" s="50"/>
      <c r="G320" s="55"/>
    </row>
    <row r="321">
      <c r="A321" s="50"/>
      <c r="B321" s="50"/>
      <c r="C321" s="55" t="str">
        <f>IFERROR(__xludf.DUMMYFUNCTION("""COMPUTED_VALUE"""),"")</f>
        <v/>
      </c>
      <c r="D321" s="50"/>
      <c r="G321" s="55"/>
    </row>
    <row r="322">
      <c r="A322" s="50"/>
      <c r="B322" s="50"/>
      <c r="C322" s="55" t="str">
        <f>IFERROR(__xludf.DUMMYFUNCTION("""COMPUTED_VALUE"""),"")</f>
        <v/>
      </c>
      <c r="D322" s="50"/>
      <c r="G322" s="55"/>
    </row>
    <row r="323">
      <c r="A323" s="50"/>
      <c r="B323" s="50"/>
      <c r="C323" s="55" t="str">
        <f>IFERROR(__xludf.DUMMYFUNCTION("""COMPUTED_VALUE"""),"")</f>
        <v/>
      </c>
      <c r="D323" s="50"/>
      <c r="G323" s="55"/>
    </row>
    <row r="324">
      <c r="A324" s="50"/>
      <c r="B324" s="50"/>
      <c r="C324" s="55" t="str">
        <f>IFERROR(__xludf.DUMMYFUNCTION("""COMPUTED_VALUE"""),"")</f>
        <v/>
      </c>
      <c r="D324" s="50"/>
      <c r="G324" s="55"/>
    </row>
    <row r="325">
      <c r="A325" s="50"/>
      <c r="B325" s="50"/>
      <c r="C325" s="55" t="str">
        <f>IFERROR(__xludf.DUMMYFUNCTION("""COMPUTED_VALUE"""),"")</f>
        <v/>
      </c>
      <c r="D325" s="50"/>
      <c r="G325" s="55"/>
    </row>
    <row r="326">
      <c r="A326" s="50"/>
      <c r="B326" s="50"/>
      <c r="C326" s="55" t="str">
        <f>IFERROR(__xludf.DUMMYFUNCTION("""COMPUTED_VALUE"""),"")</f>
        <v/>
      </c>
      <c r="D326" s="50"/>
      <c r="G326" s="55"/>
    </row>
    <row r="327">
      <c r="A327" s="50"/>
      <c r="B327" s="50"/>
      <c r="C327" s="55" t="str">
        <f>IFERROR(__xludf.DUMMYFUNCTION("""COMPUTED_VALUE"""),"")</f>
        <v/>
      </c>
      <c r="D327" s="50"/>
      <c r="G327" s="55"/>
    </row>
    <row r="328">
      <c r="A328" s="50"/>
      <c r="B328" s="50"/>
      <c r="C328" s="55" t="str">
        <f>IFERROR(__xludf.DUMMYFUNCTION("""COMPUTED_VALUE"""),"")</f>
        <v/>
      </c>
      <c r="D328" s="50"/>
      <c r="G328" s="55"/>
    </row>
    <row r="329">
      <c r="A329" s="50"/>
      <c r="B329" s="50"/>
      <c r="C329" s="55" t="str">
        <f>IFERROR(__xludf.DUMMYFUNCTION("""COMPUTED_VALUE"""),"")</f>
        <v/>
      </c>
      <c r="D329" s="50"/>
      <c r="G329" s="55"/>
    </row>
    <row r="330">
      <c r="A330" s="50"/>
      <c r="B330" s="50"/>
      <c r="C330" s="55" t="str">
        <f>IFERROR(__xludf.DUMMYFUNCTION("""COMPUTED_VALUE"""),"")</f>
        <v/>
      </c>
      <c r="D330" s="50"/>
      <c r="G330" s="55"/>
    </row>
    <row r="331">
      <c r="A331" s="50"/>
      <c r="B331" s="50"/>
      <c r="C331" s="55" t="str">
        <f>IFERROR(__xludf.DUMMYFUNCTION("""COMPUTED_VALUE"""),"")</f>
        <v/>
      </c>
      <c r="D331" s="50"/>
      <c r="G331" s="55"/>
    </row>
    <row r="332">
      <c r="A332" s="50"/>
      <c r="B332" s="50"/>
      <c r="C332" s="55" t="str">
        <f>IFERROR(__xludf.DUMMYFUNCTION("""COMPUTED_VALUE"""),"")</f>
        <v/>
      </c>
      <c r="D332" s="50"/>
      <c r="G332" s="55"/>
    </row>
    <row r="333">
      <c r="A333" s="50"/>
      <c r="B333" s="50"/>
      <c r="C333" s="55" t="str">
        <f>IFERROR(__xludf.DUMMYFUNCTION("""COMPUTED_VALUE"""),"")</f>
        <v/>
      </c>
      <c r="D333" s="50"/>
      <c r="G333" s="55"/>
    </row>
    <row r="334">
      <c r="A334" s="50"/>
      <c r="B334" s="50"/>
      <c r="C334" s="55" t="str">
        <f>IFERROR(__xludf.DUMMYFUNCTION("""COMPUTED_VALUE"""),"")</f>
        <v/>
      </c>
      <c r="D334" s="50"/>
      <c r="G334" s="55"/>
    </row>
    <row r="335">
      <c r="A335" s="50"/>
      <c r="B335" s="50"/>
      <c r="C335" s="55" t="str">
        <f>IFERROR(__xludf.DUMMYFUNCTION("""COMPUTED_VALUE"""),"")</f>
        <v/>
      </c>
      <c r="D335" s="50"/>
      <c r="G335" s="55"/>
    </row>
    <row r="336">
      <c r="A336" s="50"/>
      <c r="B336" s="50"/>
      <c r="C336" s="55" t="str">
        <f>IFERROR(__xludf.DUMMYFUNCTION("""COMPUTED_VALUE"""),"")</f>
        <v/>
      </c>
      <c r="D336" s="50"/>
      <c r="G336" s="55"/>
    </row>
    <row r="337">
      <c r="A337" s="50"/>
      <c r="B337" s="50"/>
      <c r="C337" s="55" t="str">
        <f>IFERROR(__xludf.DUMMYFUNCTION("""COMPUTED_VALUE"""),"")</f>
        <v/>
      </c>
      <c r="D337" s="50"/>
      <c r="G337" s="55"/>
    </row>
    <row r="338">
      <c r="A338" s="50"/>
      <c r="B338" s="50"/>
      <c r="C338" s="55" t="str">
        <f>IFERROR(__xludf.DUMMYFUNCTION("""COMPUTED_VALUE"""),"")</f>
        <v/>
      </c>
      <c r="D338" s="50"/>
      <c r="G338" s="55"/>
    </row>
    <row r="339">
      <c r="A339" s="50"/>
      <c r="B339" s="50"/>
      <c r="C339" s="55" t="str">
        <f>IFERROR(__xludf.DUMMYFUNCTION("""COMPUTED_VALUE"""),"")</f>
        <v/>
      </c>
      <c r="D339" s="50"/>
      <c r="G339" s="55"/>
    </row>
    <row r="340">
      <c r="A340" s="50"/>
      <c r="B340" s="50"/>
      <c r="C340" s="55" t="str">
        <f>IFERROR(__xludf.DUMMYFUNCTION("""COMPUTED_VALUE"""),"")</f>
        <v/>
      </c>
      <c r="D340" s="50"/>
      <c r="G340" s="55"/>
    </row>
    <row r="341">
      <c r="A341" s="50"/>
      <c r="B341" s="50"/>
      <c r="C341" s="55" t="str">
        <f>IFERROR(__xludf.DUMMYFUNCTION("""COMPUTED_VALUE"""),"")</f>
        <v/>
      </c>
      <c r="D341" s="50"/>
      <c r="G341" s="55"/>
    </row>
    <row r="342">
      <c r="A342" s="50"/>
      <c r="B342" s="50"/>
      <c r="C342" s="55" t="str">
        <f>IFERROR(__xludf.DUMMYFUNCTION("""COMPUTED_VALUE"""),"")</f>
        <v/>
      </c>
      <c r="D342" s="50"/>
      <c r="G342" s="55"/>
    </row>
    <row r="343">
      <c r="A343" s="50"/>
      <c r="B343" s="50"/>
      <c r="C343" s="55" t="str">
        <f>IFERROR(__xludf.DUMMYFUNCTION("""COMPUTED_VALUE"""),"")</f>
        <v/>
      </c>
      <c r="D343" s="50"/>
      <c r="G343" s="55"/>
    </row>
    <row r="344">
      <c r="A344" s="50"/>
      <c r="B344" s="50"/>
      <c r="C344" s="55" t="str">
        <f>IFERROR(__xludf.DUMMYFUNCTION("""COMPUTED_VALUE"""),"")</f>
        <v/>
      </c>
      <c r="D344" s="50"/>
      <c r="G344" s="55"/>
    </row>
    <row r="345">
      <c r="A345" s="50"/>
      <c r="B345" s="50"/>
      <c r="C345" s="55" t="str">
        <f>IFERROR(__xludf.DUMMYFUNCTION("""COMPUTED_VALUE"""),"")</f>
        <v/>
      </c>
      <c r="D345" s="50"/>
      <c r="G345" s="55"/>
    </row>
    <row r="346">
      <c r="A346" s="50"/>
      <c r="B346" s="50"/>
      <c r="C346" s="55" t="str">
        <f>IFERROR(__xludf.DUMMYFUNCTION("""COMPUTED_VALUE"""),"")</f>
        <v/>
      </c>
      <c r="D346" s="50"/>
      <c r="G346" s="55"/>
    </row>
    <row r="347">
      <c r="A347" s="50"/>
      <c r="B347" s="50"/>
      <c r="C347" s="55" t="str">
        <f>IFERROR(__xludf.DUMMYFUNCTION("""COMPUTED_VALUE"""),"")</f>
        <v/>
      </c>
      <c r="D347" s="50"/>
      <c r="G347" s="55"/>
    </row>
    <row r="348">
      <c r="A348" s="50"/>
      <c r="B348" s="50"/>
      <c r="C348" s="55" t="str">
        <f>IFERROR(__xludf.DUMMYFUNCTION("""COMPUTED_VALUE"""),"")</f>
        <v/>
      </c>
      <c r="D348" s="50"/>
      <c r="G348" s="55"/>
    </row>
    <row r="349">
      <c r="A349" s="50"/>
      <c r="B349" s="50"/>
      <c r="C349" s="55" t="str">
        <f>IFERROR(__xludf.DUMMYFUNCTION("""COMPUTED_VALUE"""),"")</f>
        <v/>
      </c>
      <c r="D349" s="50"/>
      <c r="G349" s="55"/>
    </row>
    <row r="350">
      <c r="A350" s="50"/>
      <c r="B350" s="50"/>
      <c r="C350" s="55" t="str">
        <f>IFERROR(__xludf.DUMMYFUNCTION("""COMPUTED_VALUE"""),"")</f>
        <v/>
      </c>
      <c r="D350" s="50"/>
      <c r="G350" s="55"/>
    </row>
    <row r="351">
      <c r="A351" s="50"/>
      <c r="B351" s="50"/>
      <c r="C351" s="55" t="str">
        <f>IFERROR(__xludf.DUMMYFUNCTION("""COMPUTED_VALUE"""),"")</f>
        <v/>
      </c>
      <c r="D351" s="50"/>
      <c r="G351" s="55"/>
    </row>
    <row r="352">
      <c r="A352" s="50"/>
      <c r="B352" s="50"/>
      <c r="C352" s="55" t="str">
        <f>IFERROR(__xludf.DUMMYFUNCTION("""COMPUTED_VALUE"""),"")</f>
        <v/>
      </c>
      <c r="D352" s="50"/>
      <c r="G352" s="55"/>
    </row>
    <row r="353">
      <c r="A353" s="50"/>
      <c r="B353" s="50"/>
      <c r="C353" s="55" t="str">
        <f>IFERROR(__xludf.DUMMYFUNCTION("""COMPUTED_VALUE"""),"")</f>
        <v/>
      </c>
      <c r="D353" s="50"/>
      <c r="G353" s="55"/>
    </row>
    <row r="354">
      <c r="A354" s="50"/>
      <c r="B354" s="50"/>
      <c r="C354" s="55" t="str">
        <f>IFERROR(__xludf.DUMMYFUNCTION("""COMPUTED_VALUE"""),"")</f>
        <v/>
      </c>
      <c r="D354" s="50"/>
      <c r="G354" s="55"/>
    </row>
    <row r="355">
      <c r="A355" s="50"/>
      <c r="B355" s="50"/>
      <c r="C355" s="55" t="str">
        <f>IFERROR(__xludf.DUMMYFUNCTION("""COMPUTED_VALUE"""),"")</f>
        <v/>
      </c>
      <c r="D355" s="50"/>
      <c r="G355" s="55"/>
    </row>
    <row r="356">
      <c r="A356" s="50"/>
      <c r="B356" s="50"/>
      <c r="C356" s="55" t="str">
        <f>IFERROR(__xludf.DUMMYFUNCTION("""COMPUTED_VALUE"""),"")</f>
        <v/>
      </c>
      <c r="D356" s="50"/>
      <c r="G356" s="55"/>
    </row>
    <row r="357">
      <c r="A357" s="50"/>
      <c r="B357" s="50"/>
      <c r="C357" s="55" t="str">
        <f>IFERROR(__xludf.DUMMYFUNCTION("""COMPUTED_VALUE"""),"")</f>
        <v/>
      </c>
      <c r="D357" s="50"/>
      <c r="G357" s="55"/>
    </row>
    <row r="358">
      <c r="A358" s="50"/>
      <c r="B358" s="50"/>
      <c r="C358" s="55" t="str">
        <f>IFERROR(__xludf.DUMMYFUNCTION("""COMPUTED_VALUE"""),"")</f>
        <v/>
      </c>
      <c r="D358" s="50"/>
      <c r="G358" s="55"/>
    </row>
    <row r="359">
      <c r="A359" s="50"/>
      <c r="B359" s="50"/>
      <c r="C359" s="55" t="str">
        <f>IFERROR(__xludf.DUMMYFUNCTION("""COMPUTED_VALUE"""),"")</f>
        <v/>
      </c>
      <c r="D359" s="50"/>
      <c r="G359" s="55"/>
    </row>
    <row r="360">
      <c r="A360" s="50"/>
      <c r="B360" s="50"/>
      <c r="C360" s="55" t="str">
        <f>IFERROR(__xludf.DUMMYFUNCTION("""COMPUTED_VALUE"""),"")</f>
        <v/>
      </c>
      <c r="D360" s="50"/>
      <c r="G360" s="55"/>
    </row>
    <row r="361">
      <c r="A361" s="50"/>
      <c r="B361" s="50"/>
      <c r="C361" s="55" t="str">
        <f>IFERROR(__xludf.DUMMYFUNCTION("""COMPUTED_VALUE"""),"")</f>
        <v/>
      </c>
      <c r="D361" s="50"/>
      <c r="G361" s="55"/>
    </row>
    <row r="362">
      <c r="A362" s="50"/>
      <c r="B362" s="50"/>
      <c r="C362" s="55" t="str">
        <f>IFERROR(__xludf.DUMMYFUNCTION("""COMPUTED_VALUE"""),"")</f>
        <v/>
      </c>
      <c r="D362" s="50"/>
      <c r="G362" s="55"/>
    </row>
    <row r="363">
      <c r="A363" s="50"/>
      <c r="B363" s="50"/>
      <c r="C363" s="55" t="str">
        <f>IFERROR(__xludf.DUMMYFUNCTION("""COMPUTED_VALUE"""),"")</f>
        <v/>
      </c>
      <c r="D363" s="50"/>
      <c r="G363" s="55"/>
    </row>
    <row r="364">
      <c r="A364" s="50"/>
      <c r="B364" s="50"/>
      <c r="C364" s="55" t="str">
        <f>IFERROR(__xludf.DUMMYFUNCTION("""COMPUTED_VALUE"""),"")</f>
        <v/>
      </c>
      <c r="D364" s="50"/>
      <c r="G364" s="55"/>
    </row>
    <row r="365">
      <c r="A365" s="50"/>
      <c r="B365" s="50"/>
      <c r="C365" s="55" t="str">
        <f>IFERROR(__xludf.DUMMYFUNCTION("""COMPUTED_VALUE"""),"")</f>
        <v/>
      </c>
      <c r="D365" s="50"/>
      <c r="G365" s="55"/>
    </row>
    <row r="366">
      <c r="A366" s="50"/>
      <c r="B366" s="50"/>
      <c r="C366" s="55" t="str">
        <f>IFERROR(__xludf.DUMMYFUNCTION("""COMPUTED_VALUE"""),"")</f>
        <v/>
      </c>
      <c r="D366" s="50"/>
      <c r="G366" s="55"/>
    </row>
    <row r="367">
      <c r="A367" s="50"/>
      <c r="B367" s="50"/>
      <c r="C367" s="55" t="str">
        <f>IFERROR(__xludf.DUMMYFUNCTION("""COMPUTED_VALUE"""),"")</f>
        <v/>
      </c>
      <c r="D367" s="50"/>
      <c r="G367" s="55"/>
    </row>
    <row r="368">
      <c r="A368" s="50"/>
      <c r="B368" s="50"/>
      <c r="C368" s="55" t="str">
        <f>IFERROR(__xludf.DUMMYFUNCTION("""COMPUTED_VALUE"""),"")</f>
        <v/>
      </c>
      <c r="D368" s="50"/>
      <c r="G368" s="55"/>
    </row>
    <row r="369">
      <c r="A369" s="50"/>
      <c r="B369" s="50"/>
      <c r="C369" s="55" t="str">
        <f>IFERROR(__xludf.DUMMYFUNCTION("""COMPUTED_VALUE"""),"")</f>
        <v/>
      </c>
      <c r="D369" s="50"/>
      <c r="G369" s="55"/>
    </row>
    <row r="370">
      <c r="A370" s="50"/>
      <c r="B370" s="50"/>
      <c r="C370" s="55" t="str">
        <f>IFERROR(__xludf.DUMMYFUNCTION("""COMPUTED_VALUE"""),"")</f>
        <v/>
      </c>
      <c r="D370" s="50"/>
      <c r="G370" s="55"/>
    </row>
    <row r="371">
      <c r="A371" s="50"/>
      <c r="B371" s="50"/>
      <c r="C371" s="55" t="str">
        <f>IFERROR(__xludf.DUMMYFUNCTION("""COMPUTED_VALUE"""),"")</f>
        <v/>
      </c>
      <c r="D371" s="50"/>
      <c r="G371" s="55"/>
    </row>
    <row r="372">
      <c r="A372" s="50"/>
      <c r="B372" s="50"/>
      <c r="C372" s="55" t="str">
        <f>IFERROR(__xludf.DUMMYFUNCTION("""COMPUTED_VALUE"""),"")</f>
        <v/>
      </c>
      <c r="D372" s="50"/>
      <c r="G372" s="55"/>
    </row>
    <row r="373">
      <c r="A373" s="50"/>
      <c r="B373" s="50"/>
      <c r="C373" s="55" t="str">
        <f>IFERROR(__xludf.DUMMYFUNCTION("""COMPUTED_VALUE"""),"")</f>
        <v/>
      </c>
      <c r="D373" s="50"/>
      <c r="G373" s="55"/>
    </row>
    <row r="374">
      <c r="A374" s="50"/>
      <c r="B374" s="50"/>
      <c r="C374" s="55" t="str">
        <f>IFERROR(__xludf.DUMMYFUNCTION("""COMPUTED_VALUE"""),"")</f>
        <v/>
      </c>
      <c r="D374" s="50"/>
      <c r="G374" s="55"/>
    </row>
    <row r="375">
      <c r="A375" s="50"/>
      <c r="B375" s="50"/>
      <c r="C375" s="55" t="str">
        <f>IFERROR(__xludf.DUMMYFUNCTION("""COMPUTED_VALUE"""),"")</f>
        <v/>
      </c>
      <c r="D375" s="50"/>
      <c r="G375" s="55"/>
    </row>
    <row r="376">
      <c r="A376" s="50"/>
      <c r="B376" s="50"/>
      <c r="C376" s="55" t="str">
        <f>IFERROR(__xludf.DUMMYFUNCTION("""COMPUTED_VALUE"""),"")</f>
        <v/>
      </c>
      <c r="D376" s="50"/>
      <c r="G376" s="55"/>
    </row>
    <row r="377">
      <c r="A377" s="50"/>
      <c r="B377" s="50"/>
      <c r="C377" s="55" t="str">
        <f>IFERROR(__xludf.DUMMYFUNCTION("""COMPUTED_VALUE"""),"")</f>
        <v/>
      </c>
      <c r="D377" s="50"/>
      <c r="G377" s="55"/>
    </row>
    <row r="378">
      <c r="A378" s="50"/>
      <c r="B378" s="50"/>
      <c r="C378" s="55" t="str">
        <f>IFERROR(__xludf.DUMMYFUNCTION("""COMPUTED_VALUE"""),"")</f>
        <v/>
      </c>
      <c r="D378" s="50"/>
      <c r="G378" s="55"/>
    </row>
    <row r="379">
      <c r="A379" s="50"/>
      <c r="B379" s="50"/>
      <c r="C379" s="55" t="str">
        <f>IFERROR(__xludf.DUMMYFUNCTION("""COMPUTED_VALUE"""),"")</f>
        <v/>
      </c>
      <c r="D379" s="50"/>
      <c r="G379" s="55"/>
    </row>
    <row r="380">
      <c r="A380" s="50"/>
      <c r="B380" s="50"/>
      <c r="C380" s="55" t="str">
        <f>IFERROR(__xludf.DUMMYFUNCTION("""COMPUTED_VALUE"""),"")</f>
        <v/>
      </c>
      <c r="D380" s="50"/>
      <c r="G380" s="55"/>
    </row>
    <row r="381">
      <c r="A381" s="50"/>
      <c r="B381" s="50"/>
      <c r="C381" s="55" t="str">
        <f>IFERROR(__xludf.DUMMYFUNCTION("""COMPUTED_VALUE"""),"")</f>
        <v/>
      </c>
      <c r="D381" s="50"/>
      <c r="G381" s="55"/>
    </row>
    <row r="382">
      <c r="A382" s="50"/>
      <c r="B382" s="50"/>
      <c r="C382" s="55" t="str">
        <f>IFERROR(__xludf.DUMMYFUNCTION("""COMPUTED_VALUE"""),"")</f>
        <v/>
      </c>
      <c r="D382" s="50"/>
      <c r="G382" s="55"/>
    </row>
    <row r="383">
      <c r="A383" s="50"/>
      <c r="B383" s="50"/>
      <c r="C383" s="55" t="str">
        <f>IFERROR(__xludf.DUMMYFUNCTION("""COMPUTED_VALUE"""),"")</f>
        <v/>
      </c>
      <c r="D383" s="50"/>
      <c r="G383" s="55"/>
    </row>
    <row r="384">
      <c r="A384" s="50"/>
      <c r="B384" s="50"/>
      <c r="C384" s="55" t="str">
        <f>IFERROR(__xludf.DUMMYFUNCTION("""COMPUTED_VALUE"""),"")</f>
        <v/>
      </c>
      <c r="D384" s="50"/>
      <c r="G384" s="55"/>
    </row>
    <row r="385">
      <c r="A385" s="50"/>
      <c r="B385" s="50"/>
      <c r="C385" s="55" t="str">
        <f>IFERROR(__xludf.DUMMYFUNCTION("""COMPUTED_VALUE"""),"")</f>
        <v/>
      </c>
      <c r="D385" s="50"/>
      <c r="G385" s="55"/>
    </row>
    <row r="386">
      <c r="A386" s="50"/>
      <c r="B386" s="50"/>
      <c r="C386" s="55" t="str">
        <f>IFERROR(__xludf.DUMMYFUNCTION("""COMPUTED_VALUE"""),"")</f>
        <v/>
      </c>
      <c r="D386" s="50"/>
      <c r="G386" s="55"/>
    </row>
    <row r="387">
      <c r="A387" s="50"/>
      <c r="B387" s="50"/>
      <c r="C387" s="55" t="str">
        <f>IFERROR(__xludf.DUMMYFUNCTION("""COMPUTED_VALUE"""),"")</f>
        <v/>
      </c>
      <c r="D387" s="50"/>
      <c r="G387" s="55"/>
    </row>
    <row r="388">
      <c r="A388" s="50"/>
      <c r="B388" s="50"/>
      <c r="C388" s="55" t="str">
        <f>IFERROR(__xludf.DUMMYFUNCTION("""COMPUTED_VALUE"""),"")</f>
        <v/>
      </c>
      <c r="D388" s="50"/>
      <c r="G388" s="55"/>
    </row>
    <row r="389">
      <c r="A389" s="50"/>
      <c r="B389" s="50"/>
      <c r="C389" s="55" t="str">
        <f>IFERROR(__xludf.DUMMYFUNCTION("""COMPUTED_VALUE"""),"")</f>
        <v/>
      </c>
      <c r="D389" s="50"/>
      <c r="G389" s="55"/>
    </row>
    <row r="390">
      <c r="A390" s="50"/>
      <c r="B390" s="50"/>
      <c r="C390" s="55" t="str">
        <f>IFERROR(__xludf.DUMMYFUNCTION("""COMPUTED_VALUE"""),"")</f>
        <v/>
      </c>
      <c r="D390" s="50"/>
      <c r="G390" s="55"/>
    </row>
    <row r="391">
      <c r="A391" s="50"/>
      <c r="B391" s="50"/>
      <c r="C391" s="55" t="str">
        <f>IFERROR(__xludf.DUMMYFUNCTION("""COMPUTED_VALUE"""),"")</f>
        <v/>
      </c>
      <c r="D391" s="50"/>
      <c r="G391" s="55"/>
    </row>
    <row r="392">
      <c r="A392" s="50"/>
      <c r="B392" s="50"/>
      <c r="C392" s="55" t="str">
        <f>IFERROR(__xludf.DUMMYFUNCTION("""COMPUTED_VALUE"""),"")</f>
        <v/>
      </c>
      <c r="D392" s="50"/>
      <c r="G392" s="55"/>
    </row>
    <row r="393">
      <c r="A393" s="50"/>
      <c r="B393" s="50"/>
      <c r="C393" s="55" t="str">
        <f>IFERROR(__xludf.DUMMYFUNCTION("""COMPUTED_VALUE"""),"")</f>
        <v/>
      </c>
      <c r="D393" s="50"/>
      <c r="G393" s="55"/>
    </row>
    <row r="394">
      <c r="A394" s="50"/>
      <c r="B394" s="50"/>
      <c r="C394" s="55" t="str">
        <f>IFERROR(__xludf.DUMMYFUNCTION("""COMPUTED_VALUE"""),"")</f>
        <v/>
      </c>
      <c r="D394" s="50"/>
      <c r="G394" s="55"/>
    </row>
    <row r="395">
      <c r="A395" s="50"/>
      <c r="B395" s="50"/>
      <c r="C395" s="55" t="str">
        <f>IFERROR(__xludf.DUMMYFUNCTION("""COMPUTED_VALUE"""),"")</f>
        <v/>
      </c>
      <c r="D395" s="50"/>
      <c r="G395" s="55"/>
    </row>
    <row r="396">
      <c r="A396" s="50"/>
      <c r="B396" s="50"/>
      <c r="C396" s="55" t="str">
        <f>IFERROR(__xludf.DUMMYFUNCTION("""COMPUTED_VALUE"""),"")</f>
        <v/>
      </c>
      <c r="D396" s="50"/>
      <c r="G396" s="55"/>
    </row>
    <row r="397">
      <c r="A397" s="50"/>
      <c r="B397" s="50"/>
      <c r="C397" s="55" t="str">
        <f>IFERROR(__xludf.DUMMYFUNCTION("""COMPUTED_VALUE"""),"")</f>
        <v/>
      </c>
      <c r="D397" s="50"/>
      <c r="G397" s="55"/>
    </row>
    <row r="398">
      <c r="A398" s="50"/>
      <c r="B398" s="50"/>
      <c r="C398" s="55" t="str">
        <f>IFERROR(__xludf.DUMMYFUNCTION("""COMPUTED_VALUE"""),"")</f>
        <v/>
      </c>
      <c r="D398" s="50"/>
      <c r="G398" s="55"/>
    </row>
    <row r="399">
      <c r="A399" s="50"/>
      <c r="B399" s="50"/>
      <c r="C399" s="55" t="str">
        <f>IFERROR(__xludf.DUMMYFUNCTION("""COMPUTED_VALUE"""),"")</f>
        <v/>
      </c>
      <c r="D399" s="50"/>
      <c r="G399" s="55"/>
    </row>
    <row r="400">
      <c r="A400" s="50"/>
      <c r="B400" s="50"/>
      <c r="C400" s="55" t="str">
        <f>IFERROR(__xludf.DUMMYFUNCTION("""COMPUTED_VALUE"""),"")</f>
        <v/>
      </c>
      <c r="D400" s="50"/>
      <c r="G400" s="55"/>
    </row>
    <row r="401">
      <c r="A401" s="50"/>
      <c r="B401" s="50"/>
      <c r="C401" s="55" t="str">
        <f>IFERROR(__xludf.DUMMYFUNCTION("""COMPUTED_VALUE"""),"")</f>
        <v/>
      </c>
      <c r="D401" s="50"/>
      <c r="G401" s="55"/>
    </row>
    <row r="402">
      <c r="A402" s="50"/>
      <c r="B402" s="50"/>
      <c r="C402" s="55" t="str">
        <f>IFERROR(__xludf.DUMMYFUNCTION("""COMPUTED_VALUE"""),"")</f>
        <v/>
      </c>
      <c r="D402" s="50"/>
      <c r="G402" s="55"/>
    </row>
    <row r="403">
      <c r="A403" s="50"/>
      <c r="B403" s="50"/>
      <c r="C403" s="55" t="str">
        <f>IFERROR(__xludf.DUMMYFUNCTION("""COMPUTED_VALUE"""),"")</f>
        <v/>
      </c>
      <c r="D403" s="50"/>
      <c r="G403" s="55"/>
    </row>
    <row r="404">
      <c r="A404" s="50"/>
      <c r="B404" s="50"/>
      <c r="C404" s="55" t="str">
        <f>IFERROR(__xludf.DUMMYFUNCTION("""COMPUTED_VALUE"""),"")</f>
        <v/>
      </c>
      <c r="D404" s="50"/>
      <c r="G404" s="55"/>
    </row>
    <row r="405">
      <c r="A405" s="50"/>
      <c r="B405" s="50"/>
      <c r="C405" s="55" t="str">
        <f>IFERROR(__xludf.DUMMYFUNCTION("""COMPUTED_VALUE"""),"")</f>
        <v/>
      </c>
      <c r="D405" s="50"/>
      <c r="G405" s="55"/>
    </row>
    <row r="406">
      <c r="A406" s="50"/>
      <c r="B406" s="50"/>
      <c r="C406" s="55" t="str">
        <f>IFERROR(__xludf.DUMMYFUNCTION("""COMPUTED_VALUE"""),"")</f>
        <v/>
      </c>
      <c r="D406" s="50"/>
      <c r="G406" s="55"/>
    </row>
    <row r="407">
      <c r="A407" s="50"/>
      <c r="B407" s="50"/>
      <c r="C407" s="55" t="str">
        <f>IFERROR(__xludf.DUMMYFUNCTION("""COMPUTED_VALUE"""),"")</f>
        <v/>
      </c>
      <c r="D407" s="50"/>
      <c r="G407" s="55"/>
    </row>
    <row r="408">
      <c r="A408" s="50"/>
      <c r="B408" s="50"/>
      <c r="C408" s="55" t="str">
        <f>IFERROR(__xludf.DUMMYFUNCTION("""COMPUTED_VALUE"""),"")</f>
        <v/>
      </c>
      <c r="D408" s="50"/>
      <c r="G408" s="55"/>
    </row>
    <row r="409">
      <c r="A409" s="50"/>
      <c r="B409" s="50"/>
      <c r="C409" s="55" t="str">
        <f>IFERROR(__xludf.DUMMYFUNCTION("""COMPUTED_VALUE"""),"")</f>
        <v/>
      </c>
      <c r="D409" s="50"/>
      <c r="G409" s="55"/>
    </row>
    <row r="410">
      <c r="A410" s="50"/>
      <c r="B410" s="50"/>
      <c r="C410" s="55" t="str">
        <f>IFERROR(__xludf.DUMMYFUNCTION("""COMPUTED_VALUE"""),"")</f>
        <v/>
      </c>
      <c r="D410" s="50"/>
      <c r="G410" s="55"/>
    </row>
    <row r="411">
      <c r="A411" s="50"/>
      <c r="B411" s="50"/>
      <c r="C411" s="55" t="str">
        <f>IFERROR(__xludf.DUMMYFUNCTION("""COMPUTED_VALUE"""),"")</f>
        <v/>
      </c>
      <c r="D411" s="50"/>
      <c r="G411" s="55"/>
    </row>
    <row r="412">
      <c r="A412" s="50"/>
      <c r="B412" s="50"/>
      <c r="C412" s="55" t="str">
        <f>IFERROR(__xludf.DUMMYFUNCTION("""COMPUTED_VALUE"""),"")</f>
        <v/>
      </c>
      <c r="D412" s="50"/>
      <c r="G412" s="55"/>
    </row>
    <row r="413">
      <c r="A413" s="50"/>
      <c r="B413" s="50"/>
      <c r="C413" s="55" t="str">
        <f>IFERROR(__xludf.DUMMYFUNCTION("""COMPUTED_VALUE"""),"")</f>
        <v/>
      </c>
      <c r="D413" s="50"/>
      <c r="G413" s="55"/>
    </row>
    <row r="414">
      <c r="A414" s="50"/>
      <c r="B414" s="50"/>
      <c r="C414" s="55" t="str">
        <f>IFERROR(__xludf.DUMMYFUNCTION("""COMPUTED_VALUE"""),"")</f>
        <v/>
      </c>
      <c r="D414" s="50"/>
      <c r="G414" s="55"/>
    </row>
    <row r="415">
      <c r="A415" s="50"/>
      <c r="B415" s="50"/>
      <c r="C415" s="55" t="str">
        <f>IFERROR(__xludf.DUMMYFUNCTION("""COMPUTED_VALUE"""),"")</f>
        <v/>
      </c>
      <c r="D415" s="50"/>
      <c r="G415" s="55"/>
    </row>
    <row r="416">
      <c r="A416" s="50"/>
      <c r="B416" s="50"/>
      <c r="C416" s="55" t="str">
        <f>IFERROR(__xludf.DUMMYFUNCTION("""COMPUTED_VALUE"""),"")</f>
        <v/>
      </c>
      <c r="D416" s="50"/>
      <c r="G416" s="55"/>
    </row>
    <row r="417">
      <c r="A417" s="50"/>
      <c r="B417" s="50"/>
      <c r="C417" s="55" t="str">
        <f>IFERROR(__xludf.DUMMYFUNCTION("""COMPUTED_VALUE"""),"")</f>
        <v/>
      </c>
      <c r="D417" s="50"/>
      <c r="G417" s="55"/>
    </row>
    <row r="418">
      <c r="A418" s="50"/>
      <c r="B418" s="50"/>
      <c r="C418" s="55" t="str">
        <f>IFERROR(__xludf.DUMMYFUNCTION("""COMPUTED_VALUE"""),"")</f>
        <v/>
      </c>
      <c r="D418" s="50"/>
      <c r="G418" s="55"/>
    </row>
    <row r="419">
      <c r="A419" s="50"/>
      <c r="B419" s="50"/>
      <c r="C419" s="55" t="str">
        <f>IFERROR(__xludf.DUMMYFUNCTION("""COMPUTED_VALUE"""),"")</f>
        <v/>
      </c>
      <c r="D419" s="50"/>
      <c r="G419" s="55"/>
    </row>
    <row r="420">
      <c r="A420" s="50"/>
      <c r="B420" s="50"/>
      <c r="C420" s="55" t="str">
        <f>IFERROR(__xludf.DUMMYFUNCTION("""COMPUTED_VALUE"""),"")</f>
        <v/>
      </c>
      <c r="D420" s="50"/>
      <c r="G420" s="55"/>
    </row>
    <row r="421">
      <c r="A421" s="50"/>
      <c r="B421" s="50"/>
      <c r="C421" s="55" t="str">
        <f>IFERROR(__xludf.DUMMYFUNCTION("""COMPUTED_VALUE"""),"")</f>
        <v/>
      </c>
      <c r="D421" s="50"/>
      <c r="G421" s="55"/>
    </row>
    <row r="422">
      <c r="A422" s="50"/>
      <c r="B422" s="50"/>
      <c r="C422" s="55" t="str">
        <f>IFERROR(__xludf.DUMMYFUNCTION("""COMPUTED_VALUE"""),"")</f>
        <v/>
      </c>
      <c r="D422" s="50"/>
      <c r="G422" s="55"/>
    </row>
    <row r="423">
      <c r="A423" s="50"/>
      <c r="B423" s="50"/>
      <c r="C423" s="55" t="str">
        <f>IFERROR(__xludf.DUMMYFUNCTION("""COMPUTED_VALUE"""),"")</f>
        <v/>
      </c>
      <c r="D423" s="50"/>
      <c r="G423" s="55"/>
    </row>
    <row r="424">
      <c r="A424" s="50"/>
      <c r="B424" s="50"/>
      <c r="C424" s="55" t="str">
        <f>IFERROR(__xludf.DUMMYFUNCTION("""COMPUTED_VALUE"""),"")</f>
        <v/>
      </c>
      <c r="D424" s="50"/>
      <c r="G424" s="55"/>
    </row>
    <row r="425">
      <c r="A425" s="50"/>
      <c r="B425" s="50"/>
      <c r="C425" s="55" t="str">
        <f>IFERROR(__xludf.DUMMYFUNCTION("""COMPUTED_VALUE"""),"")</f>
        <v/>
      </c>
      <c r="D425" s="50"/>
      <c r="G425" s="55"/>
    </row>
    <row r="426">
      <c r="A426" s="50"/>
      <c r="B426" s="50"/>
      <c r="C426" s="55" t="str">
        <f>IFERROR(__xludf.DUMMYFUNCTION("""COMPUTED_VALUE"""),"")</f>
        <v/>
      </c>
      <c r="D426" s="50"/>
      <c r="G426" s="55"/>
    </row>
    <row r="427">
      <c r="A427" s="50"/>
      <c r="B427" s="50"/>
      <c r="C427" s="55" t="str">
        <f>IFERROR(__xludf.DUMMYFUNCTION("""COMPUTED_VALUE"""),"")</f>
        <v/>
      </c>
      <c r="D427" s="50"/>
      <c r="G427" s="55"/>
    </row>
    <row r="428">
      <c r="A428" s="50"/>
      <c r="B428" s="50"/>
      <c r="C428" s="55" t="str">
        <f>IFERROR(__xludf.DUMMYFUNCTION("""COMPUTED_VALUE"""),"")</f>
        <v/>
      </c>
      <c r="D428" s="50"/>
      <c r="G428" s="55"/>
    </row>
    <row r="429">
      <c r="A429" s="50"/>
      <c r="B429" s="50"/>
      <c r="C429" s="55" t="str">
        <f>IFERROR(__xludf.DUMMYFUNCTION("""COMPUTED_VALUE"""),"")</f>
        <v/>
      </c>
      <c r="D429" s="50"/>
      <c r="G429" s="55"/>
    </row>
    <row r="430">
      <c r="A430" s="50"/>
      <c r="B430" s="50"/>
      <c r="C430" s="55" t="str">
        <f>IFERROR(__xludf.DUMMYFUNCTION("""COMPUTED_VALUE"""),"")</f>
        <v/>
      </c>
      <c r="D430" s="50"/>
      <c r="G430" s="55"/>
    </row>
    <row r="431">
      <c r="A431" s="50"/>
      <c r="B431" s="50"/>
      <c r="C431" s="55" t="str">
        <f>IFERROR(__xludf.DUMMYFUNCTION("""COMPUTED_VALUE"""),"")</f>
        <v/>
      </c>
      <c r="D431" s="50"/>
      <c r="G431" s="55"/>
    </row>
    <row r="432">
      <c r="A432" s="50"/>
      <c r="B432" s="50"/>
      <c r="C432" s="55" t="str">
        <f>IFERROR(__xludf.DUMMYFUNCTION("""COMPUTED_VALUE"""),"")</f>
        <v/>
      </c>
      <c r="D432" s="50"/>
      <c r="G432" s="55"/>
    </row>
    <row r="433">
      <c r="A433" s="50"/>
      <c r="B433" s="50"/>
      <c r="C433" s="55" t="str">
        <f>IFERROR(__xludf.DUMMYFUNCTION("""COMPUTED_VALUE"""),"")</f>
        <v/>
      </c>
      <c r="D433" s="50"/>
      <c r="G433" s="55"/>
    </row>
    <row r="434">
      <c r="A434" s="50"/>
      <c r="B434" s="50"/>
      <c r="C434" s="55" t="str">
        <f>IFERROR(__xludf.DUMMYFUNCTION("""COMPUTED_VALUE"""),"")</f>
        <v/>
      </c>
      <c r="D434" s="50"/>
      <c r="G434" s="55"/>
    </row>
    <row r="435">
      <c r="A435" s="50"/>
      <c r="B435" s="50"/>
      <c r="C435" s="55" t="str">
        <f>IFERROR(__xludf.DUMMYFUNCTION("""COMPUTED_VALUE"""),"")</f>
        <v/>
      </c>
      <c r="D435" s="50"/>
      <c r="G435" s="55"/>
    </row>
    <row r="436">
      <c r="A436" s="50"/>
      <c r="B436" s="50"/>
      <c r="C436" s="55" t="str">
        <f>IFERROR(__xludf.DUMMYFUNCTION("""COMPUTED_VALUE"""),"")</f>
        <v/>
      </c>
      <c r="D436" s="50"/>
      <c r="G436" s="55"/>
    </row>
    <row r="437">
      <c r="A437" s="50"/>
      <c r="B437" s="50"/>
      <c r="C437" s="55" t="str">
        <f>IFERROR(__xludf.DUMMYFUNCTION("""COMPUTED_VALUE"""),"")</f>
        <v/>
      </c>
      <c r="D437" s="50"/>
      <c r="G437" s="55"/>
    </row>
    <row r="438">
      <c r="A438" s="50"/>
      <c r="B438" s="50"/>
      <c r="C438" s="55" t="str">
        <f>IFERROR(__xludf.DUMMYFUNCTION("""COMPUTED_VALUE"""),"")</f>
        <v/>
      </c>
      <c r="D438" s="50"/>
      <c r="G438" s="55"/>
    </row>
    <row r="439">
      <c r="A439" s="50"/>
      <c r="B439" s="50"/>
      <c r="C439" s="55" t="str">
        <f>IFERROR(__xludf.DUMMYFUNCTION("""COMPUTED_VALUE"""),"")</f>
        <v/>
      </c>
      <c r="D439" s="50"/>
      <c r="G439" s="55"/>
    </row>
    <row r="440">
      <c r="A440" s="50"/>
      <c r="B440" s="50"/>
      <c r="C440" s="55" t="str">
        <f>IFERROR(__xludf.DUMMYFUNCTION("""COMPUTED_VALUE"""),"")</f>
        <v/>
      </c>
      <c r="D440" s="50"/>
      <c r="G440" s="55"/>
    </row>
    <row r="441">
      <c r="A441" s="50"/>
      <c r="B441" s="50"/>
      <c r="C441" s="55" t="str">
        <f>IFERROR(__xludf.DUMMYFUNCTION("""COMPUTED_VALUE"""),"")</f>
        <v/>
      </c>
      <c r="D441" s="50"/>
      <c r="G441" s="55"/>
    </row>
    <row r="442">
      <c r="A442" s="50"/>
      <c r="B442" s="50"/>
      <c r="C442" s="55" t="str">
        <f>IFERROR(__xludf.DUMMYFUNCTION("""COMPUTED_VALUE"""),"")</f>
        <v/>
      </c>
      <c r="D442" s="50"/>
      <c r="G442" s="55"/>
    </row>
    <row r="443">
      <c r="A443" s="50"/>
      <c r="B443" s="50"/>
      <c r="C443" s="55" t="str">
        <f>IFERROR(__xludf.DUMMYFUNCTION("""COMPUTED_VALUE"""),"")</f>
        <v/>
      </c>
      <c r="D443" s="50"/>
      <c r="G443" s="55"/>
    </row>
    <row r="444">
      <c r="A444" s="50"/>
      <c r="B444" s="50"/>
      <c r="C444" s="55" t="str">
        <f>IFERROR(__xludf.DUMMYFUNCTION("""COMPUTED_VALUE"""),"")</f>
        <v/>
      </c>
      <c r="D444" s="50"/>
      <c r="G444" s="55"/>
    </row>
    <row r="445">
      <c r="A445" s="50"/>
      <c r="B445" s="50"/>
      <c r="C445" s="55" t="str">
        <f>IFERROR(__xludf.DUMMYFUNCTION("""COMPUTED_VALUE"""),"")</f>
        <v/>
      </c>
      <c r="D445" s="50"/>
      <c r="G445" s="55"/>
    </row>
    <row r="446">
      <c r="A446" s="50"/>
      <c r="B446" s="50"/>
      <c r="C446" s="55" t="str">
        <f>IFERROR(__xludf.DUMMYFUNCTION("""COMPUTED_VALUE"""),"")</f>
        <v/>
      </c>
      <c r="D446" s="50"/>
      <c r="G446" s="55"/>
    </row>
    <row r="447">
      <c r="A447" s="50"/>
      <c r="B447" s="50"/>
      <c r="C447" s="55" t="str">
        <f>IFERROR(__xludf.DUMMYFUNCTION("""COMPUTED_VALUE"""),"")</f>
        <v/>
      </c>
      <c r="D447" s="50"/>
      <c r="G447" s="55"/>
    </row>
    <row r="448">
      <c r="A448" s="50"/>
      <c r="B448" s="50"/>
      <c r="C448" s="55" t="str">
        <f>IFERROR(__xludf.DUMMYFUNCTION("""COMPUTED_VALUE"""),"")</f>
        <v/>
      </c>
      <c r="D448" s="50"/>
      <c r="G448" s="55"/>
    </row>
    <row r="449">
      <c r="A449" s="50"/>
      <c r="B449" s="50"/>
      <c r="C449" s="55" t="str">
        <f>IFERROR(__xludf.DUMMYFUNCTION("""COMPUTED_VALUE"""),"")</f>
        <v/>
      </c>
      <c r="D449" s="50"/>
      <c r="G449" s="55"/>
    </row>
    <row r="450">
      <c r="A450" s="50"/>
      <c r="B450" s="50"/>
      <c r="C450" s="55" t="str">
        <f>IFERROR(__xludf.DUMMYFUNCTION("""COMPUTED_VALUE"""),"")</f>
        <v/>
      </c>
      <c r="D450" s="50"/>
      <c r="G450" s="55"/>
    </row>
    <row r="451">
      <c r="A451" s="50"/>
      <c r="B451" s="50"/>
      <c r="C451" s="55" t="str">
        <f>IFERROR(__xludf.DUMMYFUNCTION("""COMPUTED_VALUE"""),"")</f>
        <v/>
      </c>
      <c r="D451" s="50"/>
      <c r="G451" s="55"/>
    </row>
    <row r="452">
      <c r="A452" s="50"/>
      <c r="B452" s="50"/>
      <c r="C452" s="55" t="str">
        <f>IFERROR(__xludf.DUMMYFUNCTION("""COMPUTED_VALUE"""),"")</f>
        <v/>
      </c>
      <c r="D452" s="50"/>
      <c r="G452" s="55"/>
    </row>
    <row r="453">
      <c r="A453" s="50"/>
      <c r="B453" s="50"/>
      <c r="C453" s="55" t="str">
        <f>IFERROR(__xludf.DUMMYFUNCTION("""COMPUTED_VALUE"""),"")</f>
        <v/>
      </c>
      <c r="D453" s="50"/>
      <c r="G453" s="55"/>
    </row>
    <row r="454">
      <c r="A454" s="50"/>
      <c r="B454" s="50"/>
      <c r="C454" s="55" t="str">
        <f>IFERROR(__xludf.DUMMYFUNCTION("""COMPUTED_VALUE"""),"")</f>
        <v/>
      </c>
      <c r="D454" s="50"/>
      <c r="G454" s="55"/>
    </row>
    <row r="455">
      <c r="A455" s="50"/>
      <c r="B455" s="50"/>
      <c r="C455" s="55" t="str">
        <f>IFERROR(__xludf.DUMMYFUNCTION("""COMPUTED_VALUE"""),"")</f>
        <v/>
      </c>
      <c r="D455" s="50"/>
      <c r="G455" s="55"/>
    </row>
    <row r="456">
      <c r="A456" s="50"/>
      <c r="B456" s="50"/>
      <c r="C456" s="55" t="str">
        <f>IFERROR(__xludf.DUMMYFUNCTION("""COMPUTED_VALUE"""),"")</f>
        <v/>
      </c>
      <c r="D456" s="50"/>
      <c r="G456" s="55"/>
    </row>
    <row r="457">
      <c r="A457" s="50"/>
      <c r="B457" s="50"/>
      <c r="C457" s="55" t="str">
        <f>IFERROR(__xludf.DUMMYFUNCTION("""COMPUTED_VALUE"""),"")</f>
        <v/>
      </c>
      <c r="D457" s="50"/>
      <c r="G457" s="55"/>
    </row>
    <row r="458">
      <c r="A458" s="50"/>
      <c r="B458" s="50"/>
      <c r="C458" s="55" t="str">
        <f>IFERROR(__xludf.DUMMYFUNCTION("""COMPUTED_VALUE"""),"")</f>
        <v/>
      </c>
      <c r="D458" s="50"/>
      <c r="G458" s="55"/>
    </row>
    <row r="459">
      <c r="A459" s="50"/>
      <c r="B459" s="50"/>
      <c r="C459" s="55" t="str">
        <f>IFERROR(__xludf.DUMMYFUNCTION("""COMPUTED_VALUE"""),"")</f>
        <v/>
      </c>
      <c r="D459" s="50"/>
      <c r="G459" s="55"/>
    </row>
    <row r="460">
      <c r="A460" s="50"/>
      <c r="B460" s="50"/>
      <c r="C460" s="55" t="str">
        <f>IFERROR(__xludf.DUMMYFUNCTION("""COMPUTED_VALUE"""),"")</f>
        <v/>
      </c>
      <c r="D460" s="50"/>
      <c r="G460" s="55"/>
    </row>
    <row r="461">
      <c r="A461" s="50"/>
      <c r="B461" s="50"/>
      <c r="C461" s="55" t="str">
        <f>IFERROR(__xludf.DUMMYFUNCTION("""COMPUTED_VALUE"""),"")</f>
        <v/>
      </c>
      <c r="D461" s="50"/>
      <c r="G461" s="55"/>
    </row>
    <row r="462">
      <c r="A462" s="50"/>
      <c r="B462" s="50"/>
      <c r="C462" s="55" t="str">
        <f>IFERROR(__xludf.DUMMYFUNCTION("""COMPUTED_VALUE"""),"")</f>
        <v/>
      </c>
      <c r="D462" s="50"/>
      <c r="G462" s="55"/>
    </row>
    <row r="463">
      <c r="A463" s="50"/>
      <c r="B463" s="50"/>
      <c r="C463" s="55" t="str">
        <f>IFERROR(__xludf.DUMMYFUNCTION("""COMPUTED_VALUE"""),"")</f>
        <v/>
      </c>
      <c r="D463" s="50"/>
      <c r="G463" s="55"/>
    </row>
    <row r="464">
      <c r="A464" s="50"/>
      <c r="B464" s="50"/>
      <c r="C464" s="55" t="str">
        <f>IFERROR(__xludf.DUMMYFUNCTION("""COMPUTED_VALUE"""),"")</f>
        <v/>
      </c>
      <c r="D464" s="50"/>
      <c r="G464" s="55"/>
    </row>
    <row r="465">
      <c r="A465" s="50"/>
      <c r="B465" s="50"/>
      <c r="C465" s="55" t="str">
        <f>IFERROR(__xludf.DUMMYFUNCTION("""COMPUTED_VALUE"""),"")</f>
        <v/>
      </c>
      <c r="D465" s="50"/>
      <c r="G465" s="55"/>
    </row>
    <row r="466">
      <c r="A466" s="50"/>
      <c r="B466" s="50"/>
      <c r="C466" s="55" t="str">
        <f>IFERROR(__xludf.DUMMYFUNCTION("""COMPUTED_VALUE"""),"")</f>
        <v/>
      </c>
      <c r="D466" s="50"/>
      <c r="G466" s="55"/>
    </row>
    <row r="467">
      <c r="A467" s="50"/>
      <c r="B467" s="50"/>
      <c r="C467" s="55" t="str">
        <f>IFERROR(__xludf.DUMMYFUNCTION("""COMPUTED_VALUE"""),"")</f>
        <v/>
      </c>
      <c r="D467" s="50"/>
      <c r="G467" s="55"/>
    </row>
    <row r="468">
      <c r="A468" s="50"/>
      <c r="B468" s="50"/>
      <c r="C468" s="55" t="str">
        <f>IFERROR(__xludf.DUMMYFUNCTION("""COMPUTED_VALUE"""),"")</f>
        <v/>
      </c>
      <c r="D468" s="50"/>
      <c r="G468" s="55"/>
    </row>
    <row r="469">
      <c r="A469" s="50"/>
      <c r="B469" s="50"/>
      <c r="C469" s="55" t="str">
        <f>IFERROR(__xludf.DUMMYFUNCTION("""COMPUTED_VALUE"""),"")</f>
        <v/>
      </c>
      <c r="D469" s="50"/>
      <c r="G469" s="55"/>
    </row>
    <row r="470">
      <c r="A470" s="50"/>
      <c r="B470" s="50"/>
      <c r="C470" s="55" t="str">
        <f>IFERROR(__xludf.DUMMYFUNCTION("""COMPUTED_VALUE"""),"")</f>
        <v/>
      </c>
      <c r="D470" s="50"/>
      <c r="G470" s="55"/>
    </row>
    <row r="471">
      <c r="A471" s="50"/>
      <c r="B471" s="50"/>
      <c r="C471" s="55" t="str">
        <f>IFERROR(__xludf.DUMMYFUNCTION("""COMPUTED_VALUE"""),"")</f>
        <v/>
      </c>
      <c r="D471" s="50"/>
      <c r="G471" s="55"/>
    </row>
    <row r="472">
      <c r="A472" s="50"/>
      <c r="B472" s="50"/>
      <c r="C472" s="55" t="str">
        <f>IFERROR(__xludf.DUMMYFUNCTION("""COMPUTED_VALUE"""),"")</f>
        <v/>
      </c>
      <c r="D472" s="50"/>
      <c r="G472" s="55"/>
    </row>
    <row r="473">
      <c r="A473" s="50"/>
      <c r="B473" s="50"/>
      <c r="C473" s="55" t="str">
        <f>IFERROR(__xludf.DUMMYFUNCTION("""COMPUTED_VALUE"""),"")</f>
        <v/>
      </c>
      <c r="D473" s="50"/>
      <c r="G473" s="55"/>
    </row>
    <row r="474">
      <c r="A474" s="50"/>
      <c r="B474" s="50"/>
      <c r="C474" s="55" t="str">
        <f>IFERROR(__xludf.DUMMYFUNCTION("""COMPUTED_VALUE"""),"")</f>
        <v/>
      </c>
      <c r="D474" s="50"/>
      <c r="G474" s="55"/>
    </row>
    <row r="475">
      <c r="A475" s="50"/>
      <c r="B475" s="50"/>
      <c r="C475" s="55" t="str">
        <f>IFERROR(__xludf.DUMMYFUNCTION("""COMPUTED_VALUE"""),"")</f>
        <v/>
      </c>
      <c r="D475" s="50"/>
      <c r="G475" s="55"/>
    </row>
    <row r="476">
      <c r="A476" s="50"/>
      <c r="B476" s="50"/>
      <c r="C476" s="55" t="str">
        <f>IFERROR(__xludf.DUMMYFUNCTION("""COMPUTED_VALUE"""),"")</f>
        <v/>
      </c>
      <c r="D476" s="50"/>
      <c r="G476" s="55"/>
    </row>
    <row r="477">
      <c r="A477" s="50"/>
      <c r="B477" s="50"/>
      <c r="C477" s="55" t="str">
        <f>IFERROR(__xludf.DUMMYFUNCTION("""COMPUTED_VALUE"""),"")</f>
        <v/>
      </c>
      <c r="D477" s="50"/>
      <c r="G477" s="55"/>
    </row>
    <row r="478">
      <c r="A478" s="50"/>
      <c r="B478" s="50"/>
      <c r="C478" s="55" t="str">
        <f>IFERROR(__xludf.DUMMYFUNCTION("""COMPUTED_VALUE"""),"")</f>
        <v/>
      </c>
      <c r="D478" s="50"/>
      <c r="G478" s="55"/>
    </row>
    <row r="479">
      <c r="A479" s="50"/>
      <c r="B479" s="50"/>
      <c r="C479" s="55" t="str">
        <f>IFERROR(__xludf.DUMMYFUNCTION("""COMPUTED_VALUE"""),"")</f>
        <v/>
      </c>
      <c r="D479" s="50"/>
      <c r="G479" s="55"/>
    </row>
    <row r="480">
      <c r="A480" s="50"/>
      <c r="B480" s="50"/>
      <c r="C480" s="55" t="str">
        <f>IFERROR(__xludf.DUMMYFUNCTION("""COMPUTED_VALUE"""),"")</f>
        <v/>
      </c>
      <c r="D480" s="50"/>
      <c r="G480" s="55"/>
    </row>
    <row r="481">
      <c r="A481" s="50"/>
      <c r="B481" s="50"/>
      <c r="C481" s="55" t="str">
        <f>IFERROR(__xludf.DUMMYFUNCTION("""COMPUTED_VALUE"""),"")</f>
        <v/>
      </c>
      <c r="D481" s="50"/>
      <c r="G481" s="55"/>
    </row>
    <row r="482">
      <c r="A482" s="50"/>
      <c r="B482" s="50"/>
      <c r="C482" s="55" t="str">
        <f>IFERROR(__xludf.DUMMYFUNCTION("""COMPUTED_VALUE"""),"")</f>
        <v/>
      </c>
      <c r="D482" s="50"/>
      <c r="G482" s="55"/>
    </row>
    <row r="483">
      <c r="A483" s="50"/>
      <c r="B483" s="50"/>
      <c r="C483" s="55" t="str">
        <f>IFERROR(__xludf.DUMMYFUNCTION("""COMPUTED_VALUE"""),"")</f>
        <v/>
      </c>
      <c r="D483" s="50"/>
      <c r="G483" s="55"/>
    </row>
    <row r="484">
      <c r="A484" s="50"/>
      <c r="B484" s="50"/>
      <c r="C484" s="55" t="str">
        <f>IFERROR(__xludf.DUMMYFUNCTION("""COMPUTED_VALUE"""),"")</f>
        <v/>
      </c>
      <c r="D484" s="50"/>
      <c r="G484" s="55"/>
    </row>
    <row r="485">
      <c r="A485" s="50"/>
      <c r="B485" s="50"/>
      <c r="C485" s="55" t="str">
        <f>IFERROR(__xludf.DUMMYFUNCTION("""COMPUTED_VALUE"""),"")</f>
        <v/>
      </c>
      <c r="D485" s="50"/>
      <c r="G485" s="55"/>
    </row>
    <row r="486">
      <c r="A486" s="50"/>
      <c r="B486" s="50"/>
      <c r="C486" s="55" t="str">
        <f>IFERROR(__xludf.DUMMYFUNCTION("""COMPUTED_VALUE"""),"")</f>
        <v/>
      </c>
      <c r="D486" s="50"/>
      <c r="G486" s="55"/>
    </row>
    <row r="487">
      <c r="A487" s="50"/>
      <c r="B487" s="50"/>
      <c r="C487" s="55" t="str">
        <f>IFERROR(__xludf.DUMMYFUNCTION("""COMPUTED_VALUE"""),"")</f>
        <v/>
      </c>
      <c r="D487" s="50"/>
      <c r="G487" s="55"/>
    </row>
    <row r="488">
      <c r="A488" s="50"/>
      <c r="B488" s="50"/>
      <c r="C488" s="55" t="str">
        <f>IFERROR(__xludf.DUMMYFUNCTION("""COMPUTED_VALUE"""),"")</f>
        <v/>
      </c>
      <c r="D488" s="50"/>
      <c r="G488" s="55"/>
    </row>
    <row r="489">
      <c r="A489" s="50"/>
      <c r="B489" s="50"/>
      <c r="C489" s="55" t="str">
        <f>IFERROR(__xludf.DUMMYFUNCTION("""COMPUTED_VALUE"""),"")</f>
        <v/>
      </c>
      <c r="D489" s="50"/>
      <c r="G489" s="55"/>
    </row>
    <row r="490">
      <c r="A490" s="50"/>
      <c r="B490" s="50"/>
      <c r="C490" s="55" t="str">
        <f>IFERROR(__xludf.DUMMYFUNCTION("""COMPUTED_VALUE"""),"")</f>
        <v/>
      </c>
      <c r="D490" s="50"/>
      <c r="G490" s="55"/>
    </row>
    <row r="491">
      <c r="A491" s="50"/>
      <c r="B491" s="50"/>
      <c r="C491" s="55" t="str">
        <f>IFERROR(__xludf.DUMMYFUNCTION("""COMPUTED_VALUE"""),"")</f>
        <v/>
      </c>
      <c r="D491" s="50"/>
      <c r="G491" s="55"/>
    </row>
    <row r="492">
      <c r="A492" s="50"/>
      <c r="B492" s="50"/>
      <c r="C492" s="55" t="str">
        <f>IFERROR(__xludf.DUMMYFUNCTION("""COMPUTED_VALUE"""),"")</f>
        <v/>
      </c>
      <c r="D492" s="50"/>
      <c r="G492" s="55"/>
    </row>
    <row r="493">
      <c r="A493" s="50"/>
      <c r="B493" s="50"/>
      <c r="C493" s="55" t="str">
        <f>IFERROR(__xludf.DUMMYFUNCTION("""COMPUTED_VALUE"""),"")</f>
        <v/>
      </c>
      <c r="D493" s="50"/>
      <c r="G493" s="55"/>
    </row>
    <row r="494">
      <c r="A494" s="50"/>
      <c r="B494" s="50"/>
      <c r="C494" s="55" t="str">
        <f>IFERROR(__xludf.DUMMYFUNCTION("""COMPUTED_VALUE"""),"")</f>
        <v/>
      </c>
      <c r="D494" s="50"/>
      <c r="G494" s="55"/>
    </row>
    <row r="495">
      <c r="A495" s="50"/>
      <c r="B495" s="50"/>
      <c r="C495" s="55" t="str">
        <f>IFERROR(__xludf.DUMMYFUNCTION("""COMPUTED_VALUE"""),"")</f>
        <v/>
      </c>
      <c r="D495" s="50"/>
      <c r="G495" s="55"/>
    </row>
    <row r="496">
      <c r="A496" s="50"/>
      <c r="B496" s="50"/>
      <c r="C496" s="55" t="str">
        <f>IFERROR(__xludf.DUMMYFUNCTION("""COMPUTED_VALUE"""),"")</f>
        <v/>
      </c>
      <c r="D496" s="50"/>
      <c r="G496" s="55"/>
    </row>
    <row r="497">
      <c r="A497" s="50"/>
      <c r="B497" s="50"/>
      <c r="C497" s="55" t="str">
        <f>IFERROR(__xludf.DUMMYFUNCTION("""COMPUTED_VALUE"""),"")</f>
        <v/>
      </c>
      <c r="D497" s="50"/>
      <c r="G497" s="55"/>
    </row>
    <row r="498">
      <c r="A498" s="50"/>
      <c r="B498" s="50"/>
      <c r="C498" s="55" t="str">
        <f>IFERROR(__xludf.DUMMYFUNCTION("""COMPUTED_VALUE"""),"")</f>
        <v/>
      </c>
      <c r="D498" s="50"/>
      <c r="G498" s="55"/>
    </row>
    <row r="499">
      <c r="A499" s="50"/>
      <c r="B499" s="50"/>
      <c r="C499" s="55" t="str">
        <f>IFERROR(__xludf.DUMMYFUNCTION("""COMPUTED_VALUE"""),"")</f>
        <v/>
      </c>
      <c r="D499" s="50"/>
      <c r="G499" s="55"/>
    </row>
    <row r="500">
      <c r="A500" s="50"/>
      <c r="B500" s="50"/>
      <c r="C500" s="55" t="str">
        <f>IFERROR(__xludf.DUMMYFUNCTION("""COMPUTED_VALUE"""),"")</f>
        <v/>
      </c>
      <c r="D500" s="50"/>
      <c r="G500" s="55"/>
    </row>
    <row r="501">
      <c r="A501" s="50"/>
      <c r="B501" s="50"/>
      <c r="C501" s="55" t="str">
        <f>IFERROR(__xludf.DUMMYFUNCTION("""COMPUTED_VALUE"""),"")</f>
        <v/>
      </c>
      <c r="D501" s="50"/>
      <c r="G501" s="55"/>
    </row>
    <row r="502">
      <c r="A502" s="50"/>
      <c r="B502" s="50"/>
      <c r="C502" s="55" t="str">
        <f>IFERROR(__xludf.DUMMYFUNCTION("""COMPUTED_VALUE"""),"")</f>
        <v/>
      </c>
      <c r="D502" s="50"/>
      <c r="G502" s="55"/>
    </row>
    <row r="503">
      <c r="A503" s="50"/>
      <c r="B503" s="50"/>
      <c r="C503" s="55" t="str">
        <f>IFERROR(__xludf.DUMMYFUNCTION("""COMPUTED_VALUE"""),"")</f>
        <v/>
      </c>
      <c r="D503" s="50"/>
      <c r="G503" s="55"/>
    </row>
    <row r="504">
      <c r="A504" s="50"/>
      <c r="B504" s="50"/>
      <c r="C504" s="55" t="str">
        <f>IFERROR(__xludf.DUMMYFUNCTION("""COMPUTED_VALUE"""),"")</f>
        <v/>
      </c>
      <c r="D504" s="50"/>
      <c r="G504" s="55"/>
    </row>
    <row r="505">
      <c r="A505" s="50"/>
      <c r="B505" s="50"/>
      <c r="C505" s="55" t="str">
        <f>IFERROR(__xludf.DUMMYFUNCTION("""COMPUTED_VALUE"""),"")</f>
        <v/>
      </c>
      <c r="D505" s="50"/>
      <c r="G505" s="55"/>
    </row>
    <row r="506">
      <c r="A506" s="50"/>
      <c r="B506" s="50"/>
      <c r="C506" s="55" t="str">
        <f>IFERROR(__xludf.DUMMYFUNCTION("""COMPUTED_VALUE"""),"")</f>
        <v/>
      </c>
      <c r="D506" s="50"/>
      <c r="G506" s="55"/>
    </row>
    <row r="507">
      <c r="A507" s="50"/>
      <c r="B507" s="50"/>
      <c r="C507" s="55" t="str">
        <f>IFERROR(__xludf.DUMMYFUNCTION("""COMPUTED_VALUE"""),"")</f>
        <v/>
      </c>
      <c r="D507" s="50"/>
      <c r="G507" s="55"/>
    </row>
    <row r="508">
      <c r="A508" s="50"/>
      <c r="B508" s="50"/>
      <c r="C508" s="55" t="str">
        <f>IFERROR(__xludf.DUMMYFUNCTION("""COMPUTED_VALUE"""),"")</f>
        <v/>
      </c>
      <c r="D508" s="50"/>
      <c r="G508" s="55"/>
    </row>
    <row r="509">
      <c r="A509" s="50"/>
      <c r="B509" s="50"/>
      <c r="C509" s="55" t="str">
        <f>IFERROR(__xludf.DUMMYFUNCTION("""COMPUTED_VALUE"""),"")</f>
        <v/>
      </c>
      <c r="D509" s="50"/>
      <c r="G509" s="55"/>
    </row>
    <row r="510">
      <c r="A510" s="50"/>
      <c r="B510" s="50"/>
      <c r="C510" s="55" t="str">
        <f>IFERROR(__xludf.DUMMYFUNCTION("""COMPUTED_VALUE"""),"")</f>
        <v/>
      </c>
      <c r="D510" s="50"/>
      <c r="G510" s="55"/>
    </row>
    <row r="511">
      <c r="A511" s="50"/>
      <c r="B511" s="50"/>
      <c r="C511" s="55" t="str">
        <f>IFERROR(__xludf.DUMMYFUNCTION("""COMPUTED_VALUE"""),"")</f>
        <v/>
      </c>
      <c r="D511" s="50"/>
      <c r="G511" s="55"/>
    </row>
    <row r="512">
      <c r="A512" s="50"/>
      <c r="B512" s="50"/>
      <c r="C512" s="55" t="str">
        <f>IFERROR(__xludf.DUMMYFUNCTION("""COMPUTED_VALUE"""),"")</f>
        <v/>
      </c>
      <c r="D512" s="50"/>
      <c r="G512" s="55"/>
    </row>
    <row r="513">
      <c r="A513" s="50"/>
      <c r="B513" s="50"/>
      <c r="C513" s="55" t="str">
        <f>IFERROR(__xludf.DUMMYFUNCTION("""COMPUTED_VALUE"""),"")</f>
        <v/>
      </c>
      <c r="D513" s="50"/>
      <c r="G513" s="55"/>
    </row>
    <row r="514">
      <c r="A514" s="50"/>
      <c r="B514" s="50"/>
      <c r="C514" s="55" t="str">
        <f>IFERROR(__xludf.DUMMYFUNCTION("""COMPUTED_VALUE"""),"")</f>
        <v/>
      </c>
      <c r="D514" s="50"/>
      <c r="G514" s="55"/>
    </row>
    <row r="515">
      <c r="A515" s="50"/>
      <c r="B515" s="50"/>
      <c r="C515" s="55" t="str">
        <f>IFERROR(__xludf.DUMMYFUNCTION("""COMPUTED_VALUE"""),"")</f>
        <v/>
      </c>
      <c r="D515" s="50"/>
      <c r="G515" s="55"/>
    </row>
    <row r="516">
      <c r="A516" s="50"/>
      <c r="B516" s="50"/>
      <c r="C516" s="55" t="str">
        <f>IFERROR(__xludf.DUMMYFUNCTION("""COMPUTED_VALUE"""),"")</f>
        <v/>
      </c>
      <c r="D516" s="50"/>
      <c r="G516" s="55"/>
    </row>
    <row r="517">
      <c r="A517" s="50"/>
      <c r="B517" s="50"/>
      <c r="C517" s="55" t="str">
        <f>IFERROR(__xludf.DUMMYFUNCTION("""COMPUTED_VALUE"""),"")</f>
        <v/>
      </c>
      <c r="D517" s="50"/>
      <c r="G517" s="55"/>
    </row>
    <row r="518">
      <c r="A518" s="50"/>
      <c r="B518" s="50"/>
      <c r="C518" s="55" t="str">
        <f>IFERROR(__xludf.DUMMYFUNCTION("""COMPUTED_VALUE"""),"")</f>
        <v/>
      </c>
      <c r="D518" s="50"/>
      <c r="G518" s="55"/>
    </row>
    <row r="519">
      <c r="A519" s="50"/>
      <c r="B519" s="50"/>
      <c r="C519" s="55" t="str">
        <f>IFERROR(__xludf.DUMMYFUNCTION("""COMPUTED_VALUE"""),"")</f>
        <v/>
      </c>
      <c r="D519" s="50"/>
      <c r="G519" s="55"/>
    </row>
    <row r="520">
      <c r="A520" s="50"/>
      <c r="B520" s="50"/>
      <c r="C520" s="55" t="str">
        <f>IFERROR(__xludf.DUMMYFUNCTION("""COMPUTED_VALUE"""),"")</f>
        <v/>
      </c>
      <c r="D520" s="50"/>
      <c r="G520" s="55"/>
    </row>
    <row r="521">
      <c r="A521" s="50"/>
      <c r="B521" s="50"/>
      <c r="C521" s="55" t="str">
        <f>IFERROR(__xludf.DUMMYFUNCTION("""COMPUTED_VALUE"""),"")</f>
        <v/>
      </c>
      <c r="D521" s="50"/>
      <c r="G521" s="55"/>
    </row>
    <row r="522">
      <c r="A522" s="50"/>
      <c r="B522" s="50"/>
      <c r="C522" s="55" t="str">
        <f>IFERROR(__xludf.DUMMYFUNCTION("""COMPUTED_VALUE"""),"")</f>
        <v/>
      </c>
      <c r="D522" s="50"/>
      <c r="G522" s="55"/>
    </row>
    <row r="523">
      <c r="A523" s="50"/>
      <c r="B523" s="50"/>
      <c r="C523" s="55" t="str">
        <f>IFERROR(__xludf.DUMMYFUNCTION("""COMPUTED_VALUE"""),"")</f>
        <v/>
      </c>
      <c r="D523" s="50"/>
      <c r="G523" s="55"/>
    </row>
    <row r="524">
      <c r="A524" s="50"/>
      <c r="B524" s="50"/>
      <c r="C524" s="55" t="str">
        <f>IFERROR(__xludf.DUMMYFUNCTION("""COMPUTED_VALUE"""),"")</f>
        <v/>
      </c>
      <c r="D524" s="50"/>
      <c r="G524" s="55"/>
    </row>
    <row r="525">
      <c r="A525" s="50"/>
      <c r="B525" s="50"/>
      <c r="C525" s="55" t="str">
        <f>IFERROR(__xludf.DUMMYFUNCTION("""COMPUTED_VALUE"""),"")</f>
        <v/>
      </c>
      <c r="D525" s="50"/>
      <c r="G525" s="55"/>
    </row>
    <row r="526">
      <c r="A526" s="50"/>
      <c r="B526" s="50"/>
      <c r="C526" s="55" t="str">
        <f>IFERROR(__xludf.DUMMYFUNCTION("""COMPUTED_VALUE"""),"")</f>
        <v/>
      </c>
      <c r="D526" s="50"/>
      <c r="G526" s="55"/>
    </row>
    <row r="527">
      <c r="A527" s="50"/>
      <c r="B527" s="50"/>
      <c r="C527" s="55" t="str">
        <f>IFERROR(__xludf.DUMMYFUNCTION("""COMPUTED_VALUE"""),"")</f>
        <v/>
      </c>
      <c r="D527" s="50"/>
      <c r="G527" s="55"/>
    </row>
    <row r="528">
      <c r="A528" s="50"/>
      <c r="B528" s="50"/>
      <c r="C528" s="55" t="str">
        <f>IFERROR(__xludf.DUMMYFUNCTION("""COMPUTED_VALUE"""),"")</f>
        <v/>
      </c>
      <c r="D528" s="50"/>
      <c r="G528" s="55"/>
    </row>
    <row r="529">
      <c r="A529" s="50"/>
      <c r="B529" s="50"/>
      <c r="C529" s="55" t="str">
        <f>IFERROR(__xludf.DUMMYFUNCTION("""COMPUTED_VALUE"""),"")</f>
        <v/>
      </c>
      <c r="D529" s="50"/>
      <c r="G529" s="55"/>
    </row>
    <row r="530">
      <c r="A530" s="50"/>
      <c r="B530" s="50"/>
      <c r="C530" s="55" t="str">
        <f>IFERROR(__xludf.DUMMYFUNCTION("""COMPUTED_VALUE"""),"")</f>
        <v/>
      </c>
      <c r="D530" s="50"/>
      <c r="G530" s="55"/>
    </row>
    <row r="531">
      <c r="A531" s="50"/>
      <c r="B531" s="50"/>
      <c r="C531" s="55" t="str">
        <f>IFERROR(__xludf.DUMMYFUNCTION("""COMPUTED_VALUE"""),"")</f>
        <v/>
      </c>
      <c r="D531" s="50"/>
      <c r="G531" s="55"/>
    </row>
    <row r="532">
      <c r="A532" s="50"/>
      <c r="B532" s="50"/>
      <c r="C532" s="55" t="str">
        <f>IFERROR(__xludf.DUMMYFUNCTION("""COMPUTED_VALUE"""),"")</f>
        <v/>
      </c>
      <c r="D532" s="50"/>
      <c r="G532" s="55"/>
    </row>
    <row r="533">
      <c r="A533" s="50"/>
      <c r="B533" s="50"/>
      <c r="C533" s="55" t="str">
        <f>IFERROR(__xludf.DUMMYFUNCTION("""COMPUTED_VALUE"""),"")</f>
        <v/>
      </c>
      <c r="D533" s="50"/>
      <c r="G533" s="55"/>
    </row>
    <row r="534">
      <c r="A534" s="50"/>
      <c r="B534" s="50"/>
      <c r="C534" s="55" t="str">
        <f>IFERROR(__xludf.DUMMYFUNCTION("""COMPUTED_VALUE"""),"")</f>
        <v/>
      </c>
      <c r="D534" s="50"/>
      <c r="G534" s="55"/>
    </row>
    <row r="535">
      <c r="A535" s="50"/>
      <c r="B535" s="50"/>
      <c r="C535" s="55" t="str">
        <f>IFERROR(__xludf.DUMMYFUNCTION("""COMPUTED_VALUE"""),"")</f>
        <v/>
      </c>
      <c r="D535" s="50"/>
      <c r="G535" s="55"/>
    </row>
    <row r="536">
      <c r="A536" s="50"/>
      <c r="B536" s="50"/>
      <c r="C536" s="55" t="str">
        <f>IFERROR(__xludf.DUMMYFUNCTION("""COMPUTED_VALUE"""),"")</f>
        <v/>
      </c>
      <c r="D536" s="50"/>
      <c r="G536" s="55"/>
    </row>
    <row r="537">
      <c r="A537" s="50"/>
      <c r="B537" s="50"/>
      <c r="C537" s="55" t="str">
        <f>IFERROR(__xludf.DUMMYFUNCTION("""COMPUTED_VALUE"""),"")</f>
        <v/>
      </c>
      <c r="D537" s="50"/>
      <c r="G537" s="55"/>
    </row>
    <row r="538">
      <c r="A538" s="50"/>
      <c r="B538" s="50"/>
      <c r="C538" s="55" t="str">
        <f>IFERROR(__xludf.DUMMYFUNCTION("""COMPUTED_VALUE"""),"")</f>
        <v/>
      </c>
      <c r="D538" s="50"/>
      <c r="G538" s="55"/>
    </row>
    <row r="539">
      <c r="A539" s="50"/>
      <c r="B539" s="50"/>
      <c r="C539" s="55" t="str">
        <f>IFERROR(__xludf.DUMMYFUNCTION("""COMPUTED_VALUE"""),"")</f>
        <v/>
      </c>
      <c r="D539" s="50"/>
      <c r="G539" s="55"/>
    </row>
    <row r="540">
      <c r="A540" s="50"/>
      <c r="B540" s="50"/>
      <c r="C540" s="55" t="str">
        <f>IFERROR(__xludf.DUMMYFUNCTION("""COMPUTED_VALUE"""),"")</f>
        <v/>
      </c>
      <c r="D540" s="50"/>
      <c r="G540" s="55"/>
    </row>
    <row r="541">
      <c r="A541" s="50"/>
      <c r="B541" s="50"/>
      <c r="C541" s="55" t="str">
        <f>IFERROR(__xludf.DUMMYFUNCTION("""COMPUTED_VALUE"""),"")</f>
        <v/>
      </c>
      <c r="D541" s="50"/>
      <c r="G541" s="55"/>
    </row>
    <row r="542">
      <c r="A542" s="50"/>
      <c r="B542" s="50"/>
      <c r="C542" s="55" t="str">
        <f>IFERROR(__xludf.DUMMYFUNCTION("""COMPUTED_VALUE"""),"")</f>
        <v/>
      </c>
      <c r="D542" s="50"/>
      <c r="G542" s="55"/>
    </row>
    <row r="543">
      <c r="A543" s="50"/>
      <c r="B543" s="50"/>
      <c r="C543" s="55" t="str">
        <f>IFERROR(__xludf.DUMMYFUNCTION("""COMPUTED_VALUE"""),"")</f>
        <v/>
      </c>
      <c r="D543" s="50"/>
      <c r="G543" s="55"/>
    </row>
    <row r="544">
      <c r="A544" s="50"/>
      <c r="B544" s="50"/>
      <c r="C544" s="55" t="str">
        <f>IFERROR(__xludf.DUMMYFUNCTION("""COMPUTED_VALUE"""),"")</f>
        <v/>
      </c>
      <c r="D544" s="50"/>
      <c r="G544" s="55"/>
    </row>
    <row r="545">
      <c r="A545" s="50"/>
      <c r="B545" s="50"/>
      <c r="C545" s="55" t="str">
        <f>IFERROR(__xludf.DUMMYFUNCTION("""COMPUTED_VALUE"""),"")</f>
        <v/>
      </c>
      <c r="D545" s="50"/>
      <c r="G545" s="55"/>
    </row>
    <row r="546">
      <c r="A546" s="50"/>
      <c r="B546" s="50"/>
      <c r="C546" s="55" t="str">
        <f>IFERROR(__xludf.DUMMYFUNCTION("""COMPUTED_VALUE"""),"")</f>
        <v/>
      </c>
      <c r="D546" s="50"/>
      <c r="G546" s="55"/>
    </row>
    <row r="547">
      <c r="A547" s="50"/>
      <c r="B547" s="50"/>
      <c r="C547" s="55" t="str">
        <f>IFERROR(__xludf.DUMMYFUNCTION("""COMPUTED_VALUE"""),"")</f>
        <v/>
      </c>
      <c r="D547" s="50"/>
      <c r="G547" s="55"/>
    </row>
    <row r="548">
      <c r="A548" s="50"/>
      <c r="B548" s="50"/>
      <c r="C548" s="55" t="str">
        <f>IFERROR(__xludf.DUMMYFUNCTION("""COMPUTED_VALUE"""),"")</f>
        <v/>
      </c>
      <c r="D548" s="50"/>
      <c r="G548" s="55"/>
    </row>
    <row r="549">
      <c r="A549" s="50"/>
      <c r="B549" s="50"/>
      <c r="C549" s="55" t="str">
        <f>IFERROR(__xludf.DUMMYFUNCTION("""COMPUTED_VALUE"""),"")</f>
        <v/>
      </c>
      <c r="D549" s="50"/>
      <c r="G549" s="55"/>
    </row>
    <row r="550">
      <c r="A550" s="50"/>
      <c r="B550" s="50"/>
      <c r="C550" s="55" t="str">
        <f>IFERROR(__xludf.DUMMYFUNCTION("""COMPUTED_VALUE"""),"")</f>
        <v/>
      </c>
      <c r="D550" s="50"/>
      <c r="G550" s="55"/>
    </row>
    <row r="551">
      <c r="A551" s="50"/>
      <c r="B551" s="50"/>
      <c r="C551" s="55" t="str">
        <f>IFERROR(__xludf.DUMMYFUNCTION("""COMPUTED_VALUE"""),"")</f>
        <v/>
      </c>
      <c r="D551" s="50"/>
      <c r="G551" s="55"/>
    </row>
    <row r="552">
      <c r="A552" s="50"/>
      <c r="B552" s="50"/>
      <c r="C552" s="55" t="str">
        <f>IFERROR(__xludf.DUMMYFUNCTION("""COMPUTED_VALUE"""),"")</f>
        <v/>
      </c>
      <c r="D552" s="50"/>
      <c r="G552" s="55"/>
    </row>
    <row r="553">
      <c r="A553" s="50"/>
      <c r="B553" s="50"/>
      <c r="C553" s="55" t="str">
        <f>IFERROR(__xludf.DUMMYFUNCTION("""COMPUTED_VALUE"""),"")</f>
        <v/>
      </c>
      <c r="D553" s="50"/>
      <c r="G553" s="55"/>
    </row>
    <row r="554">
      <c r="A554" s="50"/>
      <c r="B554" s="50"/>
      <c r="C554" s="55" t="str">
        <f>IFERROR(__xludf.DUMMYFUNCTION("""COMPUTED_VALUE"""),"")</f>
        <v/>
      </c>
      <c r="D554" s="50"/>
      <c r="G554" s="55"/>
    </row>
    <row r="555">
      <c r="A555" s="50"/>
      <c r="B555" s="50"/>
      <c r="C555" s="55" t="str">
        <f>IFERROR(__xludf.DUMMYFUNCTION("""COMPUTED_VALUE"""),"")</f>
        <v/>
      </c>
      <c r="D555" s="50"/>
      <c r="G555" s="55"/>
    </row>
    <row r="556">
      <c r="A556" s="50"/>
      <c r="B556" s="50"/>
      <c r="C556" s="55" t="str">
        <f>IFERROR(__xludf.DUMMYFUNCTION("""COMPUTED_VALUE"""),"")</f>
        <v/>
      </c>
      <c r="D556" s="50"/>
      <c r="G556" s="55"/>
    </row>
    <row r="557">
      <c r="A557" s="50"/>
      <c r="B557" s="50"/>
      <c r="C557" s="55" t="str">
        <f>IFERROR(__xludf.DUMMYFUNCTION("""COMPUTED_VALUE"""),"")</f>
        <v/>
      </c>
      <c r="D557" s="50"/>
      <c r="G557" s="55"/>
    </row>
    <row r="558">
      <c r="A558" s="50"/>
      <c r="B558" s="50"/>
      <c r="C558" s="55" t="str">
        <f>IFERROR(__xludf.DUMMYFUNCTION("""COMPUTED_VALUE"""),"")</f>
        <v/>
      </c>
      <c r="D558" s="50"/>
      <c r="G558" s="55"/>
    </row>
    <row r="559">
      <c r="A559" s="50"/>
      <c r="B559" s="50"/>
      <c r="C559" s="55" t="str">
        <f>IFERROR(__xludf.DUMMYFUNCTION("""COMPUTED_VALUE"""),"")</f>
        <v/>
      </c>
      <c r="D559" s="50"/>
      <c r="G559" s="55"/>
    </row>
    <row r="560">
      <c r="A560" s="50"/>
      <c r="B560" s="50"/>
      <c r="C560" s="55" t="str">
        <f>IFERROR(__xludf.DUMMYFUNCTION("""COMPUTED_VALUE"""),"")</f>
        <v/>
      </c>
      <c r="D560" s="50"/>
      <c r="G560" s="55"/>
    </row>
    <row r="561">
      <c r="A561" s="50"/>
      <c r="B561" s="50"/>
      <c r="C561" s="55" t="str">
        <f>IFERROR(__xludf.DUMMYFUNCTION("""COMPUTED_VALUE"""),"")</f>
        <v/>
      </c>
      <c r="D561" s="50"/>
      <c r="G561" s="55"/>
    </row>
    <row r="562">
      <c r="A562" s="50"/>
      <c r="B562" s="50"/>
      <c r="C562" s="55" t="str">
        <f>IFERROR(__xludf.DUMMYFUNCTION("""COMPUTED_VALUE"""),"")</f>
        <v/>
      </c>
      <c r="D562" s="50"/>
      <c r="G562" s="55"/>
    </row>
    <row r="563">
      <c r="A563" s="50"/>
      <c r="B563" s="50"/>
      <c r="C563" s="55" t="str">
        <f>IFERROR(__xludf.DUMMYFUNCTION("""COMPUTED_VALUE"""),"")</f>
        <v/>
      </c>
      <c r="D563" s="50"/>
      <c r="G563" s="55"/>
    </row>
    <row r="564">
      <c r="A564" s="50"/>
      <c r="B564" s="50"/>
      <c r="C564" s="55" t="str">
        <f>IFERROR(__xludf.DUMMYFUNCTION("""COMPUTED_VALUE"""),"")</f>
        <v/>
      </c>
      <c r="D564" s="50"/>
      <c r="G564" s="55"/>
    </row>
    <row r="565">
      <c r="A565" s="50"/>
      <c r="B565" s="50"/>
      <c r="C565" s="55" t="str">
        <f>IFERROR(__xludf.DUMMYFUNCTION("""COMPUTED_VALUE"""),"")</f>
        <v/>
      </c>
      <c r="D565" s="50"/>
      <c r="G565" s="55"/>
    </row>
    <row r="566">
      <c r="A566" s="50"/>
      <c r="B566" s="50"/>
      <c r="C566" s="55" t="str">
        <f>IFERROR(__xludf.DUMMYFUNCTION("""COMPUTED_VALUE"""),"")</f>
        <v/>
      </c>
      <c r="D566" s="50"/>
      <c r="G566" s="55"/>
    </row>
    <row r="567">
      <c r="A567" s="50"/>
      <c r="B567" s="50"/>
      <c r="C567" s="55" t="str">
        <f>IFERROR(__xludf.DUMMYFUNCTION("""COMPUTED_VALUE"""),"")</f>
        <v/>
      </c>
      <c r="D567" s="50"/>
      <c r="G567" s="55"/>
    </row>
    <row r="568">
      <c r="A568" s="50"/>
      <c r="B568" s="50"/>
      <c r="C568" s="55" t="str">
        <f>IFERROR(__xludf.DUMMYFUNCTION("""COMPUTED_VALUE"""),"")</f>
        <v/>
      </c>
      <c r="D568" s="50"/>
      <c r="G568" s="55"/>
    </row>
    <row r="569">
      <c r="A569" s="50"/>
      <c r="B569" s="50"/>
      <c r="C569" s="55" t="str">
        <f>IFERROR(__xludf.DUMMYFUNCTION("""COMPUTED_VALUE"""),"")</f>
        <v/>
      </c>
      <c r="D569" s="50"/>
      <c r="G569" s="55"/>
    </row>
    <row r="570">
      <c r="A570" s="50"/>
      <c r="B570" s="50"/>
      <c r="C570" s="55" t="str">
        <f>IFERROR(__xludf.DUMMYFUNCTION("""COMPUTED_VALUE"""),"")</f>
        <v/>
      </c>
      <c r="D570" s="50"/>
      <c r="G570" s="55"/>
    </row>
    <row r="571">
      <c r="A571" s="50"/>
      <c r="B571" s="50"/>
      <c r="C571" s="55" t="str">
        <f>IFERROR(__xludf.DUMMYFUNCTION("""COMPUTED_VALUE"""),"")</f>
        <v/>
      </c>
      <c r="D571" s="50"/>
      <c r="G571" s="55"/>
    </row>
    <row r="572">
      <c r="A572" s="50"/>
      <c r="B572" s="50"/>
      <c r="C572" s="55" t="str">
        <f>IFERROR(__xludf.DUMMYFUNCTION("""COMPUTED_VALUE"""),"")</f>
        <v/>
      </c>
      <c r="D572" s="50"/>
      <c r="G572" s="55"/>
    </row>
    <row r="573">
      <c r="A573" s="50"/>
      <c r="B573" s="50"/>
      <c r="C573" s="55" t="str">
        <f>IFERROR(__xludf.DUMMYFUNCTION("""COMPUTED_VALUE"""),"")</f>
        <v/>
      </c>
      <c r="D573" s="50"/>
      <c r="G573" s="55"/>
    </row>
    <row r="574">
      <c r="A574" s="50"/>
      <c r="B574" s="50"/>
      <c r="C574" s="55" t="str">
        <f>IFERROR(__xludf.DUMMYFUNCTION("""COMPUTED_VALUE"""),"")</f>
        <v/>
      </c>
      <c r="D574" s="50"/>
      <c r="G574" s="55"/>
    </row>
    <row r="575">
      <c r="A575" s="50"/>
      <c r="B575" s="50"/>
      <c r="C575" s="55" t="str">
        <f>IFERROR(__xludf.DUMMYFUNCTION("""COMPUTED_VALUE"""),"")</f>
        <v/>
      </c>
      <c r="D575" s="50"/>
      <c r="G575" s="55"/>
    </row>
    <row r="576">
      <c r="A576" s="50"/>
      <c r="B576" s="50"/>
      <c r="C576" s="55" t="str">
        <f>IFERROR(__xludf.DUMMYFUNCTION("""COMPUTED_VALUE"""),"")</f>
        <v/>
      </c>
      <c r="D576" s="50"/>
      <c r="G576" s="55"/>
    </row>
    <row r="577">
      <c r="A577" s="50"/>
      <c r="B577" s="50"/>
      <c r="C577" s="55" t="str">
        <f>IFERROR(__xludf.DUMMYFUNCTION("""COMPUTED_VALUE"""),"")</f>
        <v/>
      </c>
      <c r="D577" s="50"/>
      <c r="G577" s="55"/>
    </row>
    <row r="578">
      <c r="A578" s="50"/>
      <c r="B578" s="50"/>
      <c r="C578" s="55" t="str">
        <f>IFERROR(__xludf.DUMMYFUNCTION("""COMPUTED_VALUE"""),"")</f>
        <v/>
      </c>
      <c r="D578" s="50"/>
      <c r="G578" s="55"/>
    </row>
    <row r="579">
      <c r="A579" s="50"/>
      <c r="B579" s="50"/>
      <c r="C579" s="55" t="str">
        <f>IFERROR(__xludf.DUMMYFUNCTION("""COMPUTED_VALUE"""),"")</f>
        <v/>
      </c>
      <c r="D579" s="50"/>
      <c r="G579" s="55"/>
    </row>
    <row r="580">
      <c r="A580" s="50"/>
      <c r="B580" s="50"/>
      <c r="C580" s="55" t="str">
        <f>IFERROR(__xludf.DUMMYFUNCTION("""COMPUTED_VALUE"""),"")</f>
        <v/>
      </c>
      <c r="D580" s="50"/>
      <c r="G580" s="55"/>
    </row>
    <row r="581">
      <c r="A581" s="50"/>
      <c r="B581" s="50"/>
      <c r="C581" s="55" t="str">
        <f>IFERROR(__xludf.DUMMYFUNCTION("""COMPUTED_VALUE"""),"")</f>
        <v/>
      </c>
      <c r="D581" s="50"/>
      <c r="G581" s="55"/>
    </row>
    <row r="582">
      <c r="A582" s="50"/>
      <c r="B582" s="50"/>
      <c r="C582" s="55" t="str">
        <f>IFERROR(__xludf.DUMMYFUNCTION("""COMPUTED_VALUE"""),"")</f>
        <v/>
      </c>
      <c r="D582" s="50"/>
      <c r="G582" s="55"/>
    </row>
    <row r="583">
      <c r="A583" s="50"/>
      <c r="B583" s="50"/>
      <c r="C583" s="55" t="str">
        <f>IFERROR(__xludf.DUMMYFUNCTION("""COMPUTED_VALUE"""),"")</f>
        <v/>
      </c>
      <c r="D583" s="50"/>
      <c r="G583" s="55"/>
    </row>
    <row r="584">
      <c r="A584" s="50"/>
      <c r="B584" s="50"/>
      <c r="C584" s="55" t="str">
        <f>IFERROR(__xludf.DUMMYFUNCTION("""COMPUTED_VALUE"""),"")</f>
        <v/>
      </c>
      <c r="D584" s="50"/>
      <c r="G584" s="55"/>
    </row>
    <row r="585">
      <c r="A585" s="50"/>
      <c r="B585" s="50"/>
      <c r="C585" s="55" t="str">
        <f>IFERROR(__xludf.DUMMYFUNCTION("""COMPUTED_VALUE"""),"")</f>
        <v/>
      </c>
      <c r="D585" s="50"/>
      <c r="G585" s="55"/>
    </row>
    <row r="586">
      <c r="A586" s="50"/>
      <c r="B586" s="50"/>
      <c r="C586" s="55" t="str">
        <f>IFERROR(__xludf.DUMMYFUNCTION("""COMPUTED_VALUE"""),"")</f>
        <v/>
      </c>
      <c r="D586" s="50"/>
      <c r="G586" s="55"/>
    </row>
    <row r="587">
      <c r="A587" s="50"/>
      <c r="B587" s="50"/>
      <c r="C587" s="55" t="str">
        <f>IFERROR(__xludf.DUMMYFUNCTION("""COMPUTED_VALUE"""),"")</f>
        <v/>
      </c>
      <c r="D587" s="50"/>
      <c r="G587" s="55"/>
    </row>
    <row r="588">
      <c r="A588" s="50"/>
      <c r="B588" s="50"/>
      <c r="C588" s="55" t="str">
        <f>IFERROR(__xludf.DUMMYFUNCTION("""COMPUTED_VALUE"""),"")</f>
        <v/>
      </c>
      <c r="D588" s="50"/>
      <c r="G588" s="55"/>
    </row>
    <row r="589">
      <c r="A589" s="50"/>
      <c r="B589" s="50"/>
      <c r="C589" s="55" t="str">
        <f>IFERROR(__xludf.DUMMYFUNCTION("""COMPUTED_VALUE"""),"")</f>
        <v/>
      </c>
      <c r="D589" s="50"/>
      <c r="G589" s="55"/>
    </row>
    <row r="590">
      <c r="A590" s="50"/>
      <c r="B590" s="50"/>
      <c r="C590" s="55" t="str">
        <f>IFERROR(__xludf.DUMMYFUNCTION("""COMPUTED_VALUE"""),"")</f>
        <v/>
      </c>
      <c r="D590" s="50"/>
      <c r="G590" s="55"/>
    </row>
    <row r="591">
      <c r="A591" s="50"/>
      <c r="B591" s="50"/>
      <c r="C591" s="55" t="str">
        <f>IFERROR(__xludf.DUMMYFUNCTION("""COMPUTED_VALUE"""),"")</f>
        <v/>
      </c>
      <c r="D591" s="50"/>
      <c r="G591" s="55"/>
    </row>
    <row r="592">
      <c r="A592" s="50"/>
      <c r="B592" s="50"/>
      <c r="C592" s="55" t="str">
        <f>IFERROR(__xludf.DUMMYFUNCTION("""COMPUTED_VALUE"""),"")</f>
        <v/>
      </c>
      <c r="D592" s="50"/>
      <c r="G592" s="55"/>
    </row>
    <row r="593">
      <c r="A593" s="50"/>
      <c r="B593" s="50"/>
      <c r="C593" s="55" t="str">
        <f>IFERROR(__xludf.DUMMYFUNCTION("""COMPUTED_VALUE"""),"")</f>
        <v/>
      </c>
      <c r="D593" s="50"/>
      <c r="G593" s="55"/>
    </row>
    <row r="594">
      <c r="A594" s="50"/>
      <c r="B594" s="50"/>
      <c r="C594" s="55" t="str">
        <f>IFERROR(__xludf.DUMMYFUNCTION("""COMPUTED_VALUE"""),"")</f>
        <v/>
      </c>
      <c r="D594" s="50"/>
      <c r="G594" s="55"/>
    </row>
    <row r="595">
      <c r="A595" s="50"/>
      <c r="B595" s="50"/>
      <c r="C595" s="55" t="str">
        <f>IFERROR(__xludf.DUMMYFUNCTION("""COMPUTED_VALUE"""),"")</f>
        <v/>
      </c>
      <c r="D595" s="50"/>
      <c r="G595" s="55"/>
    </row>
    <row r="596">
      <c r="A596" s="50"/>
      <c r="B596" s="50"/>
      <c r="C596" s="55" t="str">
        <f>IFERROR(__xludf.DUMMYFUNCTION("""COMPUTED_VALUE"""),"")</f>
        <v/>
      </c>
      <c r="D596" s="50"/>
      <c r="G596" s="55"/>
    </row>
    <row r="597">
      <c r="A597" s="50"/>
      <c r="B597" s="50"/>
      <c r="C597" s="55" t="str">
        <f>IFERROR(__xludf.DUMMYFUNCTION("""COMPUTED_VALUE"""),"")</f>
        <v/>
      </c>
      <c r="D597" s="50"/>
      <c r="G597" s="55"/>
    </row>
    <row r="598">
      <c r="A598" s="50"/>
      <c r="B598" s="50"/>
      <c r="C598" s="55" t="str">
        <f>IFERROR(__xludf.DUMMYFUNCTION("""COMPUTED_VALUE"""),"")</f>
        <v/>
      </c>
      <c r="D598" s="50"/>
      <c r="G598" s="55"/>
    </row>
    <row r="599">
      <c r="A599" s="50"/>
      <c r="B599" s="50"/>
      <c r="C599" s="55" t="str">
        <f>IFERROR(__xludf.DUMMYFUNCTION("""COMPUTED_VALUE"""),"")</f>
        <v/>
      </c>
      <c r="D599" s="50"/>
      <c r="G599" s="55"/>
    </row>
    <row r="600">
      <c r="A600" s="50"/>
      <c r="B600" s="50"/>
      <c r="C600" s="55" t="str">
        <f>IFERROR(__xludf.DUMMYFUNCTION("""COMPUTED_VALUE"""),"")</f>
        <v/>
      </c>
      <c r="D600" s="50"/>
      <c r="G600" s="55"/>
    </row>
    <row r="601">
      <c r="A601" s="50"/>
      <c r="B601" s="50"/>
      <c r="C601" s="55" t="str">
        <f>IFERROR(__xludf.DUMMYFUNCTION("""COMPUTED_VALUE"""),"")</f>
        <v/>
      </c>
      <c r="D601" s="50"/>
      <c r="G601" s="55"/>
    </row>
    <row r="602">
      <c r="A602" s="50"/>
      <c r="B602" s="50"/>
      <c r="C602" s="55" t="str">
        <f>IFERROR(__xludf.DUMMYFUNCTION("""COMPUTED_VALUE"""),"")</f>
        <v/>
      </c>
      <c r="D602" s="50"/>
      <c r="G602" s="55"/>
    </row>
    <row r="603">
      <c r="A603" s="50"/>
      <c r="B603" s="50"/>
      <c r="C603" s="55" t="str">
        <f>IFERROR(__xludf.DUMMYFUNCTION("""COMPUTED_VALUE"""),"")</f>
        <v/>
      </c>
      <c r="D603" s="50"/>
      <c r="G603" s="55"/>
    </row>
    <row r="604">
      <c r="A604" s="50"/>
      <c r="B604" s="50"/>
      <c r="C604" s="55" t="str">
        <f>IFERROR(__xludf.DUMMYFUNCTION("""COMPUTED_VALUE"""),"")</f>
        <v/>
      </c>
      <c r="D604" s="50"/>
      <c r="G604" s="55"/>
    </row>
    <row r="605">
      <c r="A605" s="50"/>
      <c r="B605" s="50"/>
      <c r="C605" s="55" t="str">
        <f>IFERROR(__xludf.DUMMYFUNCTION("""COMPUTED_VALUE"""),"")</f>
        <v/>
      </c>
      <c r="D605" s="50"/>
      <c r="G605" s="55"/>
    </row>
    <row r="606">
      <c r="A606" s="50"/>
      <c r="B606" s="50"/>
      <c r="C606" s="55" t="str">
        <f>IFERROR(__xludf.DUMMYFUNCTION("""COMPUTED_VALUE"""),"")</f>
        <v/>
      </c>
      <c r="D606" s="50"/>
      <c r="G606" s="55"/>
    </row>
    <row r="607">
      <c r="A607" s="50"/>
      <c r="B607" s="50"/>
      <c r="C607" s="55" t="str">
        <f>IFERROR(__xludf.DUMMYFUNCTION("""COMPUTED_VALUE"""),"")</f>
        <v/>
      </c>
      <c r="D607" s="50"/>
      <c r="G607" s="55"/>
    </row>
    <row r="608">
      <c r="A608" s="50"/>
      <c r="B608" s="50"/>
      <c r="C608" s="55" t="str">
        <f>IFERROR(__xludf.DUMMYFUNCTION("""COMPUTED_VALUE"""),"")</f>
        <v/>
      </c>
      <c r="D608" s="50"/>
      <c r="G608" s="55"/>
    </row>
    <row r="609">
      <c r="A609" s="50"/>
      <c r="B609" s="50"/>
      <c r="C609" s="55" t="str">
        <f>IFERROR(__xludf.DUMMYFUNCTION("""COMPUTED_VALUE"""),"")</f>
        <v/>
      </c>
      <c r="D609" s="50"/>
      <c r="G609" s="55"/>
    </row>
    <row r="610">
      <c r="A610" s="50"/>
      <c r="B610" s="50"/>
      <c r="C610" s="55" t="str">
        <f>IFERROR(__xludf.DUMMYFUNCTION("""COMPUTED_VALUE"""),"")</f>
        <v/>
      </c>
      <c r="D610" s="50"/>
      <c r="G610" s="55"/>
    </row>
    <row r="611">
      <c r="A611" s="50"/>
      <c r="B611" s="50"/>
      <c r="C611" s="55" t="str">
        <f>IFERROR(__xludf.DUMMYFUNCTION("""COMPUTED_VALUE"""),"")</f>
        <v/>
      </c>
      <c r="D611" s="50"/>
      <c r="G611" s="55"/>
    </row>
    <row r="612">
      <c r="A612" s="50"/>
      <c r="B612" s="50"/>
      <c r="C612" s="55" t="str">
        <f>IFERROR(__xludf.DUMMYFUNCTION("""COMPUTED_VALUE"""),"")</f>
        <v/>
      </c>
      <c r="D612" s="50"/>
      <c r="G612" s="55"/>
    </row>
    <row r="613">
      <c r="A613" s="50"/>
      <c r="B613" s="50"/>
      <c r="C613" s="55" t="str">
        <f>IFERROR(__xludf.DUMMYFUNCTION("""COMPUTED_VALUE"""),"")</f>
        <v/>
      </c>
      <c r="D613" s="50"/>
      <c r="G613" s="55"/>
    </row>
    <row r="614">
      <c r="A614" s="50"/>
      <c r="B614" s="50"/>
      <c r="C614" s="55" t="str">
        <f>IFERROR(__xludf.DUMMYFUNCTION("""COMPUTED_VALUE"""),"")</f>
        <v/>
      </c>
      <c r="D614" s="50"/>
      <c r="G614" s="55"/>
    </row>
    <row r="615">
      <c r="A615" s="50"/>
      <c r="B615" s="50"/>
      <c r="C615" s="55" t="str">
        <f>IFERROR(__xludf.DUMMYFUNCTION("""COMPUTED_VALUE"""),"")</f>
        <v/>
      </c>
      <c r="D615" s="50"/>
      <c r="G615" s="55"/>
    </row>
    <row r="616">
      <c r="A616" s="50"/>
      <c r="B616" s="50"/>
      <c r="C616" s="55" t="str">
        <f>IFERROR(__xludf.DUMMYFUNCTION("""COMPUTED_VALUE"""),"")</f>
        <v/>
      </c>
      <c r="D616" s="50"/>
      <c r="G616" s="55"/>
    </row>
    <row r="617">
      <c r="A617" s="50"/>
      <c r="B617" s="50"/>
      <c r="C617" s="55" t="str">
        <f>IFERROR(__xludf.DUMMYFUNCTION("""COMPUTED_VALUE"""),"")</f>
        <v/>
      </c>
      <c r="D617" s="50"/>
      <c r="G617" s="55"/>
    </row>
    <row r="618">
      <c r="A618" s="50"/>
      <c r="B618" s="50"/>
      <c r="C618" s="55" t="str">
        <f>IFERROR(__xludf.DUMMYFUNCTION("""COMPUTED_VALUE"""),"")</f>
        <v/>
      </c>
      <c r="D618" s="50"/>
      <c r="G618" s="55"/>
    </row>
    <row r="619">
      <c r="A619" s="50"/>
      <c r="B619" s="50"/>
      <c r="C619" s="55" t="str">
        <f>IFERROR(__xludf.DUMMYFUNCTION("""COMPUTED_VALUE"""),"")</f>
        <v/>
      </c>
      <c r="D619" s="50"/>
      <c r="G619" s="55"/>
    </row>
    <row r="620">
      <c r="A620" s="50"/>
      <c r="B620" s="50"/>
      <c r="C620" s="55" t="str">
        <f>IFERROR(__xludf.DUMMYFUNCTION("""COMPUTED_VALUE"""),"")</f>
        <v/>
      </c>
      <c r="D620" s="50"/>
      <c r="G620" s="55"/>
    </row>
    <row r="621">
      <c r="A621" s="50"/>
      <c r="B621" s="50"/>
      <c r="C621" s="55" t="str">
        <f>IFERROR(__xludf.DUMMYFUNCTION("""COMPUTED_VALUE"""),"")</f>
        <v/>
      </c>
      <c r="D621" s="50"/>
      <c r="G621" s="55"/>
    </row>
    <row r="622">
      <c r="A622" s="50"/>
      <c r="B622" s="50"/>
      <c r="C622" s="55" t="str">
        <f>IFERROR(__xludf.DUMMYFUNCTION("""COMPUTED_VALUE"""),"")</f>
        <v/>
      </c>
      <c r="D622" s="50"/>
      <c r="G622" s="55"/>
    </row>
    <row r="623">
      <c r="A623" s="50"/>
      <c r="B623" s="50"/>
      <c r="C623" s="55" t="str">
        <f>IFERROR(__xludf.DUMMYFUNCTION("""COMPUTED_VALUE"""),"")</f>
        <v/>
      </c>
      <c r="D623" s="50"/>
      <c r="G623" s="55"/>
    </row>
    <row r="624">
      <c r="A624" s="50"/>
      <c r="B624" s="50"/>
      <c r="C624" s="55" t="str">
        <f>IFERROR(__xludf.DUMMYFUNCTION("""COMPUTED_VALUE"""),"")</f>
        <v/>
      </c>
      <c r="D624" s="50"/>
      <c r="G624" s="55"/>
    </row>
    <row r="625">
      <c r="A625" s="50"/>
      <c r="B625" s="50"/>
      <c r="C625" s="55" t="str">
        <f>IFERROR(__xludf.DUMMYFUNCTION("""COMPUTED_VALUE"""),"")</f>
        <v/>
      </c>
      <c r="D625" s="50"/>
      <c r="G625" s="55"/>
    </row>
    <row r="626">
      <c r="A626" s="50"/>
      <c r="B626" s="50"/>
      <c r="C626" s="55" t="str">
        <f>IFERROR(__xludf.DUMMYFUNCTION("""COMPUTED_VALUE"""),"")</f>
        <v/>
      </c>
      <c r="D626" s="50"/>
      <c r="G626" s="55"/>
    </row>
    <row r="627">
      <c r="A627" s="50"/>
      <c r="B627" s="50"/>
      <c r="C627" s="55" t="str">
        <f>IFERROR(__xludf.DUMMYFUNCTION("""COMPUTED_VALUE"""),"")</f>
        <v/>
      </c>
      <c r="D627" s="50"/>
      <c r="G627" s="55"/>
    </row>
    <row r="628">
      <c r="A628" s="50"/>
      <c r="B628" s="50"/>
      <c r="C628" s="55" t="str">
        <f>IFERROR(__xludf.DUMMYFUNCTION("""COMPUTED_VALUE"""),"")</f>
        <v/>
      </c>
      <c r="D628" s="50"/>
      <c r="G628" s="55"/>
    </row>
    <row r="629">
      <c r="A629" s="50"/>
      <c r="B629" s="50"/>
      <c r="C629" s="55" t="str">
        <f>IFERROR(__xludf.DUMMYFUNCTION("""COMPUTED_VALUE"""),"")</f>
        <v/>
      </c>
      <c r="D629" s="50"/>
      <c r="G629" s="55"/>
    </row>
    <row r="630">
      <c r="A630" s="50"/>
      <c r="B630" s="50"/>
      <c r="C630" s="55" t="str">
        <f>IFERROR(__xludf.DUMMYFUNCTION("""COMPUTED_VALUE"""),"")</f>
        <v/>
      </c>
      <c r="D630" s="50"/>
      <c r="G630" s="55"/>
    </row>
    <row r="631">
      <c r="A631" s="50"/>
      <c r="B631" s="50"/>
      <c r="C631" s="55" t="str">
        <f>IFERROR(__xludf.DUMMYFUNCTION("""COMPUTED_VALUE"""),"")</f>
        <v/>
      </c>
      <c r="D631" s="50"/>
      <c r="G631" s="55"/>
    </row>
    <row r="632">
      <c r="A632" s="50"/>
      <c r="B632" s="50"/>
      <c r="C632" s="55" t="str">
        <f>IFERROR(__xludf.DUMMYFUNCTION("""COMPUTED_VALUE"""),"")</f>
        <v/>
      </c>
      <c r="D632" s="50"/>
      <c r="G632" s="55"/>
    </row>
    <row r="633">
      <c r="A633" s="50"/>
      <c r="B633" s="50"/>
      <c r="C633" s="55" t="str">
        <f>IFERROR(__xludf.DUMMYFUNCTION("""COMPUTED_VALUE"""),"")</f>
        <v/>
      </c>
      <c r="D633" s="50"/>
      <c r="G633" s="55"/>
    </row>
    <row r="634">
      <c r="A634" s="50"/>
      <c r="B634" s="50"/>
      <c r="C634" s="55" t="str">
        <f>IFERROR(__xludf.DUMMYFUNCTION("""COMPUTED_VALUE"""),"")</f>
        <v/>
      </c>
      <c r="D634" s="50"/>
      <c r="G634" s="55"/>
    </row>
    <row r="635">
      <c r="A635" s="50"/>
      <c r="B635" s="50"/>
      <c r="C635" s="55" t="str">
        <f>IFERROR(__xludf.DUMMYFUNCTION("""COMPUTED_VALUE"""),"")</f>
        <v/>
      </c>
      <c r="D635" s="50"/>
      <c r="G635" s="55"/>
    </row>
    <row r="636">
      <c r="A636" s="50"/>
      <c r="B636" s="50"/>
      <c r="C636" s="55" t="str">
        <f>IFERROR(__xludf.DUMMYFUNCTION("""COMPUTED_VALUE"""),"")</f>
        <v/>
      </c>
      <c r="D636" s="50"/>
      <c r="G636" s="55"/>
    </row>
    <row r="637">
      <c r="A637" s="50"/>
      <c r="B637" s="50"/>
      <c r="C637" s="55" t="str">
        <f>IFERROR(__xludf.DUMMYFUNCTION("""COMPUTED_VALUE"""),"")</f>
        <v/>
      </c>
      <c r="D637" s="50"/>
      <c r="G637" s="55"/>
    </row>
    <row r="638">
      <c r="A638" s="50"/>
      <c r="B638" s="50"/>
      <c r="C638" s="55" t="str">
        <f>IFERROR(__xludf.DUMMYFUNCTION("""COMPUTED_VALUE"""),"")</f>
        <v/>
      </c>
      <c r="D638" s="50"/>
      <c r="G638" s="55"/>
    </row>
    <row r="639">
      <c r="A639" s="50"/>
      <c r="B639" s="50"/>
      <c r="C639" s="55" t="str">
        <f>IFERROR(__xludf.DUMMYFUNCTION("""COMPUTED_VALUE"""),"")</f>
        <v/>
      </c>
      <c r="D639" s="50"/>
      <c r="G639" s="55"/>
    </row>
    <row r="640">
      <c r="A640" s="50"/>
      <c r="B640" s="50"/>
      <c r="C640" s="55" t="str">
        <f>IFERROR(__xludf.DUMMYFUNCTION("""COMPUTED_VALUE"""),"")</f>
        <v/>
      </c>
      <c r="D640" s="50"/>
      <c r="G640" s="55"/>
    </row>
    <row r="641">
      <c r="A641" s="50"/>
      <c r="B641" s="50"/>
      <c r="C641" s="55" t="str">
        <f>IFERROR(__xludf.DUMMYFUNCTION("""COMPUTED_VALUE"""),"")</f>
        <v/>
      </c>
      <c r="D641" s="50"/>
      <c r="G641" s="55"/>
    </row>
    <row r="642">
      <c r="A642" s="50"/>
      <c r="B642" s="50"/>
      <c r="C642" s="55" t="str">
        <f>IFERROR(__xludf.DUMMYFUNCTION("""COMPUTED_VALUE"""),"")</f>
        <v/>
      </c>
      <c r="D642" s="50"/>
      <c r="G642" s="55"/>
    </row>
    <row r="643">
      <c r="A643" s="50"/>
      <c r="B643" s="50"/>
      <c r="C643" s="55" t="str">
        <f>IFERROR(__xludf.DUMMYFUNCTION("""COMPUTED_VALUE"""),"")</f>
        <v/>
      </c>
      <c r="D643" s="50"/>
      <c r="G643" s="55"/>
    </row>
    <row r="644">
      <c r="A644" s="50"/>
      <c r="B644" s="50"/>
      <c r="C644" s="55" t="str">
        <f>IFERROR(__xludf.DUMMYFUNCTION("""COMPUTED_VALUE"""),"")</f>
        <v/>
      </c>
      <c r="D644" s="50"/>
      <c r="G644" s="55"/>
    </row>
    <row r="645">
      <c r="A645" s="50"/>
      <c r="B645" s="50"/>
      <c r="C645" s="55" t="str">
        <f>IFERROR(__xludf.DUMMYFUNCTION("""COMPUTED_VALUE"""),"")</f>
        <v/>
      </c>
      <c r="D645" s="50"/>
      <c r="G645" s="55"/>
    </row>
    <row r="646">
      <c r="A646" s="50"/>
      <c r="B646" s="50"/>
      <c r="C646" s="55" t="str">
        <f>IFERROR(__xludf.DUMMYFUNCTION("""COMPUTED_VALUE"""),"")</f>
        <v/>
      </c>
      <c r="D646" s="50"/>
      <c r="G646" s="55"/>
    </row>
    <row r="647">
      <c r="A647" s="50"/>
      <c r="B647" s="50"/>
      <c r="C647" s="55" t="str">
        <f>IFERROR(__xludf.DUMMYFUNCTION("""COMPUTED_VALUE"""),"")</f>
        <v/>
      </c>
      <c r="D647" s="50"/>
      <c r="G647" s="55"/>
    </row>
    <row r="648">
      <c r="A648" s="50"/>
      <c r="B648" s="50"/>
      <c r="C648" s="55" t="str">
        <f>IFERROR(__xludf.DUMMYFUNCTION("""COMPUTED_VALUE"""),"")</f>
        <v/>
      </c>
      <c r="D648" s="50"/>
      <c r="G648" s="55"/>
    </row>
    <row r="649">
      <c r="A649" s="50"/>
      <c r="B649" s="50"/>
      <c r="C649" s="55" t="str">
        <f>IFERROR(__xludf.DUMMYFUNCTION("""COMPUTED_VALUE"""),"")</f>
        <v/>
      </c>
      <c r="D649" s="50"/>
      <c r="G649" s="55"/>
    </row>
    <row r="650">
      <c r="A650" s="50"/>
      <c r="B650" s="50"/>
      <c r="C650" s="55" t="str">
        <f>IFERROR(__xludf.DUMMYFUNCTION("""COMPUTED_VALUE"""),"")</f>
        <v/>
      </c>
      <c r="D650" s="50"/>
      <c r="G650" s="55"/>
    </row>
    <row r="651">
      <c r="A651" s="50"/>
      <c r="B651" s="50"/>
      <c r="C651" s="55" t="str">
        <f>IFERROR(__xludf.DUMMYFUNCTION("""COMPUTED_VALUE"""),"")</f>
        <v/>
      </c>
      <c r="D651" s="50"/>
      <c r="G651" s="55"/>
    </row>
    <row r="652">
      <c r="A652" s="50"/>
      <c r="B652" s="50"/>
      <c r="C652" s="55" t="str">
        <f>IFERROR(__xludf.DUMMYFUNCTION("""COMPUTED_VALUE"""),"")</f>
        <v/>
      </c>
      <c r="D652" s="50"/>
      <c r="G652" s="55"/>
    </row>
    <row r="653">
      <c r="A653" s="50"/>
      <c r="B653" s="50"/>
      <c r="C653" s="55" t="str">
        <f>IFERROR(__xludf.DUMMYFUNCTION("""COMPUTED_VALUE"""),"")</f>
        <v/>
      </c>
      <c r="D653" s="50"/>
      <c r="G653" s="55"/>
    </row>
    <row r="654">
      <c r="A654" s="50"/>
      <c r="B654" s="50"/>
      <c r="C654" s="55" t="str">
        <f>IFERROR(__xludf.DUMMYFUNCTION("""COMPUTED_VALUE"""),"")</f>
        <v/>
      </c>
      <c r="D654" s="50"/>
      <c r="G654" s="55"/>
    </row>
    <row r="655">
      <c r="A655" s="50"/>
      <c r="B655" s="50"/>
      <c r="C655" s="55" t="str">
        <f>IFERROR(__xludf.DUMMYFUNCTION("""COMPUTED_VALUE"""),"")</f>
        <v/>
      </c>
      <c r="D655" s="50"/>
      <c r="G655" s="55"/>
    </row>
    <row r="656">
      <c r="A656" s="50"/>
      <c r="B656" s="50"/>
      <c r="C656" s="55" t="str">
        <f>IFERROR(__xludf.DUMMYFUNCTION("""COMPUTED_VALUE"""),"")</f>
        <v/>
      </c>
      <c r="D656" s="50"/>
      <c r="G656" s="55"/>
    </row>
    <row r="657">
      <c r="A657" s="50"/>
      <c r="B657" s="50"/>
      <c r="C657" s="55" t="str">
        <f>IFERROR(__xludf.DUMMYFUNCTION("""COMPUTED_VALUE"""),"")</f>
        <v/>
      </c>
      <c r="D657" s="50"/>
      <c r="G657" s="55"/>
    </row>
    <row r="658">
      <c r="A658" s="50"/>
      <c r="B658" s="50"/>
      <c r="C658" s="55" t="str">
        <f>IFERROR(__xludf.DUMMYFUNCTION("""COMPUTED_VALUE"""),"")</f>
        <v/>
      </c>
      <c r="D658" s="50"/>
      <c r="G658" s="55"/>
    </row>
    <row r="659">
      <c r="A659" s="50"/>
      <c r="B659" s="50"/>
      <c r="C659" s="55" t="str">
        <f>IFERROR(__xludf.DUMMYFUNCTION("""COMPUTED_VALUE"""),"")</f>
        <v/>
      </c>
      <c r="D659" s="50"/>
      <c r="G659" s="55"/>
    </row>
    <row r="660">
      <c r="A660" s="50"/>
      <c r="B660" s="50"/>
      <c r="C660" s="55" t="str">
        <f>IFERROR(__xludf.DUMMYFUNCTION("""COMPUTED_VALUE"""),"")</f>
        <v/>
      </c>
      <c r="D660" s="50"/>
      <c r="G660" s="55"/>
    </row>
    <row r="661">
      <c r="A661" s="50"/>
      <c r="B661" s="50"/>
      <c r="C661" s="55" t="str">
        <f>IFERROR(__xludf.DUMMYFUNCTION("""COMPUTED_VALUE"""),"")</f>
        <v/>
      </c>
      <c r="D661" s="50"/>
      <c r="G661" s="55"/>
    </row>
    <row r="662">
      <c r="A662" s="50"/>
      <c r="B662" s="50"/>
      <c r="C662" s="55" t="str">
        <f>IFERROR(__xludf.DUMMYFUNCTION("""COMPUTED_VALUE"""),"")</f>
        <v/>
      </c>
      <c r="D662" s="50"/>
      <c r="G662" s="55"/>
    </row>
    <row r="663">
      <c r="A663" s="50"/>
      <c r="B663" s="50"/>
      <c r="C663" s="55" t="str">
        <f>IFERROR(__xludf.DUMMYFUNCTION("""COMPUTED_VALUE"""),"")</f>
        <v/>
      </c>
      <c r="D663" s="50"/>
      <c r="G663" s="55"/>
    </row>
    <row r="664">
      <c r="A664" s="50"/>
      <c r="B664" s="50"/>
      <c r="C664" s="55" t="str">
        <f>IFERROR(__xludf.DUMMYFUNCTION("""COMPUTED_VALUE"""),"")</f>
        <v/>
      </c>
      <c r="D664" s="50"/>
      <c r="G664" s="55"/>
    </row>
    <row r="665">
      <c r="A665" s="50"/>
      <c r="B665" s="50"/>
      <c r="C665" s="55" t="str">
        <f>IFERROR(__xludf.DUMMYFUNCTION("""COMPUTED_VALUE"""),"")</f>
        <v/>
      </c>
      <c r="D665" s="50"/>
      <c r="G665" s="55"/>
    </row>
    <row r="666">
      <c r="A666" s="50"/>
      <c r="B666" s="50"/>
      <c r="C666" s="55" t="str">
        <f>IFERROR(__xludf.DUMMYFUNCTION("""COMPUTED_VALUE"""),"")</f>
        <v/>
      </c>
      <c r="D666" s="50"/>
      <c r="G666" s="55"/>
    </row>
    <row r="667">
      <c r="A667" s="50"/>
      <c r="B667" s="50"/>
      <c r="C667" s="55" t="str">
        <f>IFERROR(__xludf.DUMMYFUNCTION("""COMPUTED_VALUE"""),"")</f>
        <v/>
      </c>
      <c r="D667" s="50"/>
      <c r="G667" s="55"/>
    </row>
    <row r="668">
      <c r="A668" s="50"/>
      <c r="B668" s="50"/>
      <c r="C668" s="55" t="str">
        <f>IFERROR(__xludf.DUMMYFUNCTION("""COMPUTED_VALUE"""),"")</f>
        <v/>
      </c>
      <c r="D668" s="50"/>
      <c r="G668" s="55"/>
    </row>
    <row r="669">
      <c r="A669" s="50"/>
      <c r="B669" s="50"/>
      <c r="C669" s="55" t="str">
        <f>IFERROR(__xludf.DUMMYFUNCTION("""COMPUTED_VALUE"""),"")</f>
        <v/>
      </c>
      <c r="D669" s="50"/>
      <c r="G669" s="55"/>
    </row>
    <row r="670">
      <c r="A670" s="50"/>
      <c r="B670" s="50"/>
      <c r="C670" s="55" t="str">
        <f>IFERROR(__xludf.DUMMYFUNCTION("""COMPUTED_VALUE"""),"")</f>
        <v/>
      </c>
      <c r="D670" s="50"/>
      <c r="G670" s="55"/>
    </row>
    <row r="671">
      <c r="A671" s="50"/>
      <c r="B671" s="50"/>
      <c r="C671" s="55" t="str">
        <f>IFERROR(__xludf.DUMMYFUNCTION("""COMPUTED_VALUE"""),"")</f>
        <v/>
      </c>
      <c r="D671" s="50"/>
      <c r="G671" s="55"/>
    </row>
    <row r="672">
      <c r="A672" s="50"/>
      <c r="B672" s="50"/>
      <c r="C672" s="55" t="str">
        <f>IFERROR(__xludf.DUMMYFUNCTION("""COMPUTED_VALUE"""),"")</f>
        <v/>
      </c>
      <c r="D672" s="50"/>
      <c r="G672" s="55"/>
    </row>
    <row r="673">
      <c r="A673" s="50"/>
      <c r="B673" s="50"/>
      <c r="C673" s="55" t="str">
        <f>IFERROR(__xludf.DUMMYFUNCTION("""COMPUTED_VALUE"""),"")</f>
        <v/>
      </c>
      <c r="D673" s="50"/>
      <c r="G673" s="55"/>
    </row>
    <row r="674">
      <c r="A674" s="50"/>
      <c r="B674" s="50"/>
      <c r="C674" s="55" t="str">
        <f>IFERROR(__xludf.DUMMYFUNCTION("""COMPUTED_VALUE"""),"")</f>
        <v/>
      </c>
      <c r="D674" s="50"/>
      <c r="G674" s="55"/>
    </row>
    <row r="675">
      <c r="A675" s="50"/>
      <c r="B675" s="50"/>
      <c r="C675" s="55" t="str">
        <f>IFERROR(__xludf.DUMMYFUNCTION("""COMPUTED_VALUE"""),"")</f>
        <v/>
      </c>
      <c r="D675" s="50"/>
      <c r="G675" s="55"/>
    </row>
    <row r="676">
      <c r="A676" s="50"/>
      <c r="B676" s="50"/>
      <c r="C676" s="55" t="str">
        <f>IFERROR(__xludf.DUMMYFUNCTION("""COMPUTED_VALUE"""),"")</f>
        <v/>
      </c>
      <c r="D676" s="50"/>
      <c r="G676" s="55"/>
    </row>
    <row r="677">
      <c r="A677" s="50"/>
      <c r="B677" s="50"/>
      <c r="C677" s="55" t="str">
        <f>IFERROR(__xludf.DUMMYFUNCTION("""COMPUTED_VALUE"""),"")</f>
        <v/>
      </c>
      <c r="D677" s="50"/>
      <c r="G677" s="55"/>
    </row>
    <row r="678">
      <c r="A678" s="50"/>
      <c r="B678" s="50"/>
      <c r="C678" s="55" t="str">
        <f>IFERROR(__xludf.DUMMYFUNCTION("""COMPUTED_VALUE"""),"")</f>
        <v/>
      </c>
      <c r="D678" s="50"/>
      <c r="G678" s="55"/>
    </row>
    <row r="679">
      <c r="A679" s="50"/>
      <c r="B679" s="50"/>
      <c r="C679" s="55" t="str">
        <f>IFERROR(__xludf.DUMMYFUNCTION("""COMPUTED_VALUE"""),"")</f>
        <v/>
      </c>
      <c r="D679" s="50"/>
      <c r="G679" s="55"/>
    </row>
    <row r="680">
      <c r="A680" s="50"/>
      <c r="B680" s="50"/>
      <c r="C680" s="55" t="str">
        <f>IFERROR(__xludf.DUMMYFUNCTION("""COMPUTED_VALUE"""),"")</f>
        <v/>
      </c>
      <c r="D680" s="50"/>
      <c r="G680" s="55"/>
    </row>
    <row r="681">
      <c r="A681" s="50"/>
      <c r="B681" s="50"/>
      <c r="C681" s="55" t="str">
        <f>IFERROR(__xludf.DUMMYFUNCTION("""COMPUTED_VALUE"""),"")</f>
        <v/>
      </c>
      <c r="D681" s="50"/>
      <c r="G681" s="55"/>
    </row>
    <row r="682">
      <c r="A682" s="50"/>
      <c r="B682" s="50"/>
      <c r="C682" s="55" t="str">
        <f>IFERROR(__xludf.DUMMYFUNCTION("""COMPUTED_VALUE"""),"")</f>
        <v/>
      </c>
      <c r="D682" s="50"/>
      <c r="G682" s="55"/>
    </row>
    <row r="683">
      <c r="A683" s="50"/>
      <c r="B683" s="50"/>
      <c r="C683" s="55" t="str">
        <f>IFERROR(__xludf.DUMMYFUNCTION("""COMPUTED_VALUE"""),"")</f>
        <v/>
      </c>
      <c r="D683" s="50"/>
      <c r="G683" s="55"/>
    </row>
    <row r="684">
      <c r="A684" s="50"/>
      <c r="B684" s="50"/>
      <c r="C684" s="55" t="str">
        <f>IFERROR(__xludf.DUMMYFUNCTION("""COMPUTED_VALUE"""),"")</f>
        <v/>
      </c>
      <c r="D684" s="50"/>
      <c r="G684" s="55"/>
    </row>
    <row r="685">
      <c r="A685" s="50"/>
      <c r="B685" s="50"/>
      <c r="C685" s="55" t="str">
        <f>IFERROR(__xludf.DUMMYFUNCTION("""COMPUTED_VALUE"""),"")</f>
        <v/>
      </c>
      <c r="D685" s="50"/>
      <c r="G685" s="55"/>
    </row>
    <row r="686">
      <c r="A686" s="50"/>
      <c r="B686" s="50"/>
      <c r="C686" s="55" t="str">
        <f>IFERROR(__xludf.DUMMYFUNCTION("""COMPUTED_VALUE"""),"")</f>
        <v/>
      </c>
      <c r="D686" s="50"/>
      <c r="G686" s="55"/>
    </row>
    <row r="687">
      <c r="A687" s="50"/>
      <c r="B687" s="50"/>
      <c r="C687" s="55" t="str">
        <f>IFERROR(__xludf.DUMMYFUNCTION("""COMPUTED_VALUE"""),"")</f>
        <v/>
      </c>
      <c r="D687" s="50"/>
      <c r="G687" s="55"/>
    </row>
    <row r="688">
      <c r="A688" s="50"/>
      <c r="B688" s="50"/>
      <c r="C688" s="55" t="str">
        <f>IFERROR(__xludf.DUMMYFUNCTION("""COMPUTED_VALUE"""),"")</f>
        <v/>
      </c>
      <c r="D688" s="50"/>
      <c r="G688" s="55"/>
    </row>
    <row r="689">
      <c r="A689" s="50"/>
      <c r="B689" s="50"/>
      <c r="C689" s="55" t="str">
        <f>IFERROR(__xludf.DUMMYFUNCTION("""COMPUTED_VALUE"""),"")</f>
        <v/>
      </c>
      <c r="D689" s="50"/>
      <c r="G689" s="55"/>
    </row>
    <row r="690">
      <c r="A690" s="50"/>
      <c r="B690" s="50"/>
      <c r="C690" s="55" t="str">
        <f>IFERROR(__xludf.DUMMYFUNCTION("""COMPUTED_VALUE"""),"")</f>
        <v/>
      </c>
      <c r="D690" s="50"/>
      <c r="G690" s="55"/>
    </row>
    <row r="691">
      <c r="A691" s="50"/>
      <c r="B691" s="50"/>
      <c r="C691" s="55" t="str">
        <f>IFERROR(__xludf.DUMMYFUNCTION("""COMPUTED_VALUE"""),"")</f>
        <v/>
      </c>
      <c r="D691" s="50"/>
      <c r="G691" s="55"/>
    </row>
    <row r="692">
      <c r="A692" s="50"/>
      <c r="B692" s="50"/>
      <c r="C692" s="55" t="str">
        <f>IFERROR(__xludf.DUMMYFUNCTION("""COMPUTED_VALUE"""),"")</f>
        <v/>
      </c>
      <c r="D692" s="50"/>
      <c r="G692" s="55"/>
    </row>
    <row r="693">
      <c r="A693" s="50"/>
      <c r="B693" s="50"/>
      <c r="C693" s="55" t="str">
        <f>IFERROR(__xludf.DUMMYFUNCTION("""COMPUTED_VALUE"""),"")</f>
        <v/>
      </c>
      <c r="D693" s="50"/>
      <c r="G693" s="55"/>
    </row>
    <row r="694">
      <c r="A694" s="50"/>
      <c r="B694" s="50"/>
      <c r="C694" s="55" t="str">
        <f>IFERROR(__xludf.DUMMYFUNCTION("""COMPUTED_VALUE"""),"")</f>
        <v/>
      </c>
      <c r="D694" s="50"/>
      <c r="G694" s="55"/>
    </row>
    <row r="695">
      <c r="A695" s="50"/>
      <c r="B695" s="50"/>
      <c r="C695" s="55" t="str">
        <f>IFERROR(__xludf.DUMMYFUNCTION("""COMPUTED_VALUE"""),"")</f>
        <v/>
      </c>
      <c r="D695" s="50"/>
      <c r="G695" s="55"/>
    </row>
    <row r="696">
      <c r="A696" s="50"/>
      <c r="B696" s="50"/>
      <c r="C696" s="55" t="str">
        <f>IFERROR(__xludf.DUMMYFUNCTION("""COMPUTED_VALUE"""),"")</f>
        <v/>
      </c>
      <c r="D696" s="50"/>
      <c r="G696" s="55"/>
    </row>
    <row r="697">
      <c r="A697" s="50"/>
      <c r="B697" s="50"/>
      <c r="C697" s="55" t="str">
        <f>IFERROR(__xludf.DUMMYFUNCTION("""COMPUTED_VALUE"""),"")</f>
        <v/>
      </c>
      <c r="D697" s="50"/>
      <c r="G697" s="55"/>
    </row>
    <row r="698">
      <c r="A698" s="50"/>
      <c r="B698" s="50"/>
      <c r="C698" s="55" t="str">
        <f>IFERROR(__xludf.DUMMYFUNCTION("""COMPUTED_VALUE"""),"")</f>
        <v/>
      </c>
      <c r="D698" s="50"/>
      <c r="G698" s="55"/>
    </row>
    <row r="699">
      <c r="A699" s="50"/>
      <c r="B699" s="50"/>
      <c r="C699" s="55" t="str">
        <f>IFERROR(__xludf.DUMMYFUNCTION("""COMPUTED_VALUE"""),"")</f>
        <v/>
      </c>
      <c r="D699" s="50"/>
      <c r="G699" s="55"/>
    </row>
    <row r="700">
      <c r="A700" s="50"/>
      <c r="B700" s="50"/>
      <c r="C700" s="55" t="str">
        <f>IFERROR(__xludf.DUMMYFUNCTION("""COMPUTED_VALUE"""),"")</f>
        <v/>
      </c>
      <c r="D700" s="50"/>
      <c r="G700" s="55"/>
    </row>
    <row r="701">
      <c r="A701" s="50"/>
      <c r="B701" s="50"/>
      <c r="C701" s="55" t="str">
        <f>IFERROR(__xludf.DUMMYFUNCTION("""COMPUTED_VALUE"""),"")</f>
        <v/>
      </c>
      <c r="D701" s="50"/>
      <c r="G701" s="55"/>
    </row>
    <row r="702">
      <c r="A702" s="50"/>
      <c r="B702" s="50"/>
      <c r="C702" s="55" t="str">
        <f>IFERROR(__xludf.DUMMYFUNCTION("""COMPUTED_VALUE"""),"")</f>
        <v/>
      </c>
      <c r="D702" s="50"/>
      <c r="G702" s="55"/>
    </row>
    <row r="703">
      <c r="A703" s="50"/>
      <c r="B703" s="50"/>
      <c r="C703" s="55" t="str">
        <f>IFERROR(__xludf.DUMMYFUNCTION("""COMPUTED_VALUE"""),"")</f>
        <v/>
      </c>
      <c r="D703" s="50"/>
      <c r="G703" s="55"/>
    </row>
    <row r="704">
      <c r="A704" s="50"/>
      <c r="B704" s="50"/>
      <c r="C704" s="55" t="str">
        <f>IFERROR(__xludf.DUMMYFUNCTION("""COMPUTED_VALUE"""),"")</f>
        <v/>
      </c>
      <c r="D704" s="50"/>
      <c r="G704" s="55"/>
    </row>
    <row r="705">
      <c r="A705" s="50"/>
      <c r="B705" s="50"/>
      <c r="C705" s="55" t="str">
        <f>IFERROR(__xludf.DUMMYFUNCTION("""COMPUTED_VALUE"""),"")</f>
        <v/>
      </c>
      <c r="D705" s="50"/>
      <c r="G705" s="55"/>
    </row>
    <row r="706">
      <c r="A706" s="50"/>
      <c r="B706" s="50"/>
      <c r="C706" s="55" t="str">
        <f>IFERROR(__xludf.DUMMYFUNCTION("""COMPUTED_VALUE"""),"")</f>
        <v/>
      </c>
      <c r="D706" s="50"/>
      <c r="G706" s="55"/>
    </row>
    <row r="707">
      <c r="A707" s="50"/>
      <c r="B707" s="50"/>
      <c r="C707" s="55" t="str">
        <f>IFERROR(__xludf.DUMMYFUNCTION("""COMPUTED_VALUE"""),"")</f>
        <v/>
      </c>
      <c r="D707" s="50"/>
      <c r="G707" s="55"/>
    </row>
    <row r="708">
      <c r="A708" s="50"/>
      <c r="B708" s="50"/>
      <c r="C708" s="55" t="str">
        <f>IFERROR(__xludf.DUMMYFUNCTION("""COMPUTED_VALUE"""),"")</f>
        <v/>
      </c>
      <c r="D708" s="50"/>
      <c r="G708" s="55"/>
    </row>
    <row r="709">
      <c r="A709" s="50"/>
      <c r="B709" s="50"/>
      <c r="C709" s="55" t="str">
        <f>IFERROR(__xludf.DUMMYFUNCTION("""COMPUTED_VALUE"""),"")</f>
        <v/>
      </c>
      <c r="D709" s="50"/>
      <c r="G709" s="55"/>
    </row>
    <row r="710">
      <c r="A710" s="50"/>
      <c r="B710" s="50"/>
      <c r="C710" s="55" t="str">
        <f>IFERROR(__xludf.DUMMYFUNCTION("""COMPUTED_VALUE"""),"")</f>
        <v/>
      </c>
      <c r="D710" s="50"/>
      <c r="G710" s="55"/>
    </row>
    <row r="711">
      <c r="A711" s="50"/>
      <c r="B711" s="50"/>
      <c r="C711" s="55" t="str">
        <f>IFERROR(__xludf.DUMMYFUNCTION("""COMPUTED_VALUE"""),"")</f>
        <v/>
      </c>
      <c r="D711" s="50"/>
      <c r="G711" s="55"/>
    </row>
    <row r="712">
      <c r="A712" s="50"/>
      <c r="B712" s="50"/>
      <c r="C712" s="55" t="str">
        <f>IFERROR(__xludf.DUMMYFUNCTION("""COMPUTED_VALUE"""),"")</f>
        <v/>
      </c>
      <c r="D712" s="50"/>
      <c r="G712" s="55"/>
    </row>
    <row r="713">
      <c r="A713" s="50"/>
      <c r="B713" s="50"/>
      <c r="C713" s="55" t="str">
        <f>IFERROR(__xludf.DUMMYFUNCTION("""COMPUTED_VALUE"""),"")</f>
        <v/>
      </c>
      <c r="D713" s="50"/>
      <c r="G713" s="55"/>
    </row>
    <row r="714">
      <c r="A714" s="50"/>
      <c r="B714" s="50"/>
      <c r="C714" s="55" t="str">
        <f>IFERROR(__xludf.DUMMYFUNCTION("""COMPUTED_VALUE"""),"")</f>
        <v/>
      </c>
      <c r="D714" s="50"/>
      <c r="G714" s="55"/>
    </row>
    <row r="715">
      <c r="A715" s="50"/>
      <c r="B715" s="50"/>
      <c r="C715" s="55" t="str">
        <f>IFERROR(__xludf.DUMMYFUNCTION("""COMPUTED_VALUE"""),"")</f>
        <v/>
      </c>
      <c r="D715" s="50"/>
      <c r="G715" s="55"/>
    </row>
    <row r="716">
      <c r="A716" s="50"/>
      <c r="B716" s="50"/>
      <c r="C716" s="55" t="str">
        <f>IFERROR(__xludf.DUMMYFUNCTION("""COMPUTED_VALUE"""),"")</f>
        <v/>
      </c>
      <c r="D716" s="50"/>
      <c r="G716" s="55"/>
    </row>
    <row r="717">
      <c r="A717" s="50"/>
      <c r="B717" s="50"/>
      <c r="C717" s="55" t="str">
        <f>IFERROR(__xludf.DUMMYFUNCTION("""COMPUTED_VALUE"""),"")</f>
        <v/>
      </c>
      <c r="D717" s="50"/>
      <c r="G717" s="55"/>
    </row>
    <row r="718">
      <c r="A718" s="50"/>
      <c r="B718" s="50"/>
      <c r="C718" s="55" t="str">
        <f>IFERROR(__xludf.DUMMYFUNCTION("""COMPUTED_VALUE"""),"")</f>
        <v/>
      </c>
      <c r="D718" s="50"/>
      <c r="G718" s="55"/>
    </row>
    <row r="719">
      <c r="A719" s="50"/>
      <c r="B719" s="50"/>
      <c r="C719" s="55" t="str">
        <f>IFERROR(__xludf.DUMMYFUNCTION("""COMPUTED_VALUE"""),"")</f>
        <v/>
      </c>
      <c r="D719" s="50"/>
      <c r="G719" s="55"/>
    </row>
    <row r="720">
      <c r="A720" s="50"/>
      <c r="B720" s="50"/>
      <c r="C720" s="55" t="str">
        <f>IFERROR(__xludf.DUMMYFUNCTION("""COMPUTED_VALUE"""),"")</f>
        <v/>
      </c>
      <c r="D720" s="50"/>
      <c r="G720" s="55"/>
    </row>
    <row r="721">
      <c r="A721" s="50"/>
      <c r="B721" s="50"/>
      <c r="C721" s="55" t="str">
        <f>IFERROR(__xludf.DUMMYFUNCTION("""COMPUTED_VALUE"""),"")</f>
        <v/>
      </c>
      <c r="D721" s="50"/>
      <c r="G721" s="55"/>
    </row>
    <row r="722">
      <c r="A722" s="50"/>
      <c r="B722" s="50"/>
      <c r="C722" s="55" t="str">
        <f>IFERROR(__xludf.DUMMYFUNCTION("""COMPUTED_VALUE"""),"")</f>
        <v/>
      </c>
      <c r="D722" s="50"/>
      <c r="G722" s="55"/>
    </row>
    <row r="723">
      <c r="A723" s="50"/>
      <c r="B723" s="50"/>
      <c r="C723" s="55" t="str">
        <f>IFERROR(__xludf.DUMMYFUNCTION("""COMPUTED_VALUE"""),"")</f>
        <v/>
      </c>
      <c r="D723" s="50"/>
      <c r="G723" s="55"/>
    </row>
    <row r="724">
      <c r="A724" s="50"/>
      <c r="B724" s="50"/>
      <c r="C724" s="55" t="str">
        <f>IFERROR(__xludf.DUMMYFUNCTION("""COMPUTED_VALUE"""),"")</f>
        <v/>
      </c>
      <c r="D724" s="50"/>
      <c r="G724" s="55"/>
    </row>
    <row r="725">
      <c r="A725" s="50"/>
      <c r="B725" s="50"/>
      <c r="C725" s="55" t="str">
        <f>IFERROR(__xludf.DUMMYFUNCTION("""COMPUTED_VALUE"""),"")</f>
        <v/>
      </c>
      <c r="D725" s="50"/>
      <c r="G725" s="55"/>
    </row>
    <row r="726">
      <c r="A726" s="50"/>
      <c r="B726" s="50"/>
      <c r="C726" s="55" t="str">
        <f>IFERROR(__xludf.DUMMYFUNCTION("""COMPUTED_VALUE"""),"")</f>
        <v/>
      </c>
      <c r="D726" s="50"/>
      <c r="G726" s="55"/>
    </row>
    <row r="727">
      <c r="A727" s="50"/>
      <c r="B727" s="50"/>
      <c r="C727" s="55" t="str">
        <f>IFERROR(__xludf.DUMMYFUNCTION("""COMPUTED_VALUE"""),"")</f>
        <v/>
      </c>
      <c r="D727" s="50"/>
      <c r="G727" s="55"/>
    </row>
    <row r="728">
      <c r="A728" s="50"/>
      <c r="B728" s="50"/>
      <c r="C728" s="55" t="str">
        <f>IFERROR(__xludf.DUMMYFUNCTION("""COMPUTED_VALUE"""),"")</f>
        <v/>
      </c>
      <c r="D728" s="50"/>
      <c r="G728" s="55"/>
    </row>
    <row r="729">
      <c r="A729" s="50"/>
      <c r="B729" s="50"/>
      <c r="C729" s="55" t="str">
        <f>IFERROR(__xludf.DUMMYFUNCTION("""COMPUTED_VALUE"""),"")</f>
        <v/>
      </c>
      <c r="D729" s="50"/>
      <c r="G729" s="55"/>
    </row>
    <row r="730">
      <c r="A730" s="50"/>
      <c r="B730" s="50"/>
      <c r="C730" s="55" t="str">
        <f>IFERROR(__xludf.DUMMYFUNCTION("""COMPUTED_VALUE"""),"")</f>
        <v/>
      </c>
      <c r="D730" s="50"/>
      <c r="G730" s="55"/>
    </row>
    <row r="731">
      <c r="A731" s="50"/>
      <c r="B731" s="50"/>
      <c r="C731" s="55" t="str">
        <f>IFERROR(__xludf.DUMMYFUNCTION("""COMPUTED_VALUE"""),"")</f>
        <v/>
      </c>
      <c r="D731" s="50"/>
      <c r="G731" s="55"/>
    </row>
    <row r="732">
      <c r="A732" s="50"/>
      <c r="B732" s="50"/>
      <c r="C732" s="55" t="str">
        <f>IFERROR(__xludf.DUMMYFUNCTION("""COMPUTED_VALUE"""),"")</f>
        <v/>
      </c>
      <c r="D732" s="50"/>
      <c r="G732" s="55"/>
    </row>
    <row r="733">
      <c r="A733" s="50"/>
      <c r="B733" s="50"/>
      <c r="C733" s="55" t="str">
        <f>IFERROR(__xludf.DUMMYFUNCTION("""COMPUTED_VALUE"""),"")</f>
        <v/>
      </c>
      <c r="D733" s="50"/>
      <c r="G733" s="55"/>
    </row>
    <row r="734">
      <c r="A734" s="50"/>
      <c r="B734" s="50"/>
      <c r="C734" s="55" t="str">
        <f>IFERROR(__xludf.DUMMYFUNCTION("""COMPUTED_VALUE"""),"")</f>
        <v/>
      </c>
      <c r="D734" s="50"/>
      <c r="G734" s="55"/>
    </row>
    <row r="735">
      <c r="A735" s="50"/>
      <c r="B735" s="50"/>
      <c r="C735" s="55" t="str">
        <f>IFERROR(__xludf.DUMMYFUNCTION("""COMPUTED_VALUE"""),"")</f>
        <v/>
      </c>
      <c r="D735" s="50"/>
      <c r="G735" s="55"/>
    </row>
    <row r="736">
      <c r="A736" s="50"/>
      <c r="B736" s="50"/>
      <c r="C736" s="55" t="str">
        <f>IFERROR(__xludf.DUMMYFUNCTION("""COMPUTED_VALUE"""),"")</f>
        <v/>
      </c>
      <c r="D736" s="50"/>
      <c r="G736" s="55"/>
    </row>
    <row r="737">
      <c r="A737" s="50"/>
      <c r="B737" s="50"/>
      <c r="C737" s="55" t="str">
        <f>IFERROR(__xludf.DUMMYFUNCTION("""COMPUTED_VALUE"""),"")</f>
        <v/>
      </c>
      <c r="D737" s="50"/>
      <c r="G737" s="55"/>
    </row>
    <row r="738">
      <c r="A738" s="50"/>
      <c r="B738" s="50"/>
      <c r="C738" s="55" t="str">
        <f>IFERROR(__xludf.DUMMYFUNCTION("""COMPUTED_VALUE"""),"")</f>
        <v/>
      </c>
      <c r="D738" s="50"/>
      <c r="G738" s="55"/>
    </row>
    <row r="739">
      <c r="A739" s="50"/>
      <c r="B739" s="50"/>
      <c r="C739" s="55" t="str">
        <f>IFERROR(__xludf.DUMMYFUNCTION("""COMPUTED_VALUE"""),"")</f>
        <v/>
      </c>
      <c r="D739" s="50"/>
      <c r="G739" s="55"/>
    </row>
    <row r="740">
      <c r="A740" s="50"/>
      <c r="B740" s="50"/>
      <c r="C740" s="55" t="str">
        <f>IFERROR(__xludf.DUMMYFUNCTION("""COMPUTED_VALUE"""),"")</f>
        <v/>
      </c>
      <c r="D740" s="50"/>
      <c r="G740" s="55"/>
    </row>
    <row r="741">
      <c r="A741" s="50"/>
      <c r="B741" s="50"/>
      <c r="C741" s="55" t="str">
        <f>IFERROR(__xludf.DUMMYFUNCTION("""COMPUTED_VALUE"""),"")</f>
        <v/>
      </c>
      <c r="D741" s="50"/>
      <c r="G741" s="55"/>
    </row>
    <row r="742">
      <c r="A742" s="50"/>
      <c r="B742" s="50"/>
      <c r="C742" s="55" t="str">
        <f>IFERROR(__xludf.DUMMYFUNCTION("""COMPUTED_VALUE"""),"")</f>
        <v/>
      </c>
      <c r="D742" s="50"/>
      <c r="G742" s="55"/>
    </row>
    <row r="743">
      <c r="A743" s="50"/>
      <c r="B743" s="50"/>
      <c r="C743" s="55" t="str">
        <f>IFERROR(__xludf.DUMMYFUNCTION("""COMPUTED_VALUE"""),"")</f>
        <v/>
      </c>
      <c r="D743" s="50"/>
      <c r="G743" s="55"/>
    </row>
    <row r="744">
      <c r="A744" s="50"/>
      <c r="B744" s="50"/>
      <c r="C744" s="55" t="str">
        <f>IFERROR(__xludf.DUMMYFUNCTION("""COMPUTED_VALUE"""),"")</f>
        <v/>
      </c>
      <c r="D744" s="50"/>
      <c r="G744" s="55"/>
    </row>
    <row r="745">
      <c r="A745" s="50"/>
      <c r="B745" s="50"/>
      <c r="C745" s="55" t="str">
        <f>IFERROR(__xludf.DUMMYFUNCTION("""COMPUTED_VALUE"""),"")</f>
        <v/>
      </c>
      <c r="D745" s="50"/>
      <c r="G745" s="55"/>
    </row>
    <row r="746">
      <c r="A746" s="50"/>
      <c r="B746" s="50"/>
      <c r="C746" s="55" t="str">
        <f>IFERROR(__xludf.DUMMYFUNCTION("""COMPUTED_VALUE"""),"")</f>
        <v/>
      </c>
      <c r="D746" s="50"/>
      <c r="G746" s="55"/>
    </row>
    <row r="747">
      <c r="A747" s="50"/>
      <c r="B747" s="50"/>
      <c r="C747" s="55" t="str">
        <f>IFERROR(__xludf.DUMMYFUNCTION("""COMPUTED_VALUE"""),"")</f>
        <v/>
      </c>
      <c r="D747" s="50"/>
      <c r="G747" s="55"/>
    </row>
    <row r="748">
      <c r="A748" s="50"/>
      <c r="B748" s="50"/>
      <c r="C748" s="55" t="str">
        <f>IFERROR(__xludf.DUMMYFUNCTION("""COMPUTED_VALUE"""),"")</f>
        <v/>
      </c>
      <c r="D748" s="50"/>
      <c r="G748" s="55"/>
    </row>
    <row r="749">
      <c r="A749" s="50"/>
      <c r="B749" s="50"/>
      <c r="C749" s="55" t="str">
        <f>IFERROR(__xludf.DUMMYFUNCTION("""COMPUTED_VALUE"""),"")</f>
        <v/>
      </c>
      <c r="D749" s="50"/>
      <c r="G749" s="55"/>
    </row>
    <row r="750">
      <c r="A750" s="50"/>
      <c r="B750" s="50"/>
      <c r="C750" s="55" t="str">
        <f>IFERROR(__xludf.DUMMYFUNCTION("""COMPUTED_VALUE"""),"")</f>
        <v/>
      </c>
      <c r="D750" s="50"/>
      <c r="G750" s="55"/>
    </row>
    <row r="751">
      <c r="A751" s="50"/>
      <c r="B751" s="50"/>
      <c r="C751" s="55" t="str">
        <f>IFERROR(__xludf.DUMMYFUNCTION("""COMPUTED_VALUE"""),"")</f>
        <v/>
      </c>
      <c r="D751" s="50"/>
      <c r="G751" s="55"/>
    </row>
    <row r="752">
      <c r="A752" s="50"/>
      <c r="B752" s="50"/>
      <c r="C752" s="55" t="str">
        <f>IFERROR(__xludf.DUMMYFUNCTION("""COMPUTED_VALUE"""),"")</f>
        <v/>
      </c>
      <c r="D752" s="50"/>
      <c r="G752" s="55"/>
    </row>
    <row r="753">
      <c r="A753" s="50"/>
      <c r="B753" s="50"/>
      <c r="C753" s="55" t="str">
        <f>IFERROR(__xludf.DUMMYFUNCTION("""COMPUTED_VALUE"""),"")</f>
        <v/>
      </c>
      <c r="D753" s="50"/>
      <c r="G753" s="55"/>
    </row>
    <row r="754">
      <c r="A754" s="50"/>
      <c r="B754" s="50"/>
      <c r="C754" s="55" t="str">
        <f>IFERROR(__xludf.DUMMYFUNCTION("""COMPUTED_VALUE"""),"")</f>
        <v/>
      </c>
      <c r="D754" s="50"/>
      <c r="G754" s="55"/>
    </row>
    <row r="755">
      <c r="A755" s="50"/>
      <c r="B755" s="50"/>
      <c r="C755" s="55" t="str">
        <f>IFERROR(__xludf.DUMMYFUNCTION("""COMPUTED_VALUE"""),"")</f>
        <v/>
      </c>
      <c r="D755" s="50"/>
      <c r="G755" s="55"/>
    </row>
    <row r="756">
      <c r="A756" s="50"/>
      <c r="B756" s="50"/>
      <c r="C756" s="55" t="str">
        <f>IFERROR(__xludf.DUMMYFUNCTION("""COMPUTED_VALUE"""),"")</f>
        <v/>
      </c>
      <c r="D756" s="50"/>
      <c r="G756" s="55"/>
    </row>
    <row r="757">
      <c r="A757" s="50"/>
      <c r="B757" s="50"/>
      <c r="C757" s="55" t="str">
        <f>IFERROR(__xludf.DUMMYFUNCTION("""COMPUTED_VALUE"""),"")</f>
        <v/>
      </c>
      <c r="D757" s="50"/>
      <c r="G757" s="55"/>
    </row>
    <row r="758">
      <c r="A758" s="50"/>
      <c r="B758" s="50"/>
      <c r="C758" s="55" t="str">
        <f>IFERROR(__xludf.DUMMYFUNCTION("""COMPUTED_VALUE"""),"")</f>
        <v/>
      </c>
      <c r="D758" s="50"/>
      <c r="G758" s="55"/>
    </row>
    <row r="759">
      <c r="A759" s="50"/>
      <c r="B759" s="50"/>
      <c r="C759" s="55" t="str">
        <f>IFERROR(__xludf.DUMMYFUNCTION("""COMPUTED_VALUE"""),"")</f>
        <v/>
      </c>
      <c r="D759" s="50"/>
      <c r="G759" s="55"/>
    </row>
    <row r="760">
      <c r="A760" s="50"/>
      <c r="B760" s="50"/>
      <c r="C760" s="55" t="str">
        <f>IFERROR(__xludf.DUMMYFUNCTION("""COMPUTED_VALUE"""),"")</f>
        <v/>
      </c>
      <c r="D760" s="50"/>
      <c r="G760" s="55"/>
    </row>
    <row r="761">
      <c r="A761" s="50"/>
      <c r="B761" s="50"/>
      <c r="C761" s="55" t="str">
        <f>IFERROR(__xludf.DUMMYFUNCTION("""COMPUTED_VALUE"""),"")</f>
        <v/>
      </c>
      <c r="D761" s="50"/>
      <c r="G761" s="55"/>
    </row>
    <row r="762">
      <c r="A762" s="50"/>
      <c r="B762" s="50"/>
      <c r="C762" s="55" t="str">
        <f>IFERROR(__xludf.DUMMYFUNCTION("""COMPUTED_VALUE"""),"")</f>
        <v/>
      </c>
      <c r="D762" s="50"/>
      <c r="G762" s="55"/>
    </row>
    <row r="763">
      <c r="A763" s="50"/>
      <c r="B763" s="50"/>
      <c r="C763" s="55" t="str">
        <f>IFERROR(__xludf.DUMMYFUNCTION("""COMPUTED_VALUE"""),"")</f>
        <v/>
      </c>
      <c r="D763" s="50"/>
      <c r="G763" s="55"/>
    </row>
    <row r="764">
      <c r="A764" s="50"/>
      <c r="B764" s="50"/>
      <c r="C764" s="55" t="str">
        <f>IFERROR(__xludf.DUMMYFUNCTION("""COMPUTED_VALUE"""),"")</f>
        <v/>
      </c>
      <c r="D764" s="50"/>
      <c r="G764" s="55"/>
    </row>
    <row r="765">
      <c r="A765" s="50"/>
      <c r="B765" s="50"/>
      <c r="C765" s="55" t="str">
        <f>IFERROR(__xludf.DUMMYFUNCTION("""COMPUTED_VALUE"""),"")</f>
        <v/>
      </c>
      <c r="D765" s="50"/>
      <c r="G765" s="55"/>
    </row>
    <row r="766">
      <c r="A766" s="50"/>
      <c r="B766" s="50"/>
      <c r="C766" s="55" t="str">
        <f>IFERROR(__xludf.DUMMYFUNCTION("""COMPUTED_VALUE"""),"")</f>
        <v/>
      </c>
      <c r="D766" s="50"/>
      <c r="G766" s="55"/>
    </row>
    <row r="767">
      <c r="A767" s="50"/>
      <c r="B767" s="50"/>
      <c r="C767" s="55" t="str">
        <f>IFERROR(__xludf.DUMMYFUNCTION("""COMPUTED_VALUE"""),"")</f>
        <v/>
      </c>
      <c r="D767" s="50"/>
      <c r="G767" s="55"/>
    </row>
    <row r="768">
      <c r="A768" s="50"/>
      <c r="B768" s="50"/>
      <c r="C768" s="55" t="str">
        <f>IFERROR(__xludf.DUMMYFUNCTION("""COMPUTED_VALUE"""),"")</f>
        <v/>
      </c>
      <c r="D768" s="50"/>
      <c r="G768" s="55"/>
    </row>
    <row r="769">
      <c r="A769" s="50"/>
      <c r="B769" s="50"/>
      <c r="C769" s="55" t="str">
        <f>IFERROR(__xludf.DUMMYFUNCTION("""COMPUTED_VALUE"""),"")</f>
        <v/>
      </c>
      <c r="D769" s="50"/>
      <c r="G769" s="55"/>
    </row>
    <row r="770">
      <c r="A770" s="50"/>
      <c r="B770" s="50"/>
      <c r="C770" s="55" t="str">
        <f>IFERROR(__xludf.DUMMYFUNCTION("""COMPUTED_VALUE"""),"")</f>
        <v/>
      </c>
      <c r="D770" s="50"/>
      <c r="G770" s="55"/>
    </row>
    <row r="771">
      <c r="A771" s="50"/>
      <c r="B771" s="50"/>
      <c r="C771" s="55" t="str">
        <f>IFERROR(__xludf.DUMMYFUNCTION("""COMPUTED_VALUE"""),"")</f>
        <v/>
      </c>
      <c r="D771" s="50"/>
      <c r="G771" s="55"/>
    </row>
    <row r="772">
      <c r="A772" s="50"/>
      <c r="B772" s="50"/>
      <c r="C772" s="55" t="str">
        <f>IFERROR(__xludf.DUMMYFUNCTION("""COMPUTED_VALUE"""),"")</f>
        <v/>
      </c>
      <c r="D772" s="50"/>
      <c r="G772" s="55"/>
    </row>
    <row r="773">
      <c r="A773" s="50"/>
      <c r="B773" s="50"/>
      <c r="C773" s="55" t="str">
        <f>IFERROR(__xludf.DUMMYFUNCTION("""COMPUTED_VALUE"""),"")</f>
        <v/>
      </c>
      <c r="D773" s="50"/>
      <c r="G773" s="55"/>
    </row>
    <row r="774">
      <c r="A774" s="50"/>
      <c r="B774" s="50"/>
      <c r="C774" s="55" t="str">
        <f>IFERROR(__xludf.DUMMYFUNCTION("""COMPUTED_VALUE"""),"")</f>
        <v/>
      </c>
      <c r="D774" s="50"/>
      <c r="G774" s="55"/>
    </row>
    <row r="775">
      <c r="A775" s="50"/>
      <c r="B775" s="50"/>
      <c r="C775" s="55" t="str">
        <f>IFERROR(__xludf.DUMMYFUNCTION("""COMPUTED_VALUE"""),"")</f>
        <v/>
      </c>
      <c r="D775" s="50"/>
      <c r="G775" s="55"/>
    </row>
    <row r="776">
      <c r="A776" s="50"/>
      <c r="B776" s="50"/>
      <c r="C776" s="55" t="str">
        <f>IFERROR(__xludf.DUMMYFUNCTION("""COMPUTED_VALUE"""),"")</f>
        <v/>
      </c>
      <c r="D776" s="50"/>
      <c r="G776" s="55"/>
    </row>
    <row r="777">
      <c r="A777" s="50"/>
      <c r="B777" s="50"/>
      <c r="C777" s="55" t="str">
        <f>IFERROR(__xludf.DUMMYFUNCTION("""COMPUTED_VALUE"""),"")</f>
        <v/>
      </c>
      <c r="D777" s="50"/>
      <c r="G777" s="55"/>
    </row>
    <row r="778">
      <c r="A778" s="50"/>
      <c r="B778" s="50"/>
      <c r="C778" s="55" t="str">
        <f>IFERROR(__xludf.DUMMYFUNCTION("""COMPUTED_VALUE"""),"")</f>
        <v/>
      </c>
      <c r="D778" s="50"/>
      <c r="G778" s="55"/>
    </row>
    <row r="779">
      <c r="A779" s="50"/>
      <c r="B779" s="50"/>
      <c r="C779" s="55" t="str">
        <f>IFERROR(__xludf.DUMMYFUNCTION("""COMPUTED_VALUE"""),"")</f>
        <v/>
      </c>
      <c r="D779" s="50"/>
      <c r="G779" s="55"/>
    </row>
    <row r="780">
      <c r="A780" s="50"/>
      <c r="B780" s="50"/>
      <c r="C780" s="55" t="str">
        <f>IFERROR(__xludf.DUMMYFUNCTION("""COMPUTED_VALUE"""),"")</f>
        <v/>
      </c>
      <c r="D780" s="50"/>
      <c r="G780" s="55"/>
    </row>
    <row r="781">
      <c r="A781" s="50"/>
      <c r="B781" s="50"/>
      <c r="C781" s="55" t="str">
        <f>IFERROR(__xludf.DUMMYFUNCTION("""COMPUTED_VALUE"""),"")</f>
        <v/>
      </c>
      <c r="D781" s="50"/>
      <c r="G781" s="55"/>
    </row>
    <row r="782">
      <c r="A782" s="50"/>
      <c r="B782" s="50"/>
      <c r="C782" s="55" t="str">
        <f>IFERROR(__xludf.DUMMYFUNCTION("""COMPUTED_VALUE"""),"")</f>
        <v/>
      </c>
      <c r="D782" s="50"/>
      <c r="G782" s="55"/>
    </row>
    <row r="783">
      <c r="A783" s="50"/>
      <c r="B783" s="50"/>
      <c r="C783" s="55" t="str">
        <f>IFERROR(__xludf.DUMMYFUNCTION("""COMPUTED_VALUE"""),"")</f>
        <v/>
      </c>
      <c r="D783" s="50"/>
      <c r="G783" s="55"/>
    </row>
    <row r="784">
      <c r="A784" s="50"/>
      <c r="B784" s="50"/>
      <c r="C784" s="55" t="str">
        <f>IFERROR(__xludf.DUMMYFUNCTION("""COMPUTED_VALUE"""),"")</f>
        <v/>
      </c>
      <c r="D784" s="50"/>
      <c r="G784" s="55"/>
    </row>
    <row r="785">
      <c r="A785" s="50"/>
      <c r="B785" s="50"/>
      <c r="C785" s="55" t="str">
        <f>IFERROR(__xludf.DUMMYFUNCTION("""COMPUTED_VALUE"""),"")</f>
        <v/>
      </c>
      <c r="D785" s="50"/>
      <c r="G785" s="55"/>
    </row>
    <row r="786">
      <c r="A786" s="50"/>
      <c r="B786" s="50"/>
      <c r="C786" s="55" t="str">
        <f>IFERROR(__xludf.DUMMYFUNCTION("""COMPUTED_VALUE"""),"")</f>
        <v/>
      </c>
      <c r="D786" s="50"/>
      <c r="G786" s="55"/>
    </row>
    <row r="787">
      <c r="A787" s="50"/>
      <c r="B787" s="50"/>
      <c r="C787" s="55" t="str">
        <f>IFERROR(__xludf.DUMMYFUNCTION("""COMPUTED_VALUE"""),"")</f>
        <v/>
      </c>
      <c r="D787" s="50"/>
      <c r="G787" s="55"/>
    </row>
    <row r="788">
      <c r="A788" s="50"/>
      <c r="B788" s="50"/>
      <c r="C788" s="55" t="str">
        <f>IFERROR(__xludf.DUMMYFUNCTION("""COMPUTED_VALUE"""),"")</f>
        <v/>
      </c>
      <c r="D788" s="50"/>
      <c r="G788" s="55"/>
    </row>
    <row r="789">
      <c r="A789" s="50"/>
      <c r="B789" s="50"/>
      <c r="C789" s="55" t="str">
        <f>IFERROR(__xludf.DUMMYFUNCTION("""COMPUTED_VALUE"""),"")</f>
        <v/>
      </c>
      <c r="D789" s="50"/>
      <c r="G789" s="55"/>
    </row>
    <row r="790">
      <c r="A790" s="50"/>
      <c r="B790" s="50"/>
      <c r="C790" s="55" t="str">
        <f>IFERROR(__xludf.DUMMYFUNCTION("""COMPUTED_VALUE"""),"")</f>
        <v/>
      </c>
      <c r="D790" s="50"/>
      <c r="G790" s="55"/>
    </row>
    <row r="791">
      <c r="A791" s="50"/>
      <c r="B791" s="50"/>
      <c r="C791" s="55" t="str">
        <f>IFERROR(__xludf.DUMMYFUNCTION("""COMPUTED_VALUE"""),"")</f>
        <v/>
      </c>
      <c r="D791" s="50"/>
      <c r="G791" s="55"/>
    </row>
    <row r="792">
      <c r="A792" s="50"/>
      <c r="B792" s="50"/>
      <c r="C792" s="55" t="str">
        <f>IFERROR(__xludf.DUMMYFUNCTION("""COMPUTED_VALUE"""),"")</f>
        <v/>
      </c>
      <c r="D792" s="50"/>
      <c r="G792" s="55"/>
    </row>
    <row r="793">
      <c r="A793" s="50"/>
      <c r="B793" s="50"/>
      <c r="C793" s="55" t="str">
        <f>IFERROR(__xludf.DUMMYFUNCTION("""COMPUTED_VALUE"""),"")</f>
        <v/>
      </c>
      <c r="D793" s="50"/>
      <c r="G793" s="55"/>
    </row>
    <row r="794">
      <c r="A794" s="50"/>
      <c r="B794" s="50"/>
      <c r="C794" s="55" t="str">
        <f>IFERROR(__xludf.DUMMYFUNCTION("""COMPUTED_VALUE"""),"")</f>
        <v/>
      </c>
      <c r="D794" s="50"/>
      <c r="G794" s="55"/>
    </row>
    <row r="795">
      <c r="A795" s="50"/>
      <c r="B795" s="50"/>
      <c r="C795" s="55" t="str">
        <f>IFERROR(__xludf.DUMMYFUNCTION("""COMPUTED_VALUE"""),"")</f>
        <v/>
      </c>
      <c r="D795" s="50"/>
      <c r="G795" s="55"/>
    </row>
    <row r="796">
      <c r="A796" s="50"/>
      <c r="B796" s="50"/>
      <c r="C796" s="55" t="str">
        <f>IFERROR(__xludf.DUMMYFUNCTION("""COMPUTED_VALUE"""),"")</f>
        <v/>
      </c>
      <c r="D796" s="50"/>
      <c r="G796" s="55"/>
    </row>
    <row r="797">
      <c r="A797" s="50"/>
      <c r="B797" s="50"/>
      <c r="C797" s="55" t="str">
        <f>IFERROR(__xludf.DUMMYFUNCTION("""COMPUTED_VALUE"""),"")</f>
        <v/>
      </c>
      <c r="D797" s="50"/>
      <c r="G797" s="55"/>
    </row>
    <row r="798">
      <c r="A798" s="50"/>
      <c r="B798" s="50"/>
      <c r="C798" s="55" t="str">
        <f>IFERROR(__xludf.DUMMYFUNCTION("""COMPUTED_VALUE"""),"")</f>
        <v/>
      </c>
      <c r="D798" s="50"/>
      <c r="G798" s="55"/>
    </row>
    <row r="799">
      <c r="A799" s="50"/>
      <c r="B799" s="50"/>
      <c r="C799" s="55" t="str">
        <f>IFERROR(__xludf.DUMMYFUNCTION("""COMPUTED_VALUE"""),"")</f>
        <v/>
      </c>
      <c r="D799" s="50"/>
      <c r="G799" s="55"/>
    </row>
    <row r="800">
      <c r="A800" s="50"/>
      <c r="B800" s="50"/>
      <c r="C800" s="55" t="str">
        <f>IFERROR(__xludf.DUMMYFUNCTION("""COMPUTED_VALUE"""),"")</f>
        <v/>
      </c>
      <c r="D800" s="50"/>
      <c r="G800" s="55"/>
    </row>
    <row r="801">
      <c r="A801" s="50"/>
      <c r="B801" s="50"/>
      <c r="C801" s="55" t="str">
        <f>IFERROR(__xludf.DUMMYFUNCTION("""COMPUTED_VALUE"""),"")</f>
        <v/>
      </c>
      <c r="D801" s="50"/>
      <c r="G801" s="55"/>
    </row>
    <row r="802">
      <c r="A802" s="50"/>
      <c r="B802" s="50"/>
      <c r="C802" s="55" t="str">
        <f>IFERROR(__xludf.DUMMYFUNCTION("""COMPUTED_VALUE"""),"")</f>
        <v/>
      </c>
      <c r="D802" s="50"/>
      <c r="G802" s="55"/>
    </row>
    <row r="803">
      <c r="A803" s="50"/>
      <c r="B803" s="50"/>
      <c r="C803" s="55" t="str">
        <f>IFERROR(__xludf.DUMMYFUNCTION("""COMPUTED_VALUE"""),"")</f>
        <v/>
      </c>
      <c r="D803" s="50"/>
      <c r="G803" s="55"/>
    </row>
    <row r="804">
      <c r="A804" s="50"/>
      <c r="B804" s="50"/>
      <c r="C804" s="55" t="str">
        <f>IFERROR(__xludf.DUMMYFUNCTION("""COMPUTED_VALUE"""),"")</f>
        <v/>
      </c>
      <c r="D804" s="50"/>
      <c r="G804" s="55"/>
    </row>
    <row r="805">
      <c r="A805" s="50"/>
      <c r="B805" s="50"/>
      <c r="C805" s="55" t="str">
        <f>IFERROR(__xludf.DUMMYFUNCTION("""COMPUTED_VALUE"""),"")</f>
        <v/>
      </c>
      <c r="D805" s="50"/>
      <c r="G805" s="55"/>
    </row>
    <row r="806">
      <c r="A806" s="50"/>
      <c r="B806" s="50"/>
      <c r="C806" s="55" t="str">
        <f>IFERROR(__xludf.DUMMYFUNCTION("""COMPUTED_VALUE"""),"")</f>
        <v/>
      </c>
      <c r="D806" s="50"/>
      <c r="G806" s="55"/>
    </row>
    <row r="807">
      <c r="A807" s="50"/>
      <c r="B807" s="50"/>
      <c r="C807" s="55" t="str">
        <f>IFERROR(__xludf.DUMMYFUNCTION("""COMPUTED_VALUE"""),"")</f>
        <v/>
      </c>
      <c r="D807" s="50"/>
      <c r="G807" s="55"/>
    </row>
    <row r="808">
      <c r="A808" s="50"/>
      <c r="B808" s="50"/>
      <c r="C808" s="55" t="str">
        <f>IFERROR(__xludf.DUMMYFUNCTION("""COMPUTED_VALUE"""),"")</f>
        <v/>
      </c>
      <c r="D808" s="50"/>
      <c r="G808" s="55"/>
    </row>
    <row r="809">
      <c r="A809" s="50"/>
      <c r="B809" s="50"/>
      <c r="C809" s="55" t="str">
        <f>IFERROR(__xludf.DUMMYFUNCTION("""COMPUTED_VALUE"""),"")</f>
        <v/>
      </c>
      <c r="D809" s="50"/>
      <c r="G809" s="55"/>
    </row>
    <row r="810">
      <c r="A810" s="50"/>
      <c r="B810" s="50"/>
      <c r="C810" s="55" t="str">
        <f>IFERROR(__xludf.DUMMYFUNCTION("""COMPUTED_VALUE"""),"")</f>
        <v/>
      </c>
      <c r="D810" s="50"/>
      <c r="G810" s="55"/>
    </row>
    <row r="811">
      <c r="A811" s="50"/>
      <c r="B811" s="50"/>
      <c r="C811" s="55" t="str">
        <f>IFERROR(__xludf.DUMMYFUNCTION("""COMPUTED_VALUE"""),"")</f>
        <v/>
      </c>
      <c r="D811" s="50"/>
      <c r="G811" s="55"/>
    </row>
    <row r="812">
      <c r="A812" s="50"/>
      <c r="B812" s="50"/>
      <c r="C812" s="55" t="str">
        <f>IFERROR(__xludf.DUMMYFUNCTION("""COMPUTED_VALUE"""),"")</f>
        <v/>
      </c>
      <c r="D812" s="50"/>
      <c r="G812" s="55"/>
    </row>
    <row r="813">
      <c r="A813" s="50"/>
      <c r="B813" s="50"/>
      <c r="C813" s="55" t="str">
        <f>IFERROR(__xludf.DUMMYFUNCTION("""COMPUTED_VALUE"""),"")</f>
        <v/>
      </c>
      <c r="D813" s="50"/>
      <c r="G813" s="55"/>
    </row>
    <row r="814">
      <c r="A814" s="50"/>
      <c r="B814" s="50"/>
      <c r="C814" s="55" t="str">
        <f>IFERROR(__xludf.DUMMYFUNCTION("""COMPUTED_VALUE"""),"")</f>
        <v/>
      </c>
      <c r="D814" s="50"/>
      <c r="G814" s="55"/>
    </row>
    <row r="815">
      <c r="A815" s="50"/>
      <c r="B815" s="50"/>
      <c r="C815" s="55" t="str">
        <f>IFERROR(__xludf.DUMMYFUNCTION("""COMPUTED_VALUE"""),"")</f>
        <v/>
      </c>
      <c r="D815" s="50"/>
      <c r="G815" s="55"/>
    </row>
    <row r="816">
      <c r="A816" s="50"/>
      <c r="B816" s="50"/>
      <c r="C816" s="55" t="str">
        <f>IFERROR(__xludf.DUMMYFUNCTION("""COMPUTED_VALUE"""),"")</f>
        <v/>
      </c>
      <c r="D816" s="50"/>
      <c r="G816" s="55"/>
    </row>
    <row r="817">
      <c r="A817" s="50"/>
      <c r="B817" s="50"/>
      <c r="C817" s="55" t="str">
        <f>IFERROR(__xludf.DUMMYFUNCTION("""COMPUTED_VALUE"""),"")</f>
        <v/>
      </c>
      <c r="D817" s="50"/>
      <c r="G817" s="55"/>
    </row>
    <row r="818">
      <c r="A818" s="50"/>
      <c r="B818" s="50"/>
      <c r="C818" s="55" t="str">
        <f>IFERROR(__xludf.DUMMYFUNCTION("""COMPUTED_VALUE"""),"")</f>
        <v/>
      </c>
      <c r="D818" s="50"/>
      <c r="G818" s="55"/>
    </row>
    <row r="819">
      <c r="A819" s="50"/>
      <c r="B819" s="50"/>
      <c r="C819" s="55" t="str">
        <f>IFERROR(__xludf.DUMMYFUNCTION("""COMPUTED_VALUE"""),"")</f>
        <v/>
      </c>
      <c r="D819" s="50"/>
      <c r="G819" s="55"/>
    </row>
    <row r="820">
      <c r="A820" s="50"/>
      <c r="B820" s="50"/>
      <c r="C820" s="55" t="str">
        <f>IFERROR(__xludf.DUMMYFUNCTION("""COMPUTED_VALUE"""),"")</f>
        <v/>
      </c>
      <c r="D820" s="50"/>
      <c r="G820" s="55"/>
    </row>
    <row r="821">
      <c r="A821" s="50"/>
      <c r="B821" s="50"/>
      <c r="C821" s="55" t="str">
        <f>IFERROR(__xludf.DUMMYFUNCTION("""COMPUTED_VALUE"""),"")</f>
        <v/>
      </c>
      <c r="D821" s="50"/>
      <c r="G821" s="55"/>
    </row>
    <row r="822">
      <c r="A822" s="50"/>
      <c r="B822" s="50"/>
      <c r="C822" s="55" t="str">
        <f>IFERROR(__xludf.DUMMYFUNCTION("""COMPUTED_VALUE"""),"")</f>
        <v/>
      </c>
      <c r="D822" s="50"/>
      <c r="G822" s="55"/>
    </row>
    <row r="823">
      <c r="A823" s="50"/>
      <c r="B823" s="50"/>
      <c r="C823" s="55" t="str">
        <f>IFERROR(__xludf.DUMMYFUNCTION("""COMPUTED_VALUE"""),"")</f>
        <v/>
      </c>
      <c r="D823" s="50"/>
      <c r="G823" s="55"/>
    </row>
    <row r="824">
      <c r="A824" s="50"/>
      <c r="B824" s="50"/>
      <c r="C824" s="55" t="str">
        <f>IFERROR(__xludf.DUMMYFUNCTION("""COMPUTED_VALUE"""),"")</f>
        <v/>
      </c>
      <c r="D824" s="50"/>
      <c r="G824" s="55"/>
    </row>
    <row r="825">
      <c r="A825" s="50"/>
      <c r="B825" s="50"/>
      <c r="C825" s="55" t="str">
        <f>IFERROR(__xludf.DUMMYFUNCTION("""COMPUTED_VALUE"""),"")</f>
        <v/>
      </c>
      <c r="D825" s="50"/>
      <c r="G825" s="55"/>
    </row>
    <row r="826">
      <c r="A826" s="50"/>
      <c r="B826" s="50"/>
      <c r="C826" s="55" t="str">
        <f>IFERROR(__xludf.DUMMYFUNCTION("""COMPUTED_VALUE"""),"")</f>
        <v/>
      </c>
      <c r="D826" s="50"/>
      <c r="G826" s="55"/>
    </row>
    <row r="827">
      <c r="A827" s="50"/>
      <c r="B827" s="50"/>
      <c r="C827" s="55" t="str">
        <f>IFERROR(__xludf.DUMMYFUNCTION("""COMPUTED_VALUE"""),"")</f>
        <v/>
      </c>
      <c r="D827" s="50"/>
      <c r="G827" s="55"/>
    </row>
    <row r="828">
      <c r="A828" s="50"/>
      <c r="B828" s="50"/>
      <c r="C828" s="55" t="str">
        <f>IFERROR(__xludf.DUMMYFUNCTION("""COMPUTED_VALUE"""),"")</f>
        <v/>
      </c>
      <c r="D828" s="50"/>
      <c r="G828" s="55"/>
    </row>
    <row r="829">
      <c r="A829" s="50"/>
      <c r="B829" s="50"/>
      <c r="C829" s="55" t="str">
        <f>IFERROR(__xludf.DUMMYFUNCTION("""COMPUTED_VALUE"""),"")</f>
        <v/>
      </c>
      <c r="D829" s="50"/>
      <c r="G829" s="55"/>
    </row>
    <row r="830">
      <c r="A830" s="50"/>
      <c r="B830" s="50"/>
      <c r="C830" s="55" t="str">
        <f>IFERROR(__xludf.DUMMYFUNCTION("""COMPUTED_VALUE"""),"")</f>
        <v/>
      </c>
      <c r="D830" s="50"/>
      <c r="G830" s="55"/>
    </row>
    <row r="831">
      <c r="A831" s="50"/>
      <c r="B831" s="50"/>
      <c r="C831" s="55" t="str">
        <f>IFERROR(__xludf.DUMMYFUNCTION("""COMPUTED_VALUE"""),"")</f>
        <v/>
      </c>
      <c r="D831" s="50"/>
      <c r="G831" s="55"/>
    </row>
    <row r="832">
      <c r="A832" s="50"/>
      <c r="B832" s="50"/>
      <c r="C832" s="55" t="str">
        <f>IFERROR(__xludf.DUMMYFUNCTION("""COMPUTED_VALUE"""),"")</f>
        <v/>
      </c>
      <c r="D832" s="50"/>
      <c r="G832" s="55"/>
    </row>
    <row r="833">
      <c r="A833" s="50"/>
      <c r="B833" s="50"/>
      <c r="C833" s="55" t="str">
        <f>IFERROR(__xludf.DUMMYFUNCTION("""COMPUTED_VALUE"""),"")</f>
        <v/>
      </c>
      <c r="D833" s="50"/>
      <c r="G833" s="55"/>
    </row>
    <row r="834">
      <c r="A834" s="50"/>
      <c r="B834" s="50"/>
      <c r="C834" s="55" t="str">
        <f>IFERROR(__xludf.DUMMYFUNCTION("""COMPUTED_VALUE"""),"")</f>
        <v/>
      </c>
      <c r="D834" s="50"/>
      <c r="G834" s="55"/>
    </row>
    <row r="835">
      <c r="A835" s="50"/>
      <c r="B835" s="50"/>
      <c r="C835" s="55" t="str">
        <f>IFERROR(__xludf.DUMMYFUNCTION("""COMPUTED_VALUE"""),"")</f>
        <v/>
      </c>
      <c r="D835" s="50"/>
      <c r="G835" s="55"/>
    </row>
    <row r="836">
      <c r="A836" s="50"/>
      <c r="B836" s="50"/>
      <c r="C836" s="55" t="str">
        <f>IFERROR(__xludf.DUMMYFUNCTION("""COMPUTED_VALUE"""),"")</f>
        <v/>
      </c>
      <c r="D836" s="50"/>
      <c r="G836" s="55"/>
    </row>
    <row r="837">
      <c r="A837" s="50"/>
      <c r="B837" s="50"/>
      <c r="C837" s="55" t="str">
        <f>IFERROR(__xludf.DUMMYFUNCTION("""COMPUTED_VALUE"""),"")</f>
        <v/>
      </c>
      <c r="D837" s="50"/>
      <c r="G837" s="55"/>
    </row>
    <row r="838">
      <c r="A838" s="50"/>
      <c r="B838" s="50"/>
      <c r="C838" s="55" t="str">
        <f>IFERROR(__xludf.DUMMYFUNCTION("""COMPUTED_VALUE"""),"")</f>
        <v/>
      </c>
      <c r="D838" s="50"/>
      <c r="G838" s="55"/>
    </row>
    <row r="839">
      <c r="A839" s="50"/>
      <c r="B839" s="50"/>
      <c r="C839" s="55" t="str">
        <f>IFERROR(__xludf.DUMMYFUNCTION("""COMPUTED_VALUE"""),"")</f>
        <v/>
      </c>
      <c r="D839" s="50"/>
      <c r="G839" s="55"/>
    </row>
    <row r="840">
      <c r="A840" s="50"/>
      <c r="B840" s="50"/>
      <c r="C840" s="55" t="str">
        <f>IFERROR(__xludf.DUMMYFUNCTION("""COMPUTED_VALUE"""),"")</f>
        <v/>
      </c>
      <c r="D840" s="50"/>
      <c r="G840" s="55"/>
    </row>
    <row r="841">
      <c r="A841" s="50"/>
      <c r="B841" s="50"/>
      <c r="C841" s="55" t="str">
        <f>IFERROR(__xludf.DUMMYFUNCTION("""COMPUTED_VALUE"""),"")</f>
        <v/>
      </c>
      <c r="D841" s="50"/>
      <c r="G841" s="55"/>
    </row>
    <row r="842">
      <c r="A842" s="50"/>
      <c r="B842" s="50"/>
      <c r="C842" s="55" t="str">
        <f>IFERROR(__xludf.DUMMYFUNCTION("""COMPUTED_VALUE"""),"")</f>
        <v/>
      </c>
      <c r="D842" s="50"/>
      <c r="G842" s="55"/>
    </row>
    <row r="843">
      <c r="A843" s="50"/>
      <c r="B843" s="50"/>
      <c r="C843" s="55" t="str">
        <f>IFERROR(__xludf.DUMMYFUNCTION("""COMPUTED_VALUE"""),"")</f>
        <v/>
      </c>
      <c r="D843" s="50"/>
      <c r="G843" s="55"/>
    </row>
    <row r="844">
      <c r="A844" s="50"/>
      <c r="B844" s="50"/>
      <c r="C844" s="55" t="str">
        <f>IFERROR(__xludf.DUMMYFUNCTION("""COMPUTED_VALUE"""),"")</f>
        <v/>
      </c>
      <c r="D844" s="50"/>
      <c r="G844" s="55"/>
    </row>
    <row r="845">
      <c r="A845" s="50"/>
      <c r="B845" s="50"/>
      <c r="C845" s="55" t="str">
        <f>IFERROR(__xludf.DUMMYFUNCTION("""COMPUTED_VALUE"""),"")</f>
        <v/>
      </c>
      <c r="D845" s="50"/>
      <c r="G845" s="55"/>
    </row>
    <row r="846">
      <c r="A846" s="50"/>
      <c r="B846" s="50"/>
      <c r="C846" s="55" t="str">
        <f>IFERROR(__xludf.DUMMYFUNCTION("""COMPUTED_VALUE"""),"")</f>
        <v/>
      </c>
      <c r="D846" s="50"/>
      <c r="G846" s="55"/>
    </row>
    <row r="847">
      <c r="A847" s="50"/>
      <c r="B847" s="50"/>
      <c r="C847" s="55" t="str">
        <f>IFERROR(__xludf.DUMMYFUNCTION("""COMPUTED_VALUE"""),"")</f>
        <v/>
      </c>
      <c r="D847" s="50"/>
      <c r="G847" s="55"/>
    </row>
    <row r="848">
      <c r="A848" s="50"/>
      <c r="B848" s="50"/>
      <c r="C848" s="55" t="str">
        <f>IFERROR(__xludf.DUMMYFUNCTION("""COMPUTED_VALUE"""),"")</f>
        <v/>
      </c>
      <c r="D848" s="50"/>
      <c r="G848" s="55"/>
    </row>
    <row r="849">
      <c r="A849" s="50"/>
      <c r="B849" s="50"/>
      <c r="C849" s="55" t="str">
        <f>IFERROR(__xludf.DUMMYFUNCTION("""COMPUTED_VALUE"""),"")</f>
        <v/>
      </c>
      <c r="D849" s="50"/>
      <c r="G849" s="55"/>
    </row>
    <row r="850">
      <c r="A850" s="50"/>
      <c r="B850" s="50"/>
      <c r="C850" s="55" t="str">
        <f>IFERROR(__xludf.DUMMYFUNCTION("""COMPUTED_VALUE"""),"")</f>
        <v/>
      </c>
      <c r="D850" s="50"/>
      <c r="G850" s="55"/>
    </row>
    <row r="851">
      <c r="A851" s="50"/>
      <c r="B851" s="50"/>
      <c r="C851" s="55" t="str">
        <f>IFERROR(__xludf.DUMMYFUNCTION("""COMPUTED_VALUE"""),"")</f>
        <v/>
      </c>
      <c r="D851" s="50"/>
      <c r="G851" s="55"/>
    </row>
    <row r="852">
      <c r="A852" s="50"/>
      <c r="B852" s="50"/>
      <c r="C852" s="55" t="str">
        <f>IFERROR(__xludf.DUMMYFUNCTION("""COMPUTED_VALUE"""),"")</f>
        <v/>
      </c>
      <c r="D852" s="50"/>
      <c r="G852" s="55"/>
    </row>
    <row r="853">
      <c r="A853" s="50"/>
      <c r="B853" s="50"/>
      <c r="C853" s="55" t="str">
        <f>IFERROR(__xludf.DUMMYFUNCTION("""COMPUTED_VALUE"""),"")</f>
        <v/>
      </c>
      <c r="D853" s="50"/>
      <c r="G853" s="55"/>
    </row>
    <row r="854">
      <c r="A854" s="50"/>
      <c r="B854" s="50"/>
      <c r="C854" s="55" t="str">
        <f>IFERROR(__xludf.DUMMYFUNCTION("""COMPUTED_VALUE"""),"")</f>
        <v/>
      </c>
      <c r="D854" s="50"/>
      <c r="G854" s="55"/>
    </row>
    <row r="855">
      <c r="A855" s="50"/>
      <c r="B855" s="50"/>
      <c r="C855" s="55" t="str">
        <f>IFERROR(__xludf.DUMMYFUNCTION("""COMPUTED_VALUE"""),"")</f>
        <v/>
      </c>
      <c r="D855" s="50"/>
      <c r="G855" s="55"/>
    </row>
    <row r="856">
      <c r="A856" s="50"/>
      <c r="B856" s="50"/>
      <c r="C856" s="55" t="str">
        <f>IFERROR(__xludf.DUMMYFUNCTION("""COMPUTED_VALUE"""),"")</f>
        <v/>
      </c>
      <c r="D856" s="50"/>
      <c r="G856" s="55"/>
    </row>
    <row r="857">
      <c r="A857" s="50"/>
      <c r="B857" s="50"/>
      <c r="C857" s="55" t="str">
        <f>IFERROR(__xludf.DUMMYFUNCTION("""COMPUTED_VALUE"""),"")</f>
        <v/>
      </c>
      <c r="D857" s="50"/>
      <c r="G857" s="55"/>
    </row>
    <row r="858">
      <c r="A858" s="50"/>
      <c r="B858" s="50"/>
      <c r="C858" s="55" t="str">
        <f>IFERROR(__xludf.DUMMYFUNCTION("""COMPUTED_VALUE"""),"")</f>
        <v/>
      </c>
      <c r="D858" s="50"/>
      <c r="G858" s="55"/>
    </row>
    <row r="859">
      <c r="A859" s="50"/>
      <c r="B859" s="50"/>
      <c r="C859" s="55" t="str">
        <f>IFERROR(__xludf.DUMMYFUNCTION("""COMPUTED_VALUE"""),"")</f>
        <v/>
      </c>
      <c r="D859" s="50"/>
      <c r="G859" s="55"/>
    </row>
    <row r="860">
      <c r="A860" s="50"/>
      <c r="B860" s="50"/>
      <c r="C860" s="55" t="str">
        <f>IFERROR(__xludf.DUMMYFUNCTION("""COMPUTED_VALUE"""),"")</f>
        <v/>
      </c>
      <c r="D860" s="50"/>
      <c r="G860" s="55"/>
    </row>
    <row r="861">
      <c r="A861" s="50"/>
      <c r="B861" s="50"/>
      <c r="C861" s="55" t="str">
        <f>IFERROR(__xludf.DUMMYFUNCTION("""COMPUTED_VALUE"""),"")</f>
        <v/>
      </c>
      <c r="D861" s="50"/>
      <c r="G861" s="55"/>
    </row>
    <row r="862">
      <c r="A862" s="50"/>
      <c r="B862" s="50"/>
      <c r="C862" s="55" t="str">
        <f>IFERROR(__xludf.DUMMYFUNCTION("""COMPUTED_VALUE"""),"")</f>
        <v/>
      </c>
      <c r="D862" s="50"/>
      <c r="G862" s="55"/>
    </row>
    <row r="863">
      <c r="A863" s="50"/>
      <c r="B863" s="50"/>
      <c r="C863" s="55" t="str">
        <f>IFERROR(__xludf.DUMMYFUNCTION("""COMPUTED_VALUE"""),"")</f>
        <v/>
      </c>
      <c r="D863" s="50"/>
      <c r="G863" s="55"/>
    </row>
    <row r="864">
      <c r="A864" s="50"/>
      <c r="B864" s="50"/>
      <c r="C864" s="55" t="str">
        <f>IFERROR(__xludf.DUMMYFUNCTION("""COMPUTED_VALUE"""),"")</f>
        <v/>
      </c>
      <c r="D864" s="50"/>
      <c r="G864" s="55"/>
    </row>
    <row r="865">
      <c r="A865" s="50"/>
      <c r="B865" s="50"/>
      <c r="C865" s="55" t="str">
        <f>IFERROR(__xludf.DUMMYFUNCTION("""COMPUTED_VALUE"""),"")</f>
        <v/>
      </c>
      <c r="D865" s="50"/>
      <c r="G865" s="55"/>
    </row>
    <row r="866">
      <c r="A866" s="50"/>
      <c r="B866" s="50"/>
      <c r="C866" s="55" t="str">
        <f>IFERROR(__xludf.DUMMYFUNCTION("""COMPUTED_VALUE"""),"")</f>
        <v/>
      </c>
      <c r="D866" s="50"/>
      <c r="G866" s="55"/>
    </row>
    <row r="867">
      <c r="A867" s="50"/>
      <c r="B867" s="50"/>
      <c r="C867" s="55" t="str">
        <f>IFERROR(__xludf.DUMMYFUNCTION("""COMPUTED_VALUE"""),"")</f>
        <v/>
      </c>
      <c r="D867" s="50"/>
      <c r="G867" s="55"/>
    </row>
    <row r="868">
      <c r="A868" s="50"/>
      <c r="B868" s="50"/>
      <c r="C868" s="55" t="str">
        <f>IFERROR(__xludf.DUMMYFUNCTION("""COMPUTED_VALUE"""),"")</f>
        <v/>
      </c>
      <c r="D868" s="50"/>
      <c r="G868" s="55"/>
    </row>
    <row r="869">
      <c r="A869" s="50"/>
      <c r="B869" s="50"/>
      <c r="C869" s="55" t="str">
        <f>IFERROR(__xludf.DUMMYFUNCTION("""COMPUTED_VALUE"""),"")</f>
        <v/>
      </c>
      <c r="D869" s="50"/>
      <c r="G869" s="55"/>
    </row>
    <row r="870">
      <c r="A870" s="50"/>
      <c r="B870" s="50"/>
      <c r="C870" s="55" t="str">
        <f>IFERROR(__xludf.DUMMYFUNCTION("""COMPUTED_VALUE"""),"")</f>
        <v/>
      </c>
      <c r="D870" s="50"/>
      <c r="G870" s="55"/>
    </row>
    <row r="871">
      <c r="A871" s="50"/>
      <c r="B871" s="50"/>
      <c r="C871" s="55" t="str">
        <f>IFERROR(__xludf.DUMMYFUNCTION("""COMPUTED_VALUE"""),"")</f>
        <v/>
      </c>
      <c r="D871" s="50"/>
      <c r="G871" s="55"/>
    </row>
    <row r="872">
      <c r="A872" s="50"/>
      <c r="B872" s="50"/>
      <c r="C872" s="55" t="str">
        <f>IFERROR(__xludf.DUMMYFUNCTION("""COMPUTED_VALUE"""),"")</f>
        <v/>
      </c>
      <c r="D872" s="50"/>
      <c r="G872" s="55"/>
    </row>
    <row r="873">
      <c r="A873" s="50"/>
      <c r="B873" s="50"/>
      <c r="C873" s="55" t="str">
        <f>IFERROR(__xludf.DUMMYFUNCTION("""COMPUTED_VALUE"""),"")</f>
        <v/>
      </c>
      <c r="D873" s="50"/>
      <c r="G873" s="55"/>
    </row>
    <row r="874">
      <c r="A874" s="50"/>
      <c r="B874" s="50"/>
      <c r="C874" s="55" t="str">
        <f>IFERROR(__xludf.DUMMYFUNCTION("""COMPUTED_VALUE"""),"")</f>
        <v/>
      </c>
      <c r="D874" s="50"/>
      <c r="G874" s="55"/>
    </row>
    <row r="875">
      <c r="A875" s="50"/>
      <c r="B875" s="50"/>
      <c r="C875" s="55" t="str">
        <f>IFERROR(__xludf.DUMMYFUNCTION("""COMPUTED_VALUE"""),"")</f>
        <v/>
      </c>
      <c r="D875" s="50"/>
      <c r="G875" s="55"/>
    </row>
    <row r="876">
      <c r="A876" s="50"/>
      <c r="B876" s="50"/>
      <c r="C876" s="55" t="str">
        <f>IFERROR(__xludf.DUMMYFUNCTION("""COMPUTED_VALUE"""),"")</f>
        <v/>
      </c>
      <c r="D876" s="50"/>
      <c r="G876" s="55"/>
    </row>
    <row r="877">
      <c r="A877" s="50"/>
      <c r="B877" s="50"/>
      <c r="C877" s="55" t="str">
        <f>IFERROR(__xludf.DUMMYFUNCTION("""COMPUTED_VALUE"""),"")</f>
        <v/>
      </c>
      <c r="D877" s="50"/>
      <c r="G877" s="55"/>
    </row>
    <row r="878">
      <c r="A878" s="50"/>
      <c r="B878" s="50"/>
      <c r="C878" s="55" t="str">
        <f>IFERROR(__xludf.DUMMYFUNCTION("""COMPUTED_VALUE"""),"")</f>
        <v/>
      </c>
      <c r="D878" s="50"/>
      <c r="G878" s="55"/>
    </row>
    <row r="879">
      <c r="A879" s="50"/>
      <c r="B879" s="50"/>
      <c r="C879" s="55" t="str">
        <f>IFERROR(__xludf.DUMMYFUNCTION("""COMPUTED_VALUE"""),"")</f>
        <v/>
      </c>
      <c r="D879" s="50"/>
      <c r="G879" s="55"/>
    </row>
    <row r="880">
      <c r="A880" s="50"/>
      <c r="B880" s="50"/>
      <c r="C880" s="55" t="str">
        <f>IFERROR(__xludf.DUMMYFUNCTION("""COMPUTED_VALUE"""),"")</f>
        <v/>
      </c>
      <c r="D880" s="50"/>
      <c r="G880" s="55"/>
    </row>
    <row r="881">
      <c r="A881" s="50"/>
      <c r="B881" s="50"/>
      <c r="C881" s="55" t="str">
        <f>IFERROR(__xludf.DUMMYFUNCTION("""COMPUTED_VALUE"""),"")</f>
        <v/>
      </c>
      <c r="D881" s="50"/>
      <c r="G881" s="55"/>
    </row>
    <row r="882">
      <c r="A882" s="50"/>
      <c r="B882" s="50"/>
      <c r="C882" s="55" t="str">
        <f>IFERROR(__xludf.DUMMYFUNCTION("""COMPUTED_VALUE"""),"")</f>
        <v/>
      </c>
      <c r="D882" s="50"/>
      <c r="G882" s="55"/>
    </row>
    <row r="883">
      <c r="A883" s="50"/>
      <c r="B883" s="50"/>
      <c r="C883" s="55" t="str">
        <f>IFERROR(__xludf.DUMMYFUNCTION("""COMPUTED_VALUE"""),"")</f>
        <v/>
      </c>
      <c r="D883" s="50"/>
      <c r="G883" s="55"/>
    </row>
    <row r="884">
      <c r="A884" s="50"/>
      <c r="B884" s="50"/>
      <c r="C884" s="55" t="str">
        <f>IFERROR(__xludf.DUMMYFUNCTION("""COMPUTED_VALUE"""),"")</f>
        <v/>
      </c>
      <c r="D884" s="50"/>
      <c r="G884" s="55"/>
    </row>
    <row r="885">
      <c r="A885" s="50"/>
      <c r="B885" s="50"/>
      <c r="C885" s="55" t="str">
        <f>IFERROR(__xludf.DUMMYFUNCTION("""COMPUTED_VALUE"""),"")</f>
        <v/>
      </c>
      <c r="D885" s="50"/>
      <c r="G885" s="55"/>
    </row>
    <row r="886">
      <c r="A886" s="50"/>
      <c r="B886" s="50"/>
      <c r="C886" s="55" t="str">
        <f>IFERROR(__xludf.DUMMYFUNCTION("""COMPUTED_VALUE"""),"")</f>
        <v/>
      </c>
      <c r="D886" s="50"/>
      <c r="G886" s="55"/>
    </row>
    <row r="887">
      <c r="A887" s="50"/>
      <c r="B887" s="50"/>
      <c r="C887" s="55" t="str">
        <f>IFERROR(__xludf.DUMMYFUNCTION("""COMPUTED_VALUE"""),"")</f>
        <v/>
      </c>
      <c r="D887" s="50"/>
      <c r="G887" s="55"/>
    </row>
    <row r="888">
      <c r="A888" s="50"/>
      <c r="B888" s="50"/>
      <c r="C888" s="55" t="str">
        <f>IFERROR(__xludf.DUMMYFUNCTION("""COMPUTED_VALUE"""),"")</f>
        <v/>
      </c>
      <c r="D888" s="50"/>
      <c r="G888" s="55"/>
    </row>
    <row r="889">
      <c r="A889" s="50"/>
      <c r="B889" s="50"/>
      <c r="C889" s="55" t="str">
        <f>IFERROR(__xludf.DUMMYFUNCTION("""COMPUTED_VALUE"""),"")</f>
        <v/>
      </c>
      <c r="D889" s="50"/>
      <c r="G889" s="55"/>
    </row>
    <row r="890">
      <c r="A890" s="50"/>
      <c r="B890" s="50"/>
      <c r="C890" s="55" t="str">
        <f>IFERROR(__xludf.DUMMYFUNCTION("""COMPUTED_VALUE"""),"")</f>
        <v/>
      </c>
      <c r="D890" s="50"/>
      <c r="G890" s="55"/>
    </row>
    <row r="891">
      <c r="A891" s="50"/>
      <c r="B891" s="50"/>
      <c r="C891" s="55" t="str">
        <f>IFERROR(__xludf.DUMMYFUNCTION("""COMPUTED_VALUE"""),"")</f>
        <v/>
      </c>
      <c r="D891" s="50"/>
      <c r="G891" s="55"/>
    </row>
    <row r="892">
      <c r="A892" s="50"/>
      <c r="B892" s="50"/>
      <c r="C892" s="55" t="str">
        <f>IFERROR(__xludf.DUMMYFUNCTION("""COMPUTED_VALUE"""),"")</f>
        <v/>
      </c>
      <c r="D892" s="50"/>
      <c r="G892" s="55"/>
    </row>
    <row r="893">
      <c r="A893" s="50"/>
      <c r="B893" s="50"/>
      <c r="C893" s="55" t="str">
        <f>IFERROR(__xludf.DUMMYFUNCTION("""COMPUTED_VALUE"""),"")</f>
        <v/>
      </c>
      <c r="D893" s="50"/>
      <c r="G893" s="55"/>
    </row>
    <row r="894">
      <c r="A894" s="50"/>
      <c r="B894" s="50"/>
      <c r="C894" s="55" t="str">
        <f>IFERROR(__xludf.DUMMYFUNCTION("""COMPUTED_VALUE"""),"")</f>
        <v/>
      </c>
      <c r="D894" s="50"/>
      <c r="G894" s="55"/>
    </row>
    <row r="895">
      <c r="A895" s="50"/>
      <c r="B895" s="50"/>
      <c r="C895" s="55" t="str">
        <f>IFERROR(__xludf.DUMMYFUNCTION("""COMPUTED_VALUE"""),"")</f>
        <v/>
      </c>
      <c r="D895" s="50"/>
      <c r="G895" s="55"/>
    </row>
    <row r="896">
      <c r="A896" s="50"/>
      <c r="B896" s="50"/>
      <c r="C896" s="55" t="str">
        <f>IFERROR(__xludf.DUMMYFUNCTION("""COMPUTED_VALUE"""),"")</f>
        <v/>
      </c>
      <c r="D896" s="50"/>
      <c r="G896" s="55"/>
    </row>
    <row r="897">
      <c r="A897" s="50"/>
      <c r="B897" s="50"/>
      <c r="C897" s="55" t="str">
        <f>IFERROR(__xludf.DUMMYFUNCTION("""COMPUTED_VALUE"""),"")</f>
        <v/>
      </c>
      <c r="D897" s="50"/>
      <c r="G897" s="55"/>
    </row>
    <row r="898">
      <c r="A898" s="50"/>
      <c r="B898" s="50"/>
      <c r="C898" s="55" t="str">
        <f>IFERROR(__xludf.DUMMYFUNCTION("""COMPUTED_VALUE"""),"")</f>
        <v/>
      </c>
      <c r="D898" s="50"/>
      <c r="G898" s="55"/>
    </row>
    <row r="899">
      <c r="A899" s="50"/>
      <c r="B899" s="50"/>
      <c r="C899" s="55" t="str">
        <f>IFERROR(__xludf.DUMMYFUNCTION("""COMPUTED_VALUE"""),"")</f>
        <v/>
      </c>
      <c r="D899" s="50"/>
      <c r="G899" s="55"/>
    </row>
    <row r="900">
      <c r="A900" s="50"/>
      <c r="B900" s="50"/>
      <c r="C900" s="55" t="str">
        <f>IFERROR(__xludf.DUMMYFUNCTION("""COMPUTED_VALUE"""),"")</f>
        <v/>
      </c>
      <c r="D900" s="50"/>
      <c r="G900" s="55"/>
    </row>
    <row r="901">
      <c r="A901" s="50"/>
      <c r="B901" s="50"/>
      <c r="C901" s="55" t="str">
        <f>IFERROR(__xludf.DUMMYFUNCTION("""COMPUTED_VALUE"""),"")</f>
        <v/>
      </c>
      <c r="D901" s="50"/>
      <c r="G901" s="55"/>
    </row>
    <row r="902">
      <c r="A902" s="50"/>
      <c r="B902" s="50"/>
      <c r="C902" s="55" t="str">
        <f>IFERROR(__xludf.DUMMYFUNCTION("""COMPUTED_VALUE"""),"")</f>
        <v/>
      </c>
      <c r="D902" s="50"/>
      <c r="G902" s="55"/>
    </row>
    <row r="903">
      <c r="A903" s="50"/>
      <c r="B903" s="50"/>
      <c r="C903" s="55" t="str">
        <f>IFERROR(__xludf.DUMMYFUNCTION("""COMPUTED_VALUE"""),"")</f>
        <v/>
      </c>
      <c r="D903" s="50"/>
      <c r="G903" s="55"/>
    </row>
    <row r="904">
      <c r="A904" s="50"/>
      <c r="B904" s="50"/>
      <c r="C904" s="55" t="str">
        <f>IFERROR(__xludf.DUMMYFUNCTION("""COMPUTED_VALUE"""),"")</f>
        <v/>
      </c>
      <c r="D904" s="50"/>
      <c r="G904" s="55"/>
    </row>
    <row r="905">
      <c r="A905" s="50"/>
      <c r="B905" s="50"/>
      <c r="C905" s="55" t="str">
        <f>IFERROR(__xludf.DUMMYFUNCTION("""COMPUTED_VALUE"""),"")</f>
        <v/>
      </c>
      <c r="D905" s="50"/>
      <c r="G905" s="55"/>
    </row>
    <row r="906">
      <c r="A906" s="50"/>
      <c r="B906" s="50"/>
      <c r="C906" s="55" t="str">
        <f>IFERROR(__xludf.DUMMYFUNCTION("""COMPUTED_VALUE"""),"")</f>
        <v/>
      </c>
      <c r="D906" s="50"/>
      <c r="G906" s="55"/>
    </row>
    <row r="907">
      <c r="A907" s="50"/>
      <c r="B907" s="50"/>
      <c r="C907" s="55" t="str">
        <f>IFERROR(__xludf.DUMMYFUNCTION("""COMPUTED_VALUE"""),"")</f>
        <v/>
      </c>
      <c r="D907" s="50"/>
      <c r="G907" s="55"/>
    </row>
    <row r="908">
      <c r="A908" s="50"/>
      <c r="B908" s="50"/>
      <c r="C908" s="55" t="str">
        <f>IFERROR(__xludf.DUMMYFUNCTION("""COMPUTED_VALUE"""),"")</f>
        <v/>
      </c>
      <c r="D908" s="50"/>
      <c r="G908" s="55"/>
    </row>
    <row r="909">
      <c r="A909" s="50"/>
      <c r="B909" s="50"/>
      <c r="C909" s="55" t="str">
        <f>IFERROR(__xludf.DUMMYFUNCTION("""COMPUTED_VALUE"""),"")</f>
        <v/>
      </c>
      <c r="D909" s="50"/>
      <c r="G909" s="55"/>
    </row>
    <row r="910">
      <c r="A910" s="50"/>
      <c r="B910" s="50"/>
      <c r="C910" s="55" t="str">
        <f>IFERROR(__xludf.DUMMYFUNCTION("""COMPUTED_VALUE"""),"")</f>
        <v/>
      </c>
      <c r="D910" s="50"/>
      <c r="G910" s="55"/>
    </row>
    <row r="911">
      <c r="A911" s="50"/>
      <c r="B911" s="50"/>
      <c r="C911" s="55" t="str">
        <f>IFERROR(__xludf.DUMMYFUNCTION("""COMPUTED_VALUE"""),"")</f>
        <v/>
      </c>
      <c r="D911" s="50"/>
      <c r="G911" s="55"/>
    </row>
    <row r="912">
      <c r="A912" s="50"/>
      <c r="B912" s="50"/>
      <c r="C912" s="55" t="str">
        <f>IFERROR(__xludf.DUMMYFUNCTION("""COMPUTED_VALUE"""),"")</f>
        <v/>
      </c>
      <c r="D912" s="50"/>
      <c r="G912" s="55"/>
    </row>
    <row r="913">
      <c r="A913" s="50"/>
      <c r="B913" s="50"/>
      <c r="C913" s="55" t="str">
        <f>IFERROR(__xludf.DUMMYFUNCTION("""COMPUTED_VALUE"""),"")</f>
        <v/>
      </c>
      <c r="D913" s="50"/>
      <c r="G913" s="55"/>
    </row>
    <row r="914">
      <c r="A914" s="50"/>
      <c r="B914" s="50"/>
      <c r="C914" s="55" t="str">
        <f>IFERROR(__xludf.DUMMYFUNCTION("""COMPUTED_VALUE"""),"")</f>
        <v/>
      </c>
      <c r="D914" s="50"/>
      <c r="G914" s="55"/>
    </row>
    <row r="915">
      <c r="A915" s="50"/>
      <c r="B915" s="50"/>
      <c r="C915" s="55" t="str">
        <f>IFERROR(__xludf.DUMMYFUNCTION("""COMPUTED_VALUE"""),"")</f>
        <v/>
      </c>
      <c r="D915" s="50"/>
      <c r="G915" s="55"/>
    </row>
    <row r="916">
      <c r="A916" s="50"/>
      <c r="B916" s="50"/>
      <c r="C916" s="55" t="str">
        <f>IFERROR(__xludf.DUMMYFUNCTION("""COMPUTED_VALUE"""),"")</f>
        <v/>
      </c>
      <c r="D916" s="50"/>
      <c r="G916" s="55"/>
    </row>
    <row r="917">
      <c r="A917" s="50"/>
      <c r="B917" s="50"/>
      <c r="C917" s="55" t="str">
        <f>IFERROR(__xludf.DUMMYFUNCTION("""COMPUTED_VALUE"""),"")</f>
        <v/>
      </c>
      <c r="D917" s="50"/>
      <c r="G917" s="55"/>
    </row>
    <row r="918">
      <c r="A918" s="50"/>
      <c r="B918" s="50"/>
      <c r="C918" s="55" t="str">
        <f>IFERROR(__xludf.DUMMYFUNCTION("""COMPUTED_VALUE"""),"")</f>
        <v/>
      </c>
      <c r="D918" s="50"/>
      <c r="G918" s="55"/>
    </row>
    <row r="919">
      <c r="A919" s="50"/>
      <c r="B919" s="50"/>
      <c r="C919" s="55" t="str">
        <f>IFERROR(__xludf.DUMMYFUNCTION("""COMPUTED_VALUE"""),"")</f>
        <v/>
      </c>
      <c r="D919" s="50"/>
      <c r="G919" s="55"/>
    </row>
    <row r="920">
      <c r="A920" s="50"/>
      <c r="B920" s="50"/>
      <c r="C920" s="55" t="str">
        <f>IFERROR(__xludf.DUMMYFUNCTION("""COMPUTED_VALUE"""),"")</f>
        <v/>
      </c>
      <c r="D920" s="50"/>
      <c r="G920" s="55"/>
    </row>
    <row r="921">
      <c r="A921" s="50"/>
      <c r="B921" s="50"/>
      <c r="C921" s="55" t="str">
        <f>IFERROR(__xludf.DUMMYFUNCTION("""COMPUTED_VALUE"""),"")</f>
        <v/>
      </c>
      <c r="D921" s="50"/>
      <c r="G921" s="55"/>
    </row>
    <row r="922">
      <c r="A922" s="50"/>
      <c r="B922" s="50"/>
      <c r="C922" s="55" t="str">
        <f>IFERROR(__xludf.DUMMYFUNCTION("""COMPUTED_VALUE"""),"")</f>
        <v/>
      </c>
      <c r="D922" s="50"/>
      <c r="G922" s="55"/>
    </row>
    <row r="923">
      <c r="A923" s="50"/>
      <c r="B923" s="50"/>
      <c r="C923" s="55" t="str">
        <f>IFERROR(__xludf.DUMMYFUNCTION("""COMPUTED_VALUE"""),"")</f>
        <v/>
      </c>
      <c r="D923" s="50"/>
      <c r="G923" s="55"/>
    </row>
    <row r="924">
      <c r="A924" s="50"/>
      <c r="B924" s="50"/>
      <c r="C924" s="55" t="str">
        <f>IFERROR(__xludf.DUMMYFUNCTION("""COMPUTED_VALUE"""),"")</f>
        <v/>
      </c>
      <c r="D924" s="50"/>
      <c r="G924" s="55"/>
    </row>
    <row r="925">
      <c r="A925" s="50"/>
      <c r="B925" s="50"/>
      <c r="C925" s="55" t="str">
        <f>IFERROR(__xludf.DUMMYFUNCTION("""COMPUTED_VALUE"""),"")</f>
        <v/>
      </c>
      <c r="D925" s="50"/>
      <c r="G925" s="55"/>
    </row>
    <row r="926">
      <c r="A926" s="50"/>
      <c r="B926" s="50"/>
      <c r="C926" s="55" t="str">
        <f>IFERROR(__xludf.DUMMYFUNCTION("""COMPUTED_VALUE"""),"")</f>
        <v/>
      </c>
      <c r="D926" s="50"/>
      <c r="G926" s="55"/>
    </row>
    <row r="927">
      <c r="A927" s="50"/>
      <c r="B927" s="50"/>
      <c r="C927" s="55" t="str">
        <f>IFERROR(__xludf.DUMMYFUNCTION("""COMPUTED_VALUE"""),"")</f>
        <v/>
      </c>
      <c r="D927" s="50"/>
      <c r="G927" s="55"/>
    </row>
    <row r="928">
      <c r="A928" s="50"/>
      <c r="B928" s="50"/>
      <c r="C928" s="55" t="str">
        <f>IFERROR(__xludf.DUMMYFUNCTION("""COMPUTED_VALUE"""),"")</f>
        <v/>
      </c>
      <c r="D928" s="50"/>
      <c r="G928" s="55"/>
    </row>
    <row r="929">
      <c r="A929" s="50"/>
      <c r="B929" s="50"/>
      <c r="C929" s="55" t="str">
        <f>IFERROR(__xludf.DUMMYFUNCTION("""COMPUTED_VALUE"""),"")</f>
        <v/>
      </c>
      <c r="D929" s="50"/>
      <c r="G929" s="55"/>
    </row>
    <row r="930">
      <c r="A930" s="50"/>
      <c r="B930" s="50"/>
      <c r="C930" s="55" t="str">
        <f>IFERROR(__xludf.DUMMYFUNCTION("""COMPUTED_VALUE"""),"")</f>
        <v/>
      </c>
      <c r="D930" s="50"/>
      <c r="G930" s="55"/>
    </row>
    <row r="931">
      <c r="A931" s="50"/>
      <c r="B931" s="50"/>
      <c r="C931" s="55" t="str">
        <f>IFERROR(__xludf.DUMMYFUNCTION("""COMPUTED_VALUE"""),"")</f>
        <v/>
      </c>
      <c r="D931" s="50"/>
      <c r="G931" s="55"/>
    </row>
    <row r="932">
      <c r="A932" s="50"/>
      <c r="B932" s="50"/>
      <c r="C932" s="55" t="str">
        <f>IFERROR(__xludf.DUMMYFUNCTION("""COMPUTED_VALUE"""),"")</f>
        <v/>
      </c>
      <c r="D932" s="50"/>
      <c r="G932" s="55"/>
    </row>
    <row r="933">
      <c r="A933" s="50"/>
      <c r="B933" s="50"/>
      <c r="C933" s="55" t="str">
        <f>IFERROR(__xludf.DUMMYFUNCTION("""COMPUTED_VALUE"""),"")</f>
        <v/>
      </c>
      <c r="D933" s="50"/>
      <c r="G933" s="55"/>
    </row>
    <row r="934">
      <c r="A934" s="50"/>
      <c r="B934" s="50"/>
      <c r="C934" s="55" t="str">
        <f>IFERROR(__xludf.DUMMYFUNCTION("""COMPUTED_VALUE"""),"")</f>
        <v/>
      </c>
      <c r="D934" s="50"/>
      <c r="G934" s="55"/>
    </row>
    <row r="935">
      <c r="A935" s="50"/>
      <c r="B935" s="50"/>
      <c r="C935" s="55" t="str">
        <f>IFERROR(__xludf.DUMMYFUNCTION("""COMPUTED_VALUE"""),"")</f>
        <v/>
      </c>
      <c r="D935" s="50"/>
      <c r="G935" s="55"/>
    </row>
    <row r="936">
      <c r="A936" s="50"/>
      <c r="B936" s="50"/>
      <c r="C936" s="55" t="str">
        <f>IFERROR(__xludf.DUMMYFUNCTION("""COMPUTED_VALUE"""),"")</f>
        <v/>
      </c>
      <c r="D936" s="50"/>
      <c r="G936" s="55"/>
    </row>
    <row r="937">
      <c r="A937" s="50"/>
      <c r="B937" s="50"/>
      <c r="C937" s="55" t="str">
        <f>IFERROR(__xludf.DUMMYFUNCTION("""COMPUTED_VALUE"""),"")</f>
        <v/>
      </c>
      <c r="D937" s="50"/>
      <c r="G937" s="55"/>
    </row>
    <row r="938">
      <c r="A938" s="50"/>
      <c r="B938" s="50"/>
      <c r="C938" s="55" t="str">
        <f>IFERROR(__xludf.DUMMYFUNCTION("""COMPUTED_VALUE"""),"")</f>
        <v/>
      </c>
      <c r="D938" s="50"/>
      <c r="G938" s="55"/>
    </row>
    <row r="939">
      <c r="A939" s="50"/>
      <c r="B939" s="50"/>
      <c r="C939" s="55" t="str">
        <f>IFERROR(__xludf.DUMMYFUNCTION("""COMPUTED_VALUE"""),"")</f>
        <v/>
      </c>
      <c r="D939" s="50"/>
      <c r="G939" s="55"/>
    </row>
    <row r="940">
      <c r="A940" s="50"/>
      <c r="B940" s="50"/>
      <c r="C940" s="55" t="str">
        <f>IFERROR(__xludf.DUMMYFUNCTION("""COMPUTED_VALUE"""),"")</f>
        <v/>
      </c>
      <c r="D940" s="50"/>
      <c r="G940" s="55"/>
    </row>
    <row r="941">
      <c r="A941" s="50"/>
      <c r="B941" s="50"/>
      <c r="C941" s="55" t="str">
        <f>IFERROR(__xludf.DUMMYFUNCTION("""COMPUTED_VALUE"""),"")</f>
        <v/>
      </c>
      <c r="D941" s="50"/>
      <c r="G941" s="55"/>
    </row>
    <row r="942">
      <c r="A942" s="50"/>
      <c r="B942" s="50"/>
      <c r="C942" s="55" t="str">
        <f>IFERROR(__xludf.DUMMYFUNCTION("""COMPUTED_VALUE"""),"")</f>
        <v/>
      </c>
      <c r="D942" s="50"/>
      <c r="G942" s="55"/>
    </row>
    <row r="943">
      <c r="A943" s="50"/>
      <c r="B943" s="50"/>
      <c r="C943" s="55" t="str">
        <f>IFERROR(__xludf.DUMMYFUNCTION("""COMPUTED_VALUE"""),"")</f>
        <v/>
      </c>
      <c r="D943" s="50"/>
      <c r="G943" s="55"/>
    </row>
    <row r="944">
      <c r="A944" s="50"/>
      <c r="B944" s="50"/>
      <c r="C944" s="55" t="str">
        <f>IFERROR(__xludf.DUMMYFUNCTION("""COMPUTED_VALUE"""),"")</f>
        <v/>
      </c>
      <c r="D944" s="50"/>
      <c r="G944" s="55"/>
    </row>
    <row r="945">
      <c r="A945" s="50"/>
      <c r="B945" s="50"/>
      <c r="C945" s="55" t="str">
        <f>IFERROR(__xludf.DUMMYFUNCTION("""COMPUTED_VALUE"""),"")</f>
        <v/>
      </c>
      <c r="D945" s="50"/>
      <c r="G945" s="55"/>
    </row>
    <row r="946">
      <c r="A946" s="50"/>
      <c r="B946" s="50"/>
      <c r="C946" s="55" t="str">
        <f>IFERROR(__xludf.DUMMYFUNCTION("""COMPUTED_VALUE"""),"")</f>
        <v/>
      </c>
      <c r="D946" s="50"/>
      <c r="G946" s="55"/>
    </row>
    <row r="947">
      <c r="A947" s="50"/>
      <c r="B947" s="50"/>
      <c r="C947" s="55" t="str">
        <f>IFERROR(__xludf.DUMMYFUNCTION("""COMPUTED_VALUE"""),"")</f>
        <v/>
      </c>
      <c r="D947" s="50"/>
      <c r="G947" s="55"/>
    </row>
    <row r="948">
      <c r="A948" s="50"/>
      <c r="B948" s="50"/>
      <c r="C948" s="55" t="str">
        <f>IFERROR(__xludf.DUMMYFUNCTION("""COMPUTED_VALUE"""),"")</f>
        <v/>
      </c>
      <c r="D948" s="50"/>
      <c r="G948" s="55"/>
    </row>
    <row r="949">
      <c r="A949" s="50"/>
      <c r="B949" s="50"/>
      <c r="C949" s="55" t="str">
        <f>IFERROR(__xludf.DUMMYFUNCTION("""COMPUTED_VALUE"""),"")</f>
        <v/>
      </c>
      <c r="D949" s="50"/>
      <c r="G949" s="55"/>
    </row>
    <row r="950">
      <c r="A950" s="50"/>
      <c r="B950" s="50"/>
      <c r="C950" s="55" t="str">
        <f>IFERROR(__xludf.DUMMYFUNCTION("""COMPUTED_VALUE"""),"")</f>
        <v/>
      </c>
      <c r="D950" s="50"/>
      <c r="G950" s="55"/>
    </row>
    <row r="951">
      <c r="A951" s="50"/>
      <c r="B951" s="50"/>
      <c r="C951" s="55" t="str">
        <f>IFERROR(__xludf.DUMMYFUNCTION("""COMPUTED_VALUE"""),"")</f>
        <v/>
      </c>
      <c r="D951" s="50"/>
      <c r="G951" s="55"/>
    </row>
    <row r="952">
      <c r="A952" s="50"/>
      <c r="B952" s="50"/>
      <c r="C952" s="55" t="str">
        <f>IFERROR(__xludf.DUMMYFUNCTION("""COMPUTED_VALUE"""),"")</f>
        <v/>
      </c>
      <c r="D952" s="50"/>
      <c r="G952" s="55"/>
    </row>
    <row r="953">
      <c r="A953" s="50"/>
      <c r="B953" s="50"/>
      <c r="C953" s="55" t="str">
        <f>IFERROR(__xludf.DUMMYFUNCTION("""COMPUTED_VALUE"""),"")</f>
        <v/>
      </c>
      <c r="D953" s="50"/>
      <c r="G953" s="55"/>
    </row>
    <row r="954">
      <c r="A954" s="50"/>
      <c r="B954" s="50"/>
      <c r="C954" s="55" t="str">
        <f>IFERROR(__xludf.DUMMYFUNCTION("""COMPUTED_VALUE"""),"")</f>
        <v/>
      </c>
      <c r="D954" s="50"/>
      <c r="G954" s="55"/>
    </row>
    <row r="955">
      <c r="A955" s="50"/>
      <c r="B955" s="50"/>
      <c r="C955" s="55" t="str">
        <f>IFERROR(__xludf.DUMMYFUNCTION("""COMPUTED_VALUE"""),"")</f>
        <v/>
      </c>
      <c r="D955" s="50"/>
      <c r="G955" s="55"/>
    </row>
    <row r="956">
      <c r="A956" s="50"/>
      <c r="B956" s="50"/>
      <c r="C956" s="55" t="str">
        <f>IFERROR(__xludf.DUMMYFUNCTION("""COMPUTED_VALUE"""),"")</f>
        <v/>
      </c>
      <c r="D956" s="50"/>
      <c r="G956" s="55"/>
    </row>
    <row r="957">
      <c r="A957" s="50"/>
      <c r="B957" s="50"/>
      <c r="C957" s="55" t="str">
        <f>IFERROR(__xludf.DUMMYFUNCTION("""COMPUTED_VALUE"""),"")</f>
        <v/>
      </c>
      <c r="D957" s="50"/>
      <c r="G957" s="55"/>
    </row>
    <row r="958">
      <c r="A958" s="50"/>
      <c r="B958" s="50"/>
      <c r="C958" s="55" t="str">
        <f>IFERROR(__xludf.DUMMYFUNCTION("""COMPUTED_VALUE"""),"")</f>
        <v/>
      </c>
      <c r="D958" s="50"/>
      <c r="G958" s="55"/>
    </row>
    <row r="959">
      <c r="A959" s="50"/>
      <c r="B959" s="50"/>
      <c r="C959" s="55" t="str">
        <f>IFERROR(__xludf.DUMMYFUNCTION("""COMPUTED_VALUE"""),"")</f>
        <v/>
      </c>
      <c r="D959" s="50"/>
      <c r="G959" s="55"/>
    </row>
    <row r="960">
      <c r="A960" s="50"/>
      <c r="B960" s="50"/>
      <c r="C960" s="55" t="str">
        <f>IFERROR(__xludf.DUMMYFUNCTION("""COMPUTED_VALUE"""),"")</f>
        <v/>
      </c>
      <c r="D960" s="50"/>
      <c r="G960" s="55"/>
    </row>
    <row r="961">
      <c r="A961" s="50"/>
      <c r="B961" s="50"/>
      <c r="C961" s="55" t="str">
        <f>IFERROR(__xludf.DUMMYFUNCTION("""COMPUTED_VALUE"""),"")</f>
        <v/>
      </c>
      <c r="D961" s="50"/>
      <c r="G961" s="55"/>
    </row>
    <row r="962">
      <c r="A962" s="50"/>
      <c r="B962" s="50"/>
      <c r="C962" s="55" t="str">
        <f>IFERROR(__xludf.DUMMYFUNCTION("""COMPUTED_VALUE"""),"")</f>
        <v/>
      </c>
      <c r="D962" s="50"/>
      <c r="G962" s="55"/>
    </row>
    <row r="963">
      <c r="A963" s="50"/>
      <c r="B963" s="50"/>
      <c r="C963" s="55" t="str">
        <f>IFERROR(__xludf.DUMMYFUNCTION("""COMPUTED_VALUE"""),"")</f>
        <v/>
      </c>
      <c r="D963" s="50"/>
      <c r="G963" s="55"/>
    </row>
    <row r="964">
      <c r="A964" s="50"/>
      <c r="B964" s="50"/>
      <c r="C964" s="55" t="str">
        <f>IFERROR(__xludf.DUMMYFUNCTION("""COMPUTED_VALUE"""),"")</f>
        <v/>
      </c>
      <c r="D964" s="50"/>
      <c r="G964" s="55"/>
    </row>
    <row r="965">
      <c r="A965" s="50"/>
      <c r="B965" s="50"/>
      <c r="C965" s="55" t="str">
        <f>IFERROR(__xludf.DUMMYFUNCTION("""COMPUTED_VALUE"""),"")</f>
        <v/>
      </c>
      <c r="D965" s="50"/>
      <c r="G965" s="55"/>
    </row>
    <row r="966">
      <c r="A966" s="50"/>
      <c r="B966" s="50"/>
      <c r="C966" s="55" t="str">
        <f>IFERROR(__xludf.DUMMYFUNCTION("""COMPUTED_VALUE"""),"")</f>
        <v/>
      </c>
      <c r="D966" s="50"/>
      <c r="G966" s="55"/>
    </row>
    <row r="967">
      <c r="A967" s="50"/>
      <c r="B967" s="50"/>
      <c r="C967" s="55" t="str">
        <f>IFERROR(__xludf.DUMMYFUNCTION("""COMPUTED_VALUE"""),"")</f>
        <v/>
      </c>
      <c r="D967" s="50"/>
      <c r="G967" s="55"/>
    </row>
    <row r="968">
      <c r="A968" s="50"/>
      <c r="B968" s="50"/>
      <c r="C968" s="55" t="str">
        <f>IFERROR(__xludf.DUMMYFUNCTION("""COMPUTED_VALUE"""),"")</f>
        <v/>
      </c>
      <c r="D968" s="50"/>
      <c r="G968" s="55"/>
    </row>
    <row r="969">
      <c r="A969" s="50"/>
      <c r="B969" s="50"/>
      <c r="C969" s="55" t="str">
        <f>IFERROR(__xludf.DUMMYFUNCTION("""COMPUTED_VALUE"""),"")</f>
        <v/>
      </c>
      <c r="D969" s="50"/>
      <c r="G969" s="55"/>
    </row>
    <row r="970">
      <c r="A970" s="50"/>
      <c r="B970" s="50"/>
      <c r="C970" s="55" t="str">
        <f>IFERROR(__xludf.DUMMYFUNCTION("""COMPUTED_VALUE"""),"")</f>
        <v/>
      </c>
      <c r="D970" s="50"/>
      <c r="G970" s="55"/>
    </row>
    <row r="971">
      <c r="A971" s="50"/>
      <c r="B971" s="50"/>
      <c r="C971" s="55" t="str">
        <f>IFERROR(__xludf.DUMMYFUNCTION("""COMPUTED_VALUE"""),"")</f>
        <v/>
      </c>
      <c r="D971" s="50"/>
      <c r="G971" s="55"/>
    </row>
    <row r="972">
      <c r="A972" s="50"/>
      <c r="B972" s="50"/>
      <c r="C972" s="55" t="str">
        <f>IFERROR(__xludf.DUMMYFUNCTION("""COMPUTED_VALUE"""),"")</f>
        <v/>
      </c>
      <c r="D972" s="50"/>
      <c r="G972" s="55"/>
    </row>
    <row r="973">
      <c r="A973" s="50"/>
      <c r="B973" s="50"/>
      <c r="C973" s="55" t="str">
        <f>IFERROR(__xludf.DUMMYFUNCTION("""COMPUTED_VALUE"""),"")</f>
        <v/>
      </c>
      <c r="D973" s="50"/>
      <c r="G973" s="55"/>
    </row>
    <row r="974">
      <c r="A974" s="50"/>
      <c r="B974" s="50"/>
      <c r="C974" s="55" t="str">
        <f>IFERROR(__xludf.DUMMYFUNCTION("""COMPUTED_VALUE"""),"")</f>
        <v/>
      </c>
      <c r="D974" s="50"/>
      <c r="G974" s="55"/>
    </row>
    <row r="975">
      <c r="A975" s="50"/>
      <c r="B975" s="50"/>
      <c r="C975" s="55" t="str">
        <f>IFERROR(__xludf.DUMMYFUNCTION("""COMPUTED_VALUE"""),"")</f>
        <v/>
      </c>
      <c r="D975" s="50"/>
      <c r="G975" s="55"/>
    </row>
    <row r="976">
      <c r="A976" s="50"/>
      <c r="B976" s="50"/>
      <c r="C976" s="55" t="str">
        <f>IFERROR(__xludf.DUMMYFUNCTION("""COMPUTED_VALUE"""),"")</f>
        <v/>
      </c>
      <c r="D976" s="50"/>
      <c r="G976" s="55"/>
    </row>
    <row r="977">
      <c r="A977" s="50"/>
      <c r="B977" s="50"/>
      <c r="C977" s="55" t="str">
        <f>IFERROR(__xludf.DUMMYFUNCTION("""COMPUTED_VALUE"""),"")</f>
        <v/>
      </c>
      <c r="D977" s="50"/>
      <c r="G977" s="55"/>
    </row>
    <row r="978">
      <c r="A978" s="50"/>
      <c r="B978" s="50"/>
      <c r="C978" s="55" t="str">
        <f>IFERROR(__xludf.DUMMYFUNCTION("""COMPUTED_VALUE"""),"")</f>
        <v/>
      </c>
      <c r="D978" s="50"/>
      <c r="G978" s="55"/>
    </row>
    <row r="979">
      <c r="A979" s="50"/>
      <c r="B979" s="50"/>
      <c r="C979" s="55" t="str">
        <f>IFERROR(__xludf.DUMMYFUNCTION("""COMPUTED_VALUE"""),"")</f>
        <v/>
      </c>
      <c r="D979" s="50"/>
      <c r="G979" s="55"/>
    </row>
    <row r="980">
      <c r="A980" s="50"/>
      <c r="B980" s="50"/>
      <c r="C980" s="55" t="str">
        <f>IFERROR(__xludf.DUMMYFUNCTION("""COMPUTED_VALUE"""),"")</f>
        <v/>
      </c>
      <c r="D980" s="50"/>
      <c r="G980" s="55"/>
    </row>
    <row r="981">
      <c r="A981" s="50"/>
      <c r="B981" s="50"/>
      <c r="C981" s="55" t="str">
        <f>IFERROR(__xludf.DUMMYFUNCTION("""COMPUTED_VALUE"""),"")</f>
        <v/>
      </c>
      <c r="D981" s="50"/>
      <c r="G981" s="55"/>
    </row>
    <row r="982">
      <c r="A982" s="50"/>
      <c r="B982" s="50"/>
      <c r="C982" s="55" t="str">
        <f>IFERROR(__xludf.DUMMYFUNCTION("""COMPUTED_VALUE"""),"")</f>
        <v/>
      </c>
      <c r="D982" s="50"/>
      <c r="G982" s="55"/>
    </row>
    <row r="983">
      <c r="A983" s="50"/>
      <c r="B983" s="50"/>
      <c r="C983" s="55" t="str">
        <f>IFERROR(__xludf.DUMMYFUNCTION("""COMPUTED_VALUE"""),"")</f>
        <v/>
      </c>
      <c r="D983" s="50"/>
      <c r="G983" s="55"/>
    </row>
    <row r="984">
      <c r="A984" s="50"/>
      <c r="B984" s="50"/>
      <c r="C984" s="55" t="str">
        <f>IFERROR(__xludf.DUMMYFUNCTION("""COMPUTED_VALUE"""),"")</f>
        <v/>
      </c>
      <c r="D984" s="50"/>
      <c r="G984" s="55"/>
    </row>
    <row r="985">
      <c r="A985" s="50"/>
      <c r="B985" s="50"/>
      <c r="C985" s="55" t="str">
        <f>IFERROR(__xludf.DUMMYFUNCTION("""COMPUTED_VALUE"""),"")</f>
        <v/>
      </c>
      <c r="D985" s="50"/>
      <c r="G985" s="55"/>
    </row>
    <row r="986">
      <c r="A986" s="50"/>
      <c r="B986" s="50"/>
      <c r="C986" s="55" t="str">
        <f>IFERROR(__xludf.DUMMYFUNCTION("""COMPUTED_VALUE"""),"")</f>
        <v/>
      </c>
      <c r="D986" s="50"/>
      <c r="G986" s="55"/>
    </row>
    <row r="987">
      <c r="A987" s="50"/>
      <c r="B987" s="50"/>
      <c r="C987" s="55" t="str">
        <f>IFERROR(__xludf.DUMMYFUNCTION("""COMPUTED_VALUE"""),"")</f>
        <v/>
      </c>
      <c r="D987" s="50"/>
      <c r="G987" s="55"/>
    </row>
    <row r="988">
      <c r="A988" s="50"/>
      <c r="B988" s="50"/>
      <c r="C988" s="55" t="str">
        <f>IFERROR(__xludf.DUMMYFUNCTION("""COMPUTED_VALUE"""),"")</f>
        <v/>
      </c>
      <c r="D988" s="50"/>
      <c r="G988" s="55"/>
    </row>
    <row r="989">
      <c r="A989" s="50"/>
      <c r="B989" s="50"/>
      <c r="C989" s="55" t="str">
        <f>IFERROR(__xludf.DUMMYFUNCTION("""COMPUTED_VALUE"""),"")</f>
        <v/>
      </c>
      <c r="D989" s="50"/>
      <c r="G989" s="55"/>
    </row>
    <row r="990">
      <c r="A990" s="50"/>
      <c r="B990" s="50"/>
      <c r="C990" s="55" t="str">
        <f>IFERROR(__xludf.DUMMYFUNCTION("""COMPUTED_VALUE"""),"")</f>
        <v/>
      </c>
      <c r="D990" s="50"/>
      <c r="G990" s="55"/>
    </row>
    <row r="991">
      <c r="A991" s="50"/>
      <c r="B991" s="50"/>
      <c r="C991" s="55" t="str">
        <f>IFERROR(__xludf.DUMMYFUNCTION("""COMPUTED_VALUE"""),"")</f>
        <v/>
      </c>
      <c r="D991" s="50"/>
      <c r="G991" s="55"/>
    </row>
    <row r="992">
      <c r="A992" s="50"/>
      <c r="B992" s="50"/>
      <c r="C992" s="55" t="str">
        <f>IFERROR(__xludf.DUMMYFUNCTION("""COMPUTED_VALUE"""),"")</f>
        <v/>
      </c>
      <c r="D992" s="50"/>
      <c r="G992" s="55"/>
    </row>
    <row r="993">
      <c r="A993" s="50"/>
      <c r="B993" s="50"/>
      <c r="C993" s="55" t="str">
        <f>IFERROR(__xludf.DUMMYFUNCTION("""COMPUTED_VALUE"""),"")</f>
        <v/>
      </c>
      <c r="D993" s="50"/>
      <c r="G993" s="55"/>
    </row>
    <row r="994">
      <c r="A994" s="50"/>
      <c r="B994" s="50"/>
      <c r="C994" s="55" t="str">
        <f>IFERROR(__xludf.DUMMYFUNCTION("""COMPUTED_VALUE"""),"")</f>
        <v/>
      </c>
      <c r="D994" s="50"/>
      <c r="G994" s="55"/>
    </row>
    <row r="995">
      <c r="A995" s="50"/>
      <c r="B995" s="50"/>
      <c r="C995" s="55" t="str">
        <f>IFERROR(__xludf.DUMMYFUNCTION("""COMPUTED_VALUE"""),"")</f>
        <v/>
      </c>
      <c r="D995" s="50"/>
      <c r="G995" s="55"/>
    </row>
    <row r="996">
      <c r="A996" s="50"/>
      <c r="B996" s="50"/>
      <c r="C996" s="55" t="str">
        <f>IFERROR(__xludf.DUMMYFUNCTION("""COMPUTED_VALUE"""),"")</f>
        <v/>
      </c>
      <c r="D996" s="50"/>
      <c r="G996" s="55"/>
    </row>
    <row r="997">
      <c r="A997" s="50"/>
      <c r="B997" s="50"/>
      <c r="C997" s="55" t="str">
        <f>IFERROR(__xludf.DUMMYFUNCTION("""COMPUTED_VALUE"""),"")</f>
        <v/>
      </c>
      <c r="D997" s="50"/>
      <c r="G997" s="55"/>
    </row>
    <row r="998">
      <c r="A998" s="50"/>
      <c r="B998" s="50"/>
      <c r="C998" s="55" t="str">
        <f>IFERROR(__xludf.DUMMYFUNCTION("""COMPUTED_VALUE"""),"")</f>
        <v/>
      </c>
      <c r="D998" s="50"/>
      <c r="G998" s="55"/>
    </row>
    <row r="999">
      <c r="A999" s="50"/>
      <c r="B999" s="50"/>
      <c r="C999" s="55" t="str">
        <f>IFERROR(__xludf.DUMMYFUNCTION("""COMPUTED_VALUE"""),"")</f>
        <v/>
      </c>
      <c r="D999" s="50"/>
      <c r="G999" s="55"/>
    </row>
    <row r="1000">
      <c r="A1000" s="50"/>
      <c r="B1000" s="50"/>
      <c r="C1000" s="55" t="str">
        <f>IFERROR(__xludf.DUMMYFUNCTION("""COMPUTED_VALUE"""),"")</f>
        <v/>
      </c>
      <c r="D1000" s="50"/>
      <c r="G1000" s="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tr">
        <f>IFERROR(__xludf.DUMMYFUNCTION("IMPORTRANGE(""https://docs.google.com/spreadsheets/d/11T3QCvm1KgW6THRDEack4lDxO4QN3BI-8Q0At5dCy7A"",""Juniper!A1:D1000"")"),"Devices")</f>
        <v>Devices</v>
      </c>
      <c r="B1" s="56" t="str">
        <f>IFERROR(__xludf.DUMMYFUNCTION("""COMPUTED_VALUE"""),"List Price")</f>
        <v>List Price</v>
      </c>
      <c r="C1" s="54" t="str">
        <f>IFERROR(__xludf.DUMMYFUNCTION("""COMPUTED_VALUE"""),"Giá AM nhập")</f>
        <v>Giá AM nhập</v>
      </c>
      <c r="D1" s="54" t="str">
        <f>IFERROR(__xludf.DUMMYFUNCTION("""COMPUTED_VALUE"""),"Final Price")</f>
        <v>Final Price</v>
      </c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</row>
    <row r="2">
      <c r="A2" s="50" t="str">
        <f>IFERROR(__xludf.DUMMYFUNCTION("""COMPUTED_VALUE"""),"EX4200-24T")</f>
        <v>EX4200-24T</v>
      </c>
      <c r="B2" s="55">
        <f>IFERROR(__xludf.DUMMYFUNCTION("""COMPUTED_VALUE"""),10000.0)</f>
        <v>10000</v>
      </c>
      <c r="C2" s="55">
        <f>IFERROR(__xludf.DUMMYFUNCTION("""COMPUTED_VALUE"""),26500.0)</f>
        <v>26500</v>
      </c>
      <c r="D2" s="55">
        <f>IFERROR(__xludf.DUMMYFUNCTION("""COMPUTED_VALUE"""),26500.0)</f>
        <v>26500</v>
      </c>
    </row>
    <row r="3">
      <c r="A3" s="50" t="str">
        <f>IFERROR(__xludf.DUMMYFUNCTION("""COMPUTED_VALUE"""),"EX4300-48S")</f>
        <v>EX4300-48S</v>
      </c>
      <c r="B3" s="55">
        <f>IFERROR(__xludf.DUMMYFUNCTION("""COMPUTED_VALUE"""),20000.0)</f>
        <v>20000</v>
      </c>
      <c r="C3" s="55">
        <f>IFERROR(__xludf.DUMMYFUNCTION("""COMPUTED_VALUE"""),32500.0)</f>
        <v>32500</v>
      </c>
      <c r="D3" s="55">
        <f>IFERROR(__xludf.DUMMYFUNCTION("""COMPUTED_VALUE"""),32500.0)</f>
        <v>32500</v>
      </c>
    </row>
    <row r="4">
      <c r="A4" s="50" t="str">
        <f>IFERROR(__xludf.DUMMYFUNCTION("""COMPUTED_VALUE"""),"EX4600")</f>
        <v>EX4600</v>
      </c>
      <c r="B4" s="55">
        <f>IFERROR(__xludf.DUMMYFUNCTION("""COMPUTED_VALUE"""),30000.0)</f>
        <v>30000</v>
      </c>
      <c r="C4" s="55">
        <f>IFERROR(__xludf.DUMMYFUNCTION("""COMPUTED_VALUE"""),192000.0)</f>
        <v>192000</v>
      </c>
      <c r="D4" s="55">
        <f>IFERROR(__xludf.DUMMYFUNCTION("""COMPUTED_VALUE"""),192000.0)</f>
        <v>192000</v>
      </c>
    </row>
    <row r="5">
      <c r="A5" s="50"/>
      <c r="B5" s="50"/>
      <c r="C5" s="50"/>
      <c r="D5" s="50"/>
    </row>
    <row r="6">
      <c r="A6" s="50"/>
      <c r="B6" s="50"/>
      <c r="C6" s="50"/>
      <c r="D6" s="50"/>
    </row>
    <row r="7">
      <c r="A7" s="50"/>
      <c r="B7" s="50"/>
      <c r="C7" s="50"/>
      <c r="D7" s="50"/>
    </row>
    <row r="8">
      <c r="A8" s="50"/>
      <c r="B8" s="50"/>
      <c r="C8" s="50"/>
      <c r="D8" s="50"/>
    </row>
    <row r="9">
      <c r="A9" s="50"/>
      <c r="B9" s="50"/>
      <c r="C9" s="50"/>
      <c r="D9" s="50"/>
    </row>
    <row r="10">
      <c r="A10" s="50"/>
      <c r="B10" s="50"/>
      <c r="C10" s="50"/>
      <c r="D10" s="50"/>
    </row>
    <row r="11">
      <c r="A11" s="50"/>
      <c r="B11" s="50"/>
      <c r="C11" s="50"/>
      <c r="D11" s="50"/>
    </row>
    <row r="12">
      <c r="A12" s="50"/>
      <c r="B12" s="50"/>
      <c r="C12" s="50"/>
      <c r="D12" s="50"/>
    </row>
    <row r="13">
      <c r="A13" s="50"/>
      <c r="B13" s="50"/>
      <c r="C13" s="50"/>
      <c r="D13" s="50"/>
    </row>
    <row r="14">
      <c r="A14" s="50"/>
      <c r="B14" s="50"/>
      <c r="C14" s="50"/>
      <c r="D14" s="50"/>
    </row>
    <row r="15">
      <c r="A15" s="50"/>
      <c r="B15" s="50"/>
      <c r="C15" s="50"/>
      <c r="D15" s="50"/>
    </row>
    <row r="16">
      <c r="A16" s="50"/>
      <c r="B16" s="50"/>
      <c r="C16" s="50"/>
      <c r="D16" s="50"/>
    </row>
    <row r="17">
      <c r="A17" s="50"/>
      <c r="B17" s="50"/>
      <c r="C17" s="50"/>
      <c r="D17" s="50"/>
    </row>
    <row r="18">
      <c r="A18" s="50"/>
      <c r="B18" s="50"/>
      <c r="C18" s="50"/>
      <c r="D18" s="50"/>
    </row>
    <row r="19">
      <c r="A19" s="50"/>
      <c r="B19" s="50"/>
      <c r="C19" s="50"/>
      <c r="D19" s="50"/>
    </row>
    <row r="20">
      <c r="A20" s="50"/>
      <c r="B20" s="50"/>
      <c r="C20" s="50"/>
      <c r="D20" s="50"/>
    </row>
    <row r="21">
      <c r="A21" s="50"/>
      <c r="B21" s="50"/>
      <c r="C21" s="50"/>
      <c r="D21" s="50"/>
    </row>
    <row r="22">
      <c r="A22" s="50"/>
      <c r="B22" s="50"/>
      <c r="C22" s="50"/>
      <c r="D22" s="50"/>
    </row>
    <row r="23">
      <c r="A23" s="50"/>
      <c r="B23" s="50"/>
      <c r="C23" s="50"/>
      <c r="D23" s="50"/>
    </row>
    <row r="24">
      <c r="A24" s="50"/>
      <c r="B24" s="50"/>
      <c r="C24" s="50"/>
      <c r="D24" s="50"/>
    </row>
    <row r="25">
      <c r="A25" s="50"/>
      <c r="B25" s="50"/>
      <c r="C25" s="50"/>
      <c r="D25" s="50"/>
    </row>
    <row r="26">
      <c r="A26" s="50"/>
      <c r="B26" s="50"/>
      <c r="C26" s="50"/>
      <c r="D26" s="50"/>
    </row>
    <row r="27">
      <c r="A27" s="50"/>
      <c r="B27" s="50"/>
      <c r="C27" s="50"/>
      <c r="D27" s="50"/>
    </row>
    <row r="28">
      <c r="A28" s="50"/>
      <c r="B28" s="50"/>
      <c r="C28" s="50"/>
      <c r="D28" s="50"/>
    </row>
    <row r="29">
      <c r="A29" s="50"/>
      <c r="B29" s="50"/>
      <c r="C29" s="50"/>
      <c r="D29" s="50"/>
    </row>
    <row r="30">
      <c r="A30" s="50"/>
      <c r="B30" s="50"/>
      <c r="C30" s="50"/>
      <c r="D30" s="50"/>
    </row>
    <row r="31">
      <c r="A31" s="50"/>
      <c r="B31" s="50"/>
      <c r="C31" s="50"/>
      <c r="D31" s="50"/>
    </row>
    <row r="32">
      <c r="A32" s="50"/>
      <c r="B32" s="50"/>
      <c r="C32" s="50"/>
      <c r="D32" s="50"/>
    </row>
    <row r="33">
      <c r="A33" s="50"/>
      <c r="B33" s="50"/>
      <c r="C33" s="50"/>
      <c r="D33" s="50"/>
    </row>
    <row r="34">
      <c r="A34" s="50"/>
      <c r="B34" s="50"/>
      <c r="C34" s="50"/>
      <c r="D34" s="50"/>
    </row>
    <row r="35">
      <c r="A35" s="50"/>
      <c r="B35" s="50"/>
      <c r="C35" s="50"/>
      <c r="D35" s="50"/>
    </row>
    <row r="36">
      <c r="A36" s="50"/>
      <c r="B36" s="50"/>
      <c r="C36" s="50"/>
      <c r="D36" s="50"/>
    </row>
    <row r="37">
      <c r="A37" s="50"/>
      <c r="B37" s="50"/>
      <c r="C37" s="50"/>
      <c r="D37" s="50"/>
    </row>
    <row r="38">
      <c r="A38" s="50"/>
      <c r="B38" s="50"/>
      <c r="C38" s="50"/>
      <c r="D38" s="50"/>
    </row>
    <row r="39">
      <c r="A39" s="50"/>
      <c r="B39" s="50"/>
      <c r="C39" s="50"/>
      <c r="D39" s="50"/>
    </row>
    <row r="40">
      <c r="A40" s="50"/>
      <c r="B40" s="50"/>
      <c r="C40" s="50"/>
      <c r="D40" s="50"/>
    </row>
    <row r="41">
      <c r="A41" s="50"/>
      <c r="B41" s="50"/>
      <c r="C41" s="50"/>
      <c r="D41" s="50"/>
    </row>
    <row r="42">
      <c r="A42" s="50"/>
      <c r="B42" s="50"/>
      <c r="C42" s="50"/>
      <c r="D42" s="50"/>
    </row>
    <row r="43">
      <c r="A43" s="50"/>
      <c r="B43" s="50"/>
      <c r="C43" s="50"/>
      <c r="D43" s="50"/>
    </row>
    <row r="44">
      <c r="A44" s="50"/>
      <c r="B44" s="50"/>
      <c r="C44" s="50"/>
      <c r="D44" s="50"/>
    </row>
    <row r="45">
      <c r="A45" s="50"/>
      <c r="B45" s="50"/>
      <c r="C45" s="50"/>
      <c r="D45" s="50"/>
    </row>
    <row r="46">
      <c r="A46" s="50"/>
      <c r="B46" s="50"/>
      <c r="C46" s="50"/>
      <c r="D46" s="50"/>
    </row>
    <row r="47">
      <c r="A47" s="50"/>
      <c r="B47" s="50"/>
      <c r="C47" s="50"/>
      <c r="D47" s="50"/>
    </row>
    <row r="48">
      <c r="A48" s="50"/>
      <c r="B48" s="50"/>
      <c r="C48" s="50"/>
      <c r="D48" s="50"/>
    </row>
    <row r="49">
      <c r="A49" s="50"/>
      <c r="B49" s="50"/>
      <c r="C49" s="50"/>
      <c r="D49" s="50"/>
    </row>
    <row r="50">
      <c r="A50" s="50"/>
      <c r="B50" s="50"/>
      <c r="C50" s="50"/>
      <c r="D50" s="50"/>
    </row>
    <row r="51">
      <c r="A51" s="50"/>
      <c r="B51" s="50"/>
      <c r="C51" s="50"/>
      <c r="D51" s="50"/>
    </row>
    <row r="52">
      <c r="A52" s="50"/>
      <c r="B52" s="50"/>
      <c r="C52" s="50"/>
      <c r="D52" s="50"/>
    </row>
    <row r="53">
      <c r="A53" s="50"/>
      <c r="B53" s="50"/>
      <c r="C53" s="50"/>
      <c r="D53" s="50"/>
    </row>
    <row r="54">
      <c r="A54" s="50"/>
      <c r="B54" s="50"/>
      <c r="C54" s="50"/>
      <c r="D54" s="50"/>
    </row>
    <row r="55">
      <c r="A55" s="50"/>
      <c r="B55" s="50"/>
      <c r="C55" s="50"/>
      <c r="D55" s="50"/>
    </row>
    <row r="56">
      <c r="A56" s="50"/>
      <c r="B56" s="50"/>
      <c r="C56" s="50"/>
      <c r="D56" s="50"/>
    </row>
    <row r="57">
      <c r="A57" s="50"/>
      <c r="B57" s="50"/>
      <c r="C57" s="50"/>
      <c r="D57" s="50"/>
    </row>
    <row r="58">
      <c r="A58" s="50"/>
      <c r="B58" s="50"/>
      <c r="C58" s="50"/>
      <c r="D58" s="50"/>
    </row>
    <row r="59">
      <c r="A59" s="50"/>
      <c r="B59" s="50"/>
      <c r="C59" s="50"/>
      <c r="D59" s="50"/>
    </row>
    <row r="60">
      <c r="A60" s="50"/>
      <c r="B60" s="50"/>
      <c r="C60" s="50"/>
      <c r="D60" s="50"/>
    </row>
    <row r="61">
      <c r="A61" s="50"/>
      <c r="B61" s="50"/>
      <c r="C61" s="50"/>
      <c r="D61" s="50"/>
    </row>
    <row r="62">
      <c r="A62" s="50"/>
      <c r="B62" s="50"/>
      <c r="C62" s="50"/>
      <c r="D62" s="50"/>
    </row>
    <row r="63">
      <c r="A63" s="50"/>
      <c r="B63" s="50"/>
      <c r="C63" s="50"/>
      <c r="D63" s="50"/>
    </row>
    <row r="64">
      <c r="A64" s="50"/>
      <c r="B64" s="50"/>
      <c r="C64" s="50"/>
      <c r="D64" s="50"/>
    </row>
    <row r="65">
      <c r="A65" s="50"/>
      <c r="B65" s="50"/>
      <c r="C65" s="50"/>
      <c r="D65" s="50"/>
    </row>
    <row r="66">
      <c r="A66" s="50"/>
      <c r="B66" s="50"/>
      <c r="C66" s="50"/>
      <c r="D66" s="50"/>
    </row>
    <row r="67">
      <c r="A67" s="50"/>
      <c r="B67" s="50"/>
      <c r="C67" s="50"/>
      <c r="D67" s="50"/>
    </row>
    <row r="68">
      <c r="A68" s="50"/>
      <c r="B68" s="50"/>
      <c r="C68" s="50"/>
      <c r="D68" s="50"/>
    </row>
    <row r="69">
      <c r="A69" s="50"/>
      <c r="B69" s="50"/>
      <c r="C69" s="50"/>
      <c r="D69" s="50"/>
    </row>
    <row r="70">
      <c r="A70" s="50"/>
      <c r="B70" s="50"/>
      <c r="C70" s="50"/>
      <c r="D70" s="50"/>
    </row>
    <row r="71">
      <c r="A71" s="50"/>
      <c r="B71" s="50"/>
      <c r="C71" s="50"/>
      <c r="D71" s="50"/>
    </row>
    <row r="72">
      <c r="A72" s="50"/>
      <c r="B72" s="50"/>
      <c r="C72" s="50"/>
      <c r="D72" s="50"/>
    </row>
    <row r="73">
      <c r="A73" s="50"/>
      <c r="B73" s="50"/>
      <c r="C73" s="50"/>
      <c r="D73" s="50"/>
    </row>
    <row r="74">
      <c r="A74" s="50"/>
      <c r="B74" s="50"/>
      <c r="C74" s="50"/>
      <c r="D74" s="50"/>
    </row>
    <row r="75">
      <c r="A75" s="50"/>
      <c r="B75" s="50"/>
      <c r="C75" s="50"/>
      <c r="D75" s="50"/>
    </row>
    <row r="76">
      <c r="A76" s="50"/>
      <c r="B76" s="50"/>
      <c r="C76" s="50"/>
      <c r="D76" s="50"/>
    </row>
    <row r="77">
      <c r="A77" s="50"/>
      <c r="B77" s="50"/>
      <c r="C77" s="50"/>
      <c r="D77" s="50"/>
    </row>
    <row r="78">
      <c r="A78" s="50"/>
      <c r="B78" s="50"/>
      <c r="C78" s="50"/>
      <c r="D78" s="50"/>
    </row>
    <row r="79">
      <c r="A79" s="50"/>
      <c r="B79" s="50"/>
      <c r="C79" s="50"/>
      <c r="D79" s="50"/>
    </row>
    <row r="80">
      <c r="A80" s="50"/>
      <c r="B80" s="50"/>
      <c r="C80" s="50"/>
      <c r="D80" s="50"/>
    </row>
    <row r="81">
      <c r="A81" s="50"/>
      <c r="B81" s="50"/>
      <c r="C81" s="50"/>
      <c r="D81" s="50"/>
    </row>
    <row r="82">
      <c r="A82" s="50"/>
      <c r="B82" s="50"/>
      <c r="C82" s="50"/>
      <c r="D82" s="50"/>
    </row>
    <row r="83">
      <c r="A83" s="50"/>
      <c r="B83" s="50"/>
      <c r="C83" s="50"/>
      <c r="D83" s="50"/>
    </row>
    <row r="84">
      <c r="A84" s="50"/>
      <c r="B84" s="50"/>
      <c r="C84" s="50"/>
      <c r="D84" s="50"/>
    </row>
    <row r="85">
      <c r="A85" s="50"/>
      <c r="B85" s="50"/>
      <c r="C85" s="50"/>
      <c r="D85" s="50"/>
    </row>
    <row r="86">
      <c r="A86" s="50"/>
      <c r="B86" s="50"/>
      <c r="C86" s="50"/>
      <c r="D86" s="50"/>
    </row>
    <row r="87">
      <c r="A87" s="50"/>
      <c r="B87" s="50"/>
      <c r="C87" s="50"/>
      <c r="D87" s="50"/>
    </row>
    <row r="88">
      <c r="A88" s="50"/>
      <c r="B88" s="50"/>
      <c r="C88" s="50"/>
      <c r="D88" s="50"/>
    </row>
    <row r="89">
      <c r="A89" s="50"/>
      <c r="B89" s="50"/>
      <c r="C89" s="50"/>
      <c r="D89" s="50"/>
    </row>
    <row r="90">
      <c r="A90" s="50"/>
      <c r="B90" s="50"/>
      <c r="C90" s="50"/>
      <c r="D90" s="50"/>
    </row>
    <row r="91">
      <c r="A91" s="50"/>
      <c r="B91" s="50"/>
      <c r="C91" s="50"/>
      <c r="D91" s="50"/>
    </row>
    <row r="92">
      <c r="A92" s="50"/>
      <c r="B92" s="50"/>
      <c r="C92" s="50"/>
      <c r="D92" s="50"/>
    </row>
    <row r="93">
      <c r="A93" s="50"/>
      <c r="B93" s="50"/>
      <c r="C93" s="50"/>
      <c r="D93" s="50"/>
    </row>
    <row r="94">
      <c r="A94" s="50"/>
      <c r="B94" s="50"/>
      <c r="C94" s="50"/>
      <c r="D94" s="50"/>
    </row>
    <row r="95">
      <c r="A95" s="50"/>
      <c r="B95" s="50"/>
      <c r="C95" s="50"/>
      <c r="D95" s="50"/>
    </row>
    <row r="96">
      <c r="A96" s="50"/>
      <c r="B96" s="50"/>
      <c r="C96" s="50"/>
      <c r="D96" s="50"/>
    </row>
    <row r="97">
      <c r="A97" s="50"/>
      <c r="B97" s="50"/>
      <c r="C97" s="50"/>
      <c r="D97" s="50"/>
    </row>
    <row r="98">
      <c r="A98" s="50"/>
      <c r="B98" s="50"/>
      <c r="C98" s="50"/>
      <c r="D98" s="50"/>
    </row>
    <row r="99">
      <c r="A99" s="50"/>
      <c r="B99" s="50"/>
      <c r="C99" s="50"/>
      <c r="D99" s="50"/>
    </row>
    <row r="100">
      <c r="A100" s="50"/>
      <c r="B100" s="50"/>
      <c r="C100" s="50"/>
      <c r="D100" s="50"/>
    </row>
    <row r="101">
      <c r="A101" s="50"/>
      <c r="B101" s="50"/>
      <c r="C101" s="50"/>
      <c r="D101" s="50"/>
    </row>
    <row r="102">
      <c r="A102" s="50"/>
      <c r="B102" s="50"/>
      <c r="C102" s="50"/>
      <c r="D102" s="50"/>
    </row>
    <row r="103">
      <c r="A103" s="50"/>
      <c r="B103" s="50"/>
      <c r="C103" s="50"/>
      <c r="D103" s="50"/>
    </row>
    <row r="104">
      <c r="A104" s="50"/>
      <c r="B104" s="50"/>
      <c r="C104" s="50"/>
      <c r="D104" s="50"/>
    </row>
    <row r="105">
      <c r="A105" s="50"/>
      <c r="B105" s="50"/>
      <c r="C105" s="50"/>
      <c r="D105" s="50"/>
    </row>
    <row r="106">
      <c r="A106" s="50"/>
      <c r="B106" s="50"/>
      <c r="C106" s="50"/>
      <c r="D106" s="50"/>
    </row>
    <row r="107">
      <c r="A107" s="50"/>
      <c r="B107" s="50"/>
      <c r="C107" s="50"/>
      <c r="D107" s="50"/>
    </row>
    <row r="108">
      <c r="A108" s="50"/>
      <c r="B108" s="50"/>
      <c r="C108" s="50"/>
      <c r="D108" s="50"/>
    </row>
    <row r="109">
      <c r="A109" s="50"/>
      <c r="B109" s="50"/>
      <c r="C109" s="50"/>
      <c r="D109" s="50"/>
    </row>
    <row r="110">
      <c r="A110" s="50"/>
      <c r="B110" s="50"/>
      <c r="C110" s="50"/>
      <c r="D110" s="50"/>
    </row>
    <row r="111">
      <c r="A111" s="50"/>
      <c r="B111" s="50"/>
      <c r="C111" s="50"/>
      <c r="D111" s="50"/>
    </row>
    <row r="112">
      <c r="A112" s="50"/>
      <c r="B112" s="50"/>
      <c r="C112" s="50"/>
      <c r="D112" s="50"/>
    </row>
    <row r="113">
      <c r="A113" s="50"/>
      <c r="B113" s="50"/>
      <c r="C113" s="50"/>
      <c r="D113" s="50"/>
    </row>
    <row r="114">
      <c r="A114" s="50"/>
      <c r="B114" s="50"/>
      <c r="C114" s="50"/>
      <c r="D114" s="50"/>
    </row>
    <row r="115">
      <c r="A115" s="50"/>
      <c r="B115" s="50"/>
      <c r="C115" s="50"/>
      <c r="D115" s="50"/>
    </row>
    <row r="116">
      <c r="A116" s="50"/>
      <c r="B116" s="50"/>
      <c r="C116" s="50"/>
      <c r="D116" s="50"/>
    </row>
    <row r="117">
      <c r="A117" s="50"/>
      <c r="B117" s="50"/>
      <c r="C117" s="50"/>
      <c r="D117" s="50"/>
    </row>
    <row r="118">
      <c r="A118" s="50"/>
      <c r="B118" s="50"/>
      <c r="C118" s="50"/>
      <c r="D118" s="50"/>
    </row>
    <row r="119">
      <c r="A119" s="50"/>
      <c r="B119" s="50"/>
      <c r="C119" s="50"/>
      <c r="D119" s="50"/>
    </row>
    <row r="120">
      <c r="A120" s="50"/>
      <c r="B120" s="50"/>
      <c r="C120" s="50"/>
      <c r="D120" s="50"/>
    </row>
    <row r="121">
      <c r="A121" s="50"/>
      <c r="B121" s="50"/>
      <c r="C121" s="50"/>
      <c r="D121" s="50"/>
    </row>
    <row r="122">
      <c r="A122" s="50"/>
      <c r="B122" s="50"/>
      <c r="C122" s="50"/>
      <c r="D122" s="50"/>
    </row>
    <row r="123">
      <c r="A123" s="50"/>
      <c r="B123" s="50"/>
      <c r="C123" s="50"/>
      <c r="D123" s="50"/>
    </row>
    <row r="124">
      <c r="A124" s="50"/>
      <c r="B124" s="50"/>
      <c r="C124" s="50"/>
      <c r="D124" s="50"/>
    </row>
    <row r="125">
      <c r="A125" s="50"/>
      <c r="B125" s="50"/>
      <c r="C125" s="50"/>
      <c r="D125" s="50"/>
    </row>
    <row r="126">
      <c r="A126" s="50"/>
      <c r="B126" s="50"/>
      <c r="C126" s="50"/>
      <c r="D126" s="50"/>
    </row>
    <row r="127">
      <c r="A127" s="50"/>
      <c r="B127" s="50"/>
      <c r="C127" s="50"/>
      <c r="D127" s="50"/>
    </row>
    <row r="128">
      <c r="A128" s="50"/>
      <c r="B128" s="50"/>
      <c r="C128" s="50"/>
      <c r="D128" s="50"/>
    </row>
    <row r="129">
      <c r="A129" s="50"/>
      <c r="B129" s="50"/>
      <c r="C129" s="50"/>
      <c r="D129" s="50"/>
    </row>
    <row r="130">
      <c r="A130" s="50"/>
      <c r="B130" s="50"/>
      <c r="C130" s="50"/>
      <c r="D130" s="50"/>
    </row>
    <row r="131">
      <c r="A131" s="50"/>
      <c r="B131" s="50"/>
      <c r="C131" s="50"/>
      <c r="D131" s="50"/>
    </row>
    <row r="132">
      <c r="A132" s="50"/>
      <c r="B132" s="50"/>
      <c r="C132" s="50"/>
      <c r="D132" s="50"/>
    </row>
    <row r="133">
      <c r="A133" s="50"/>
      <c r="B133" s="50"/>
      <c r="C133" s="50"/>
      <c r="D133" s="50"/>
    </row>
    <row r="134">
      <c r="A134" s="50"/>
      <c r="B134" s="50"/>
      <c r="C134" s="50"/>
      <c r="D134" s="50"/>
    </row>
    <row r="135">
      <c r="A135" s="50"/>
      <c r="B135" s="50"/>
      <c r="C135" s="50"/>
      <c r="D135" s="50"/>
    </row>
    <row r="136">
      <c r="A136" s="50"/>
      <c r="B136" s="50"/>
      <c r="C136" s="50"/>
      <c r="D136" s="50"/>
    </row>
    <row r="137">
      <c r="A137" s="50"/>
      <c r="B137" s="50"/>
      <c r="C137" s="50"/>
      <c r="D137" s="50"/>
    </row>
    <row r="138">
      <c r="A138" s="50"/>
      <c r="B138" s="50"/>
      <c r="C138" s="50"/>
      <c r="D138" s="50"/>
    </row>
    <row r="139">
      <c r="A139" s="50"/>
      <c r="B139" s="50"/>
      <c r="C139" s="50"/>
      <c r="D139" s="50"/>
    </row>
    <row r="140">
      <c r="A140" s="50"/>
      <c r="B140" s="50"/>
      <c r="C140" s="50"/>
      <c r="D140" s="50"/>
    </row>
    <row r="141">
      <c r="A141" s="50"/>
      <c r="B141" s="50"/>
      <c r="C141" s="50"/>
      <c r="D141" s="50"/>
    </row>
    <row r="142">
      <c r="A142" s="50"/>
      <c r="B142" s="50"/>
      <c r="C142" s="50"/>
      <c r="D142" s="50"/>
    </row>
    <row r="143">
      <c r="A143" s="50"/>
      <c r="B143" s="50"/>
      <c r="C143" s="50"/>
      <c r="D143" s="50"/>
    </row>
    <row r="144">
      <c r="A144" s="50"/>
      <c r="B144" s="50"/>
      <c r="C144" s="50"/>
      <c r="D144" s="50"/>
    </row>
    <row r="145">
      <c r="A145" s="50"/>
      <c r="B145" s="50"/>
      <c r="C145" s="50"/>
      <c r="D145" s="50"/>
    </row>
    <row r="146">
      <c r="A146" s="50"/>
      <c r="B146" s="50"/>
      <c r="C146" s="50"/>
      <c r="D146" s="50"/>
    </row>
    <row r="147">
      <c r="A147" s="50"/>
      <c r="B147" s="50"/>
      <c r="C147" s="50"/>
      <c r="D147" s="50"/>
    </row>
    <row r="148">
      <c r="A148" s="50"/>
      <c r="B148" s="50"/>
      <c r="C148" s="50"/>
      <c r="D148" s="50"/>
    </row>
    <row r="149">
      <c r="A149" s="50"/>
      <c r="B149" s="50"/>
      <c r="C149" s="50"/>
      <c r="D149" s="50"/>
    </row>
    <row r="150">
      <c r="A150" s="50"/>
      <c r="B150" s="50"/>
      <c r="C150" s="50"/>
      <c r="D150" s="50"/>
    </row>
    <row r="151">
      <c r="A151" s="50"/>
      <c r="B151" s="50"/>
      <c r="C151" s="50"/>
      <c r="D151" s="50"/>
    </row>
    <row r="152">
      <c r="A152" s="50"/>
      <c r="B152" s="50"/>
      <c r="C152" s="50"/>
      <c r="D152" s="50"/>
    </row>
    <row r="153">
      <c r="A153" s="50"/>
      <c r="B153" s="50"/>
      <c r="C153" s="50"/>
      <c r="D153" s="50"/>
    </row>
    <row r="154">
      <c r="A154" s="50"/>
      <c r="B154" s="50"/>
      <c r="C154" s="50"/>
      <c r="D154" s="50"/>
    </row>
    <row r="155">
      <c r="A155" s="50"/>
      <c r="B155" s="50"/>
      <c r="C155" s="50"/>
      <c r="D155" s="50"/>
    </row>
    <row r="156">
      <c r="A156" s="50"/>
      <c r="B156" s="50"/>
      <c r="C156" s="50"/>
      <c r="D156" s="50"/>
    </row>
    <row r="157">
      <c r="A157" s="50"/>
      <c r="B157" s="50"/>
      <c r="C157" s="50"/>
      <c r="D157" s="50"/>
    </row>
    <row r="158">
      <c r="A158" s="50"/>
      <c r="B158" s="50"/>
      <c r="C158" s="50"/>
      <c r="D158" s="50"/>
    </row>
    <row r="159">
      <c r="A159" s="50"/>
      <c r="B159" s="50"/>
      <c r="C159" s="50"/>
      <c r="D159" s="50"/>
    </row>
    <row r="160">
      <c r="A160" s="50"/>
      <c r="B160" s="50"/>
      <c r="C160" s="50"/>
      <c r="D160" s="50"/>
    </row>
    <row r="161">
      <c r="A161" s="50"/>
      <c r="B161" s="50"/>
      <c r="C161" s="50"/>
      <c r="D161" s="50"/>
    </row>
    <row r="162">
      <c r="A162" s="50"/>
      <c r="B162" s="50"/>
      <c r="C162" s="50"/>
      <c r="D162" s="50"/>
    </row>
    <row r="163">
      <c r="A163" s="50"/>
      <c r="B163" s="50"/>
      <c r="C163" s="50"/>
      <c r="D163" s="50"/>
    </row>
    <row r="164">
      <c r="A164" s="50"/>
      <c r="B164" s="50"/>
      <c r="C164" s="50"/>
      <c r="D164" s="50"/>
    </row>
    <row r="165">
      <c r="A165" s="50"/>
      <c r="B165" s="50"/>
      <c r="C165" s="50"/>
      <c r="D165" s="50"/>
    </row>
    <row r="166">
      <c r="A166" s="50"/>
      <c r="B166" s="50"/>
      <c r="C166" s="50"/>
      <c r="D166" s="50"/>
    </row>
    <row r="167">
      <c r="A167" s="50"/>
      <c r="B167" s="50"/>
      <c r="C167" s="50"/>
      <c r="D167" s="50"/>
    </row>
    <row r="168">
      <c r="A168" s="50"/>
      <c r="B168" s="50"/>
      <c r="C168" s="50"/>
      <c r="D168" s="50"/>
    </row>
    <row r="169">
      <c r="A169" s="50"/>
      <c r="B169" s="50"/>
      <c r="C169" s="50"/>
      <c r="D169" s="50"/>
    </row>
    <row r="170">
      <c r="A170" s="50"/>
      <c r="B170" s="50"/>
      <c r="C170" s="50"/>
      <c r="D170" s="50"/>
    </row>
    <row r="171">
      <c r="A171" s="50"/>
      <c r="B171" s="50"/>
      <c r="C171" s="50"/>
      <c r="D171" s="50"/>
    </row>
    <row r="172">
      <c r="A172" s="50"/>
      <c r="B172" s="50"/>
      <c r="C172" s="50"/>
      <c r="D172" s="50"/>
    </row>
    <row r="173">
      <c r="A173" s="50"/>
      <c r="B173" s="50"/>
      <c r="C173" s="50"/>
      <c r="D173" s="50"/>
    </row>
    <row r="174">
      <c r="A174" s="50"/>
      <c r="B174" s="50"/>
      <c r="C174" s="50"/>
      <c r="D174" s="50"/>
    </row>
    <row r="175">
      <c r="A175" s="50"/>
      <c r="B175" s="50"/>
      <c r="C175" s="50"/>
      <c r="D175" s="50"/>
    </row>
    <row r="176">
      <c r="A176" s="50"/>
      <c r="B176" s="50"/>
      <c r="C176" s="50"/>
      <c r="D176" s="50"/>
    </row>
    <row r="177">
      <c r="A177" s="50"/>
      <c r="B177" s="50"/>
      <c r="C177" s="50"/>
      <c r="D177" s="50"/>
    </row>
    <row r="178">
      <c r="A178" s="50"/>
      <c r="B178" s="50"/>
      <c r="C178" s="50"/>
      <c r="D178" s="50"/>
    </row>
    <row r="179">
      <c r="A179" s="50"/>
      <c r="B179" s="50"/>
      <c r="C179" s="50"/>
      <c r="D179" s="50"/>
    </row>
    <row r="180">
      <c r="A180" s="50"/>
      <c r="B180" s="50"/>
      <c r="C180" s="50"/>
      <c r="D180" s="50"/>
    </row>
    <row r="181">
      <c r="A181" s="50"/>
      <c r="B181" s="50"/>
      <c r="C181" s="50"/>
      <c r="D181" s="50"/>
    </row>
    <row r="182">
      <c r="A182" s="50"/>
      <c r="B182" s="50"/>
      <c r="C182" s="50"/>
      <c r="D182" s="50"/>
    </row>
    <row r="183">
      <c r="A183" s="50"/>
      <c r="B183" s="50"/>
      <c r="C183" s="50"/>
      <c r="D183" s="50"/>
    </row>
    <row r="184">
      <c r="A184" s="50"/>
      <c r="B184" s="50"/>
      <c r="C184" s="50"/>
      <c r="D184" s="50"/>
    </row>
    <row r="185">
      <c r="A185" s="50"/>
      <c r="B185" s="50"/>
      <c r="C185" s="50"/>
      <c r="D185" s="50"/>
    </row>
    <row r="186">
      <c r="A186" s="50"/>
      <c r="B186" s="50"/>
      <c r="C186" s="50"/>
      <c r="D186" s="50"/>
    </row>
    <row r="187">
      <c r="A187" s="50"/>
      <c r="B187" s="50"/>
      <c r="C187" s="50"/>
      <c r="D187" s="50"/>
    </row>
    <row r="188">
      <c r="A188" s="50"/>
      <c r="B188" s="50"/>
      <c r="C188" s="50"/>
      <c r="D188" s="50"/>
    </row>
    <row r="189">
      <c r="A189" s="50"/>
      <c r="B189" s="50"/>
      <c r="C189" s="50"/>
      <c r="D189" s="50"/>
    </row>
    <row r="190">
      <c r="A190" s="50"/>
      <c r="B190" s="50"/>
      <c r="C190" s="50"/>
      <c r="D190" s="50"/>
    </row>
    <row r="191">
      <c r="A191" s="50"/>
      <c r="B191" s="50"/>
      <c r="C191" s="50"/>
      <c r="D191" s="50"/>
    </row>
    <row r="192">
      <c r="A192" s="50"/>
      <c r="B192" s="50"/>
      <c r="C192" s="50"/>
      <c r="D192" s="50"/>
    </row>
    <row r="193">
      <c r="A193" s="50"/>
      <c r="B193" s="50"/>
      <c r="C193" s="50"/>
      <c r="D193" s="50"/>
    </row>
    <row r="194">
      <c r="A194" s="50"/>
      <c r="B194" s="50"/>
      <c r="C194" s="50"/>
      <c r="D194" s="50"/>
    </row>
    <row r="195">
      <c r="A195" s="50"/>
      <c r="B195" s="50"/>
      <c r="C195" s="50"/>
      <c r="D195" s="50"/>
    </row>
    <row r="196">
      <c r="A196" s="50"/>
      <c r="B196" s="50"/>
      <c r="C196" s="50"/>
      <c r="D196" s="50"/>
    </row>
    <row r="197">
      <c r="A197" s="50"/>
      <c r="B197" s="50"/>
      <c r="C197" s="50"/>
      <c r="D197" s="50"/>
    </row>
    <row r="198">
      <c r="A198" s="50"/>
      <c r="B198" s="50"/>
      <c r="C198" s="50"/>
      <c r="D198" s="50"/>
    </row>
    <row r="199">
      <c r="A199" s="50"/>
      <c r="B199" s="50"/>
      <c r="C199" s="50"/>
      <c r="D199" s="50"/>
    </row>
    <row r="200">
      <c r="A200" s="50"/>
      <c r="B200" s="50"/>
      <c r="C200" s="50"/>
      <c r="D200" s="50"/>
    </row>
    <row r="201">
      <c r="A201" s="50"/>
      <c r="B201" s="50"/>
      <c r="C201" s="50"/>
      <c r="D201" s="50"/>
    </row>
    <row r="202">
      <c r="A202" s="50"/>
      <c r="B202" s="50"/>
      <c r="C202" s="50"/>
      <c r="D202" s="50"/>
    </row>
    <row r="203">
      <c r="A203" s="50"/>
      <c r="B203" s="50"/>
      <c r="C203" s="50"/>
      <c r="D203" s="50"/>
    </row>
    <row r="204">
      <c r="A204" s="50"/>
      <c r="B204" s="50"/>
      <c r="C204" s="50"/>
      <c r="D204" s="50"/>
    </row>
    <row r="205">
      <c r="A205" s="50"/>
      <c r="B205" s="50"/>
      <c r="C205" s="50"/>
      <c r="D205" s="50"/>
    </row>
    <row r="206">
      <c r="A206" s="50"/>
      <c r="B206" s="50"/>
      <c r="C206" s="50"/>
      <c r="D206" s="50"/>
    </row>
    <row r="207">
      <c r="A207" s="50"/>
      <c r="B207" s="50"/>
      <c r="C207" s="50"/>
      <c r="D207" s="50"/>
    </row>
    <row r="208">
      <c r="A208" s="50"/>
      <c r="B208" s="50"/>
      <c r="C208" s="50"/>
      <c r="D208" s="50"/>
    </row>
    <row r="209">
      <c r="A209" s="50"/>
      <c r="B209" s="50"/>
      <c r="C209" s="50"/>
      <c r="D209" s="50"/>
    </row>
    <row r="210">
      <c r="A210" s="50"/>
      <c r="B210" s="50"/>
      <c r="C210" s="50"/>
      <c r="D210" s="50"/>
    </row>
    <row r="211">
      <c r="A211" s="50"/>
      <c r="B211" s="50"/>
      <c r="C211" s="50"/>
      <c r="D211" s="50"/>
    </row>
    <row r="212">
      <c r="A212" s="50"/>
      <c r="B212" s="50"/>
      <c r="C212" s="50"/>
      <c r="D212" s="50"/>
    </row>
    <row r="213">
      <c r="A213" s="50"/>
      <c r="B213" s="50"/>
      <c r="C213" s="50"/>
      <c r="D213" s="50"/>
    </row>
    <row r="214">
      <c r="A214" s="50"/>
      <c r="B214" s="50"/>
      <c r="C214" s="50"/>
      <c r="D214" s="50"/>
    </row>
    <row r="215">
      <c r="A215" s="50"/>
      <c r="B215" s="50"/>
      <c r="C215" s="50"/>
      <c r="D215" s="50"/>
    </row>
    <row r="216">
      <c r="A216" s="50"/>
      <c r="B216" s="50"/>
      <c r="C216" s="50"/>
      <c r="D216" s="50"/>
    </row>
    <row r="217">
      <c r="A217" s="50"/>
      <c r="B217" s="50"/>
      <c r="C217" s="50"/>
      <c r="D217" s="50"/>
    </row>
    <row r="218">
      <c r="A218" s="50"/>
      <c r="B218" s="50"/>
      <c r="C218" s="50"/>
      <c r="D218" s="50"/>
    </row>
    <row r="219">
      <c r="A219" s="50"/>
      <c r="B219" s="50"/>
      <c r="C219" s="50"/>
      <c r="D219" s="50"/>
    </row>
    <row r="220">
      <c r="A220" s="50"/>
      <c r="B220" s="50"/>
      <c r="C220" s="50"/>
      <c r="D220" s="50"/>
    </row>
    <row r="221">
      <c r="A221" s="50"/>
      <c r="B221" s="50"/>
      <c r="C221" s="50"/>
      <c r="D221" s="50"/>
    </row>
    <row r="222">
      <c r="A222" s="50"/>
      <c r="B222" s="50"/>
      <c r="C222" s="50"/>
      <c r="D222" s="50"/>
    </row>
    <row r="223">
      <c r="A223" s="50"/>
      <c r="B223" s="50"/>
      <c r="C223" s="50"/>
      <c r="D223" s="50"/>
    </row>
    <row r="224">
      <c r="A224" s="50"/>
      <c r="B224" s="50"/>
      <c r="C224" s="50"/>
      <c r="D224" s="50"/>
    </row>
    <row r="225">
      <c r="A225" s="50"/>
      <c r="B225" s="50"/>
      <c r="C225" s="50"/>
      <c r="D225" s="50"/>
    </row>
    <row r="226">
      <c r="A226" s="50"/>
      <c r="B226" s="50"/>
      <c r="C226" s="50"/>
      <c r="D226" s="50"/>
    </row>
    <row r="227">
      <c r="A227" s="50"/>
      <c r="B227" s="50"/>
      <c r="C227" s="50"/>
      <c r="D227" s="50"/>
    </row>
    <row r="228">
      <c r="A228" s="50"/>
      <c r="B228" s="50"/>
      <c r="C228" s="50"/>
      <c r="D228" s="50"/>
    </row>
    <row r="229">
      <c r="A229" s="50"/>
      <c r="B229" s="50"/>
      <c r="C229" s="50"/>
      <c r="D229" s="50"/>
    </row>
    <row r="230">
      <c r="A230" s="50"/>
      <c r="B230" s="50"/>
      <c r="C230" s="50"/>
      <c r="D230" s="50"/>
    </row>
    <row r="231">
      <c r="A231" s="50"/>
      <c r="B231" s="50"/>
      <c r="C231" s="50"/>
      <c r="D231" s="50"/>
    </row>
    <row r="232">
      <c r="A232" s="50"/>
      <c r="B232" s="50"/>
      <c r="C232" s="50"/>
      <c r="D232" s="50"/>
    </row>
    <row r="233">
      <c r="A233" s="50"/>
      <c r="B233" s="50"/>
      <c r="C233" s="50"/>
      <c r="D233" s="50"/>
    </row>
    <row r="234">
      <c r="A234" s="50"/>
      <c r="B234" s="50"/>
      <c r="C234" s="50"/>
      <c r="D234" s="50"/>
    </row>
    <row r="235">
      <c r="A235" s="50"/>
      <c r="B235" s="50"/>
      <c r="C235" s="50"/>
      <c r="D235" s="50"/>
    </row>
    <row r="236">
      <c r="A236" s="50"/>
      <c r="B236" s="50"/>
      <c r="C236" s="50"/>
      <c r="D236" s="50"/>
    </row>
    <row r="237">
      <c r="A237" s="50"/>
      <c r="B237" s="50"/>
      <c r="C237" s="50"/>
      <c r="D237" s="50"/>
    </row>
    <row r="238">
      <c r="A238" s="50"/>
      <c r="B238" s="50"/>
      <c r="C238" s="50"/>
      <c r="D238" s="50"/>
    </row>
    <row r="239">
      <c r="A239" s="50"/>
      <c r="B239" s="50"/>
      <c r="C239" s="50"/>
      <c r="D239" s="50"/>
    </row>
    <row r="240">
      <c r="A240" s="50"/>
      <c r="B240" s="50"/>
      <c r="C240" s="50"/>
      <c r="D240" s="50"/>
    </row>
    <row r="241">
      <c r="A241" s="50"/>
      <c r="B241" s="50"/>
      <c r="C241" s="50"/>
      <c r="D241" s="50"/>
    </row>
    <row r="242">
      <c r="A242" s="50"/>
      <c r="B242" s="50"/>
      <c r="C242" s="50"/>
      <c r="D242" s="50"/>
    </row>
    <row r="243">
      <c r="A243" s="50"/>
      <c r="B243" s="50"/>
      <c r="C243" s="50"/>
      <c r="D243" s="50"/>
    </row>
    <row r="244">
      <c r="A244" s="50"/>
      <c r="B244" s="50"/>
      <c r="C244" s="50"/>
      <c r="D244" s="50"/>
    </row>
    <row r="245">
      <c r="A245" s="50"/>
      <c r="B245" s="50"/>
      <c r="C245" s="50"/>
      <c r="D245" s="50"/>
    </row>
    <row r="246">
      <c r="A246" s="50"/>
      <c r="B246" s="50"/>
      <c r="C246" s="50"/>
      <c r="D246" s="50"/>
    </row>
    <row r="247">
      <c r="A247" s="50"/>
      <c r="B247" s="50"/>
      <c r="C247" s="50"/>
      <c r="D247" s="50"/>
    </row>
    <row r="248">
      <c r="A248" s="50"/>
      <c r="B248" s="50"/>
      <c r="C248" s="50"/>
      <c r="D248" s="50"/>
    </row>
    <row r="249">
      <c r="A249" s="50"/>
      <c r="B249" s="50"/>
      <c r="C249" s="50"/>
      <c r="D249" s="50"/>
    </row>
    <row r="250">
      <c r="A250" s="50"/>
      <c r="B250" s="50"/>
      <c r="C250" s="50"/>
      <c r="D250" s="50"/>
    </row>
    <row r="251">
      <c r="A251" s="50"/>
      <c r="B251" s="50"/>
      <c r="C251" s="50"/>
      <c r="D251" s="50"/>
    </row>
    <row r="252">
      <c r="A252" s="50"/>
      <c r="B252" s="50"/>
      <c r="C252" s="50"/>
      <c r="D252" s="50"/>
    </row>
    <row r="253">
      <c r="A253" s="50"/>
      <c r="B253" s="50"/>
      <c r="C253" s="50"/>
      <c r="D253" s="50"/>
    </row>
    <row r="254">
      <c r="A254" s="50"/>
      <c r="B254" s="50"/>
      <c r="C254" s="50"/>
      <c r="D254" s="50"/>
    </row>
    <row r="255">
      <c r="A255" s="50"/>
      <c r="B255" s="50"/>
      <c r="C255" s="50"/>
      <c r="D255" s="50"/>
    </row>
    <row r="256">
      <c r="A256" s="50"/>
      <c r="B256" s="50"/>
      <c r="C256" s="50"/>
      <c r="D256" s="50"/>
    </row>
    <row r="257">
      <c r="A257" s="50"/>
      <c r="B257" s="50"/>
      <c r="C257" s="50"/>
      <c r="D257" s="50"/>
    </row>
    <row r="258">
      <c r="A258" s="50"/>
      <c r="B258" s="50"/>
      <c r="C258" s="50"/>
      <c r="D258" s="50"/>
    </row>
    <row r="259">
      <c r="A259" s="50"/>
      <c r="B259" s="50"/>
      <c r="C259" s="50"/>
      <c r="D259" s="50"/>
    </row>
    <row r="260">
      <c r="A260" s="50"/>
      <c r="B260" s="50"/>
      <c r="C260" s="50"/>
      <c r="D260" s="50"/>
    </row>
    <row r="261">
      <c r="A261" s="50"/>
      <c r="B261" s="50"/>
      <c r="C261" s="50"/>
      <c r="D261" s="50"/>
    </row>
    <row r="262">
      <c r="A262" s="50"/>
      <c r="B262" s="50"/>
      <c r="C262" s="50"/>
      <c r="D262" s="50"/>
    </row>
    <row r="263">
      <c r="A263" s="50"/>
      <c r="B263" s="50"/>
      <c r="C263" s="50"/>
      <c r="D263" s="50"/>
    </row>
    <row r="264">
      <c r="A264" s="50"/>
      <c r="B264" s="50"/>
      <c r="C264" s="50"/>
      <c r="D264" s="50"/>
    </row>
    <row r="265">
      <c r="A265" s="50"/>
      <c r="B265" s="50"/>
      <c r="C265" s="50"/>
      <c r="D265" s="50"/>
    </row>
    <row r="266">
      <c r="A266" s="50"/>
      <c r="B266" s="50"/>
      <c r="C266" s="50"/>
      <c r="D266" s="50"/>
    </row>
    <row r="267">
      <c r="A267" s="50"/>
      <c r="B267" s="50"/>
      <c r="C267" s="50"/>
      <c r="D267" s="50"/>
    </row>
    <row r="268">
      <c r="A268" s="50"/>
      <c r="B268" s="50"/>
      <c r="C268" s="50"/>
      <c r="D268" s="50"/>
    </row>
    <row r="269">
      <c r="A269" s="50"/>
      <c r="B269" s="50"/>
      <c r="C269" s="50"/>
      <c r="D269" s="50"/>
    </row>
    <row r="270">
      <c r="A270" s="50"/>
      <c r="B270" s="50"/>
      <c r="C270" s="50"/>
      <c r="D270" s="50"/>
    </row>
    <row r="271">
      <c r="A271" s="50"/>
      <c r="B271" s="50"/>
      <c r="C271" s="50"/>
      <c r="D271" s="50"/>
    </row>
    <row r="272">
      <c r="A272" s="50"/>
      <c r="B272" s="50"/>
      <c r="C272" s="50"/>
      <c r="D272" s="50"/>
    </row>
    <row r="273">
      <c r="A273" s="50"/>
      <c r="B273" s="50"/>
      <c r="C273" s="50"/>
      <c r="D273" s="50"/>
    </row>
    <row r="274">
      <c r="A274" s="50"/>
      <c r="B274" s="50"/>
      <c r="C274" s="50"/>
      <c r="D274" s="50"/>
    </row>
    <row r="275">
      <c r="A275" s="50"/>
      <c r="B275" s="50"/>
      <c r="C275" s="50"/>
      <c r="D275" s="50"/>
    </row>
    <row r="276">
      <c r="A276" s="50"/>
      <c r="B276" s="50"/>
      <c r="C276" s="50"/>
      <c r="D276" s="50"/>
    </row>
    <row r="277">
      <c r="A277" s="50"/>
      <c r="B277" s="50"/>
      <c r="C277" s="50"/>
      <c r="D277" s="50"/>
    </row>
    <row r="278">
      <c r="A278" s="50"/>
      <c r="B278" s="50"/>
      <c r="C278" s="50"/>
      <c r="D278" s="50"/>
    </row>
    <row r="279">
      <c r="A279" s="50"/>
      <c r="B279" s="50"/>
      <c r="C279" s="50"/>
      <c r="D279" s="50"/>
    </row>
    <row r="280">
      <c r="A280" s="50"/>
      <c r="B280" s="50"/>
      <c r="C280" s="50"/>
      <c r="D280" s="50"/>
    </row>
    <row r="281">
      <c r="A281" s="50"/>
      <c r="B281" s="50"/>
      <c r="C281" s="50"/>
      <c r="D281" s="50"/>
    </row>
    <row r="282">
      <c r="A282" s="50"/>
      <c r="B282" s="50"/>
      <c r="C282" s="50"/>
      <c r="D282" s="50"/>
    </row>
    <row r="283">
      <c r="A283" s="50"/>
      <c r="B283" s="50"/>
      <c r="C283" s="50"/>
      <c r="D283" s="50"/>
    </row>
    <row r="284">
      <c r="A284" s="50"/>
      <c r="B284" s="50"/>
      <c r="C284" s="50"/>
      <c r="D284" s="50"/>
    </row>
    <row r="285">
      <c r="A285" s="50"/>
      <c r="B285" s="50"/>
      <c r="C285" s="50"/>
      <c r="D285" s="50"/>
    </row>
    <row r="286">
      <c r="A286" s="50"/>
      <c r="B286" s="50"/>
      <c r="C286" s="50"/>
      <c r="D286" s="50"/>
    </row>
    <row r="287">
      <c r="A287" s="50"/>
      <c r="B287" s="50"/>
      <c r="C287" s="50"/>
      <c r="D287" s="50"/>
    </row>
    <row r="288">
      <c r="A288" s="50"/>
      <c r="B288" s="50"/>
      <c r="C288" s="50"/>
      <c r="D288" s="50"/>
    </row>
    <row r="289">
      <c r="A289" s="50"/>
      <c r="B289" s="50"/>
      <c r="C289" s="50"/>
      <c r="D289" s="50"/>
    </row>
    <row r="290">
      <c r="A290" s="50"/>
      <c r="B290" s="50"/>
      <c r="C290" s="50"/>
      <c r="D290" s="50"/>
    </row>
    <row r="291">
      <c r="A291" s="50"/>
      <c r="B291" s="50"/>
      <c r="C291" s="50"/>
      <c r="D291" s="50"/>
    </row>
    <row r="292">
      <c r="A292" s="50"/>
      <c r="B292" s="50"/>
      <c r="C292" s="50"/>
      <c r="D292" s="50"/>
    </row>
    <row r="293">
      <c r="A293" s="50"/>
      <c r="B293" s="50"/>
      <c r="C293" s="50"/>
      <c r="D293" s="50"/>
    </row>
    <row r="294">
      <c r="A294" s="50"/>
      <c r="B294" s="50"/>
      <c r="C294" s="50"/>
      <c r="D294" s="50"/>
    </row>
    <row r="295">
      <c r="A295" s="50"/>
      <c r="B295" s="50"/>
      <c r="C295" s="50"/>
      <c r="D295" s="50"/>
    </row>
    <row r="296">
      <c r="A296" s="50"/>
      <c r="B296" s="50"/>
      <c r="C296" s="50"/>
      <c r="D296" s="50"/>
    </row>
    <row r="297">
      <c r="A297" s="50"/>
      <c r="B297" s="50"/>
      <c r="C297" s="50"/>
      <c r="D297" s="50"/>
    </row>
    <row r="298">
      <c r="A298" s="50"/>
      <c r="B298" s="50"/>
      <c r="C298" s="50"/>
      <c r="D298" s="50"/>
    </row>
    <row r="299">
      <c r="A299" s="50"/>
      <c r="B299" s="50"/>
      <c r="C299" s="50"/>
      <c r="D299" s="50"/>
    </row>
    <row r="300">
      <c r="A300" s="50"/>
      <c r="B300" s="50"/>
      <c r="C300" s="50"/>
      <c r="D300" s="50"/>
    </row>
    <row r="301">
      <c r="A301" s="50"/>
      <c r="B301" s="50"/>
      <c r="C301" s="50"/>
      <c r="D301" s="50"/>
    </row>
    <row r="302">
      <c r="A302" s="50"/>
      <c r="B302" s="50"/>
      <c r="C302" s="50"/>
      <c r="D302" s="50"/>
    </row>
    <row r="303">
      <c r="A303" s="50"/>
      <c r="B303" s="50"/>
      <c r="C303" s="50"/>
      <c r="D303" s="50"/>
    </row>
    <row r="304">
      <c r="A304" s="50"/>
      <c r="B304" s="50"/>
      <c r="C304" s="50"/>
      <c r="D304" s="50"/>
    </row>
    <row r="305">
      <c r="A305" s="50"/>
      <c r="B305" s="50"/>
      <c r="C305" s="50"/>
      <c r="D305" s="50"/>
    </row>
    <row r="306">
      <c r="A306" s="50"/>
      <c r="B306" s="50"/>
      <c r="C306" s="50"/>
      <c r="D306" s="50"/>
    </row>
    <row r="307">
      <c r="A307" s="50"/>
      <c r="B307" s="50"/>
      <c r="C307" s="50"/>
      <c r="D307" s="50"/>
    </row>
    <row r="308">
      <c r="A308" s="50"/>
      <c r="B308" s="50"/>
      <c r="C308" s="50"/>
      <c r="D308" s="50"/>
    </row>
    <row r="309">
      <c r="A309" s="50"/>
      <c r="B309" s="50"/>
      <c r="C309" s="50"/>
      <c r="D309" s="50"/>
    </row>
    <row r="310">
      <c r="A310" s="50"/>
      <c r="B310" s="50"/>
      <c r="C310" s="50"/>
      <c r="D310" s="50"/>
    </row>
    <row r="311">
      <c r="A311" s="50"/>
      <c r="B311" s="50"/>
      <c r="C311" s="50"/>
      <c r="D311" s="50"/>
    </row>
    <row r="312">
      <c r="A312" s="50"/>
      <c r="B312" s="50"/>
      <c r="C312" s="50"/>
      <c r="D312" s="50"/>
    </row>
    <row r="313">
      <c r="A313" s="50"/>
      <c r="B313" s="50"/>
      <c r="C313" s="50"/>
      <c r="D313" s="50"/>
    </row>
    <row r="314">
      <c r="A314" s="50"/>
      <c r="B314" s="50"/>
      <c r="C314" s="50"/>
      <c r="D314" s="50"/>
    </row>
    <row r="315">
      <c r="A315" s="50"/>
      <c r="B315" s="50"/>
      <c r="C315" s="50"/>
      <c r="D315" s="50"/>
    </row>
    <row r="316">
      <c r="A316" s="50"/>
      <c r="B316" s="50"/>
      <c r="C316" s="50"/>
      <c r="D316" s="50"/>
    </row>
    <row r="317">
      <c r="A317" s="50"/>
      <c r="B317" s="50"/>
      <c r="C317" s="50"/>
      <c r="D317" s="50"/>
    </row>
    <row r="318">
      <c r="A318" s="50"/>
      <c r="B318" s="50"/>
      <c r="C318" s="50"/>
      <c r="D318" s="50"/>
    </row>
    <row r="319">
      <c r="A319" s="50"/>
      <c r="B319" s="50"/>
      <c r="C319" s="50"/>
      <c r="D319" s="50"/>
    </row>
    <row r="320">
      <c r="A320" s="50"/>
      <c r="B320" s="50"/>
      <c r="C320" s="50"/>
      <c r="D320" s="50"/>
    </row>
    <row r="321">
      <c r="A321" s="50"/>
      <c r="B321" s="50"/>
      <c r="C321" s="50"/>
      <c r="D321" s="50"/>
    </row>
    <row r="322">
      <c r="A322" s="50"/>
      <c r="B322" s="50"/>
      <c r="C322" s="50"/>
      <c r="D322" s="50"/>
    </row>
    <row r="323">
      <c r="A323" s="50"/>
      <c r="B323" s="50"/>
      <c r="C323" s="50"/>
      <c r="D323" s="50"/>
    </row>
    <row r="324">
      <c r="A324" s="50"/>
      <c r="B324" s="50"/>
      <c r="C324" s="50"/>
      <c r="D324" s="50"/>
    </row>
    <row r="325">
      <c r="A325" s="50"/>
      <c r="B325" s="50"/>
      <c r="C325" s="50"/>
      <c r="D325" s="50"/>
    </row>
    <row r="326">
      <c r="A326" s="50"/>
      <c r="B326" s="50"/>
      <c r="C326" s="50"/>
      <c r="D326" s="50"/>
    </row>
    <row r="327">
      <c r="A327" s="50"/>
      <c r="B327" s="50"/>
      <c r="C327" s="50"/>
      <c r="D327" s="50"/>
    </row>
    <row r="328">
      <c r="A328" s="50"/>
      <c r="B328" s="50"/>
      <c r="C328" s="50"/>
      <c r="D328" s="50"/>
    </row>
    <row r="329">
      <c r="A329" s="50"/>
      <c r="B329" s="50"/>
      <c r="C329" s="50"/>
      <c r="D329" s="50"/>
    </row>
    <row r="330">
      <c r="A330" s="50"/>
      <c r="B330" s="50"/>
      <c r="C330" s="50"/>
      <c r="D330" s="50"/>
    </row>
    <row r="331">
      <c r="A331" s="50"/>
      <c r="B331" s="50"/>
      <c r="C331" s="50"/>
      <c r="D331" s="50"/>
    </row>
    <row r="332">
      <c r="A332" s="50"/>
      <c r="B332" s="50"/>
      <c r="C332" s="50"/>
      <c r="D332" s="50"/>
    </row>
    <row r="333">
      <c r="A333" s="50"/>
      <c r="B333" s="50"/>
      <c r="C333" s="50"/>
      <c r="D333" s="50"/>
    </row>
    <row r="334">
      <c r="A334" s="50"/>
      <c r="B334" s="50"/>
      <c r="C334" s="50"/>
      <c r="D334" s="50"/>
    </row>
    <row r="335">
      <c r="A335" s="50"/>
      <c r="B335" s="50"/>
      <c r="C335" s="50"/>
      <c r="D335" s="50"/>
    </row>
    <row r="336">
      <c r="A336" s="50"/>
      <c r="B336" s="50"/>
      <c r="C336" s="50"/>
      <c r="D336" s="50"/>
    </row>
    <row r="337">
      <c r="A337" s="50"/>
      <c r="B337" s="50"/>
      <c r="C337" s="50"/>
      <c r="D337" s="50"/>
    </row>
    <row r="338">
      <c r="A338" s="50"/>
      <c r="B338" s="50"/>
      <c r="C338" s="50"/>
      <c r="D338" s="50"/>
    </row>
    <row r="339">
      <c r="A339" s="50"/>
      <c r="B339" s="50"/>
      <c r="C339" s="50"/>
      <c r="D339" s="50"/>
    </row>
    <row r="340">
      <c r="A340" s="50"/>
      <c r="B340" s="50"/>
      <c r="C340" s="50"/>
      <c r="D340" s="50"/>
    </row>
    <row r="341">
      <c r="A341" s="50"/>
      <c r="B341" s="50"/>
      <c r="C341" s="50"/>
      <c r="D341" s="50"/>
    </row>
    <row r="342">
      <c r="A342" s="50"/>
      <c r="B342" s="50"/>
      <c r="C342" s="50"/>
      <c r="D342" s="50"/>
    </row>
    <row r="343">
      <c r="A343" s="50"/>
      <c r="B343" s="50"/>
      <c r="C343" s="50"/>
      <c r="D343" s="50"/>
    </row>
    <row r="344">
      <c r="A344" s="50"/>
      <c r="B344" s="50"/>
      <c r="C344" s="50"/>
      <c r="D344" s="50"/>
    </row>
    <row r="345">
      <c r="A345" s="50"/>
      <c r="B345" s="50"/>
      <c r="C345" s="50"/>
      <c r="D345" s="50"/>
    </row>
    <row r="346">
      <c r="A346" s="50"/>
      <c r="B346" s="50"/>
      <c r="C346" s="50"/>
      <c r="D346" s="50"/>
    </row>
    <row r="347">
      <c r="A347" s="50"/>
      <c r="B347" s="50"/>
      <c r="C347" s="50"/>
      <c r="D347" s="50"/>
    </row>
    <row r="348">
      <c r="A348" s="50"/>
      <c r="B348" s="50"/>
      <c r="C348" s="50"/>
      <c r="D348" s="50"/>
    </row>
    <row r="349">
      <c r="A349" s="50"/>
      <c r="B349" s="50"/>
      <c r="C349" s="50"/>
      <c r="D349" s="50"/>
    </row>
    <row r="350">
      <c r="A350" s="50"/>
      <c r="B350" s="50"/>
      <c r="C350" s="50"/>
      <c r="D350" s="50"/>
    </row>
    <row r="351">
      <c r="A351" s="50"/>
      <c r="B351" s="50"/>
      <c r="C351" s="50"/>
      <c r="D351" s="50"/>
    </row>
    <row r="352">
      <c r="A352" s="50"/>
      <c r="B352" s="50"/>
      <c r="C352" s="50"/>
      <c r="D352" s="50"/>
    </row>
    <row r="353">
      <c r="A353" s="50"/>
      <c r="B353" s="50"/>
      <c r="C353" s="50"/>
      <c r="D353" s="50"/>
    </row>
    <row r="354">
      <c r="A354" s="50"/>
      <c r="B354" s="50"/>
      <c r="C354" s="50"/>
      <c r="D354" s="50"/>
    </row>
    <row r="355">
      <c r="A355" s="50"/>
      <c r="B355" s="50"/>
      <c r="C355" s="50"/>
      <c r="D355" s="50"/>
    </row>
    <row r="356">
      <c r="A356" s="50"/>
      <c r="B356" s="50"/>
      <c r="C356" s="50"/>
      <c r="D356" s="50"/>
    </row>
    <row r="357">
      <c r="A357" s="50"/>
      <c r="B357" s="50"/>
      <c r="C357" s="50"/>
      <c r="D357" s="50"/>
    </row>
    <row r="358">
      <c r="A358" s="50"/>
      <c r="B358" s="50"/>
      <c r="C358" s="50"/>
      <c r="D358" s="50"/>
    </row>
    <row r="359">
      <c r="A359" s="50"/>
      <c r="B359" s="50"/>
      <c r="C359" s="50"/>
      <c r="D359" s="50"/>
    </row>
    <row r="360">
      <c r="A360" s="50"/>
      <c r="B360" s="50"/>
      <c r="C360" s="50"/>
      <c r="D360" s="50"/>
    </row>
    <row r="361">
      <c r="A361" s="50"/>
      <c r="B361" s="50"/>
      <c r="C361" s="50"/>
      <c r="D361" s="50"/>
    </row>
    <row r="362">
      <c r="A362" s="50"/>
      <c r="B362" s="50"/>
      <c r="C362" s="50"/>
      <c r="D362" s="50"/>
    </row>
    <row r="363">
      <c r="A363" s="50"/>
      <c r="B363" s="50"/>
      <c r="C363" s="50"/>
      <c r="D363" s="50"/>
    </row>
    <row r="364">
      <c r="A364" s="50"/>
      <c r="B364" s="50"/>
      <c r="C364" s="50"/>
      <c r="D364" s="50"/>
    </row>
    <row r="365">
      <c r="A365" s="50"/>
      <c r="B365" s="50"/>
      <c r="C365" s="50"/>
      <c r="D365" s="50"/>
    </row>
    <row r="366">
      <c r="A366" s="50"/>
      <c r="B366" s="50"/>
      <c r="C366" s="50"/>
      <c r="D366" s="50"/>
    </row>
    <row r="367">
      <c r="A367" s="50"/>
      <c r="B367" s="50"/>
      <c r="C367" s="50"/>
      <c r="D367" s="50"/>
    </row>
    <row r="368">
      <c r="A368" s="50"/>
      <c r="B368" s="50"/>
      <c r="C368" s="50"/>
      <c r="D368" s="50"/>
    </row>
    <row r="369">
      <c r="A369" s="50"/>
      <c r="B369" s="50"/>
      <c r="C369" s="50"/>
      <c r="D369" s="50"/>
    </row>
    <row r="370">
      <c r="A370" s="50"/>
      <c r="B370" s="50"/>
      <c r="C370" s="50"/>
      <c r="D370" s="50"/>
    </row>
    <row r="371">
      <c r="A371" s="50"/>
      <c r="B371" s="50"/>
      <c r="C371" s="50"/>
      <c r="D371" s="50"/>
    </row>
    <row r="372">
      <c r="A372" s="50"/>
      <c r="B372" s="50"/>
      <c r="C372" s="50"/>
      <c r="D372" s="50"/>
    </row>
    <row r="373">
      <c r="A373" s="50"/>
      <c r="B373" s="50"/>
      <c r="C373" s="50"/>
      <c r="D373" s="50"/>
    </row>
    <row r="374">
      <c r="A374" s="50"/>
      <c r="B374" s="50"/>
      <c r="C374" s="50"/>
      <c r="D374" s="50"/>
    </row>
    <row r="375">
      <c r="A375" s="50"/>
      <c r="B375" s="50"/>
      <c r="C375" s="50"/>
      <c r="D375" s="50"/>
    </row>
    <row r="376">
      <c r="A376" s="50"/>
      <c r="B376" s="50"/>
      <c r="C376" s="50"/>
      <c r="D376" s="50"/>
    </row>
    <row r="377">
      <c r="A377" s="50"/>
      <c r="B377" s="50"/>
      <c r="C377" s="50"/>
      <c r="D377" s="50"/>
    </row>
    <row r="378">
      <c r="A378" s="50"/>
      <c r="B378" s="50"/>
      <c r="C378" s="50"/>
      <c r="D378" s="50"/>
    </row>
    <row r="379">
      <c r="A379" s="50"/>
      <c r="B379" s="50"/>
      <c r="C379" s="50"/>
      <c r="D379" s="50"/>
    </row>
    <row r="380">
      <c r="A380" s="50"/>
      <c r="B380" s="50"/>
      <c r="C380" s="50"/>
      <c r="D380" s="50"/>
    </row>
    <row r="381">
      <c r="A381" s="50"/>
      <c r="B381" s="50"/>
      <c r="C381" s="50"/>
      <c r="D381" s="50"/>
    </row>
    <row r="382">
      <c r="A382" s="50"/>
      <c r="B382" s="50"/>
      <c r="C382" s="50"/>
      <c r="D382" s="50"/>
    </row>
    <row r="383">
      <c r="A383" s="50"/>
      <c r="B383" s="50"/>
      <c r="C383" s="50"/>
      <c r="D383" s="50"/>
    </row>
    <row r="384">
      <c r="A384" s="50"/>
      <c r="B384" s="50"/>
      <c r="C384" s="50"/>
      <c r="D384" s="50"/>
    </row>
    <row r="385">
      <c r="A385" s="50"/>
      <c r="B385" s="50"/>
      <c r="C385" s="50"/>
      <c r="D385" s="50"/>
    </row>
    <row r="386">
      <c r="A386" s="50"/>
      <c r="B386" s="50"/>
      <c r="C386" s="50"/>
      <c r="D386" s="50"/>
    </row>
    <row r="387">
      <c r="A387" s="50"/>
      <c r="B387" s="50"/>
      <c r="C387" s="50"/>
      <c r="D387" s="50"/>
    </row>
    <row r="388">
      <c r="A388" s="50"/>
      <c r="B388" s="50"/>
      <c r="C388" s="50"/>
      <c r="D388" s="50"/>
    </row>
    <row r="389">
      <c r="A389" s="50"/>
      <c r="B389" s="50"/>
      <c r="C389" s="50"/>
      <c r="D389" s="50"/>
    </row>
    <row r="390">
      <c r="A390" s="50"/>
      <c r="B390" s="50"/>
      <c r="C390" s="50"/>
      <c r="D390" s="50"/>
    </row>
    <row r="391">
      <c r="A391" s="50"/>
      <c r="B391" s="50"/>
      <c r="C391" s="50"/>
      <c r="D391" s="50"/>
    </row>
    <row r="392">
      <c r="A392" s="50"/>
      <c r="B392" s="50"/>
      <c r="C392" s="50"/>
      <c r="D392" s="50"/>
    </row>
    <row r="393">
      <c r="A393" s="50"/>
      <c r="B393" s="50"/>
      <c r="C393" s="50"/>
      <c r="D393" s="50"/>
    </row>
    <row r="394">
      <c r="A394" s="50"/>
      <c r="B394" s="50"/>
      <c r="C394" s="50"/>
      <c r="D394" s="50"/>
    </row>
    <row r="395">
      <c r="A395" s="50"/>
      <c r="B395" s="50"/>
      <c r="C395" s="50"/>
      <c r="D395" s="50"/>
    </row>
    <row r="396">
      <c r="A396" s="50"/>
      <c r="B396" s="50"/>
      <c r="C396" s="50"/>
      <c r="D396" s="50"/>
    </row>
    <row r="397">
      <c r="A397" s="50"/>
      <c r="B397" s="50"/>
      <c r="C397" s="50"/>
      <c r="D397" s="50"/>
    </row>
    <row r="398">
      <c r="A398" s="50"/>
      <c r="B398" s="50"/>
      <c r="C398" s="50"/>
      <c r="D398" s="50"/>
    </row>
    <row r="399">
      <c r="A399" s="50"/>
      <c r="B399" s="50"/>
      <c r="C399" s="50"/>
      <c r="D399" s="50"/>
    </row>
    <row r="400">
      <c r="A400" s="50"/>
      <c r="B400" s="50"/>
      <c r="C400" s="50"/>
      <c r="D400" s="50"/>
    </row>
    <row r="401">
      <c r="A401" s="50"/>
      <c r="B401" s="50"/>
      <c r="C401" s="50"/>
      <c r="D401" s="50"/>
    </row>
    <row r="402">
      <c r="A402" s="50"/>
      <c r="B402" s="50"/>
      <c r="C402" s="50"/>
      <c r="D402" s="50"/>
    </row>
    <row r="403">
      <c r="A403" s="50"/>
      <c r="B403" s="50"/>
      <c r="C403" s="50"/>
      <c r="D403" s="50"/>
    </row>
    <row r="404">
      <c r="A404" s="50"/>
      <c r="B404" s="50"/>
      <c r="C404" s="50"/>
      <c r="D404" s="50"/>
    </row>
    <row r="405">
      <c r="A405" s="50"/>
      <c r="B405" s="50"/>
      <c r="C405" s="50"/>
      <c r="D405" s="50"/>
    </row>
    <row r="406">
      <c r="A406" s="50"/>
      <c r="B406" s="50"/>
      <c r="C406" s="50"/>
      <c r="D406" s="50"/>
    </row>
    <row r="407">
      <c r="A407" s="50"/>
      <c r="B407" s="50"/>
      <c r="C407" s="50"/>
      <c r="D407" s="50"/>
    </row>
    <row r="408">
      <c r="A408" s="50"/>
      <c r="B408" s="50"/>
      <c r="C408" s="50"/>
      <c r="D408" s="50"/>
    </row>
    <row r="409">
      <c r="A409" s="50"/>
      <c r="B409" s="50"/>
      <c r="C409" s="50"/>
      <c r="D409" s="50"/>
    </row>
    <row r="410">
      <c r="A410" s="50"/>
      <c r="B410" s="50"/>
      <c r="C410" s="50"/>
      <c r="D410" s="50"/>
    </row>
    <row r="411">
      <c r="A411" s="50"/>
      <c r="B411" s="50"/>
      <c r="C411" s="50"/>
      <c r="D411" s="50"/>
    </row>
    <row r="412">
      <c r="A412" s="50"/>
      <c r="B412" s="50"/>
      <c r="C412" s="50"/>
      <c r="D412" s="50"/>
    </row>
    <row r="413">
      <c r="A413" s="50"/>
      <c r="B413" s="50"/>
      <c r="C413" s="50"/>
      <c r="D413" s="50"/>
    </row>
    <row r="414">
      <c r="A414" s="50"/>
      <c r="B414" s="50"/>
      <c r="C414" s="50"/>
      <c r="D414" s="50"/>
    </row>
    <row r="415">
      <c r="A415" s="50"/>
      <c r="B415" s="50"/>
      <c r="C415" s="50"/>
      <c r="D415" s="50"/>
    </row>
    <row r="416">
      <c r="A416" s="50"/>
      <c r="B416" s="50"/>
      <c r="C416" s="50"/>
      <c r="D416" s="50"/>
    </row>
    <row r="417">
      <c r="A417" s="50"/>
      <c r="B417" s="50"/>
      <c r="C417" s="50"/>
      <c r="D417" s="50"/>
    </row>
    <row r="418">
      <c r="A418" s="50"/>
      <c r="B418" s="50"/>
      <c r="C418" s="50"/>
      <c r="D418" s="50"/>
    </row>
    <row r="419">
      <c r="A419" s="50"/>
      <c r="B419" s="50"/>
      <c r="C419" s="50"/>
      <c r="D419" s="50"/>
    </row>
    <row r="420">
      <c r="A420" s="50"/>
      <c r="B420" s="50"/>
      <c r="C420" s="50"/>
      <c r="D420" s="50"/>
    </row>
    <row r="421">
      <c r="A421" s="50"/>
      <c r="B421" s="50"/>
      <c r="C421" s="50"/>
      <c r="D421" s="50"/>
    </row>
    <row r="422">
      <c r="A422" s="50"/>
      <c r="B422" s="50"/>
      <c r="C422" s="50"/>
      <c r="D422" s="50"/>
    </row>
    <row r="423">
      <c r="A423" s="50"/>
      <c r="B423" s="50"/>
      <c r="C423" s="50"/>
      <c r="D423" s="50"/>
    </row>
    <row r="424">
      <c r="A424" s="50"/>
      <c r="B424" s="50"/>
      <c r="C424" s="50"/>
      <c r="D424" s="50"/>
    </row>
    <row r="425">
      <c r="A425" s="50"/>
      <c r="B425" s="50"/>
      <c r="C425" s="50"/>
      <c r="D425" s="50"/>
    </row>
    <row r="426">
      <c r="A426" s="50"/>
      <c r="B426" s="50"/>
      <c r="C426" s="50"/>
      <c r="D426" s="50"/>
    </row>
    <row r="427">
      <c r="A427" s="50"/>
      <c r="B427" s="50"/>
      <c r="C427" s="50"/>
      <c r="D427" s="50"/>
    </row>
    <row r="428">
      <c r="A428" s="50"/>
      <c r="B428" s="50"/>
      <c r="C428" s="50"/>
      <c r="D428" s="50"/>
    </row>
    <row r="429">
      <c r="A429" s="50"/>
      <c r="B429" s="50"/>
      <c r="C429" s="50"/>
      <c r="D429" s="50"/>
    </row>
    <row r="430">
      <c r="A430" s="50"/>
      <c r="B430" s="50"/>
      <c r="C430" s="50"/>
      <c r="D430" s="50"/>
    </row>
    <row r="431">
      <c r="A431" s="50"/>
      <c r="B431" s="50"/>
      <c r="C431" s="50"/>
      <c r="D431" s="50"/>
    </row>
    <row r="432">
      <c r="A432" s="50"/>
      <c r="B432" s="50"/>
      <c r="C432" s="50"/>
      <c r="D432" s="50"/>
    </row>
    <row r="433">
      <c r="A433" s="50"/>
      <c r="B433" s="50"/>
      <c r="C433" s="50"/>
      <c r="D433" s="50"/>
    </row>
    <row r="434">
      <c r="A434" s="50"/>
      <c r="B434" s="50"/>
      <c r="C434" s="50"/>
      <c r="D434" s="50"/>
    </row>
    <row r="435">
      <c r="A435" s="50"/>
      <c r="B435" s="50"/>
      <c r="C435" s="50"/>
      <c r="D435" s="50"/>
    </row>
    <row r="436">
      <c r="A436" s="50"/>
      <c r="B436" s="50"/>
      <c r="C436" s="50"/>
      <c r="D436" s="50"/>
    </row>
    <row r="437">
      <c r="A437" s="50"/>
      <c r="B437" s="50"/>
      <c r="C437" s="50"/>
      <c r="D437" s="50"/>
    </row>
    <row r="438">
      <c r="A438" s="50"/>
      <c r="B438" s="50"/>
      <c r="C438" s="50"/>
      <c r="D438" s="50"/>
    </row>
    <row r="439">
      <c r="A439" s="50"/>
      <c r="B439" s="50"/>
      <c r="C439" s="50"/>
      <c r="D439" s="50"/>
    </row>
    <row r="440">
      <c r="A440" s="50"/>
      <c r="B440" s="50"/>
      <c r="C440" s="50"/>
      <c r="D440" s="50"/>
    </row>
    <row r="441">
      <c r="A441" s="50"/>
      <c r="B441" s="50"/>
      <c r="C441" s="50"/>
      <c r="D441" s="50"/>
    </row>
    <row r="442">
      <c r="A442" s="50"/>
      <c r="B442" s="50"/>
      <c r="C442" s="50"/>
      <c r="D442" s="50"/>
    </row>
    <row r="443">
      <c r="A443" s="50"/>
      <c r="B443" s="50"/>
      <c r="C443" s="50"/>
      <c r="D443" s="50"/>
    </row>
    <row r="444">
      <c r="A444" s="50"/>
      <c r="B444" s="50"/>
      <c r="C444" s="50"/>
      <c r="D444" s="50"/>
    </row>
    <row r="445">
      <c r="A445" s="50"/>
      <c r="B445" s="50"/>
      <c r="C445" s="50"/>
      <c r="D445" s="50"/>
    </row>
    <row r="446">
      <c r="A446" s="50"/>
      <c r="B446" s="50"/>
      <c r="C446" s="50"/>
      <c r="D446" s="50"/>
    </row>
    <row r="447">
      <c r="A447" s="50"/>
      <c r="B447" s="50"/>
      <c r="C447" s="50"/>
      <c r="D447" s="50"/>
    </row>
    <row r="448">
      <c r="A448" s="50"/>
      <c r="B448" s="50"/>
      <c r="C448" s="50"/>
      <c r="D448" s="50"/>
    </row>
    <row r="449">
      <c r="A449" s="50"/>
      <c r="B449" s="50"/>
      <c r="C449" s="50"/>
      <c r="D449" s="50"/>
    </row>
    <row r="450">
      <c r="A450" s="50"/>
      <c r="B450" s="50"/>
      <c r="C450" s="50"/>
      <c r="D450" s="50"/>
    </row>
    <row r="451">
      <c r="A451" s="50"/>
      <c r="B451" s="50"/>
      <c r="C451" s="50"/>
      <c r="D451" s="50"/>
    </row>
    <row r="452">
      <c r="A452" s="50"/>
      <c r="B452" s="50"/>
      <c r="C452" s="50"/>
      <c r="D452" s="50"/>
    </row>
    <row r="453">
      <c r="A453" s="50"/>
      <c r="B453" s="50"/>
      <c r="C453" s="50"/>
      <c r="D453" s="50"/>
    </row>
    <row r="454">
      <c r="A454" s="50"/>
      <c r="B454" s="50"/>
      <c r="C454" s="50"/>
      <c r="D454" s="50"/>
    </row>
    <row r="455">
      <c r="A455" s="50"/>
      <c r="B455" s="50"/>
      <c r="C455" s="50"/>
      <c r="D455" s="50"/>
    </row>
    <row r="456">
      <c r="A456" s="50"/>
      <c r="B456" s="50"/>
      <c r="C456" s="50"/>
      <c r="D456" s="50"/>
    </row>
    <row r="457">
      <c r="A457" s="50"/>
      <c r="B457" s="50"/>
      <c r="C457" s="50"/>
      <c r="D457" s="50"/>
    </row>
    <row r="458">
      <c r="A458" s="50"/>
      <c r="B458" s="50"/>
      <c r="C458" s="50"/>
      <c r="D458" s="50"/>
    </row>
    <row r="459">
      <c r="A459" s="50"/>
      <c r="B459" s="50"/>
      <c r="C459" s="50"/>
      <c r="D459" s="50"/>
    </row>
    <row r="460">
      <c r="A460" s="50"/>
      <c r="B460" s="50"/>
      <c r="C460" s="50"/>
      <c r="D460" s="50"/>
    </row>
    <row r="461">
      <c r="A461" s="50"/>
      <c r="B461" s="50"/>
      <c r="C461" s="50"/>
      <c r="D461" s="50"/>
    </row>
    <row r="462">
      <c r="A462" s="50"/>
      <c r="B462" s="50"/>
      <c r="C462" s="50"/>
      <c r="D462" s="50"/>
    </row>
    <row r="463">
      <c r="A463" s="50"/>
      <c r="B463" s="50"/>
      <c r="C463" s="50"/>
      <c r="D463" s="50"/>
    </row>
    <row r="464">
      <c r="A464" s="50"/>
      <c r="B464" s="50"/>
      <c r="C464" s="50"/>
      <c r="D464" s="50"/>
    </row>
    <row r="465">
      <c r="A465" s="50"/>
      <c r="B465" s="50"/>
      <c r="C465" s="50"/>
      <c r="D465" s="50"/>
    </row>
    <row r="466">
      <c r="A466" s="50"/>
      <c r="B466" s="50"/>
      <c r="C466" s="50"/>
      <c r="D466" s="50"/>
    </row>
    <row r="467">
      <c r="A467" s="50"/>
      <c r="B467" s="50"/>
      <c r="C467" s="50"/>
      <c r="D467" s="50"/>
    </row>
    <row r="468">
      <c r="A468" s="50"/>
      <c r="B468" s="50"/>
      <c r="C468" s="50"/>
      <c r="D468" s="50"/>
    </row>
    <row r="469">
      <c r="A469" s="50"/>
      <c r="B469" s="50"/>
      <c r="C469" s="50"/>
      <c r="D469" s="50"/>
    </row>
    <row r="470">
      <c r="A470" s="50"/>
      <c r="B470" s="50"/>
      <c r="C470" s="50"/>
      <c r="D470" s="50"/>
    </row>
    <row r="471">
      <c r="A471" s="50"/>
      <c r="B471" s="50"/>
      <c r="C471" s="50"/>
      <c r="D471" s="50"/>
    </row>
    <row r="472">
      <c r="A472" s="50"/>
      <c r="B472" s="50"/>
      <c r="C472" s="50"/>
      <c r="D472" s="50"/>
    </row>
    <row r="473">
      <c r="A473" s="50"/>
      <c r="B473" s="50"/>
      <c r="C473" s="50"/>
      <c r="D473" s="50"/>
    </row>
    <row r="474">
      <c r="A474" s="50"/>
      <c r="B474" s="50"/>
      <c r="C474" s="50"/>
      <c r="D474" s="50"/>
    </row>
    <row r="475">
      <c r="A475" s="50"/>
      <c r="B475" s="50"/>
      <c r="C475" s="50"/>
      <c r="D475" s="50"/>
    </row>
    <row r="476">
      <c r="A476" s="50"/>
      <c r="B476" s="50"/>
      <c r="C476" s="50"/>
      <c r="D476" s="50"/>
    </row>
    <row r="477">
      <c r="A477" s="50"/>
      <c r="B477" s="50"/>
      <c r="C477" s="50"/>
      <c r="D477" s="50"/>
    </row>
    <row r="478">
      <c r="A478" s="50"/>
      <c r="B478" s="50"/>
      <c r="C478" s="50"/>
      <c r="D478" s="50"/>
    </row>
    <row r="479">
      <c r="A479" s="50"/>
      <c r="B479" s="50"/>
      <c r="C479" s="50"/>
      <c r="D479" s="50"/>
    </row>
    <row r="480">
      <c r="A480" s="50"/>
      <c r="B480" s="50"/>
      <c r="C480" s="50"/>
      <c r="D480" s="50"/>
    </row>
    <row r="481">
      <c r="A481" s="50"/>
      <c r="B481" s="50"/>
      <c r="C481" s="50"/>
      <c r="D481" s="50"/>
    </row>
    <row r="482">
      <c r="A482" s="50"/>
      <c r="B482" s="50"/>
      <c r="C482" s="50"/>
      <c r="D482" s="50"/>
    </row>
    <row r="483">
      <c r="A483" s="50"/>
      <c r="B483" s="50"/>
      <c r="C483" s="50"/>
      <c r="D483" s="50"/>
    </row>
    <row r="484">
      <c r="A484" s="50"/>
      <c r="B484" s="50"/>
      <c r="C484" s="50"/>
      <c r="D484" s="50"/>
    </row>
    <row r="485">
      <c r="A485" s="50"/>
      <c r="B485" s="50"/>
      <c r="C485" s="50"/>
      <c r="D485" s="50"/>
    </row>
    <row r="486">
      <c r="A486" s="50"/>
      <c r="B486" s="50"/>
      <c r="C486" s="50"/>
      <c r="D486" s="50"/>
    </row>
    <row r="487">
      <c r="A487" s="50"/>
      <c r="B487" s="50"/>
      <c r="C487" s="50"/>
      <c r="D487" s="50"/>
    </row>
    <row r="488">
      <c r="A488" s="50"/>
      <c r="B488" s="50"/>
      <c r="C488" s="50"/>
      <c r="D488" s="50"/>
    </row>
    <row r="489">
      <c r="A489" s="50"/>
      <c r="B489" s="50"/>
      <c r="C489" s="50"/>
      <c r="D489" s="50"/>
    </row>
    <row r="490">
      <c r="A490" s="50"/>
      <c r="B490" s="50"/>
      <c r="C490" s="50"/>
      <c r="D490" s="50"/>
    </row>
    <row r="491">
      <c r="A491" s="50"/>
      <c r="B491" s="50"/>
      <c r="C491" s="50"/>
      <c r="D491" s="50"/>
    </row>
    <row r="492">
      <c r="A492" s="50"/>
      <c r="B492" s="50"/>
      <c r="C492" s="50"/>
      <c r="D492" s="50"/>
    </row>
    <row r="493">
      <c r="A493" s="50"/>
      <c r="B493" s="50"/>
      <c r="C493" s="50"/>
      <c r="D493" s="50"/>
    </row>
    <row r="494">
      <c r="A494" s="50"/>
      <c r="B494" s="50"/>
      <c r="C494" s="50"/>
      <c r="D494" s="50"/>
    </row>
    <row r="495">
      <c r="A495" s="50"/>
      <c r="B495" s="50"/>
      <c r="C495" s="50"/>
      <c r="D495" s="50"/>
    </row>
    <row r="496">
      <c r="A496" s="50"/>
      <c r="B496" s="50"/>
      <c r="C496" s="50"/>
      <c r="D496" s="50"/>
    </row>
    <row r="497">
      <c r="A497" s="50"/>
      <c r="B497" s="50"/>
      <c r="C497" s="50"/>
      <c r="D497" s="50"/>
    </row>
    <row r="498">
      <c r="A498" s="50"/>
      <c r="B498" s="50"/>
      <c r="C498" s="50"/>
      <c r="D498" s="50"/>
    </row>
    <row r="499">
      <c r="A499" s="50"/>
      <c r="B499" s="50"/>
      <c r="C499" s="50"/>
      <c r="D499" s="50"/>
    </row>
    <row r="500">
      <c r="A500" s="50"/>
      <c r="B500" s="50"/>
      <c r="C500" s="50"/>
      <c r="D500" s="50"/>
    </row>
    <row r="501">
      <c r="A501" s="50"/>
      <c r="B501" s="50"/>
      <c r="C501" s="50"/>
      <c r="D501" s="50"/>
    </row>
    <row r="502">
      <c r="A502" s="50"/>
      <c r="B502" s="50"/>
      <c r="C502" s="50"/>
      <c r="D502" s="50"/>
    </row>
    <row r="503">
      <c r="A503" s="50"/>
      <c r="B503" s="50"/>
      <c r="C503" s="50"/>
      <c r="D503" s="50"/>
    </row>
    <row r="504">
      <c r="A504" s="50"/>
      <c r="B504" s="50"/>
      <c r="C504" s="50"/>
      <c r="D504" s="50"/>
    </row>
    <row r="505">
      <c r="A505" s="50"/>
      <c r="B505" s="50"/>
      <c r="C505" s="50"/>
      <c r="D505" s="50"/>
    </row>
    <row r="506">
      <c r="A506" s="50"/>
      <c r="B506" s="50"/>
      <c r="C506" s="50"/>
      <c r="D506" s="50"/>
    </row>
    <row r="507">
      <c r="A507" s="50"/>
      <c r="B507" s="50"/>
      <c r="C507" s="50"/>
      <c r="D507" s="50"/>
    </row>
    <row r="508">
      <c r="A508" s="50"/>
      <c r="B508" s="50"/>
      <c r="C508" s="50"/>
      <c r="D508" s="50"/>
    </row>
    <row r="509">
      <c r="A509" s="50"/>
      <c r="B509" s="50"/>
      <c r="C509" s="50"/>
      <c r="D509" s="50"/>
    </row>
    <row r="510">
      <c r="A510" s="50"/>
      <c r="B510" s="50"/>
      <c r="C510" s="50"/>
      <c r="D510" s="50"/>
    </row>
    <row r="511">
      <c r="A511" s="50"/>
      <c r="B511" s="50"/>
      <c r="C511" s="50"/>
      <c r="D511" s="50"/>
    </row>
    <row r="512">
      <c r="A512" s="50"/>
      <c r="B512" s="50"/>
      <c r="C512" s="50"/>
      <c r="D512" s="50"/>
    </row>
    <row r="513">
      <c r="A513" s="50"/>
      <c r="B513" s="50"/>
      <c r="C513" s="50"/>
      <c r="D513" s="50"/>
    </row>
    <row r="514">
      <c r="A514" s="50"/>
      <c r="B514" s="50"/>
      <c r="C514" s="50"/>
      <c r="D514" s="50"/>
    </row>
    <row r="515">
      <c r="A515" s="50"/>
      <c r="B515" s="50"/>
      <c r="C515" s="50"/>
      <c r="D515" s="50"/>
    </row>
    <row r="516">
      <c r="A516" s="50"/>
      <c r="B516" s="50"/>
      <c r="C516" s="50"/>
      <c r="D516" s="50"/>
    </row>
    <row r="517">
      <c r="A517" s="50"/>
      <c r="B517" s="50"/>
      <c r="C517" s="50"/>
      <c r="D517" s="50"/>
    </row>
    <row r="518">
      <c r="A518" s="50"/>
      <c r="B518" s="50"/>
      <c r="C518" s="50"/>
      <c r="D518" s="50"/>
    </row>
    <row r="519">
      <c r="A519" s="50"/>
      <c r="B519" s="50"/>
      <c r="C519" s="50"/>
      <c r="D519" s="50"/>
    </row>
    <row r="520">
      <c r="A520" s="50"/>
      <c r="B520" s="50"/>
      <c r="C520" s="50"/>
      <c r="D520" s="50"/>
    </row>
    <row r="521">
      <c r="A521" s="50"/>
      <c r="B521" s="50"/>
      <c r="C521" s="50"/>
      <c r="D521" s="50"/>
    </row>
    <row r="522">
      <c r="A522" s="50"/>
      <c r="B522" s="50"/>
      <c r="C522" s="50"/>
      <c r="D522" s="50"/>
    </row>
    <row r="523">
      <c r="A523" s="50"/>
      <c r="B523" s="50"/>
      <c r="C523" s="50"/>
      <c r="D523" s="50"/>
    </row>
    <row r="524">
      <c r="A524" s="50"/>
      <c r="B524" s="50"/>
      <c r="C524" s="50"/>
      <c r="D524" s="50"/>
    </row>
    <row r="525">
      <c r="A525" s="50"/>
      <c r="B525" s="50"/>
      <c r="C525" s="50"/>
      <c r="D525" s="50"/>
    </row>
    <row r="526">
      <c r="A526" s="50"/>
      <c r="B526" s="50"/>
      <c r="C526" s="50"/>
      <c r="D526" s="50"/>
    </row>
    <row r="527">
      <c r="A527" s="50"/>
      <c r="B527" s="50"/>
      <c r="C527" s="50"/>
      <c r="D527" s="50"/>
    </row>
    <row r="528">
      <c r="A528" s="50"/>
      <c r="B528" s="50"/>
      <c r="C528" s="50"/>
      <c r="D528" s="50"/>
    </row>
    <row r="529">
      <c r="A529" s="50"/>
      <c r="B529" s="50"/>
      <c r="C529" s="50"/>
      <c r="D529" s="50"/>
    </row>
    <row r="530">
      <c r="A530" s="50"/>
      <c r="B530" s="50"/>
      <c r="C530" s="50"/>
      <c r="D530" s="50"/>
    </row>
    <row r="531">
      <c r="A531" s="50"/>
      <c r="B531" s="50"/>
      <c r="C531" s="50"/>
      <c r="D531" s="50"/>
    </row>
    <row r="532">
      <c r="A532" s="50"/>
      <c r="B532" s="50"/>
      <c r="C532" s="50"/>
      <c r="D532" s="50"/>
    </row>
    <row r="533">
      <c r="A533" s="50"/>
      <c r="B533" s="50"/>
      <c r="C533" s="50"/>
      <c r="D533" s="50"/>
    </row>
    <row r="534">
      <c r="A534" s="50"/>
      <c r="B534" s="50"/>
      <c r="C534" s="50"/>
      <c r="D534" s="50"/>
    </row>
    <row r="535">
      <c r="A535" s="50"/>
      <c r="B535" s="50"/>
      <c r="C535" s="50"/>
      <c r="D535" s="50"/>
    </row>
    <row r="536">
      <c r="A536" s="50"/>
      <c r="B536" s="50"/>
      <c r="C536" s="50"/>
      <c r="D536" s="50"/>
    </row>
    <row r="537">
      <c r="A537" s="50"/>
      <c r="B537" s="50"/>
      <c r="C537" s="50"/>
      <c r="D537" s="50"/>
    </row>
    <row r="538">
      <c r="A538" s="50"/>
      <c r="B538" s="50"/>
      <c r="C538" s="50"/>
      <c r="D538" s="50"/>
    </row>
    <row r="539">
      <c r="A539" s="50"/>
      <c r="B539" s="50"/>
      <c r="C539" s="50"/>
      <c r="D539" s="50"/>
    </row>
    <row r="540">
      <c r="A540" s="50"/>
      <c r="B540" s="50"/>
      <c r="C540" s="50"/>
      <c r="D540" s="50"/>
    </row>
    <row r="541">
      <c r="A541" s="50"/>
      <c r="B541" s="50"/>
      <c r="C541" s="50"/>
      <c r="D541" s="50"/>
    </row>
    <row r="542">
      <c r="A542" s="50"/>
      <c r="B542" s="50"/>
      <c r="C542" s="50"/>
      <c r="D542" s="50"/>
    </row>
    <row r="543">
      <c r="A543" s="50"/>
      <c r="B543" s="50"/>
      <c r="C543" s="50"/>
      <c r="D543" s="50"/>
    </row>
    <row r="544">
      <c r="A544" s="50"/>
      <c r="B544" s="50"/>
      <c r="C544" s="50"/>
      <c r="D544" s="50"/>
    </row>
    <row r="545">
      <c r="A545" s="50"/>
      <c r="B545" s="50"/>
      <c r="C545" s="50"/>
      <c r="D545" s="50"/>
    </row>
    <row r="546">
      <c r="A546" s="50"/>
      <c r="B546" s="50"/>
      <c r="C546" s="50"/>
      <c r="D546" s="50"/>
    </row>
    <row r="547">
      <c r="A547" s="50"/>
      <c r="B547" s="50"/>
      <c r="C547" s="50"/>
      <c r="D547" s="50"/>
    </row>
    <row r="548">
      <c r="A548" s="50"/>
      <c r="B548" s="50"/>
      <c r="C548" s="50"/>
      <c r="D548" s="50"/>
    </row>
    <row r="549">
      <c r="A549" s="50"/>
      <c r="B549" s="50"/>
      <c r="C549" s="50"/>
      <c r="D549" s="50"/>
    </row>
    <row r="550">
      <c r="A550" s="50"/>
      <c r="B550" s="50"/>
      <c r="C550" s="50"/>
      <c r="D550" s="50"/>
    </row>
    <row r="551">
      <c r="A551" s="50"/>
      <c r="B551" s="50"/>
      <c r="C551" s="50"/>
      <c r="D551" s="50"/>
    </row>
    <row r="552">
      <c r="A552" s="50"/>
      <c r="B552" s="50"/>
      <c r="C552" s="50"/>
      <c r="D552" s="50"/>
    </row>
    <row r="553">
      <c r="A553" s="50"/>
      <c r="B553" s="50"/>
      <c r="C553" s="50"/>
      <c r="D553" s="50"/>
    </row>
    <row r="554">
      <c r="A554" s="50"/>
      <c r="B554" s="50"/>
      <c r="C554" s="50"/>
      <c r="D554" s="50"/>
    </row>
    <row r="555">
      <c r="A555" s="50"/>
      <c r="B555" s="50"/>
      <c r="C555" s="50"/>
      <c r="D555" s="50"/>
    </row>
    <row r="556">
      <c r="A556" s="50"/>
      <c r="B556" s="50"/>
      <c r="C556" s="50"/>
      <c r="D556" s="50"/>
    </row>
    <row r="557">
      <c r="A557" s="50"/>
      <c r="B557" s="50"/>
      <c r="C557" s="50"/>
      <c r="D557" s="50"/>
    </row>
    <row r="558">
      <c r="A558" s="50"/>
      <c r="B558" s="50"/>
      <c r="C558" s="50"/>
      <c r="D558" s="50"/>
    </row>
    <row r="559">
      <c r="A559" s="50"/>
      <c r="B559" s="50"/>
      <c r="C559" s="50"/>
      <c r="D559" s="50"/>
    </row>
    <row r="560">
      <c r="A560" s="50"/>
      <c r="B560" s="50"/>
      <c r="C560" s="50"/>
      <c r="D560" s="50"/>
    </row>
    <row r="561">
      <c r="A561" s="50"/>
      <c r="B561" s="50"/>
      <c r="C561" s="50"/>
      <c r="D561" s="50"/>
    </row>
    <row r="562">
      <c r="A562" s="50"/>
      <c r="B562" s="50"/>
      <c r="C562" s="50"/>
      <c r="D562" s="50"/>
    </row>
    <row r="563">
      <c r="A563" s="50"/>
      <c r="B563" s="50"/>
      <c r="C563" s="50"/>
      <c r="D563" s="50"/>
    </row>
    <row r="564">
      <c r="A564" s="50"/>
      <c r="B564" s="50"/>
      <c r="C564" s="50"/>
      <c r="D564" s="50"/>
    </row>
    <row r="565">
      <c r="A565" s="50"/>
      <c r="B565" s="50"/>
      <c r="C565" s="50"/>
      <c r="D565" s="50"/>
    </row>
    <row r="566">
      <c r="A566" s="50"/>
      <c r="B566" s="50"/>
      <c r="C566" s="50"/>
      <c r="D566" s="50"/>
    </row>
    <row r="567">
      <c r="A567" s="50"/>
      <c r="B567" s="50"/>
      <c r="C567" s="50"/>
      <c r="D567" s="50"/>
    </row>
    <row r="568">
      <c r="A568" s="50"/>
      <c r="B568" s="50"/>
      <c r="C568" s="50"/>
      <c r="D568" s="50"/>
    </row>
    <row r="569">
      <c r="A569" s="50"/>
      <c r="B569" s="50"/>
      <c r="C569" s="50"/>
      <c r="D569" s="50"/>
    </row>
    <row r="570">
      <c r="A570" s="50"/>
      <c r="B570" s="50"/>
      <c r="C570" s="50"/>
      <c r="D570" s="50"/>
    </row>
    <row r="571">
      <c r="A571" s="50"/>
      <c r="B571" s="50"/>
      <c r="C571" s="50"/>
      <c r="D571" s="50"/>
    </row>
    <row r="572">
      <c r="A572" s="50"/>
      <c r="B572" s="50"/>
      <c r="C572" s="50"/>
      <c r="D572" s="50"/>
    </row>
    <row r="573">
      <c r="A573" s="50"/>
      <c r="B573" s="50"/>
      <c r="C573" s="50"/>
      <c r="D573" s="50"/>
    </row>
    <row r="574">
      <c r="A574" s="50"/>
      <c r="B574" s="50"/>
      <c r="C574" s="50"/>
      <c r="D574" s="50"/>
    </row>
    <row r="575">
      <c r="A575" s="50"/>
      <c r="B575" s="50"/>
      <c r="C575" s="50"/>
      <c r="D575" s="50"/>
    </row>
    <row r="576">
      <c r="A576" s="50"/>
      <c r="B576" s="50"/>
      <c r="C576" s="50"/>
      <c r="D576" s="50"/>
    </row>
    <row r="577">
      <c r="A577" s="50"/>
      <c r="B577" s="50"/>
      <c r="C577" s="50"/>
      <c r="D577" s="50"/>
    </row>
    <row r="578">
      <c r="A578" s="50"/>
      <c r="B578" s="50"/>
      <c r="C578" s="50"/>
      <c r="D578" s="50"/>
    </row>
    <row r="579">
      <c r="A579" s="50"/>
      <c r="B579" s="50"/>
      <c r="C579" s="50"/>
      <c r="D579" s="50"/>
    </row>
    <row r="580">
      <c r="A580" s="50"/>
      <c r="B580" s="50"/>
      <c r="C580" s="50"/>
      <c r="D580" s="50"/>
    </row>
    <row r="581">
      <c r="A581" s="50"/>
      <c r="B581" s="50"/>
      <c r="C581" s="50"/>
      <c r="D581" s="50"/>
    </row>
    <row r="582">
      <c r="A582" s="50"/>
      <c r="B582" s="50"/>
      <c r="C582" s="50"/>
      <c r="D582" s="50"/>
    </row>
    <row r="583">
      <c r="A583" s="50"/>
      <c r="B583" s="50"/>
      <c r="C583" s="50"/>
      <c r="D583" s="50"/>
    </row>
    <row r="584">
      <c r="A584" s="50"/>
      <c r="B584" s="50"/>
      <c r="C584" s="50"/>
      <c r="D584" s="50"/>
    </row>
    <row r="585">
      <c r="A585" s="50"/>
      <c r="B585" s="50"/>
      <c r="C585" s="50"/>
      <c r="D585" s="50"/>
    </row>
    <row r="586">
      <c r="A586" s="50"/>
      <c r="B586" s="50"/>
      <c r="C586" s="50"/>
      <c r="D586" s="50"/>
    </row>
    <row r="587">
      <c r="A587" s="50"/>
      <c r="B587" s="50"/>
      <c r="C587" s="50"/>
      <c r="D587" s="50"/>
    </row>
    <row r="588">
      <c r="A588" s="50"/>
      <c r="B588" s="50"/>
      <c r="C588" s="50"/>
      <c r="D588" s="50"/>
    </row>
    <row r="589">
      <c r="A589" s="50"/>
      <c r="B589" s="50"/>
      <c r="C589" s="50"/>
      <c r="D589" s="50"/>
    </row>
    <row r="590">
      <c r="A590" s="50"/>
      <c r="B590" s="50"/>
      <c r="C590" s="50"/>
      <c r="D590" s="50"/>
    </row>
    <row r="591">
      <c r="A591" s="50"/>
      <c r="B591" s="50"/>
      <c r="C591" s="50"/>
      <c r="D591" s="50"/>
    </row>
    <row r="592">
      <c r="A592" s="50"/>
      <c r="B592" s="50"/>
      <c r="C592" s="50"/>
      <c r="D592" s="50"/>
    </row>
    <row r="593">
      <c r="A593" s="50"/>
      <c r="B593" s="50"/>
      <c r="C593" s="50"/>
      <c r="D593" s="50"/>
    </row>
    <row r="594">
      <c r="A594" s="50"/>
      <c r="B594" s="50"/>
      <c r="C594" s="50"/>
      <c r="D594" s="50"/>
    </row>
    <row r="595">
      <c r="A595" s="50"/>
      <c r="B595" s="50"/>
      <c r="C595" s="50"/>
      <c r="D595" s="50"/>
    </row>
    <row r="596">
      <c r="A596" s="50"/>
      <c r="B596" s="50"/>
      <c r="C596" s="50"/>
      <c r="D596" s="50"/>
    </row>
    <row r="597">
      <c r="A597" s="50"/>
      <c r="B597" s="50"/>
      <c r="C597" s="50"/>
      <c r="D597" s="50"/>
    </row>
    <row r="598">
      <c r="A598" s="50"/>
      <c r="B598" s="50"/>
      <c r="C598" s="50"/>
      <c r="D598" s="50"/>
    </row>
    <row r="599">
      <c r="A599" s="50"/>
      <c r="B599" s="50"/>
      <c r="C599" s="50"/>
      <c r="D599" s="50"/>
    </row>
    <row r="600">
      <c r="A600" s="50"/>
      <c r="B600" s="50"/>
      <c r="C600" s="50"/>
      <c r="D600" s="50"/>
    </row>
    <row r="601">
      <c r="A601" s="50"/>
      <c r="B601" s="50"/>
      <c r="C601" s="50"/>
      <c r="D601" s="50"/>
    </row>
    <row r="602">
      <c r="A602" s="50"/>
      <c r="B602" s="50"/>
      <c r="C602" s="50"/>
      <c r="D602" s="50"/>
    </row>
    <row r="603">
      <c r="A603" s="50"/>
      <c r="B603" s="50"/>
      <c r="C603" s="50"/>
      <c r="D603" s="50"/>
    </row>
    <row r="604">
      <c r="A604" s="50"/>
      <c r="B604" s="50"/>
      <c r="C604" s="50"/>
      <c r="D604" s="50"/>
    </row>
    <row r="605">
      <c r="A605" s="50"/>
      <c r="B605" s="50"/>
      <c r="C605" s="50"/>
      <c r="D605" s="50"/>
    </row>
    <row r="606">
      <c r="A606" s="50"/>
      <c r="B606" s="50"/>
      <c r="C606" s="50"/>
      <c r="D606" s="50"/>
    </row>
    <row r="607">
      <c r="A607" s="50"/>
      <c r="B607" s="50"/>
      <c r="C607" s="50"/>
      <c r="D607" s="50"/>
    </row>
    <row r="608">
      <c r="A608" s="50"/>
      <c r="B608" s="50"/>
      <c r="C608" s="50"/>
      <c r="D608" s="50"/>
    </row>
    <row r="609">
      <c r="A609" s="50"/>
      <c r="B609" s="50"/>
      <c r="C609" s="50"/>
      <c r="D609" s="50"/>
    </row>
    <row r="610">
      <c r="A610" s="50"/>
      <c r="B610" s="50"/>
      <c r="C610" s="50"/>
      <c r="D610" s="50"/>
    </row>
    <row r="611">
      <c r="A611" s="50"/>
      <c r="B611" s="50"/>
      <c r="C611" s="50"/>
      <c r="D611" s="50"/>
    </row>
    <row r="612">
      <c r="A612" s="50"/>
      <c r="B612" s="50"/>
      <c r="C612" s="50"/>
      <c r="D612" s="50"/>
    </row>
    <row r="613">
      <c r="A613" s="50"/>
      <c r="B613" s="50"/>
      <c r="C613" s="50"/>
      <c r="D613" s="50"/>
    </row>
    <row r="614">
      <c r="A614" s="50"/>
      <c r="B614" s="50"/>
      <c r="C614" s="50"/>
      <c r="D614" s="50"/>
    </row>
    <row r="615">
      <c r="A615" s="50"/>
      <c r="B615" s="50"/>
      <c r="C615" s="50"/>
      <c r="D615" s="50"/>
    </row>
    <row r="616">
      <c r="A616" s="50"/>
      <c r="B616" s="50"/>
      <c r="C616" s="50"/>
      <c r="D616" s="50"/>
    </row>
    <row r="617">
      <c r="A617" s="50"/>
      <c r="B617" s="50"/>
      <c r="C617" s="50"/>
      <c r="D617" s="50"/>
    </row>
    <row r="618">
      <c r="A618" s="50"/>
      <c r="B618" s="50"/>
      <c r="C618" s="50"/>
      <c r="D618" s="50"/>
    </row>
    <row r="619">
      <c r="A619" s="50"/>
      <c r="B619" s="50"/>
      <c r="C619" s="50"/>
      <c r="D619" s="50"/>
    </row>
    <row r="620">
      <c r="A620" s="50"/>
      <c r="B620" s="50"/>
      <c r="C620" s="50"/>
      <c r="D620" s="50"/>
    </row>
    <row r="621">
      <c r="A621" s="50"/>
      <c r="B621" s="50"/>
      <c r="C621" s="50"/>
      <c r="D621" s="50"/>
    </row>
    <row r="622">
      <c r="A622" s="50"/>
      <c r="B622" s="50"/>
      <c r="C622" s="50"/>
      <c r="D622" s="50"/>
    </row>
    <row r="623">
      <c r="A623" s="50"/>
      <c r="B623" s="50"/>
      <c r="C623" s="50"/>
      <c r="D623" s="50"/>
    </row>
    <row r="624">
      <c r="A624" s="50"/>
      <c r="B624" s="50"/>
      <c r="C624" s="50"/>
      <c r="D624" s="50"/>
    </row>
    <row r="625">
      <c r="A625" s="50"/>
      <c r="B625" s="50"/>
      <c r="C625" s="50"/>
      <c r="D625" s="50"/>
    </row>
    <row r="626">
      <c r="A626" s="50"/>
      <c r="B626" s="50"/>
      <c r="C626" s="50"/>
      <c r="D626" s="50"/>
    </row>
    <row r="627">
      <c r="A627" s="50"/>
      <c r="B627" s="50"/>
      <c r="C627" s="50"/>
      <c r="D627" s="50"/>
    </row>
    <row r="628">
      <c r="A628" s="50"/>
      <c r="B628" s="50"/>
      <c r="C628" s="50"/>
      <c r="D628" s="50"/>
    </row>
    <row r="629">
      <c r="A629" s="50"/>
      <c r="B629" s="50"/>
      <c r="C629" s="50"/>
      <c r="D629" s="50"/>
    </row>
    <row r="630">
      <c r="A630" s="50"/>
      <c r="B630" s="50"/>
      <c r="C630" s="50"/>
      <c r="D630" s="50"/>
    </row>
    <row r="631">
      <c r="A631" s="50"/>
      <c r="B631" s="50"/>
      <c r="C631" s="50"/>
      <c r="D631" s="50"/>
    </row>
    <row r="632">
      <c r="A632" s="50"/>
      <c r="B632" s="50"/>
      <c r="C632" s="50"/>
      <c r="D632" s="50"/>
    </row>
    <row r="633">
      <c r="A633" s="50"/>
      <c r="B633" s="50"/>
      <c r="C633" s="50"/>
      <c r="D633" s="50"/>
    </row>
    <row r="634">
      <c r="A634" s="50"/>
      <c r="B634" s="50"/>
      <c r="C634" s="50"/>
      <c r="D634" s="50"/>
    </row>
    <row r="635">
      <c r="A635" s="50"/>
      <c r="B635" s="50"/>
      <c r="C635" s="50"/>
      <c r="D635" s="50"/>
    </row>
    <row r="636">
      <c r="A636" s="50"/>
      <c r="B636" s="50"/>
      <c r="C636" s="50"/>
      <c r="D636" s="50"/>
    </row>
    <row r="637">
      <c r="A637" s="50"/>
      <c r="B637" s="50"/>
      <c r="C637" s="50"/>
      <c r="D637" s="50"/>
    </row>
    <row r="638">
      <c r="A638" s="50"/>
      <c r="B638" s="50"/>
      <c r="C638" s="50"/>
      <c r="D638" s="50"/>
    </row>
    <row r="639">
      <c r="A639" s="50"/>
      <c r="B639" s="50"/>
      <c r="C639" s="50"/>
      <c r="D639" s="50"/>
    </row>
    <row r="640">
      <c r="A640" s="50"/>
      <c r="B640" s="50"/>
      <c r="C640" s="50"/>
      <c r="D640" s="50"/>
    </row>
    <row r="641">
      <c r="A641" s="50"/>
      <c r="B641" s="50"/>
      <c r="C641" s="50"/>
      <c r="D641" s="50"/>
    </row>
    <row r="642">
      <c r="A642" s="50"/>
      <c r="B642" s="50"/>
      <c r="C642" s="50"/>
      <c r="D642" s="50"/>
    </row>
    <row r="643">
      <c r="A643" s="50"/>
      <c r="B643" s="50"/>
      <c r="C643" s="50"/>
      <c r="D643" s="50"/>
    </row>
    <row r="644">
      <c r="A644" s="50"/>
      <c r="B644" s="50"/>
      <c r="C644" s="50"/>
      <c r="D644" s="50"/>
    </row>
    <row r="645">
      <c r="A645" s="50"/>
      <c r="B645" s="50"/>
      <c r="C645" s="50"/>
      <c r="D645" s="50"/>
    </row>
    <row r="646">
      <c r="A646" s="50"/>
      <c r="B646" s="50"/>
      <c r="C646" s="50"/>
      <c r="D646" s="50"/>
    </row>
    <row r="647">
      <c r="A647" s="50"/>
      <c r="B647" s="50"/>
      <c r="C647" s="50"/>
      <c r="D647" s="50"/>
    </row>
    <row r="648">
      <c r="A648" s="50"/>
      <c r="B648" s="50"/>
      <c r="C648" s="50"/>
      <c r="D648" s="50"/>
    </row>
    <row r="649">
      <c r="A649" s="50"/>
      <c r="B649" s="50"/>
      <c r="C649" s="50"/>
      <c r="D649" s="50"/>
    </row>
    <row r="650">
      <c r="A650" s="50"/>
      <c r="B650" s="50"/>
      <c r="C650" s="50"/>
      <c r="D650" s="50"/>
    </row>
    <row r="651">
      <c r="A651" s="50"/>
      <c r="B651" s="50"/>
      <c r="C651" s="50"/>
      <c r="D651" s="50"/>
    </row>
    <row r="652">
      <c r="A652" s="50"/>
      <c r="B652" s="50"/>
      <c r="C652" s="50"/>
      <c r="D652" s="50"/>
    </row>
    <row r="653">
      <c r="A653" s="50"/>
      <c r="B653" s="50"/>
      <c r="C653" s="50"/>
      <c r="D653" s="50"/>
    </row>
    <row r="654">
      <c r="A654" s="50"/>
      <c r="B654" s="50"/>
      <c r="C654" s="50"/>
      <c r="D654" s="50"/>
    </row>
    <row r="655">
      <c r="A655" s="50"/>
      <c r="B655" s="50"/>
      <c r="C655" s="50"/>
      <c r="D655" s="50"/>
    </row>
    <row r="656">
      <c r="A656" s="50"/>
      <c r="B656" s="50"/>
      <c r="C656" s="50"/>
      <c r="D656" s="50"/>
    </row>
    <row r="657">
      <c r="A657" s="50"/>
      <c r="B657" s="50"/>
      <c r="C657" s="50"/>
      <c r="D657" s="50"/>
    </row>
    <row r="658">
      <c r="A658" s="50"/>
      <c r="B658" s="50"/>
      <c r="C658" s="50"/>
      <c r="D658" s="50"/>
    </row>
    <row r="659">
      <c r="A659" s="50"/>
      <c r="B659" s="50"/>
      <c r="C659" s="50"/>
      <c r="D659" s="50"/>
    </row>
    <row r="660">
      <c r="A660" s="50"/>
      <c r="B660" s="50"/>
      <c r="C660" s="50"/>
      <c r="D660" s="50"/>
    </row>
    <row r="661">
      <c r="A661" s="50"/>
      <c r="B661" s="50"/>
      <c r="C661" s="50"/>
      <c r="D661" s="50"/>
    </row>
    <row r="662">
      <c r="A662" s="50"/>
      <c r="B662" s="50"/>
      <c r="C662" s="50"/>
      <c r="D662" s="50"/>
    </row>
    <row r="663">
      <c r="A663" s="50"/>
      <c r="B663" s="50"/>
      <c r="C663" s="50"/>
      <c r="D663" s="50"/>
    </row>
    <row r="664">
      <c r="A664" s="50"/>
      <c r="B664" s="50"/>
      <c r="C664" s="50"/>
      <c r="D664" s="50"/>
    </row>
    <row r="665">
      <c r="A665" s="50"/>
      <c r="B665" s="50"/>
      <c r="C665" s="50"/>
      <c r="D665" s="50"/>
    </row>
    <row r="666">
      <c r="A666" s="50"/>
      <c r="B666" s="50"/>
      <c r="C666" s="50"/>
      <c r="D666" s="50"/>
    </row>
    <row r="667">
      <c r="A667" s="50"/>
      <c r="B667" s="50"/>
      <c r="C667" s="50"/>
      <c r="D667" s="50"/>
    </row>
    <row r="668">
      <c r="A668" s="50"/>
      <c r="B668" s="50"/>
      <c r="C668" s="50"/>
      <c r="D668" s="50"/>
    </row>
    <row r="669">
      <c r="A669" s="50"/>
      <c r="B669" s="50"/>
      <c r="C669" s="50"/>
      <c r="D669" s="50"/>
    </row>
    <row r="670">
      <c r="A670" s="50"/>
      <c r="B670" s="50"/>
      <c r="C670" s="50"/>
      <c r="D670" s="50"/>
    </row>
    <row r="671">
      <c r="A671" s="50"/>
      <c r="B671" s="50"/>
      <c r="C671" s="50"/>
      <c r="D671" s="50"/>
    </row>
    <row r="672">
      <c r="A672" s="50"/>
      <c r="B672" s="50"/>
      <c r="C672" s="50"/>
      <c r="D672" s="50"/>
    </row>
    <row r="673">
      <c r="A673" s="50"/>
      <c r="B673" s="50"/>
      <c r="C673" s="50"/>
      <c r="D673" s="50"/>
    </row>
    <row r="674">
      <c r="A674" s="50"/>
      <c r="B674" s="50"/>
      <c r="C674" s="50"/>
      <c r="D674" s="50"/>
    </row>
    <row r="675">
      <c r="A675" s="50"/>
      <c r="B675" s="50"/>
      <c r="C675" s="50"/>
      <c r="D675" s="50"/>
    </row>
    <row r="676">
      <c r="A676" s="50"/>
      <c r="B676" s="50"/>
      <c r="C676" s="50"/>
      <c r="D676" s="50"/>
    </row>
    <row r="677">
      <c r="A677" s="50"/>
      <c r="B677" s="50"/>
      <c r="C677" s="50"/>
      <c r="D677" s="50"/>
    </row>
    <row r="678">
      <c r="A678" s="50"/>
      <c r="B678" s="50"/>
      <c r="C678" s="50"/>
      <c r="D678" s="50"/>
    </row>
    <row r="679">
      <c r="A679" s="50"/>
      <c r="B679" s="50"/>
      <c r="C679" s="50"/>
      <c r="D679" s="50"/>
    </row>
    <row r="680">
      <c r="A680" s="50"/>
      <c r="B680" s="50"/>
      <c r="C680" s="50"/>
      <c r="D680" s="50"/>
    </row>
    <row r="681">
      <c r="A681" s="50"/>
      <c r="B681" s="50"/>
      <c r="C681" s="50"/>
      <c r="D681" s="50"/>
    </row>
    <row r="682">
      <c r="A682" s="50"/>
      <c r="B682" s="50"/>
      <c r="C682" s="50"/>
      <c r="D682" s="50"/>
    </row>
    <row r="683">
      <c r="A683" s="50"/>
      <c r="B683" s="50"/>
      <c r="C683" s="50"/>
      <c r="D683" s="50"/>
    </row>
    <row r="684">
      <c r="A684" s="50"/>
      <c r="B684" s="50"/>
      <c r="C684" s="50"/>
      <c r="D684" s="50"/>
    </row>
    <row r="685">
      <c r="A685" s="50"/>
      <c r="B685" s="50"/>
      <c r="C685" s="50"/>
      <c r="D685" s="50"/>
    </row>
    <row r="686">
      <c r="A686" s="50"/>
      <c r="B686" s="50"/>
      <c r="C686" s="50"/>
      <c r="D686" s="50"/>
    </row>
    <row r="687">
      <c r="A687" s="50"/>
      <c r="B687" s="50"/>
      <c r="C687" s="50"/>
      <c r="D687" s="50"/>
    </row>
    <row r="688">
      <c r="A688" s="50"/>
      <c r="B688" s="50"/>
      <c r="C688" s="50"/>
      <c r="D688" s="50"/>
    </row>
    <row r="689">
      <c r="A689" s="50"/>
      <c r="B689" s="50"/>
      <c r="C689" s="50"/>
      <c r="D689" s="50"/>
    </row>
    <row r="690">
      <c r="A690" s="50"/>
      <c r="B690" s="50"/>
      <c r="C690" s="50"/>
      <c r="D690" s="50"/>
    </row>
    <row r="691">
      <c r="A691" s="50"/>
      <c r="B691" s="50"/>
      <c r="C691" s="50"/>
      <c r="D691" s="50"/>
    </row>
    <row r="692">
      <c r="A692" s="50"/>
      <c r="B692" s="50"/>
      <c r="C692" s="50"/>
      <c r="D692" s="50"/>
    </row>
    <row r="693">
      <c r="A693" s="50"/>
      <c r="B693" s="50"/>
      <c r="C693" s="50"/>
      <c r="D693" s="50"/>
    </row>
    <row r="694">
      <c r="A694" s="50"/>
      <c r="B694" s="50"/>
      <c r="C694" s="50"/>
      <c r="D694" s="50"/>
    </row>
    <row r="695">
      <c r="A695" s="50"/>
      <c r="B695" s="50"/>
      <c r="C695" s="50"/>
      <c r="D695" s="50"/>
    </row>
    <row r="696">
      <c r="A696" s="50"/>
      <c r="B696" s="50"/>
      <c r="C696" s="50"/>
      <c r="D696" s="50"/>
    </row>
    <row r="697">
      <c r="A697" s="50"/>
      <c r="B697" s="50"/>
      <c r="C697" s="50"/>
      <c r="D697" s="50"/>
    </row>
    <row r="698">
      <c r="A698" s="50"/>
      <c r="B698" s="50"/>
      <c r="C698" s="50"/>
      <c r="D698" s="50"/>
    </row>
    <row r="699">
      <c r="A699" s="50"/>
      <c r="B699" s="50"/>
      <c r="C699" s="50"/>
      <c r="D699" s="50"/>
    </row>
    <row r="700">
      <c r="A700" s="50"/>
      <c r="B700" s="50"/>
      <c r="C700" s="50"/>
      <c r="D700" s="50"/>
    </row>
    <row r="701">
      <c r="A701" s="50"/>
      <c r="B701" s="50"/>
      <c r="C701" s="50"/>
      <c r="D701" s="50"/>
    </row>
    <row r="702">
      <c r="A702" s="50"/>
      <c r="B702" s="50"/>
      <c r="C702" s="50"/>
      <c r="D702" s="50"/>
    </row>
    <row r="703">
      <c r="A703" s="50"/>
      <c r="B703" s="50"/>
      <c r="C703" s="50"/>
      <c r="D703" s="50"/>
    </row>
    <row r="704">
      <c r="A704" s="50"/>
      <c r="B704" s="50"/>
      <c r="C704" s="50"/>
      <c r="D704" s="50"/>
    </row>
    <row r="705">
      <c r="A705" s="50"/>
      <c r="B705" s="50"/>
      <c r="C705" s="50"/>
      <c r="D705" s="50"/>
    </row>
    <row r="706">
      <c r="A706" s="50"/>
      <c r="B706" s="50"/>
      <c r="C706" s="50"/>
      <c r="D706" s="50"/>
    </row>
    <row r="707">
      <c r="A707" s="50"/>
      <c r="B707" s="50"/>
      <c r="C707" s="50"/>
      <c r="D707" s="50"/>
    </row>
    <row r="708">
      <c r="A708" s="50"/>
      <c r="B708" s="50"/>
      <c r="C708" s="50"/>
      <c r="D708" s="50"/>
    </row>
    <row r="709">
      <c r="A709" s="50"/>
      <c r="B709" s="50"/>
      <c r="C709" s="50"/>
      <c r="D709" s="50"/>
    </row>
    <row r="710">
      <c r="A710" s="50"/>
      <c r="B710" s="50"/>
      <c r="C710" s="50"/>
      <c r="D710" s="50"/>
    </row>
    <row r="711">
      <c r="A711" s="50"/>
      <c r="B711" s="50"/>
      <c r="C711" s="50"/>
      <c r="D711" s="50"/>
    </row>
    <row r="712">
      <c r="A712" s="50"/>
      <c r="B712" s="50"/>
      <c r="C712" s="50"/>
      <c r="D712" s="50"/>
    </row>
    <row r="713">
      <c r="A713" s="50"/>
      <c r="B713" s="50"/>
      <c r="C713" s="50"/>
      <c r="D713" s="50"/>
    </row>
    <row r="714">
      <c r="A714" s="50"/>
      <c r="B714" s="50"/>
      <c r="C714" s="50"/>
      <c r="D714" s="50"/>
    </row>
    <row r="715">
      <c r="A715" s="50"/>
      <c r="B715" s="50"/>
      <c r="C715" s="50"/>
      <c r="D715" s="50"/>
    </row>
    <row r="716">
      <c r="A716" s="50"/>
      <c r="B716" s="50"/>
      <c r="C716" s="50"/>
      <c r="D716" s="50"/>
    </row>
    <row r="717">
      <c r="A717" s="50"/>
      <c r="B717" s="50"/>
      <c r="C717" s="50"/>
      <c r="D717" s="50"/>
    </row>
    <row r="718">
      <c r="A718" s="50"/>
      <c r="B718" s="50"/>
      <c r="C718" s="50"/>
      <c r="D718" s="50"/>
    </row>
    <row r="719">
      <c r="A719" s="50"/>
      <c r="B719" s="50"/>
      <c r="C719" s="50"/>
      <c r="D719" s="50"/>
    </row>
    <row r="720">
      <c r="A720" s="50"/>
      <c r="B720" s="50"/>
      <c r="C720" s="50"/>
      <c r="D720" s="50"/>
    </row>
    <row r="721">
      <c r="A721" s="50"/>
      <c r="B721" s="50"/>
      <c r="C721" s="50"/>
      <c r="D721" s="50"/>
    </row>
    <row r="722">
      <c r="A722" s="50"/>
      <c r="B722" s="50"/>
      <c r="C722" s="50"/>
      <c r="D722" s="50"/>
    </row>
    <row r="723">
      <c r="A723" s="50"/>
      <c r="B723" s="50"/>
      <c r="C723" s="50"/>
      <c r="D723" s="50"/>
    </row>
    <row r="724">
      <c r="A724" s="50"/>
      <c r="B724" s="50"/>
      <c r="C724" s="50"/>
      <c r="D724" s="50"/>
    </row>
    <row r="725">
      <c r="A725" s="50"/>
      <c r="B725" s="50"/>
      <c r="C725" s="50"/>
      <c r="D725" s="50"/>
    </row>
    <row r="726">
      <c r="A726" s="50"/>
      <c r="B726" s="50"/>
      <c r="C726" s="50"/>
      <c r="D726" s="50"/>
    </row>
    <row r="727">
      <c r="A727" s="50"/>
      <c r="B727" s="50"/>
      <c r="C727" s="50"/>
      <c r="D727" s="50"/>
    </row>
    <row r="728">
      <c r="A728" s="50"/>
      <c r="B728" s="50"/>
      <c r="C728" s="50"/>
      <c r="D728" s="50"/>
    </row>
    <row r="729">
      <c r="A729" s="50"/>
      <c r="B729" s="50"/>
      <c r="C729" s="50"/>
      <c r="D729" s="50"/>
    </row>
    <row r="730">
      <c r="A730" s="50"/>
      <c r="B730" s="50"/>
      <c r="C730" s="50"/>
      <c r="D730" s="50"/>
    </row>
    <row r="731">
      <c r="A731" s="50"/>
      <c r="B731" s="50"/>
      <c r="C731" s="50"/>
      <c r="D731" s="50"/>
    </row>
    <row r="732">
      <c r="A732" s="50"/>
      <c r="B732" s="50"/>
      <c r="C732" s="50"/>
      <c r="D732" s="50"/>
    </row>
    <row r="733">
      <c r="A733" s="50"/>
      <c r="B733" s="50"/>
      <c r="C733" s="50"/>
      <c r="D733" s="50"/>
    </row>
    <row r="734">
      <c r="A734" s="50"/>
      <c r="B734" s="50"/>
      <c r="C734" s="50"/>
      <c r="D734" s="50"/>
    </row>
    <row r="735">
      <c r="A735" s="50"/>
      <c r="B735" s="50"/>
      <c r="C735" s="50"/>
      <c r="D735" s="50"/>
    </row>
    <row r="736">
      <c r="A736" s="50"/>
      <c r="B736" s="50"/>
      <c r="C736" s="50"/>
      <c r="D736" s="50"/>
    </row>
    <row r="737">
      <c r="A737" s="50"/>
      <c r="B737" s="50"/>
      <c r="C737" s="50"/>
      <c r="D737" s="50"/>
    </row>
    <row r="738">
      <c r="A738" s="50"/>
      <c r="B738" s="50"/>
      <c r="C738" s="50"/>
      <c r="D738" s="50"/>
    </row>
    <row r="739">
      <c r="A739" s="50"/>
      <c r="B739" s="50"/>
      <c r="C739" s="50"/>
      <c r="D739" s="50"/>
    </row>
    <row r="740">
      <c r="A740" s="50"/>
      <c r="B740" s="50"/>
      <c r="C740" s="50"/>
      <c r="D740" s="50"/>
    </row>
    <row r="741">
      <c r="A741" s="50"/>
      <c r="B741" s="50"/>
      <c r="C741" s="50"/>
      <c r="D741" s="50"/>
    </row>
    <row r="742">
      <c r="A742" s="50"/>
      <c r="B742" s="50"/>
      <c r="C742" s="50"/>
      <c r="D742" s="50"/>
    </row>
    <row r="743">
      <c r="A743" s="50"/>
      <c r="B743" s="50"/>
      <c r="C743" s="50"/>
      <c r="D743" s="50"/>
    </row>
    <row r="744">
      <c r="A744" s="50"/>
      <c r="B744" s="50"/>
      <c r="C744" s="50"/>
      <c r="D744" s="50"/>
    </row>
    <row r="745">
      <c r="A745" s="50"/>
      <c r="B745" s="50"/>
      <c r="C745" s="50"/>
      <c r="D745" s="50"/>
    </row>
    <row r="746">
      <c r="A746" s="50"/>
      <c r="B746" s="50"/>
      <c r="C746" s="50"/>
      <c r="D746" s="50"/>
    </row>
    <row r="747">
      <c r="A747" s="50"/>
      <c r="B747" s="50"/>
      <c r="C747" s="50"/>
      <c r="D747" s="50"/>
    </row>
    <row r="748">
      <c r="A748" s="50"/>
      <c r="B748" s="50"/>
      <c r="C748" s="50"/>
      <c r="D748" s="50"/>
    </row>
    <row r="749">
      <c r="A749" s="50"/>
      <c r="B749" s="50"/>
      <c r="C749" s="50"/>
      <c r="D749" s="50"/>
    </row>
    <row r="750">
      <c r="A750" s="50"/>
      <c r="B750" s="50"/>
      <c r="C750" s="50"/>
      <c r="D750" s="50"/>
    </row>
    <row r="751">
      <c r="A751" s="50"/>
      <c r="B751" s="50"/>
      <c r="C751" s="50"/>
      <c r="D751" s="50"/>
    </row>
    <row r="752">
      <c r="A752" s="50"/>
      <c r="B752" s="50"/>
      <c r="C752" s="50"/>
      <c r="D752" s="50"/>
    </row>
    <row r="753">
      <c r="A753" s="50"/>
      <c r="B753" s="50"/>
      <c r="C753" s="50"/>
      <c r="D753" s="50"/>
    </row>
    <row r="754">
      <c r="A754" s="50"/>
      <c r="B754" s="50"/>
      <c r="C754" s="50"/>
      <c r="D754" s="50"/>
    </row>
    <row r="755">
      <c r="A755" s="50"/>
      <c r="B755" s="50"/>
      <c r="C755" s="50"/>
      <c r="D755" s="50"/>
    </row>
    <row r="756">
      <c r="A756" s="50"/>
      <c r="B756" s="50"/>
      <c r="C756" s="50"/>
      <c r="D756" s="50"/>
    </row>
    <row r="757">
      <c r="A757" s="50"/>
      <c r="B757" s="50"/>
      <c r="C757" s="50"/>
      <c r="D757" s="50"/>
    </row>
    <row r="758">
      <c r="A758" s="50"/>
      <c r="B758" s="50"/>
      <c r="C758" s="50"/>
      <c r="D758" s="50"/>
    </row>
    <row r="759">
      <c r="A759" s="50"/>
      <c r="B759" s="50"/>
      <c r="C759" s="50"/>
      <c r="D759" s="50"/>
    </row>
    <row r="760">
      <c r="A760" s="50"/>
      <c r="B760" s="50"/>
      <c r="C760" s="50"/>
      <c r="D760" s="50"/>
    </row>
    <row r="761">
      <c r="A761" s="50"/>
      <c r="B761" s="50"/>
      <c r="C761" s="50"/>
      <c r="D761" s="50"/>
    </row>
    <row r="762">
      <c r="A762" s="50"/>
      <c r="B762" s="50"/>
      <c r="C762" s="50"/>
      <c r="D762" s="50"/>
    </row>
    <row r="763">
      <c r="A763" s="50"/>
      <c r="B763" s="50"/>
      <c r="C763" s="50"/>
      <c r="D763" s="50"/>
    </row>
    <row r="764">
      <c r="A764" s="50"/>
      <c r="B764" s="50"/>
      <c r="C764" s="50"/>
      <c r="D764" s="50"/>
    </row>
    <row r="765">
      <c r="A765" s="50"/>
      <c r="B765" s="50"/>
      <c r="C765" s="50"/>
      <c r="D765" s="50"/>
    </row>
    <row r="766">
      <c r="A766" s="50"/>
      <c r="B766" s="50"/>
      <c r="C766" s="50"/>
      <c r="D766" s="50"/>
    </row>
    <row r="767">
      <c r="A767" s="50"/>
      <c r="B767" s="50"/>
      <c r="C767" s="50"/>
      <c r="D767" s="50"/>
    </row>
    <row r="768">
      <c r="A768" s="50"/>
      <c r="B768" s="50"/>
      <c r="C768" s="50"/>
      <c r="D768" s="50"/>
    </row>
    <row r="769">
      <c r="A769" s="50"/>
      <c r="B769" s="50"/>
      <c r="C769" s="50"/>
      <c r="D769" s="50"/>
    </row>
    <row r="770">
      <c r="A770" s="50"/>
      <c r="B770" s="50"/>
      <c r="C770" s="50"/>
      <c r="D770" s="50"/>
    </row>
    <row r="771">
      <c r="A771" s="50"/>
      <c r="B771" s="50"/>
      <c r="C771" s="50"/>
      <c r="D771" s="50"/>
    </row>
    <row r="772">
      <c r="A772" s="50"/>
      <c r="B772" s="50"/>
      <c r="C772" s="50"/>
      <c r="D772" s="50"/>
    </row>
    <row r="773">
      <c r="A773" s="50"/>
      <c r="B773" s="50"/>
      <c r="C773" s="50"/>
      <c r="D773" s="50"/>
    </row>
    <row r="774">
      <c r="A774" s="50"/>
      <c r="B774" s="50"/>
      <c r="C774" s="50"/>
      <c r="D774" s="50"/>
    </row>
    <row r="775">
      <c r="A775" s="50"/>
      <c r="B775" s="50"/>
      <c r="C775" s="50"/>
      <c r="D775" s="50"/>
    </row>
    <row r="776">
      <c r="A776" s="50"/>
      <c r="B776" s="50"/>
      <c r="C776" s="50"/>
      <c r="D776" s="50"/>
    </row>
    <row r="777">
      <c r="A777" s="50"/>
      <c r="B777" s="50"/>
      <c r="C777" s="50"/>
      <c r="D777" s="50"/>
    </row>
    <row r="778">
      <c r="A778" s="50"/>
      <c r="B778" s="50"/>
      <c r="C778" s="50"/>
      <c r="D778" s="50"/>
    </row>
    <row r="779">
      <c r="A779" s="50"/>
      <c r="B779" s="50"/>
      <c r="C779" s="50"/>
      <c r="D779" s="50"/>
    </row>
    <row r="780">
      <c r="A780" s="50"/>
      <c r="B780" s="50"/>
      <c r="C780" s="50"/>
      <c r="D780" s="50"/>
    </row>
    <row r="781">
      <c r="A781" s="50"/>
      <c r="B781" s="50"/>
      <c r="C781" s="50"/>
      <c r="D781" s="50"/>
    </row>
    <row r="782">
      <c r="A782" s="50"/>
      <c r="B782" s="50"/>
      <c r="C782" s="50"/>
      <c r="D782" s="50"/>
    </row>
    <row r="783">
      <c r="A783" s="50"/>
      <c r="B783" s="50"/>
      <c r="C783" s="50"/>
      <c r="D783" s="50"/>
    </row>
    <row r="784">
      <c r="A784" s="50"/>
      <c r="B784" s="50"/>
      <c r="C784" s="50"/>
      <c r="D784" s="50"/>
    </row>
    <row r="785">
      <c r="A785" s="50"/>
      <c r="B785" s="50"/>
      <c r="C785" s="50"/>
      <c r="D785" s="50"/>
    </row>
    <row r="786">
      <c r="A786" s="50"/>
      <c r="B786" s="50"/>
      <c r="C786" s="50"/>
      <c r="D786" s="50"/>
    </row>
    <row r="787">
      <c r="A787" s="50"/>
      <c r="B787" s="50"/>
      <c r="C787" s="50"/>
      <c r="D787" s="50"/>
    </row>
    <row r="788">
      <c r="A788" s="50"/>
      <c r="B788" s="50"/>
      <c r="C788" s="50"/>
      <c r="D788" s="50"/>
    </row>
    <row r="789">
      <c r="A789" s="50"/>
      <c r="B789" s="50"/>
      <c r="C789" s="50"/>
      <c r="D789" s="50"/>
    </row>
    <row r="790">
      <c r="A790" s="50"/>
      <c r="B790" s="50"/>
      <c r="C790" s="50"/>
      <c r="D790" s="50"/>
    </row>
    <row r="791">
      <c r="A791" s="50"/>
      <c r="B791" s="50"/>
      <c r="C791" s="50"/>
      <c r="D791" s="50"/>
    </row>
    <row r="792">
      <c r="A792" s="50"/>
      <c r="B792" s="50"/>
      <c r="C792" s="50"/>
      <c r="D792" s="50"/>
    </row>
    <row r="793">
      <c r="A793" s="50"/>
      <c r="B793" s="50"/>
      <c r="C793" s="50"/>
      <c r="D793" s="50"/>
    </row>
    <row r="794">
      <c r="A794" s="50"/>
      <c r="B794" s="50"/>
      <c r="C794" s="50"/>
      <c r="D794" s="50"/>
    </row>
    <row r="795">
      <c r="A795" s="50"/>
      <c r="B795" s="50"/>
      <c r="C795" s="50"/>
      <c r="D795" s="50"/>
    </row>
    <row r="796">
      <c r="A796" s="50"/>
      <c r="B796" s="50"/>
      <c r="C796" s="50"/>
      <c r="D796" s="50"/>
    </row>
    <row r="797">
      <c r="A797" s="50"/>
      <c r="B797" s="50"/>
      <c r="C797" s="50"/>
      <c r="D797" s="50"/>
    </row>
    <row r="798">
      <c r="A798" s="50"/>
      <c r="B798" s="50"/>
      <c r="C798" s="50"/>
      <c r="D798" s="50"/>
    </row>
    <row r="799">
      <c r="A799" s="50"/>
      <c r="B799" s="50"/>
      <c r="C799" s="50"/>
      <c r="D799" s="50"/>
    </row>
    <row r="800">
      <c r="A800" s="50"/>
      <c r="B800" s="50"/>
      <c r="C800" s="50"/>
      <c r="D800" s="50"/>
    </row>
    <row r="801">
      <c r="A801" s="50"/>
      <c r="B801" s="50"/>
      <c r="C801" s="50"/>
      <c r="D801" s="50"/>
    </row>
    <row r="802">
      <c r="A802" s="50"/>
      <c r="B802" s="50"/>
      <c r="C802" s="50"/>
      <c r="D802" s="50"/>
    </row>
    <row r="803">
      <c r="A803" s="50"/>
      <c r="B803" s="50"/>
      <c r="C803" s="50"/>
      <c r="D803" s="50"/>
    </row>
    <row r="804">
      <c r="A804" s="50"/>
      <c r="B804" s="50"/>
      <c r="C804" s="50"/>
      <c r="D804" s="50"/>
    </row>
    <row r="805">
      <c r="A805" s="50"/>
      <c r="B805" s="50"/>
      <c r="C805" s="50"/>
      <c r="D805" s="50"/>
    </row>
    <row r="806">
      <c r="A806" s="50"/>
      <c r="B806" s="50"/>
      <c r="C806" s="50"/>
      <c r="D806" s="50"/>
    </row>
    <row r="807">
      <c r="A807" s="50"/>
      <c r="B807" s="50"/>
      <c r="C807" s="50"/>
      <c r="D807" s="50"/>
    </row>
    <row r="808">
      <c r="A808" s="50"/>
      <c r="B808" s="50"/>
      <c r="C808" s="50"/>
      <c r="D808" s="50"/>
    </row>
    <row r="809">
      <c r="A809" s="50"/>
      <c r="B809" s="50"/>
      <c r="C809" s="50"/>
      <c r="D809" s="50"/>
    </row>
    <row r="810">
      <c r="A810" s="50"/>
      <c r="B810" s="50"/>
      <c r="C810" s="50"/>
      <c r="D810" s="50"/>
    </row>
    <row r="811">
      <c r="A811" s="50"/>
      <c r="B811" s="50"/>
      <c r="C811" s="50"/>
      <c r="D811" s="50"/>
    </row>
    <row r="812">
      <c r="A812" s="50"/>
      <c r="B812" s="50"/>
      <c r="C812" s="50"/>
      <c r="D812" s="50"/>
    </row>
    <row r="813">
      <c r="A813" s="50"/>
      <c r="B813" s="50"/>
      <c r="C813" s="50"/>
      <c r="D813" s="50"/>
    </row>
    <row r="814">
      <c r="A814" s="50"/>
      <c r="B814" s="50"/>
      <c r="C814" s="50"/>
      <c r="D814" s="50"/>
    </row>
    <row r="815">
      <c r="A815" s="50"/>
      <c r="B815" s="50"/>
      <c r="C815" s="50"/>
      <c r="D815" s="50"/>
    </row>
    <row r="816">
      <c r="A816" s="50"/>
      <c r="B816" s="50"/>
      <c r="C816" s="50"/>
      <c r="D816" s="50"/>
    </row>
    <row r="817">
      <c r="A817" s="50"/>
      <c r="B817" s="50"/>
      <c r="C817" s="50"/>
      <c r="D817" s="50"/>
    </row>
    <row r="818">
      <c r="A818" s="50"/>
      <c r="B818" s="50"/>
      <c r="C818" s="50"/>
      <c r="D818" s="50"/>
    </row>
    <row r="819">
      <c r="A819" s="50"/>
      <c r="B819" s="50"/>
      <c r="C819" s="50"/>
      <c r="D819" s="50"/>
    </row>
    <row r="820">
      <c r="A820" s="50"/>
      <c r="B820" s="50"/>
      <c r="C820" s="50"/>
      <c r="D820" s="50"/>
    </row>
    <row r="821">
      <c r="A821" s="50"/>
      <c r="B821" s="50"/>
      <c r="C821" s="50"/>
      <c r="D821" s="50"/>
    </row>
    <row r="822">
      <c r="A822" s="50"/>
      <c r="B822" s="50"/>
      <c r="C822" s="50"/>
      <c r="D822" s="50"/>
    </row>
    <row r="823">
      <c r="A823" s="50"/>
      <c r="B823" s="50"/>
      <c r="C823" s="50"/>
      <c r="D823" s="50"/>
    </row>
    <row r="824">
      <c r="A824" s="50"/>
      <c r="B824" s="50"/>
      <c r="C824" s="50"/>
      <c r="D824" s="50"/>
    </row>
    <row r="825">
      <c r="A825" s="50"/>
      <c r="B825" s="50"/>
      <c r="C825" s="50"/>
      <c r="D825" s="50"/>
    </row>
    <row r="826">
      <c r="A826" s="50"/>
      <c r="B826" s="50"/>
      <c r="C826" s="50"/>
      <c r="D826" s="50"/>
    </row>
    <row r="827">
      <c r="A827" s="50"/>
      <c r="B827" s="50"/>
      <c r="C827" s="50"/>
      <c r="D827" s="50"/>
    </row>
    <row r="828">
      <c r="A828" s="50"/>
      <c r="B828" s="50"/>
      <c r="C828" s="50"/>
      <c r="D828" s="50"/>
    </row>
    <row r="829">
      <c r="A829" s="50"/>
      <c r="B829" s="50"/>
      <c r="C829" s="50"/>
      <c r="D829" s="50"/>
    </row>
    <row r="830">
      <c r="A830" s="50"/>
      <c r="B830" s="50"/>
      <c r="C830" s="50"/>
      <c r="D830" s="50"/>
    </row>
    <row r="831">
      <c r="A831" s="50"/>
      <c r="B831" s="50"/>
      <c r="C831" s="50"/>
      <c r="D831" s="50"/>
    </row>
    <row r="832">
      <c r="A832" s="50"/>
      <c r="B832" s="50"/>
      <c r="C832" s="50"/>
      <c r="D832" s="50"/>
    </row>
    <row r="833">
      <c r="A833" s="50"/>
      <c r="B833" s="50"/>
      <c r="C833" s="50"/>
      <c r="D833" s="50"/>
    </row>
    <row r="834">
      <c r="A834" s="50"/>
      <c r="B834" s="50"/>
      <c r="C834" s="50"/>
      <c r="D834" s="50"/>
    </row>
    <row r="835">
      <c r="A835" s="50"/>
      <c r="B835" s="50"/>
      <c r="C835" s="50"/>
      <c r="D835" s="50"/>
    </row>
    <row r="836">
      <c r="A836" s="50"/>
      <c r="B836" s="50"/>
      <c r="C836" s="50"/>
      <c r="D836" s="50"/>
    </row>
    <row r="837">
      <c r="A837" s="50"/>
      <c r="B837" s="50"/>
      <c r="C837" s="50"/>
      <c r="D837" s="50"/>
    </row>
    <row r="838">
      <c r="A838" s="50"/>
      <c r="B838" s="50"/>
      <c r="C838" s="50"/>
      <c r="D838" s="50"/>
    </row>
    <row r="839">
      <c r="A839" s="50"/>
      <c r="B839" s="50"/>
      <c r="C839" s="50"/>
      <c r="D839" s="50"/>
    </row>
    <row r="840">
      <c r="A840" s="50"/>
      <c r="B840" s="50"/>
      <c r="C840" s="50"/>
      <c r="D840" s="50"/>
    </row>
    <row r="841">
      <c r="A841" s="50"/>
      <c r="B841" s="50"/>
      <c r="C841" s="50"/>
      <c r="D841" s="50"/>
    </row>
    <row r="842">
      <c r="A842" s="50"/>
      <c r="B842" s="50"/>
      <c r="C842" s="50"/>
      <c r="D842" s="50"/>
    </row>
    <row r="843">
      <c r="A843" s="50"/>
      <c r="B843" s="50"/>
      <c r="C843" s="50"/>
      <c r="D843" s="50"/>
    </row>
    <row r="844">
      <c r="A844" s="50"/>
      <c r="B844" s="50"/>
      <c r="C844" s="50"/>
      <c r="D844" s="50"/>
    </row>
    <row r="845">
      <c r="A845" s="50"/>
      <c r="B845" s="50"/>
      <c r="C845" s="50"/>
      <c r="D845" s="50"/>
    </row>
    <row r="846">
      <c r="A846" s="50"/>
      <c r="B846" s="50"/>
      <c r="C846" s="50"/>
      <c r="D846" s="50"/>
    </row>
    <row r="847">
      <c r="A847" s="50"/>
      <c r="B847" s="50"/>
      <c r="C847" s="50"/>
      <c r="D847" s="50"/>
    </row>
    <row r="848">
      <c r="A848" s="50"/>
      <c r="B848" s="50"/>
      <c r="C848" s="50"/>
      <c r="D848" s="50"/>
    </row>
    <row r="849">
      <c r="A849" s="50"/>
      <c r="B849" s="50"/>
      <c r="C849" s="50"/>
      <c r="D849" s="50"/>
    </row>
    <row r="850">
      <c r="A850" s="50"/>
      <c r="B850" s="50"/>
      <c r="C850" s="50"/>
      <c r="D850" s="50"/>
    </row>
    <row r="851">
      <c r="A851" s="50"/>
      <c r="B851" s="50"/>
      <c r="C851" s="50"/>
      <c r="D851" s="50"/>
    </row>
    <row r="852">
      <c r="A852" s="50"/>
      <c r="B852" s="50"/>
      <c r="C852" s="50"/>
      <c r="D852" s="50"/>
    </row>
    <row r="853">
      <c r="A853" s="50"/>
      <c r="B853" s="50"/>
      <c r="C853" s="50"/>
      <c r="D853" s="50"/>
    </row>
    <row r="854">
      <c r="A854" s="50"/>
      <c r="B854" s="50"/>
      <c r="C854" s="50"/>
      <c r="D854" s="50"/>
    </row>
    <row r="855">
      <c r="A855" s="50"/>
      <c r="B855" s="50"/>
      <c r="C855" s="50"/>
      <c r="D855" s="50"/>
    </row>
    <row r="856">
      <c r="A856" s="50"/>
      <c r="B856" s="50"/>
      <c r="C856" s="50"/>
      <c r="D856" s="50"/>
    </row>
    <row r="857">
      <c r="A857" s="50"/>
      <c r="B857" s="50"/>
      <c r="C857" s="50"/>
      <c r="D857" s="50"/>
    </row>
    <row r="858">
      <c r="A858" s="50"/>
      <c r="B858" s="50"/>
      <c r="C858" s="50"/>
      <c r="D858" s="50"/>
    </row>
    <row r="859">
      <c r="A859" s="50"/>
      <c r="B859" s="50"/>
      <c r="C859" s="50"/>
      <c r="D859" s="50"/>
    </row>
    <row r="860">
      <c r="A860" s="50"/>
      <c r="B860" s="50"/>
      <c r="C860" s="50"/>
      <c r="D860" s="50"/>
    </row>
    <row r="861">
      <c r="A861" s="50"/>
      <c r="B861" s="50"/>
      <c r="C861" s="50"/>
      <c r="D861" s="50"/>
    </row>
    <row r="862">
      <c r="A862" s="50"/>
      <c r="B862" s="50"/>
      <c r="C862" s="50"/>
      <c r="D862" s="50"/>
    </row>
    <row r="863">
      <c r="A863" s="50"/>
      <c r="B863" s="50"/>
      <c r="C863" s="50"/>
      <c r="D863" s="50"/>
    </row>
    <row r="864">
      <c r="A864" s="50"/>
      <c r="B864" s="50"/>
      <c r="C864" s="50"/>
      <c r="D864" s="50"/>
    </row>
    <row r="865">
      <c r="A865" s="50"/>
      <c r="B865" s="50"/>
      <c r="C865" s="50"/>
      <c r="D865" s="50"/>
    </row>
    <row r="866">
      <c r="A866" s="50"/>
      <c r="B866" s="50"/>
      <c r="C866" s="50"/>
      <c r="D866" s="50"/>
    </row>
    <row r="867">
      <c r="A867" s="50"/>
      <c r="B867" s="50"/>
      <c r="C867" s="50"/>
      <c r="D867" s="50"/>
    </row>
    <row r="868">
      <c r="A868" s="50"/>
      <c r="B868" s="50"/>
      <c r="C868" s="50"/>
      <c r="D868" s="50"/>
    </row>
    <row r="869">
      <c r="A869" s="50"/>
      <c r="B869" s="50"/>
      <c r="C869" s="50"/>
      <c r="D869" s="50"/>
    </row>
    <row r="870">
      <c r="A870" s="50"/>
      <c r="B870" s="50"/>
      <c r="C870" s="50"/>
      <c r="D870" s="50"/>
    </row>
    <row r="871">
      <c r="A871" s="50"/>
      <c r="B871" s="50"/>
      <c r="C871" s="50"/>
      <c r="D871" s="50"/>
    </row>
    <row r="872">
      <c r="A872" s="50"/>
      <c r="B872" s="50"/>
      <c r="C872" s="50"/>
      <c r="D872" s="50"/>
    </row>
    <row r="873">
      <c r="A873" s="50"/>
      <c r="B873" s="50"/>
      <c r="C873" s="50"/>
      <c r="D873" s="50"/>
    </row>
    <row r="874">
      <c r="A874" s="50"/>
      <c r="B874" s="50"/>
      <c r="C874" s="50"/>
      <c r="D874" s="50"/>
    </row>
    <row r="875">
      <c r="A875" s="50"/>
      <c r="B875" s="50"/>
      <c r="C875" s="50"/>
      <c r="D875" s="50"/>
    </row>
    <row r="876">
      <c r="A876" s="50"/>
      <c r="B876" s="50"/>
      <c r="C876" s="50"/>
      <c r="D876" s="50"/>
    </row>
    <row r="877">
      <c r="A877" s="50"/>
      <c r="B877" s="50"/>
      <c r="C877" s="50"/>
      <c r="D877" s="50"/>
    </row>
    <row r="878">
      <c r="A878" s="50"/>
      <c r="B878" s="50"/>
      <c r="C878" s="50"/>
      <c r="D878" s="50"/>
    </row>
    <row r="879">
      <c r="A879" s="50"/>
      <c r="B879" s="50"/>
      <c r="C879" s="50"/>
      <c r="D879" s="50"/>
    </row>
    <row r="880">
      <c r="A880" s="50"/>
      <c r="B880" s="50"/>
      <c r="C880" s="50"/>
      <c r="D880" s="50"/>
    </row>
    <row r="881">
      <c r="A881" s="50"/>
      <c r="B881" s="50"/>
      <c r="C881" s="50"/>
      <c r="D881" s="50"/>
    </row>
    <row r="882">
      <c r="A882" s="50"/>
      <c r="B882" s="50"/>
      <c r="C882" s="50"/>
      <c r="D882" s="50"/>
    </row>
    <row r="883">
      <c r="A883" s="50"/>
      <c r="B883" s="50"/>
      <c r="C883" s="50"/>
      <c r="D883" s="50"/>
    </row>
    <row r="884">
      <c r="A884" s="50"/>
      <c r="B884" s="50"/>
      <c r="C884" s="50"/>
      <c r="D884" s="50"/>
    </row>
    <row r="885">
      <c r="A885" s="50"/>
      <c r="B885" s="50"/>
      <c r="C885" s="50"/>
      <c r="D885" s="50"/>
    </row>
    <row r="886">
      <c r="A886" s="50"/>
      <c r="B886" s="50"/>
      <c r="C886" s="50"/>
      <c r="D886" s="50"/>
    </row>
    <row r="887">
      <c r="A887" s="50"/>
      <c r="B887" s="50"/>
      <c r="C887" s="50"/>
      <c r="D887" s="50"/>
    </row>
    <row r="888">
      <c r="A888" s="50"/>
      <c r="B888" s="50"/>
      <c r="C888" s="50"/>
      <c r="D888" s="50"/>
    </row>
    <row r="889">
      <c r="A889" s="50"/>
      <c r="B889" s="50"/>
      <c r="C889" s="50"/>
      <c r="D889" s="50"/>
    </row>
    <row r="890">
      <c r="A890" s="50"/>
      <c r="B890" s="50"/>
      <c r="C890" s="50"/>
      <c r="D890" s="50"/>
    </row>
    <row r="891">
      <c r="A891" s="50"/>
      <c r="B891" s="50"/>
      <c r="C891" s="50"/>
      <c r="D891" s="50"/>
    </row>
    <row r="892">
      <c r="A892" s="50"/>
      <c r="B892" s="50"/>
      <c r="C892" s="50"/>
      <c r="D892" s="50"/>
    </row>
    <row r="893">
      <c r="A893" s="50"/>
      <c r="B893" s="50"/>
      <c r="C893" s="50"/>
      <c r="D893" s="50"/>
    </row>
    <row r="894">
      <c r="A894" s="50"/>
      <c r="B894" s="50"/>
      <c r="C894" s="50"/>
      <c r="D894" s="50"/>
    </row>
    <row r="895">
      <c r="A895" s="50"/>
      <c r="B895" s="50"/>
      <c r="C895" s="50"/>
      <c r="D895" s="50"/>
    </row>
    <row r="896">
      <c r="A896" s="50"/>
      <c r="B896" s="50"/>
      <c r="C896" s="50"/>
      <c r="D896" s="50"/>
    </row>
    <row r="897">
      <c r="A897" s="50"/>
      <c r="B897" s="50"/>
      <c r="C897" s="50"/>
      <c r="D897" s="50"/>
    </row>
    <row r="898">
      <c r="A898" s="50"/>
      <c r="B898" s="50"/>
      <c r="C898" s="50"/>
      <c r="D898" s="50"/>
    </row>
    <row r="899">
      <c r="A899" s="50"/>
      <c r="B899" s="50"/>
      <c r="C899" s="50"/>
      <c r="D899" s="50"/>
    </row>
    <row r="900">
      <c r="A900" s="50"/>
      <c r="B900" s="50"/>
      <c r="C900" s="50"/>
      <c r="D900" s="50"/>
    </row>
    <row r="901">
      <c r="A901" s="50"/>
      <c r="B901" s="50"/>
      <c r="C901" s="50"/>
      <c r="D901" s="50"/>
    </row>
    <row r="902">
      <c r="A902" s="50"/>
      <c r="B902" s="50"/>
      <c r="C902" s="50"/>
      <c r="D902" s="50"/>
    </row>
    <row r="903">
      <c r="A903" s="50"/>
      <c r="B903" s="50"/>
      <c r="C903" s="50"/>
      <c r="D903" s="50"/>
    </row>
    <row r="904">
      <c r="A904" s="50"/>
      <c r="B904" s="50"/>
      <c r="C904" s="50"/>
      <c r="D904" s="50"/>
    </row>
    <row r="905">
      <c r="A905" s="50"/>
      <c r="B905" s="50"/>
      <c r="C905" s="50"/>
      <c r="D905" s="50"/>
    </row>
    <row r="906">
      <c r="A906" s="50"/>
      <c r="B906" s="50"/>
      <c r="C906" s="50"/>
      <c r="D906" s="50"/>
    </row>
    <row r="907">
      <c r="A907" s="50"/>
      <c r="B907" s="50"/>
      <c r="C907" s="50"/>
      <c r="D907" s="50"/>
    </row>
    <row r="908">
      <c r="A908" s="50"/>
      <c r="B908" s="50"/>
      <c r="C908" s="50"/>
      <c r="D908" s="50"/>
    </row>
    <row r="909">
      <c r="A909" s="50"/>
      <c r="B909" s="50"/>
      <c r="C909" s="50"/>
      <c r="D909" s="50"/>
    </row>
    <row r="910">
      <c r="A910" s="50"/>
      <c r="B910" s="50"/>
      <c r="C910" s="50"/>
      <c r="D910" s="50"/>
    </row>
    <row r="911">
      <c r="A911" s="50"/>
      <c r="B911" s="50"/>
      <c r="C911" s="50"/>
      <c r="D911" s="50"/>
    </row>
    <row r="912">
      <c r="A912" s="50"/>
      <c r="B912" s="50"/>
      <c r="C912" s="50"/>
      <c r="D912" s="50"/>
    </row>
    <row r="913">
      <c r="A913" s="50"/>
      <c r="B913" s="50"/>
      <c r="C913" s="50"/>
      <c r="D913" s="50"/>
    </row>
    <row r="914">
      <c r="A914" s="50"/>
      <c r="B914" s="50"/>
      <c r="C914" s="50"/>
      <c r="D914" s="50"/>
    </row>
    <row r="915">
      <c r="A915" s="50"/>
      <c r="B915" s="50"/>
      <c r="C915" s="50"/>
      <c r="D915" s="50"/>
    </row>
    <row r="916">
      <c r="A916" s="50"/>
      <c r="B916" s="50"/>
      <c r="C916" s="50"/>
      <c r="D916" s="50"/>
    </row>
    <row r="917">
      <c r="A917" s="50"/>
      <c r="B917" s="50"/>
      <c r="C917" s="50"/>
      <c r="D917" s="50"/>
    </row>
    <row r="918">
      <c r="A918" s="50"/>
      <c r="B918" s="50"/>
      <c r="C918" s="50"/>
      <c r="D918" s="50"/>
    </row>
    <row r="919">
      <c r="A919" s="50"/>
      <c r="B919" s="50"/>
      <c r="C919" s="50"/>
      <c r="D919" s="50"/>
    </row>
    <row r="920">
      <c r="A920" s="50"/>
      <c r="B920" s="50"/>
      <c r="C920" s="50"/>
      <c r="D920" s="50"/>
    </row>
    <row r="921">
      <c r="A921" s="50"/>
      <c r="B921" s="50"/>
      <c r="C921" s="50"/>
      <c r="D921" s="50"/>
    </row>
    <row r="922">
      <c r="A922" s="50"/>
      <c r="B922" s="50"/>
      <c r="C922" s="50"/>
      <c r="D922" s="50"/>
    </row>
    <row r="923">
      <c r="A923" s="50"/>
      <c r="B923" s="50"/>
      <c r="C923" s="50"/>
      <c r="D923" s="50"/>
    </row>
    <row r="924">
      <c r="A924" s="50"/>
      <c r="B924" s="50"/>
      <c r="C924" s="50"/>
      <c r="D924" s="50"/>
    </row>
    <row r="925">
      <c r="A925" s="50"/>
      <c r="B925" s="50"/>
      <c r="C925" s="50"/>
      <c r="D925" s="50"/>
    </row>
    <row r="926">
      <c r="A926" s="50"/>
      <c r="B926" s="50"/>
      <c r="C926" s="50"/>
      <c r="D926" s="50"/>
    </row>
    <row r="927">
      <c r="A927" s="50"/>
      <c r="B927" s="50"/>
      <c r="C927" s="50"/>
      <c r="D927" s="50"/>
    </row>
    <row r="928">
      <c r="A928" s="50"/>
      <c r="B928" s="50"/>
      <c r="C928" s="50"/>
      <c r="D928" s="50"/>
    </row>
    <row r="929">
      <c r="A929" s="50"/>
      <c r="B929" s="50"/>
      <c r="C929" s="50"/>
      <c r="D929" s="50"/>
    </row>
    <row r="930">
      <c r="A930" s="50"/>
      <c r="B930" s="50"/>
      <c r="C930" s="50"/>
      <c r="D930" s="50"/>
    </row>
    <row r="931">
      <c r="A931" s="50"/>
      <c r="B931" s="50"/>
      <c r="C931" s="50"/>
      <c r="D931" s="50"/>
    </row>
    <row r="932">
      <c r="A932" s="50"/>
      <c r="B932" s="50"/>
      <c r="C932" s="50"/>
      <c r="D932" s="50"/>
    </row>
    <row r="933">
      <c r="A933" s="50"/>
      <c r="B933" s="50"/>
      <c r="C933" s="50"/>
      <c r="D933" s="50"/>
    </row>
    <row r="934">
      <c r="A934" s="50"/>
      <c r="B934" s="50"/>
      <c r="C934" s="50"/>
      <c r="D934" s="50"/>
    </row>
    <row r="935">
      <c r="A935" s="50"/>
      <c r="B935" s="50"/>
      <c r="C935" s="50"/>
      <c r="D935" s="50"/>
    </row>
    <row r="936">
      <c r="A936" s="50"/>
      <c r="B936" s="50"/>
      <c r="C936" s="50"/>
      <c r="D936" s="50"/>
    </row>
    <row r="937">
      <c r="A937" s="50"/>
      <c r="B937" s="50"/>
      <c r="C937" s="50"/>
      <c r="D937" s="50"/>
    </row>
    <row r="938">
      <c r="A938" s="50"/>
      <c r="B938" s="50"/>
      <c r="C938" s="50"/>
      <c r="D938" s="50"/>
    </row>
    <row r="939">
      <c r="A939" s="50"/>
      <c r="B939" s="50"/>
      <c r="C939" s="50"/>
      <c r="D939" s="50"/>
    </row>
    <row r="940">
      <c r="A940" s="50"/>
      <c r="B940" s="50"/>
      <c r="C940" s="50"/>
      <c r="D940" s="50"/>
    </row>
    <row r="941">
      <c r="A941" s="50"/>
      <c r="B941" s="50"/>
      <c r="C941" s="50"/>
      <c r="D941" s="50"/>
    </row>
    <row r="942">
      <c r="A942" s="50"/>
      <c r="B942" s="50"/>
      <c r="C942" s="50"/>
      <c r="D942" s="50"/>
    </row>
    <row r="943">
      <c r="A943" s="50"/>
      <c r="B943" s="50"/>
      <c r="C943" s="50"/>
      <c r="D943" s="50"/>
    </row>
    <row r="944">
      <c r="A944" s="50"/>
      <c r="B944" s="50"/>
      <c r="C944" s="50"/>
      <c r="D944" s="50"/>
    </row>
    <row r="945">
      <c r="A945" s="50"/>
      <c r="B945" s="50"/>
      <c r="C945" s="50"/>
      <c r="D945" s="50"/>
    </row>
    <row r="946">
      <c r="A946" s="50"/>
      <c r="B946" s="50"/>
      <c r="C946" s="50"/>
      <c r="D946" s="50"/>
    </row>
    <row r="947">
      <c r="A947" s="50"/>
      <c r="B947" s="50"/>
      <c r="C947" s="50"/>
      <c r="D947" s="50"/>
    </row>
    <row r="948">
      <c r="A948" s="50"/>
      <c r="B948" s="50"/>
      <c r="C948" s="50"/>
      <c r="D948" s="50"/>
    </row>
    <row r="949">
      <c r="A949" s="50"/>
      <c r="B949" s="50"/>
      <c r="C949" s="50"/>
      <c r="D949" s="50"/>
    </row>
    <row r="950">
      <c r="A950" s="50"/>
      <c r="B950" s="50"/>
      <c r="C950" s="50"/>
      <c r="D950" s="50"/>
    </row>
    <row r="951">
      <c r="A951" s="50"/>
      <c r="B951" s="50"/>
      <c r="C951" s="50"/>
      <c r="D951" s="50"/>
    </row>
    <row r="952">
      <c r="A952" s="50"/>
      <c r="B952" s="50"/>
      <c r="C952" s="50"/>
      <c r="D952" s="50"/>
    </row>
    <row r="953">
      <c r="A953" s="50"/>
      <c r="B953" s="50"/>
      <c r="C953" s="50"/>
      <c r="D953" s="50"/>
    </row>
    <row r="954">
      <c r="A954" s="50"/>
      <c r="B954" s="50"/>
      <c r="C954" s="50"/>
      <c r="D954" s="50"/>
    </row>
    <row r="955">
      <c r="A955" s="50"/>
      <c r="B955" s="50"/>
      <c r="C955" s="50"/>
      <c r="D955" s="50"/>
    </row>
    <row r="956">
      <c r="A956" s="50"/>
      <c r="B956" s="50"/>
      <c r="C956" s="50"/>
      <c r="D956" s="50"/>
    </row>
    <row r="957">
      <c r="A957" s="50"/>
      <c r="B957" s="50"/>
      <c r="C957" s="50"/>
      <c r="D957" s="50"/>
    </row>
    <row r="958">
      <c r="A958" s="50"/>
      <c r="B958" s="50"/>
      <c r="C958" s="50"/>
      <c r="D958" s="50"/>
    </row>
    <row r="959">
      <c r="A959" s="50"/>
      <c r="B959" s="50"/>
      <c r="C959" s="50"/>
      <c r="D959" s="50"/>
    </row>
    <row r="960">
      <c r="A960" s="50"/>
      <c r="B960" s="50"/>
      <c r="C960" s="50"/>
      <c r="D960" s="50"/>
    </row>
    <row r="961">
      <c r="A961" s="50"/>
      <c r="B961" s="50"/>
      <c r="C961" s="50"/>
      <c r="D961" s="50"/>
    </row>
    <row r="962">
      <c r="A962" s="50"/>
      <c r="B962" s="50"/>
      <c r="C962" s="50"/>
      <c r="D962" s="50"/>
    </row>
    <row r="963">
      <c r="A963" s="50"/>
      <c r="B963" s="50"/>
      <c r="C963" s="50"/>
      <c r="D963" s="50"/>
    </row>
    <row r="964">
      <c r="A964" s="50"/>
      <c r="B964" s="50"/>
      <c r="C964" s="50"/>
      <c r="D964" s="50"/>
    </row>
    <row r="965">
      <c r="A965" s="50"/>
      <c r="B965" s="50"/>
      <c r="C965" s="50"/>
      <c r="D965" s="50"/>
    </row>
    <row r="966">
      <c r="A966" s="50"/>
      <c r="B966" s="50"/>
      <c r="C966" s="50"/>
      <c r="D966" s="50"/>
    </row>
    <row r="967">
      <c r="A967" s="50"/>
      <c r="B967" s="50"/>
      <c r="C967" s="50"/>
      <c r="D967" s="50"/>
    </row>
    <row r="968">
      <c r="A968" s="50"/>
      <c r="B968" s="50"/>
      <c r="C968" s="50"/>
      <c r="D968" s="50"/>
    </row>
    <row r="969">
      <c r="A969" s="50"/>
      <c r="B969" s="50"/>
      <c r="C969" s="50"/>
      <c r="D969" s="50"/>
    </row>
    <row r="970">
      <c r="A970" s="50"/>
      <c r="B970" s="50"/>
      <c r="C970" s="50"/>
      <c r="D970" s="50"/>
    </row>
    <row r="971">
      <c r="A971" s="50"/>
      <c r="B971" s="50"/>
      <c r="C971" s="50"/>
      <c r="D971" s="50"/>
    </row>
    <row r="972">
      <c r="A972" s="50"/>
      <c r="B972" s="50"/>
      <c r="C972" s="50"/>
      <c r="D972" s="50"/>
    </row>
    <row r="973">
      <c r="A973" s="50"/>
      <c r="B973" s="50"/>
      <c r="C973" s="50"/>
      <c r="D973" s="50"/>
    </row>
    <row r="974">
      <c r="A974" s="50"/>
      <c r="B974" s="50"/>
      <c r="C974" s="50"/>
      <c r="D974" s="50"/>
    </row>
    <row r="975">
      <c r="A975" s="50"/>
      <c r="B975" s="50"/>
      <c r="C975" s="50"/>
      <c r="D975" s="50"/>
    </row>
    <row r="976">
      <c r="A976" s="50"/>
      <c r="B976" s="50"/>
      <c r="C976" s="50"/>
      <c r="D976" s="50"/>
    </row>
    <row r="977">
      <c r="A977" s="50"/>
      <c r="B977" s="50"/>
      <c r="C977" s="50"/>
      <c r="D977" s="50"/>
    </row>
    <row r="978">
      <c r="A978" s="50"/>
      <c r="B978" s="50"/>
      <c r="C978" s="50"/>
      <c r="D978" s="50"/>
    </row>
    <row r="979">
      <c r="A979" s="50"/>
      <c r="B979" s="50"/>
      <c r="C979" s="50"/>
      <c r="D979" s="50"/>
    </row>
    <row r="980">
      <c r="A980" s="50"/>
      <c r="B980" s="50"/>
      <c r="C980" s="50"/>
      <c r="D980" s="50"/>
    </row>
    <row r="981">
      <c r="A981" s="50"/>
      <c r="B981" s="50"/>
      <c r="C981" s="50"/>
      <c r="D981" s="50"/>
    </row>
    <row r="982">
      <c r="A982" s="50"/>
      <c r="B982" s="50"/>
      <c r="C982" s="50"/>
      <c r="D982" s="50"/>
    </row>
    <row r="983">
      <c r="A983" s="50"/>
      <c r="B983" s="50"/>
      <c r="C983" s="50"/>
      <c r="D983" s="50"/>
    </row>
    <row r="984">
      <c r="A984" s="50"/>
      <c r="B984" s="50"/>
      <c r="C984" s="50"/>
      <c r="D984" s="50"/>
    </row>
    <row r="985">
      <c r="A985" s="50"/>
      <c r="B985" s="50"/>
      <c r="C985" s="50"/>
      <c r="D985" s="50"/>
    </row>
    <row r="986">
      <c r="A986" s="50"/>
      <c r="B986" s="50"/>
      <c r="C986" s="50"/>
      <c r="D986" s="50"/>
    </row>
    <row r="987">
      <c r="A987" s="50"/>
      <c r="B987" s="50"/>
      <c r="C987" s="50"/>
      <c r="D987" s="50"/>
    </row>
    <row r="988">
      <c r="A988" s="50"/>
      <c r="B988" s="50"/>
      <c r="C988" s="50"/>
      <c r="D988" s="50"/>
    </row>
    <row r="989">
      <c r="A989" s="50"/>
      <c r="B989" s="50"/>
      <c r="C989" s="50"/>
      <c r="D989" s="50"/>
    </row>
    <row r="990">
      <c r="A990" s="50"/>
      <c r="B990" s="50"/>
      <c r="C990" s="50"/>
      <c r="D990" s="50"/>
    </row>
    <row r="991">
      <c r="A991" s="50"/>
      <c r="B991" s="50"/>
      <c r="C991" s="50"/>
      <c r="D991" s="50"/>
    </row>
    <row r="992">
      <c r="A992" s="50"/>
      <c r="B992" s="50"/>
      <c r="C992" s="50"/>
      <c r="D992" s="50"/>
    </row>
    <row r="993">
      <c r="A993" s="50"/>
      <c r="B993" s="50"/>
      <c r="C993" s="50"/>
      <c r="D993" s="50"/>
    </row>
    <row r="994">
      <c r="A994" s="50"/>
      <c r="B994" s="50"/>
      <c r="C994" s="50"/>
      <c r="D994" s="50"/>
    </row>
    <row r="995">
      <c r="A995" s="50"/>
      <c r="B995" s="50"/>
      <c r="C995" s="50"/>
      <c r="D995" s="50"/>
    </row>
    <row r="996">
      <c r="A996" s="50"/>
      <c r="B996" s="50"/>
      <c r="C996" s="50"/>
      <c r="D996" s="50"/>
    </row>
    <row r="997">
      <c r="A997" s="50"/>
      <c r="B997" s="50"/>
      <c r="C997" s="50"/>
      <c r="D997" s="50"/>
    </row>
    <row r="998">
      <c r="A998" s="50"/>
      <c r="B998" s="50"/>
      <c r="C998" s="50"/>
      <c r="D998" s="50"/>
    </row>
    <row r="999">
      <c r="A999" s="50"/>
      <c r="B999" s="50"/>
      <c r="C999" s="50"/>
      <c r="D999" s="50"/>
    </row>
    <row r="1000">
      <c r="A1000" s="50"/>
      <c r="B1000" s="50"/>
      <c r="C1000" s="50"/>
      <c r="D1000" s="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25"/>
  </cols>
  <sheetData>
    <row r="1">
      <c r="A1" s="57" t="s">
        <v>169</v>
      </c>
      <c r="B1" s="58" t="s">
        <v>170</v>
      </c>
      <c r="C1" s="57" t="s">
        <v>171</v>
      </c>
      <c r="D1" s="57" t="s">
        <v>172</v>
      </c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</row>
    <row r="2">
      <c r="A2" s="50" t="str">
        <f>IFERROR(__xludf.DUMMYFUNCTION("VSTACK(
FILTER(Cisco!A2:D1000,Cisco!A2:A1000&lt;&gt;""""),
FILTER(Juniper!A2:D1000,Juniper!A2:A1000&lt;&gt;""""),
FILTER('3rdSFP'!A2:D1000,'3rdSFP'!A2:A1000&lt;&gt;"""")
)"),"C8200L-1N-4T")</f>
        <v>C8200L-1N-4T</v>
      </c>
      <c r="B2" s="55">
        <f>IFERROR(__xludf.DUMMYFUNCTION("""COMPUTED_VALUE"""),22728.05)</f>
        <v>22728.05</v>
      </c>
      <c r="C2" s="55">
        <f>IFERROR(__xludf.DUMMYFUNCTION("""COMPUTED_VALUE"""),18000.0)</f>
        <v>18000</v>
      </c>
      <c r="D2" s="55">
        <f>IFERROR(__xludf.DUMMYFUNCTION("""COMPUTED_VALUE"""),18000.0)</f>
        <v>18000</v>
      </c>
    </row>
    <row r="3">
      <c r="A3" s="50" t="str">
        <f>IFERROR(__xludf.DUMMYFUNCTION("""COMPUTED_VALUE"""),"C8200-1N-4T")</f>
        <v>C8200-1N-4T</v>
      </c>
      <c r="B3" s="55">
        <f>IFERROR(__xludf.DUMMYFUNCTION("""COMPUTED_VALUE"""),29504.46)</f>
        <v>29504.46</v>
      </c>
      <c r="C3" s="55">
        <f>IFERROR(__xludf.DUMMYFUNCTION("""COMPUTED_VALUE"""),15000.0)</f>
        <v>15000</v>
      </c>
      <c r="D3" s="55">
        <f>IFERROR(__xludf.DUMMYFUNCTION("""COMPUTED_VALUE"""),15000.0)</f>
        <v>15000</v>
      </c>
    </row>
    <row r="4">
      <c r="A4" s="50" t="str">
        <f>IFERROR(__xludf.DUMMYFUNCTION("""COMPUTED_VALUE"""),"C8300-2N2S-4T2X")</f>
        <v>C8300-2N2S-4T2X</v>
      </c>
      <c r="B4" s="55">
        <f>IFERROR(__xludf.DUMMYFUNCTION("""COMPUTED_VALUE"""),91782.43)</f>
        <v>91782.43</v>
      </c>
      <c r="C4" s="50"/>
      <c r="D4" s="55">
        <f>IFERROR(__xludf.DUMMYFUNCTION("""COMPUTED_VALUE"""),91782.43)</f>
        <v>91782.43</v>
      </c>
    </row>
    <row r="5">
      <c r="A5" s="50" t="str">
        <f>IFERROR(__xludf.DUMMYFUNCTION("""COMPUTED_VALUE"""),"C8300-1N1S-4T2X")</f>
        <v>C8300-1N1S-4T2X</v>
      </c>
      <c r="B5" s="55">
        <f>IFERROR(__xludf.DUMMYFUNCTION("""COMPUTED_VALUE"""),75749.61)</f>
        <v>75749.61</v>
      </c>
      <c r="C5" s="50"/>
      <c r="D5" s="55">
        <f>IFERROR(__xludf.DUMMYFUNCTION("""COMPUTED_VALUE"""),75749.61)</f>
        <v>75749.61</v>
      </c>
    </row>
    <row r="6">
      <c r="A6" s="50" t="str">
        <f>IFERROR(__xludf.DUMMYFUNCTION("""COMPUTED_VALUE"""),"C8300-2N2S-6T")</f>
        <v>C8300-2N2S-6T</v>
      </c>
      <c r="B6" s="55">
        <f>IFERROR(__xludf.DUMMYFUNCTION("""COMPUTED_VALUE"""),50264.61)</f>
        <v>50264.61</v>
      </c>
      <c r="C6" s="50"/>
      <c r="D6" s="55">
        <f>IFERROR(__xludf.DUMMYFUNCTION("""COMPUTED_VALUE"""),50264.61)</f>
        <v>50264.61</v>
      </c>
    </row>
    <row r="7">
      <c r="A7" s="50" t="str">
        <f>IFERROR(__xludf.DUMMYFUNCTION("""COMPUTED_VALUE"""),"C8300-1N1S-6T")</f>
        <v>C8300-1N1S-6T</v>
      </c>
      <c r="B7" s="55">
        <f>IFERROR(__xludf.DUMMYFUNCTION("""COMPUTED_VALUE"""),41045.93)</f>
        <v>41045.93</v>
      </c>
      <c r="C7" s="50"/>
      <c r="D7" s="55">
        <f>IFERROR(__xludf.DUMMYFUNCTION("""COMPUTED_VALUE"""),41045.93)</f>
        <v>41045.93</v>
      </c>
    </row>
    <row r="8">
      <c r="A8" s="50" t="str">
        <f>IFERROR(__xludf.DUMMYFUNCTION("""COMPUTED_VALUE"""),"C8500-20X6C")</f>
        <v>C8500-20X6C</v>
      </c>
      <c r="B8" s="55">
        <f>IFERROR(__xludf.DUMMYFUNCTION("""COMPUTED_VALUE"""),553572.06)</f>
        <v>553572.06</v>
      </c>
      <c r="C8" s="50"/>
      <c r="D8" s="55">
        <f>IFERROR(__xludf.DUMMYFUNCTION("""COMPUTED_VALUE"""),553572.06)</f>
        <v>553572.06</v>
      </c>
    </row>
    <row r="9">
      <c r="A9" s="50" t="str">
        <f>IFERROR(__xludf.DUMMYFUNCTION("""COMPUTED_VALUE"""),"C8500-12X4QC")</f>
        <v>C8500-12X4QC</v>
      </c>
      <c r="B9" s="55">
        <f>IFERROR(__xludf.DUMMYFUNCTION("""COMPUTED_VALUE"""),297234.95)</f>
        <v>297234.95</v>
      </c>
      <c r="C9" s="50"/>
      <c r="D9" s="55">
        <f>IFERROR(__xludf.DUMMYFUNCTION("""COMPUTED_VALUE"""),297234.95)</f>
        <v>297234.95</v>
      </c>
    </row>
    <row r="10">
      <c r="A10" s="50" t="str">
        <f>IFERROR(__xludf.DUMMYFUNCTION("""COMPUTED_VALUE"""),"C8500-12X")</f>
        <v>C8500-12X</v>
      </c>
      <c r="B10" s="55">
        <f>IFERROR(__xludf.DUMMYFUNCTION("""COMPUTED_VALUE"""),206911.8)</f>
        <v>206911.8</v>
      </c>
      <c r="C10" s="50"/>
      <c r="D10" s="55">
        <f>IFERROR(__xludf.DUMMYFUNCTION("""COMPUTED_VALUE"""),206911.8)</f>
        <v>206911.8</v>
      </c>
    </row>
    <row r="11">
      <c r="A11" s="50" t="str">
        <f>IFERROR(__xludf.DUMMYFUNCTION("""COMPUTED_VALUE"""),"C8500L-8S4X")</f>
        <v>C8500L-8S4X</v>
      </c>
      <c r="B11" s="55">
        <f>IFERROR(__xludf.DUMMYFUNCTION("""COMPUTED_VALUE"""),97005.56)</f>
        <v>97005.56</v>
      </c>
      <c r="C11" s="50"/>
      <c r="D11" s="55">
        <f>IFERROR(__xludf.DUMMYFUNCTION("""COMPUTED_VALUE"""),97005.56)</f>
        <v>97005.56</v>
      </c>
    </row>
    <row r="12">
      <c r="A12" s="50" t="str">
        <f>IFERROR(__xludf.DUMMYFUNCTION("""COMPUTED_VALUE"""),"C9200-24T")</f>
        <v>C9200-24T</v>
      </c>
      <c r="B12" s="55">
        <f>IFERROR(__xludf.DUMMYFUNCTION("""COMPUTED_VALUE"""),9916.42)</f>
        <v>9916.42</v>
      </c>
      <c r="C12" s="50"/>
      <c r="D12" s="55">
        <f>IFERROR(__xludf.DUMMYFUNCTION("""COMPUTED_VALUE"""),9916.42)</f>
        <v>9916.42</v>
      </c>
    </row>
    <row r="13">
      <c r="A13" s="50" t="str">
        <f>IFERROR(__xludf.DUMMYFUNCTION("""COMPUTED_VALUE"""),"C9200-24P")</f>
        <v>C9200-24P</v>
      </c>
      <c r="B13" s="55">
        <f>IFERROR(__xludf.DUMMYFUNCTION("""COMPUTED_VALUE"""),11052.8)</f>
        <v>11052.8</v>
      </c>
      <c r="C13" s="50"/>
      <c r="D13" s="55">
        <f>IFERROR(__xludf.DUMMYFUNCTION("""COMPUTED_VALUE"""),11052.8)</f>
        <v>11052.8</v>
      </c>
    </row>
    <row r="14">
      <c r="A14" s="50" t="str">
        <f>IFERROR(__xludf.DUMMYFUNCTION("""COMPUTED_VALUE"""),"C9200-48T")</f>
        <v>C9200-48T</v>
      </c>
      <c r="B14" s="55">
        <f>IFERROR(__xludf.DUMMYFUNCTION("""COMPUTED_VALUE"""),15602.18)</f>
        <v>15602.18</v>
      </c>
      <c r="C14" s="50"/>
      <c r="D14" s="55">
        <f>IFERROR(__xludf.DUMMYFUNCTION("""COMPUTED_VALUE"""),15602.18)</f>
        <v>15602.18</v>
      </c>
    </row>
    <row r="15">
      <c r="A15" s="50" t="str">
        <f>IFERROR(__xludf.DUMMYFUNCTION("""COMPUTED_VALUE"""),"C9200-48P")</f>
        <v>C9200-48P</v>
      </c>
      <c r="B15" s="55">
        <f>IFERROR(__xludf.DUMMYFUNCTION("""COMPUTED_VALUE"""),19860.05)</f>
        <v>19860.05</v>
      </c>
      <c r="C15" s="50"/>
      <c r="D15" s="55">
        <f>IFERROR(__xludf.DUMMYFUNCTION("""COMPUTED_VALUE"""),19860.05)</f>
        <v>19860.05</v>
      </c>
    </row>
    <row r="16">
      <c r="A16" s="50" t="str">
        <f>IFERROR(__xludf.DUMMYFUNCTION("""COMPUTED_VALUE"""),"C9200L-24T-4G")</f>
        <v>C9200L-24T-4G</v>
      </c>
      <c r="B16" s="55">
        <f>IFERROR(__xludf.DUMMYFUNCTION("""COMPUTED_VALUE"""),6063.41)</f>
        <v>6063.41</v>
      </c>
      <c r="C16" s="50"/>
      <c r="D16" s="55">
        <f>IFERROR(__xludf.DUMMYFUNCTION("""COMPUTED_VALUE"""),6063.41)</f>
        <v>6063.41</v>
      </c>
    </row>
    <row r="17">
      <c r="A17" s="50" t="str">
        <f>IFERROR(__xludf.DUMMYFUNCTION("""COMPUTED_VALUE"""),"C9200L-24P-4G")</f>
        <v>C9200L-24P-4G</v>
      </c>
      <c r="B17" s="55">
        <f>IFERROR(__xludf.DUMMYFUNCTION("""COMPUTED_VALUE"""),7529.2)</f>
        <v>7529.2</v>
      </c>
      <c r="C17" s="50"/>
      <c r="D17" s="55">
        <f>IFERROR(__xludf.DUMMYFUNCTION("""COMPUTED_VALUE"""),7529.2)</f>
        <v>7529.2</v>
      </c>
    </row>
    <row r="18">
      <c r="A18" s="50" t="str">
        <f>IFERROR(__xludf.DUMMYFUNCTION("""COMPUTED_VALUE"""),"C9200L-48T-4G")</f>
        <v>C9200L-48T-4G</v>
      </c>
      <c r="B18" s="55">
        <f>IFERROR(__xludf.DUMMYFUNCTION("""COMPUTED_VALUE"""),10867.95)</f>
        <v>10867.95</v>
      </c>
      <c r="C18" s="50"/>
      <c r="D18" s="55">
        <f>IFERROR(__xludf.DUMMYFUNCTION("""COMPUTED_VALUE"""),10867.95)</f>
        <v>10867.95</v>
      </c>
    </row>
    <row r="19">
      <c r="A19" s="50" t="str">
        <f>IFERROR(__xludf.DUMMYFUNCTION("""COMPUTED_VALUE"""),"C9200L-48P-4G")</f>
        <v>C9200L-48P-4G</v>
      </c>
      <c r="B19" s="55">
        <f>IFERROR(__xludf.DUMMYFUNCTION("""COMPUTED_VALUE"""),15269.17)</f>
        <v>15269.17</v>
      </c>
      <c r="C19" s="50"/>
      <c r="D19" s="55">
        <f>IFERROR(__xludf.DUMMYFUNCTION("""COMPUTED_VALUE"""),15269.17)</f>
        <v>15269.17</v>
      </c>
    </row>
    <row r="20">
      <c r="A20" s="50" t="str">
        <f>IFERROR(__xludf.DUMMYFUNCTION("""COMPUTED_VALUE"""),"C9200L-24T-4X")</f>
        <v>C9200L-24T-4X</v>
      </c>
      <c r="B20" s="55">
        <f>IFERROR(__xludf.DUMMYFUNCTION("""COMPUTED_VALUE"""),8631.47)</f>
        <v>8631.47</v>
      </c>
      <c r="C20" s="50"/>
      <c r="D20" s="55">
        <f>IFERROR(__xludf.DUMMYFUNCTION("""COMPUTED_VALUE"""),8631.47)</f>
        <v>8631.47</v>
      </c>
    </row>
    <row r="21">
      <c r="A21" s="50" t="str">
        <f>IFERROR(__xludf.DUMMYFUNCTION("""COMPUTED_VALUE"""),"C9200L-24P-4X")</f>
        <v>C9200L-24P-4X</v>
      </c>
      <c r="B21" s="55">
        <f>IFERROR(__xludf.DUMMYFUNCTION("""COMPUTED_VALUE"""),10097.26)</f>
        <v>10097.26</v>
      </c>
      <c r="C21" s="50"/>
      <c r="D21" s="55">
        <f>IFERROR(__xludf.DUMMYFUNCTION("""COMPUTED_VALUE"""),10097.26)</f>
        <v>10097.26</v>
      </c>
    </row>
    <row r="22">
      <c r="A22" s="50" t="str">
        <f>IFERROR(__xludf.DUMMYFUNCTION("""COMPUTED_VALUE"""),"C9200L-48T-4X")</f>
        <v>C9200L-48T-4X</v>
      </c>
      <c r="B22" s="55">
        <f>IFERROR(__xludf.DUMMYFUNCTION("""COMPUTED_VALUE"""),13436.01)</f>
        <v>13436.01</v>
      </c>
      <c r="C22" s="50"/>
      <c r="D22" s="55">
        <f>IFERROR(__xludf.DUMMYFUNCTION("""COMPUTED_VALUE"""),13436.01)</f>
        <v>13436.01</v>
      </c>
    </row>
    <row r="23">
      <c r="A23" s="50" t="str">
        <f>IFERROR(__xludf.DUMMYFUNCTION("""COMPUTED_VALUE"""),"C9200L-48P-4X")</f>
        <v>C9200L-48P-4X</v>
      </c>
      <c r="B23" s="55">
        <f>IFERROR(__xludf.DUMMYFUNCTION("""COMPUTED_VALUE"""),17837.21)</f>
        <v>17837.21</v>
      </c>
      <c r="C23" s="50"/>
      <c r="D23" s="55">
        <f>IFERROR(__xludf.DUMMYFUNCTION("""COMPUTED_VALUE"""),17837.21)</f>
        <v>17837.21</v>
      </c>
    </row>
    <row r="24">
      <c r="A24" s="50" t="str">
        <f>IFERROR(__xludf.DUMMYFUNCTION("""COMPUTED_VALUE"""),"C9200CX-8P-2X2G")</f>
        <v>C9200CX-8P-2X2G</v>
      </c>
      <c r="B24" s="55">
        <f>IFERROR(__xludf.DUMMYFUNCTION("""COMPUTED_VALUE"""),5197.72)</f>
        <v>5197.72</v>
      </c>
      <c r="C24" s="50"/>
      <c r="D24" s="55">
        <f>IFERROR(__xludf.DUMMYFUNCTION("""COMPUTED_VALUE"""),5197.72)</f>
        <v>5197.72</v>
      </c>
    </row>
    <row r="25">
      <c r="A25" s="50" t="str">
        <f>IFERROR(__xludf.DUMMYFUNCTION("""COMPUTED_VALUE"""),"C9200CX-12T-2X2G")</f>
        <v>C9200CX-12T-2X2G</v>
      </c>
      <c r="B25" s="55">
        <f>IFERROR(__xludf.DUMMYFUNCTION("""COMPUTED_VALUE"""),4748.49)</f>
        <v>4748.49</v>
      </c>
      <c r="C25" s="50"/>
      <c r="D25" s="55">
        <f>IFERROR(__xludf.DUMMYFUNCTION("""COMPUTED_VALUE"""),4748.49)</f>
        <v>4748.49</v>
      </c>
    </row>
    <row r="26">
      <c r="A26" s="50" t="str">
        <f>IFERROR(__xludf.DUMMYFUNCTION("""COMPUTED_VALUE"""),"C9200CX-12P-2X2G")</f>
        <v>C9200CX-12P-2X2G</v>
      </c>
      <c r="B26" s="55">
        <f>IFERROR(__xludf.DUMMYFUNCTION("""COMPUTED_VALUE"""),5672.87)</f>
        <v>5672.87</v>
      </c>
      <c r="C26" s="50"/>
      <c r="D26" s="55">
        <f>IFERROR(__xludf.DUMMYFUNCTION("""COMPUTED_VALUE"""),5672.87)</f>
        <v>5672.87</v>
      </c>
    </row>
    <row r="27">
      <c r="A27" s="50" t="str">
        <f>IFERROR(__xludf.DUMMYFUNCTION("""COMPUTED_VALUE"""),"C9300L-24T-4G")</f>
        <v>C9300L-24T-4G</v>
      </c>
      <c r="B27" s="55">
        <f>IFERROR(__xludf.DUMMYFUNCTION("""COMPUTED_VALUE"""),13699.63)</f>
        <v>13699.63</v>
      </c>
      <c r="C27" s="50"/>
      <c r="D27" s="55">
        <f>IFERROR(__xludf.DUMMYFUNCTION("""COMPUTED_VALUE"""),13699.63)</f>
        <v>13699.63</v>
      </c>
    </row>
    <row r="28">
      <c r="A28" s="50" t="str">
        <f>IFERROR(__xludf.DUMMYFUNCTION("""COMPUTED_VALUE"""),"C9300L-24P-4G")</f>
        <v>C9300L-24P-4G</v>
      </c>
      <c r="B28" s="55">
        <f>IFERROR(__xludf.DUMMYFUNCTION("""COMPUTED_VALUE"""),14671.04)</f>
        <v>14671.04</v>
      </c>
      <c r="C28" s="50"/>
      <c r="D28" s="55">
        <f>IFERROR(__xludf.DUMMYFUNCTION("""COMPUTED_VALUE"""),14671.04)</f>
        <v>14671.04</v>
      </c>
    </row>
    <row r="29">
      <c r="A29" s="50" t="str">
        <f>IFERROR(__xludf.DUMMYFUNCTION("""COMPUTED_VALUE"""),"C9300L-24T-4X")</f>
        <v>C9300L-24T-4X</v>
      </c>
      <c r="B29" s="55">
        <f>IFERROR(__xludf.DUMMYFUNCTION("""COMPUTED_VALUE"""),16613.85)</f>
        <v>16613.85</v>
      </c>
      <c r="C29" s="50"/>
      <c r="D29" s="55">
        <f>IFERROR(__xludf.DUMMYFUNCTION("""COMPUTED_VALUE"""),16613.85)</f>
        <v>16613.85</v>
      </c>
    </row>
    <row r="30">
      <c r="A30" s="50" t="str">
        <f>IFERROR(__xludf.DUMMYFUNCTION("""COMPUTED_VALUE"""),"C9300L-24P-4X")</f>
        <v>C9300L-24P-4X</v>
      </c>
      <c r="B30" s="55">
        <f>IFERROR(__xludf.DUMMYFUNCTION("""COMPUTED_VALUE"""),17585.24)</f>
        <v>17585.24</v>
      </c>
      <c r="C30" s="50"/>
      <c r="D30" s="55">
        <f>IFERROR(__xludf.DUMMYFUNCTION("""COMPUTED_VALUE"""),17585.24)</f>
        <v>17585.24</v>
      </c>
    </row>
    <row r="31">
      <c r="A31" s="50" t="str">
        <f>IFERROR(__xludf.DUMMYFUNCTION("""COMPUTED_VALUE"""),"C9300L-48T-4G")</f>
        <v>C9300L-48T-4G</v>
      </c>
      <c r="B31" s="55">
        <f>IFERROR(__xludf.DUMMYFUNCTION("""COMPUTED_VALUE"""),19825.33)</f>
        <v>19825.33</v>
      </c>
      <c r="C31" s="50"/>
      <c r="D31" s="55">
        <f>IFERROR(__xludf.DUMMYFUNCTION("""COMPUTED_VALUE"""),19825.33)</f>
        <v>19825.33</v>
      </c>
    </row>
    <row r="32">
      <c r="A32" s="50" t="str">
        <f>IFERROR(__xludf.DUMMYFUNCTION("""COMPUTED_VALUE"""),"C9300L-48P-4G")</f>
        <v>C9300L-48P-4G</v>
      </c>
      <c r="B32" s="55">
        <f>IFERROR(__xludf.DUMMYFUNCTION("""COMPUTED_VALUE"""),22545.48)</f>
        <v>22545.48</v>
      </c>
      <c r="C32" s="50"/>
      <c r="D32" s="55">
        <f>IFERROR(__xludf.DUMMYFUNCTION("""COMPUTED_VALUE"""),22545.48)</f>
        <v>22545.48</v>
      </c>
    </row>
    <row r="33">
      <c r="A33" s="50" t="str">
        <f>IFERROR(__xludf.DUMMYFUNCTION("""COMPUTED_VALUE"""),"C9300L-48T-4X")</f>
        <v>C9300L-48T-4X</v>
      </c>
      <c r="B33" s="55">
        <f>IFERROR(__xludf.DUMMYFUNCTION("""COMPUTED_VALUE"""),22736.79)</f>
        <v>22736.79</v>
      </c>
      <c r="C33" s="50"/>
      <c r="D33" s="55">
        <f>IFERROR(__xludf.DUMMYFUNCTION("""COMPUTED_VALUE"""),22736.79)</f>
        <v>22736.79</v>
      </c>
    </row>
    <row r="34">
      <c r="A34" s="50" t="str">
        <f>IFERROR(__xludf.DUMMYFUNCTION("""COMPUTED_VALUE"""),"C9300L-48P-4X")</f>
        <v>C9300L-48P-4X</v>
      </c>
      <c r="B34" s="55">
        <f>IFERROR(__xludf.DUMMYFUNCTION("""COMPUTED_VALUE"""),25455.65)</f>
        <v>25455.65</v>
      </c>
      <c r="C34" s="50"/>
      <c r="D34" s="55">
        <f>IFERROR(__xludf.DUMMYFUNCTION("""COMPUTED_VALUE"""),25455.65)</f>
        <v>25455.65</v>
      </c>
    </row>
    <row r="35">
      <c r="A35" s="50" t="str">
        <f>IFERROR(__xludf.DUMMYFUNCTION("""COMPUTED_VALUE"""),"C9300-24T")</f>
        <v>C9300-24T</v>
      </c>
      <c r="B35" s="55">
        <f>IFERROR(__xludf.DUMMYFUNCTION("""COMPUTED_VALUE"""),18011.91)</f>
        <v>18011.91</v>
      </c>
      <c r="C35" s="50"/>
      <c r="D35" s="55">
        <f>IFERROR(__xludf.DUMMYFUNCTION("""COMPUTED_VALUE"""),18011.91)</f>
        <v>18011.91</v>
      </c>
    </row>
    <row r="36">
      <c r="A36" s="50" t="str">
        <f>IFERROR(__xludf.DUMMYFUNCTION("""COMPUTED_VALUE"""),"C9300-24P")</f>
        <v>C9300-24P</v>
      </c>
      <c r="B36" s="55">
        <f>IFERROR(__xludf.DUMMYFUNCTION("""COMPUTED_VALUE"""),19547.88)</f>
        <v>19547.88</v>
      </c>
      <c r="C36" s="50"/>
      <c r="D36" s="55">
        <f>IFERROR(__xludf.DUMMYFUNCTION("""COMPUTED_VALUE"""),19547.88)</f>
        <v>19547.88</v>
      </c>
    </row>
    <row r="37">
      <c r="A37" s="50" t="str">
        <f>IFERROR(__xludf.DUMMYFUNCTION("""COMPUTED_VALUE"""),"C9300-24U")</f>
        <v>C9300-24U</v>
      </c>
      <c r="B37" s="55">
        <f>IFERROR(__xludf.DUMMYFUNCTION("""COMPUTED_VALUE"""),20505.61)</f>
        <v>20505.61</v>
      </c>
      <c r="C37" s="50"/>
      <c r="D37" s="55">
        <f>IFERROR(__xludf.DUMMYFUNCTION("""COMPUTED_VALUE"""),20505.61)</f>
        <v>20505.61</v>
      </c>
    </row>
    <row r="38">
      <c r="A38" s="50" t="str">
        <f>IFERROR(__xludf.DUMMYFUNCTION("""COMPUTED_VALUE"""),"C9300-24H")</f>
        <v>C9300-24H</v>
      </c>
      <c r="B38" s="55">
        <f>IFERROR(__xludf.DUMMYFUNCTION("""COMPUTED_VALUE"""),21073.06)</f>
        <v>21073.06</v>
      </c>
      <c r="C38" s="50"/>
      <c r="D38" s="55">
        <f>IFERROR(__xludf.DUMMYFUNCTION("""COMPUTED_VALUE"""),21073.06)</f>
        <v>21073.06</v>
      </c>
    </row>
    <row r="39">
      <c r="A39" s="50" t="str">
        <f>IFERROR(__xludf.DUMMYFUNCTION("""COMPUTED_VALUE"""),"C9300-24S")</f>
        <v>C9300-24S</v>
      </c>
      <c r="B39" s="55">
        <f>IFERROR(__xludf.DUMMYFUNCTION("""COMPUTED_VALUE"""),50184.37)</f>
        <v>50184.37</v>
      </c>
      <c r="C39" s="50"/>
      <c r="D39" s="55">
        <f>IFERROR(__xludf.DUMMYFUNCTION("""COMPUTED_VALUE"""),50184.37)</f>
        <v>50184.37</v>
      </c>
    </row>
    <row r="40">
      <c r="A40" s="50" t="str">
        <f>IFERROR(__xludf.DUMMYFUNCTION("""COMPUTED_VALUE"""),"C9300-24UB")</f>
        <v>C9300-24UB</v>
      </c>
      <c r="B40" s="55">
        <f>IFERROR(__xludf.DUMMYFUNCTION("""COMPUTED_VALUE"""),25086.8)</f>
        <v>25086.8</v>
      </c>
      <c r="C40" s="50"/>
      <c r="D40" s="55">
        <f>IFERROR(__xludf.DUMMYFUNCTION("""COMPUTED_VALUE"""),25086.8)</f>
        <v>25086.8</v>
      </c>
    </row>
    <row r="41">
      <c r="A41" s="50" t="str">
        <f>IFERROR(__xludf.DUMMYFUNCTION("""COMPUTED_VALUE"""),"C9300-48T")</f>
        <v>C9300-48T</v>
      </c>
      <c r="B41" s="55">
        <f>IFERROR(__xludf.DUMMYFUNCTION("""COMPUTED_VALUE"""),26361.21)</f>
        <v>26361.21</v>
      </c>
      <c r="C41" s="50"/>
      <c r="D41" s="55">
        <f>IFERROR(__xludf.DUMMYFUNCTION("""COMPUTED_VALUE"""),26361.21)</f>
        <v>26361.21</v>
      </c>
    </row>
    <row r="42">
      <c r="A42" s="50" t="str">
        <f>IFERROR(__xludf.DUMMYFUNCTION("""COMPUTED_VALUE"""),"C9300-48P")</f>
        <v>C9300-48P</v>
      </c>
      <c r="B42" s="55">
        <f>IFERROR(__xludf.DUMMYFUNCTION("""COMPUTED_VALUE"""),29374.16)</f>
        <v>29374.16</v>
      </c>
      <c r="C42" s="50"/>
      <c r="D42" s="55">
        <f>IFERROR(__xludf.DUMMYFUNCTION("""COMPUTED_VALUE"""),29374.16)</f>
        <v>29374.16</v>
      </c>
    </row>
    <row r="43">
      <c r="A43" s="50" t="str">
        <f>IFERROR(__xludf.DUMMYFUNCTION("""COMPUTED_VALUE"""),"C9300-48U")</f>
        <v>C9300-48U</v>
      </c>
      <c r="B43" s="55">
        <f>IFERROR(__xludf.DUMMYFUNCTION("""COMPUTED_VALUE"""),31290.78)</f>
        <v>31290.78</v>
      </c>
      <c r="C43" s="50"/>
      <c r="D43" s="55">
        <f>IFERROR(__xludf.DUMMYFUNCTION("""COMPUTED_VALUE"""),31290.78)</f>
        <v>31290.78</v>
      </c>
    </row>
    <row r="44">
      <c r="A44" s="50" t="str">
        <f>IFERROR(__xludf.DUMMYFUNCTION("""COMPUTED_VALUE"""),"C9300-48H")</f>
        <v>C9300-48H</v>
      </c>
      <c r="B44" s="55">
        <f>IFERROR(__xludf.DUMMYFUNCTION("""COMPUTED_VALUE"""),32286.54)</f>
        <v>32286.54</v>
      </c>
      <c r="C44" s="50"/>
      <c r="D44" s="55">
        <f>IFERROR(__xludf.DUMMYFUNCTION("""COMPUTED_VALUE"""),32286.54)</f>
        <v>32286.54</v>
      </c>
    </row>
    <row r="45">
      <c r="A45" s="50" t="str">
        <f>IFERROR(__xludf.DUMMYFUNCTION("""COMPUTED_VALUE"""),"C9300-48S")</f>
        <v>C9300-48S</v>
      </c>
      <c r="B45" s="55">
        <f>IFERROR(__xludf.DUMMYFUNCTION("""COMPUTED_VALUE"""),57322.71)</f>
        <v>57322.71</v>
      </c>
      <c r="C45" s="50"/>
      <c r="D45" s="55">
        <f>IFERROR(__xludf.DUMMYFUNCTION("""COMPUTED_VALUE"""),57322.71)</f>
        <v>57322.71</v>
      </c>
    </row>
    <row r="46">
      <c r="A46" s="50" t="str">
        <f>IFERROR(__xludf.DUMMYFUNCTION("""COMPUTED_VALUE"""),"C9300-48UB")</f>
        <v>C9300-48UB</v>
      </c>
      <c r="B46" s="55">
        <f>IFERROR(__xludf.DUMMYFUNCTION("""COMPUTED_VALUE"""),37491.48)</f>
        <v>37491.48</v>
      </c>
      <c r="C46" s="50"/>
      <c r="D46" s="55">
        <f>IFERROR(__xludf.DUMMYFUNCTION("""COMPUTED_VALUE"""),37491.48)</f>
        <v>37491.48</v>
      </c>
    </row>
    <row r="47">
      <c r="A47" s="50" t="str">
        <f>IFERROR(__xludf.DUMMYFUNCTION("""COMPUTED_VALUE"""),"C1300-8T-E-2G")</f>
        <v>C1300-8T-E-2G</v>
      </c>
      <c r="B47" s="55">
        <f>IFERROR(__xludf.DUMMYFUNCTION("""COMPUTED_VALUE"""),463.29)</f>
        <v>463.29</v>
      </c>
      <c r="C47" s="50"/>
      <c r="D47" s="55">
        <f>IFERROR(__xludf.DUMMYFUNCTION("""COMPUTED_VALUE"""),463.29)</f>
        <v>463.29</v>
      </c>
    </row>
    <row r="48">
      <c r="A48" s="50" t="str">
        <f>IFERROR(__xludf.DUMMYFUNCTION("""COMPUTED_VALUE"""),"C1300-8P-E-2G")</f>
        <v>C1300-8P-E-2G</v>
      </c>
      <c r="B48" s="55">
        <f>IFERROR(__xludf.DUMMYFUNCTION("""COMPUTED_VALUE"""),570.56)</f>
        <v>570.56</v>
      </c>
      <c r="C48" s="50"/>
      <c r="D48" s="55">
        <f>IFERROR(__xludf.DUMMYFUNCTION("""COMPUTED_VALUE"""),570.56)</f>
        <v>570.56</v>
      </c>
    </row>
    <row r="49">
      <c r="A49" s="50" t="str">
        <f>IFERROR(__xludf.DUMMYFUNCTION("""COMPUTED_VALUE"""),"C1300-8FP-2G")</f>
        <v>C1300-8FP-2G</v>
      </c>
      <c r="B49" s="55">
        <f>IFERROR(__xludf.DUMMYFUNCTION("""COMPUTED_VALUE"""),757.69)</f>
        <v>757.69</v>
      </c>
      <c r="C49" s="50"/>
      <c r="D49" s="55">
        <f>IFERROR(__xludf.DUMMYFUNCTION("""COMPUTED_VALUE"""),757.69)</f>
        <v>757.69</v>
      </c>
    </row>
    <row r="50">
      <c r="A50" s="50" t="str">
        <f>IFERROR(__xludf.DUMMYFUNCTION("""COMPUTED_VALUE"""),"C1300-16T-2G")</f>
        <v>C1300-16T-2G</v>
      </c>
      <c r="B50" s="55">
        <f>IFERROR(__xludf.DUMMYFUNCTION("""COMPUTED_VALUE"""),655.57)</f>
        <v>655.57</v>
      </c>
      <c r="C50" s="50"/>
      <c r="D50" s="55">
        <f>IFERROR(__xludf.DUMMYFUNCTION("""COMPUTED_VALUE"""),655.57)</f>
        <v>655.57</v>
      </c>
    </row>
    <row r="51">
      <c r="A51" s="50" t="str">
        <f>IFERROR(__xludf.DUMMYFUNCTION("""COMPUTED_VALUE"""),"C1300-16P-2G")</f>
        <v>C1300-16P-2G</v>
      </c>
      <c r="B51" s="55">
        <f>IFERROR(__xludf.DUMMYFUNCTION("""COMPUTED_VALUE"""),952.7)</f>
        <v>952.7</v>
      </c>
      <c r="C51" s="50"/>
      <c r="D51" s="55">
        <f>IFERROR(__xludf.DUMMYFUNCTION("""COMPUTED_VALUE"""),952.7)</f>
        <v>952.7</v>
      </c>
    </row>
    <row r="52">
      <c r="A52" s="50" t="str">
        <f>IFERROR(__xludf.DUMMYFUNCTION("""COMPUTED_VALUE"""),"C1300-16FP-2G")</f>
        <v>C1300-16FP-2G</v>
      </c>
      <c r="B52" s="55">
        <f>IFERROR(__xludf.DUMMYFUNCTION("""COMPUTED_VALUE"""),1350.49)</f>
        <v>1350.49</v>
      </c>
      <c r="C52" s="50"/>
      <c r="D52" s="55">
        <f>IFERROR(__xludf.DUMMYFUNCTION("""COMPUTED_VALUE"""),1350.49)</f>
        <v>1350.49</v>
      </c>
    </row>
    <row r="53">
      <c r="A53" s="50" t="str">
        <f>IFERROR(__xludf.DUMMYFUNCTION("""COMPUTED_VALUE"""),"C1300-24T-4G")</f>
        <v>C1300-24T-4G</v>
      </c>
      <c r="B53" s="55">
        <f>IFERROR(__xludf.DUMMYFUNCTION("""COMPUTED_VALUE"""),913.34)</f>
        <v>913.34</v>
      </c>
      <c r="C53" s="50"/>
      <c r="D53" s="55">
        <f>IFERROR(__xludf.DUMMYFUNCTION("""COMPUTED_VALUE"""),913.34)</f>
        <v>913.34</v>
      </c>
    </row>
    <row r="54">
      <c r="A54" s="50" t="str">
        <f>IFERROR(__xludf.DUMMYFUNCTION("""COMPUTED_VALUE"""),"C1300-24P-4G")</f>
        <v>C1300-24P-4G</v>
      </c>
      <c r="B54" s="55">
        <f>IFERROR(__xludf.DUMMYFUNCTION("""COMPUTED_VALUE"""),1300.65)</f>
        <v>1300.65</v>
      </c>
      <c r="C54" s="50"/>
      <c r="D54" s="55">
        <f>IFERROR(__xludf.DUMMYFUNCTION("""COMPUTED_VALUE"""),1300.65)</f>
        <v>1300.65</v>
      </c>
    </row>
    <row r="55">
      <c r="A55" s="50" t="str">
        <f>IFERROR(__xludf.DUMMYFUNCTION("""COMPUTED_VALUE"""),"C1300-24FP-4G")</f>
        <v>C1300-24FP-4G</v>
      </c>
      <c r="B55" s="55">
        <f>IFERROR(__xludf.DUMMYFUNCTION("""COMPUTED_VALUE"""),1770.54)</f>
        <v>1770.54</v>
      </c>
      <c r="C55" s="50"/>
      <c r="D55" s="55">
        <f>IFERROR(__xludf.DUMMYFUNCTION("""COMPUTED_VALUE"""),1770.54)</f>
        <v>1770.54</v>
      </c>
    </row>
    <row r="56">
      <c r="A56" s="50" t="str">
        <f>IFERROR(__xludf.DUMMYFUNCTION("""COMPUTED_VALUE"""),"C1300-48T-4G")</f>
        <v>C1300-48T-4G</v>
      </c>
      <c r="B56" s="55">
        <f>IFERROR(__xludf.DUMMYFUNCTION("""COMPUTED_VALUE"""),1434.22)</f>
        <v>1434.22</v>
      </c>
      <c r="C56" s="50"/>
      <c r="D56" s="55">
        <f>IFERROR(__xludf.DUMMYFUNCTION("""COMPUTED_VALUE"""),1434.22)</f>
        <v>1434.22</v>
      </c>
    </row>
    <row r="57">
      <c r="A57" s="50" t="str">
        <f>IFERROR(__xludf.DUMMYFUNCTION("""COMPUTED_VALUE"""),"C1300-48P-4G")</f>
        <v>C1300-48P-4G</v>
      </c>
      <c r="B57" s="55">
        <f>IFERROR(__xludf.DUMMYFUNCTION("""COMPUTED_VALUE"""),2368.53)</f>
        <v>2368.53</v>
      </c>
      <c r="C57" s="50"/>
      <c r="D57" s="55">
        <f>IFERROR(__xludf.DUMMYFUNCTION("""COMPUTED_VALUE"""),2368.53)</f>
        <v>2368.53</v>
      </c>
    </row>
    <row r="58">
      <c r="A58" s="50" t="str">
        <f>IFERROR(__xludf.DUMMYFUNCTION("""COMPUTED_VALUE"""),"C1300-48FP-4G")</f>
        <v>C1300-48FP-4G</v>
      </c>
      <c r="B58" s="55">
        <f>IFERROR(__xludf.DUMMYFUNCTION("""COMPUTED_VALUE"""),2962.61)</f>
        <v>2962.61</v>
      </c>
      <c r="C58" s="50"/>
      <c r="D58" s="55">
        <f>IFERROR(__xludf.DUMMYFUNCTION("""COMPUTED_VALUE"""),2962.61)</f>
        <v>2962.61</v>
      </c>
    </row>
    <row r="59">
      <c r="A59" s="50" t="str">
        <f>IFERROR(__xludf.DUMMYFUNCTION("""COMPUTED_VALUE"""),"C1300-16P-4X")</f>
        <v>C1300-16P-4X</v>
      </c>
      <c r="B59" s="55">
        <f>IFERROR(__xludf.DUMMYFUNCTION("""COMPUTED_VALUE"""),1019.52)</f>
        <v>1019.52</v>
      </c>
      <c r="C59" s="50"/>
      <c r="D59" s="55">
        <f>IFERROR(__xludf.DUMMYFUNCTION("""COMPUTED_VALUE"""),1019.52)</f>
        <v>1019.52</v>
      </c>
    </row>
    <row r="60">
      <c r="A60" s="50" t="str">
        <f>IFERROR(__xludf.DUMMYFUNCTION("""COMPUTED_VALUE"""),"C1300-24T-4X")</f>
        <v>C1300-24T-4X</v>
      </c>
      <c r="B60" s="55">
        <f>IFERROR(__xludf.DUMMYFUNCTION("""COMPUTED_VALUE"""),1315.75)</f>
        <v>1315.75</v>
      </c>
      <c r="C60" s="50"/>
      <c r="D60" s="55">
        <f>IFERROR(__xludf.DUMMYFUNCTION("""COMPUTED_VALUE"""),1315.75)</f>
        <v>1315.75</v>
      </c>
    </row>
    <row r="61">
      <c r="A61" s="50" t="str">
        <f>IFERROR(__xludf.DUMMYFUNCTION("""COMPUTED_VALUE"""),"C1300-24P-4X")</f>
        <v>C1300-24P-4X</v>
      </c>
      <c r="B61" s="55">
        <f>IFERROR(__xludf.DUMMYFUNCTION("""COMPUTED_VALUE"""),1567.48)</f>
        <v>1567.48</v>
      </c>
      <c r="C61" s="50"/>
      <c r="D61" s="55">
        <f>IFERROR(__xludf.DUMMYFUNCTION("""COMPUTED_VALUE"""),1567.48)</f>
        <v>1567.48</v>
      </c>
    </row>
    <row r="62">
      <c r="A62" s="50" t="str">
        <f>IFERROR(__xludf.DUMMYFUNCTION("""COMPUTED_VALUE"""),"C1300-24FP-4X")</f>
        <v>C1300-24FP-4X</v>
      </c>
      <c r="B62" s="55">
        <f>IFERROR(__xludf.DUMMYFUNCTION("""COMPUTED_VALUE"""),2131.86)</f>
        <v>2131.86</v>
      </c>
      <c r="C62" s="50"/>
      <c r="D62" s="55">
        <f>IFERROR(__xludf.DUMMYFUNCTION("""COMPUTED_VALUE"""),2131.86)</f>
        <v>2131.86</v>
      </c>
    </row>
    <row r="63">
      <c r="A63" s="50" t="str">
        <f>IFERROR(__xludf.DUMMYFUNCTION("""COMPUTED_VALUE"""),"C1300-48T-4X")</f>
        <v>C1300-48T-4X</v>
      </c>
      <c r="B63" s="55">
        <f>IFERROR(__xludf.DUMMYFUNCTION("""COMPUTED_VALUE"""),2062.75)</f>
        <v>2062.75</v>
      </c>
      <c r="C63" s="50"/>
      <c r="D63" s="55">
        <f>IFERROR(__xludf.DUMMYFUNCTION("""COMPUTED_VALUE"""),2062.75)</f>
        <v>2062.75</v>
      </c>
    </row>
    <row r="64">
      <c r="A64" s="50" t="str">
        <f>IFERROR(__xludf.DUMMYFUNCTION("""COMPUTED_VALUE"""),"C1300-48P-4X")</f>
        <v>C1300-48P-4X</v>
      </c>
      <c r="B64" s="55">
        <f>IFERROR(__xludf.DUMMYFUNCTION("""COMPUTED_VALUE"""),2557.45)</f>
        <v>2557.45</v>
      </c>
      <c r="C64" s="50"/>
      <c r="D64" s="55">
        <f>IFERROR(__xludf.DUMMYFUNCTION("""COMPUTED_VALUE"""),2557.45)</f>
        <v>2557.45</v>
      </c>
    </row>
    <row r="65">
      <c r="A65" s="50" t="str">
        <f>IFERROR(__xludf.DUMMYFUNCTION("""COMPUTED_VALUE"""),"C1300-48FP-4X")</f>
        <v>C1300-48FP-4X</v>
      </c>
      <c r="B65" s="55">
        <f>IFERROR(__xludf.DUMMYFUNCTION("""COMPUTED_VALUE"""),3302.25)</f>
        <v>3302.25</v>
      </c>
      <c r="C65" s="50"/>
      <c r="D65" s="55">
        <f>IFERROR(__xludf.DUMMYFUNCTION("""COMPUTED_VALUE"""),3302.25)</f>
        <v>3302.25</v>
      </c>
    </row>
    <row r="66">
      <c r="A66" s="50" t="str">
        <f>IFERROR(__xludf.DUMMYFUNCTION("""COMPUTED_VALUE"""),"C1300-12XT-2X")</f>
        <v>C1300-12XT-2X</v>
      </c>
      <c r="B66" s="55">
        <f>IFERROR(__xludf.DUMMYFUNCTION("""COMPUTED_VALUE"""),2264.01)</f>
        <v>2264.01</v>
      </c>
      <c r="C66" s="50"/>
      <c r="D66" s="55">
        <f>IFERROR(__xludf.DUMMYFUNCTION("""COMPUTED_VALUE"""),2264.01)</f>
        <v>2264.01</v>
      </c>
    </row>
    <row r="67">
      <c r="A67" s="50" t="str">
        <f>IFERROR(__xludf.DUMMYFUNCTION("""COMPUTED_VALUE"""),"C1300-12XS")</f>
        <v>C1300-12XS</v>
      </c>
      <c r="B67" s="55">
        <f>IFERROR(__xludf.DUMMYFUNCTION("""COMPUTED_VALUE"""),2306.8)</f>
        <v>2306.8</v>
      </c>
      <c r="C67" s="50"/>
      <c r="D67" s="55">
        <f>IFERROR(__xludf.DUMMYFUNCTION("""COMPUTED_VALUE"""),2306.8)</f>
        <v>2306.8</v>
      </c>
    </row>
    <row r="68">
      <c r="A68" s="50" t="str">
        <f>IFERROR(__xludf.DUMMYFUNCTION("""COMPUTED_VALUE"""),"C1300-16XTS")</f>
        <v>C1300-16XTS</v>
      </c>
      <c r="B68" s="55">
        <f>IFERROR(__xludf.DUMMYFUNCTION("""COMPUTED_VALUE"""),3602.8)</f>
        <v>3602.8</v>
      </c>
      <c r="C68" s="50"/>
      <c r="D68" s="55">
        <f>IFERROR(__xludf.DUMMYFUNCTION("""COMPUTED_VALUE"""),3602.8)</f>
        <v>3602.8</v>
      </c>
    </row>
    <row r="69">
      <c r="A69" s="50" t="str">
        <f>IFERROR(__xludf.DUMMYFUNCTION("""COMPUTED_VALUE"""),"C1300-24XS")</f>
        <v>C1300-24XS</v>
      </c>
      <c r="B69" s="55">
        <f>IFERROR(__xludf.DUMMYFUNCTION("""COMPUTED_VALUE"""),3725.66)</f>
        <v>3725.66</v>
      </c>
      <c r="C69" s="50"/>
      <c r="D69" s="55">
        <f>IFERROR(__xludf.DUMMYFUNCTION("""COMPUTED_VALUE"""),3725.66)</f>
        <v>3725.66</v>
      </c>
    </row>
    <row r="70">
      <c r="A70" s="50" t="str">
        <f>IFERROR(__xludf.DUMMYFUNCTION("""COMPUTED_VALUE"""),"C1300-24XT")</f>
        <v>C1300-24XT</v>
      </c>
      <c r="B70" s="55">
        <f>IFERROR(__xludf.DUMMYFUNCTION("""COMPUTED_VALUE"""),4790.18)</f>
        <v>4790.18</v>
      </c>
      <c r="C70" s="50"/>
      <c r="D70" s="55">
        <f>IFERROR(__xludf.DUMMYFUNCTION("""COMPUTED_VALUE"""),4790.18)</f>
        <v>4790.18</v>
      </c>
    </row>
    <row r="71">
      <c r="A71" s="50" t="str">
        <f>IFERROR(__xludf.DUMMYFUNCTION("""COMPUTED_VALUE"""),"C1300-24XTS")</f>
        <v>C1300-24XTS</v>
      </c>
      <c r="B71" s="55">
        <f>IFERROR(__xludf.DUMMYFUNCTION("""COMPUTED_VALUE"""),4622.36)</f>
        <v>4622.36</v>
      </c>
      <c r="C71" s="50"/>
      <c r="D71" s="55">
        <f>IFERROR(__xludf.DUMMYFUNCTION("""COMPUTED_VALUE"""),4622.36)</f>
        <v>4622.36</v>
      </c>
    </row>
    <row r="72">
      <c r="A72" s="50" t="str">
        <f>IFERROR(__xludf.DUMMYFUNCTION("""COMPUTED_VALUE"""),"C1300X-24T-4X")</f>
        <v>C1300X-24T-4X</v>
      </c>
      <c r="B72" s="55">
        <f>IFERROR(__xludf.DUMMYFUNCTION("""COMPUTED_VALUE"""),1379.74)</f>
        <v>1379.74</v>
      </c>
      <c r="C72" s="50"/>
      <c r="D72" s="55">
        <f>IFERROR(__xludf.DUMMYFUNCTION("""COMPUTED_VALUE"""),1379.74)</f>
        <v>1379.74</v>
      </c>
    </row>
    <row r="73">
      <c r="A73" s="50" t="str">
        <f>IFERROR(__xludf.DUMMYFUNCTION("""COMPUTED_VALUE"""),"C1300X-48T-4X")</f>
        <v>C1300X-48T-4X</v>
      </c>
      <c r="B73" s="55">
        <f>IFERROR(__xludf.DUMMYFUNCTION("""COMPUTED_VALUE"""),2116.76)</f>
        <v>2116.76</v>
      </c>
      <c r="C73" s="50"/>
      <c r="D73" s="55">
        <f>IFERROR(__xludf.DUMMYFUNCTION("""COMPUTED_VALUE"""),2116.76)</f>
        <v>2116.76</v>
      </c>
    </row>
    <row r="74">
      <c r="A74" s="50" t="str">
        <f>IFERROR(__xludf.DUMMYFUNCTION("""COMPUTED_VALUE"""),"C1300X-24P-4X")</f>
        <v>C1300X-24P-4X</v>
      </c>
      <c r="B74" s="55">
        <f>IFERROR(__xludf.DUMMYFUNCTION("""COMPUTED_VALUE"""),2238.02)</f>
        <v>2238.02</v>
      </c>
      <c r="C74" s="50"/>
      <c r="D74" s="55">
        <f>IFERROR(__xludf.DUMMYFUNCTION("""COMPUTED_VALUE"""),2238.02)</f>
        <v>2238.02</v>
      </c>
    </row>
    <row r="75">
      <c r="A75" s="50" t="str">
        <f>IFERROR(__xludf.DUMMYFUNCTION("""COMPUTED_VALUE"""),"C1300X-48P-4X")</f>
        <v>C1300X-48P-4X</v>
      </c>
      <c r="B75" s="55">
        <f>IFERROR(__xludf.DUMMYFUNCTION("""COMPUTED_VALUE"""),3466.95)</f>
        <v>3466.95</v>
      </c>
      <c r="C75" s="50"/>
      <c r="D75" s="55">
        <f>IFERROR(__xludf.DUMMYFUNCTION("""COMPUTED_VALUE"""),3466.95)</f>
        <v>3466.95</v>
      </c>
    </row>
    <row r="76">
      <c r="A76" s="50" t="str">
        <f>IFERROR(__xludf.DUMMYFUNCTION("""COMPUTED_VALUE"""),"C9500-32C")</f>
        <v>C9500-32C</v>
      </c>
      <c r="B76" s="55">
        <f>IFERROR(__xludf.DUMMYFUNCTION("""COMPUTED_VALUE"""),86779.49)</f>
        <v>86779.49</v>
      </c>
      <c r="C76" s="50"/>
      <c r="D76" s="55">
        <f>IFERROR(__xludf.DUMMYFUNCTION("""COMPUTED_VALUE"""),86779.49)</f>
        <v>86779.49</v>
      </c>
    </row>
    <row r="77">
      <c r="A77" s="50" t="str">
        <f>IFERROR(__xludf.DUMMYFUNCTION("""COMPUTED_VALUE"""),"C9500-32QC")</f>
        <v>C9500-32QC</v>
      </c>
      <c r="B77" s="55">
        <f>IFERROR(__xludf.DUMMYFUNCTION("""COMPUTED_VALUE"""),78332.98)</f>
        <v>78332.98</v>
      </c>
      <c r="C77" s="50"/>
      <c r="D77" s="55">
        <f>IFERROR(__xludf.DUMMYFUNCTION("""COMPUTED_VALUE"""),78332.98)</f>
        <v>78332.98</v>
      </c>
    </row>
    <row r="78">
      <c r="A78" s="50" t="str">
        <f>IFERROR(__xludf.DUMMYFUNCTION("""COMPUTED_VALUE"""),"C9500-48Y4C")</f>
        <v>C9500-48Y4C</v>
      </c>
      <c r="B78" s="55">
        <f>IFERROR(__xludf.DUMMYFUNCTION("""COMPUTED_VALUE"""),66036.97)</f>
        <v>66036.97</v>
      </c>
      <c r="C78" s="50"/>
      <c r="D78" s="55">
        <f>IFERROR(__xludf.DUMMYFUNCTION("""COMPUTED_VALUE"""),66036.97)</f>
        <v>66036.97</v>
      </c>
    </row>
    <row r="79">
      <c r="A79" s="50" t="str">
        <f>IFERROR(__xludf.DUMMYFUNCTION("""COMPUTED_VALUE"""),"C9500-24Y4C")</f>
        <v>C9500-24Y4C</v>
      </c>
      <c r="B79" s="55">
        <f>IFERROR(__xludf.DUMMYFUNCTION("""COMPUTED_VALUE"""),55686.03)</f>
        <v>55686.03</v>
      </c>
      <c r="C79" s="50"/>
      <c r="D79" s="55">
        <f>IFERROR(__xludf.DUMMYFUNCTION("""COMPUTED_VALUE"""),55686.03)</f>
        <v>55686.03</v>
      </c>
    </row>
    <row r="80">
      <c r="A80" s="50" t="str">
        <f>IFERROR(__xludf.DUMMYFUNCTION("""COMPUTED_VALUE"""),"C9500X-28C8D")</f>
        <v>C9500X-28C8D</v>
      </c>
      <c r="B80" s="55">
        <f>IFERROR(__xludf.DUMMYFUNCTION("""COMPUTED_VALUE"""),170302.47)</f>
        <v>170302.47</v>
      </c>
      <c r="C80" s="50"/>
      <c r="D80" s="55">
        <f>IFERROR(__xludf.DUMMYFUNCTION("""COMPUTED_VALUE"""),170302.47)</f>
        <v>170302.47</v>
      </c>
    </row>
    <row r="81">
      <c r="A81" s="50" t="str">
        <f>IFERROR(__xludf.DUMMYFUNCTION("""COMPUTED_VALUE"""),"C9500X-60L4D")</f>
        <v>C9500X-60L4D</v>
      </c>
      <c r="B81" s="55">
        <f>IFERROR(__xludf.DUMMYFUNCTION("""COMPUTED_VALUE"""),130669.25)</f>
        <v>130669.25</v>
      </c>
      <c r="C81" s="50"/>
      <c r="D81" s="55">
        <f>IFERROR(__xludf.DUMMYFUNCTION("""COMPUTED_VALUE"""),130669.25)</f>
        <v>130669.25</v>
      </c>
    </row>
    <row r="82">
      <c r="A82" s="50" t="str">
        <f>IFERROR(__xludf.DUMMYFUNCTION("""COMPUTED_VALUE"""),"C9500-16X")</f>
        <v>C9500-16X</v>
      </c>
      <c r="B82" s="55">
        <f>IFERROR(__xludf.DUMMYFUNCTION("""COMPUTED_VALUE"""),41745.39)</f>
        <v>41745.39</v>
      </c>
      <c r="C82" s="50"/>
      <c r="D82" s="55">
        <f>IFERROR(__xludf.DUMMYFUNCTION("""COMPUTED_VALUE"""),41745.39)</f>
        <v>41745.39</v>
      </c>
    </row>
    <row r="83">
      <c r="A83" s="50" t="str">
        <f>IFERROR(__xludf.DUMMYFUNCTION("""COMPUTED_VALUE"""),"APIC-CLUSTERG5")</f>
        <v>APIC-CLUSTERG5</v>
      </c>
      <c r="B83" s="55">
        <f>IFERROR(__xludf.DUMMYFUNCTION("""COMPUTED_VALUE"""),161856.78)</f>
        <v>161856.78</v>
      </c>
      <c r="C83" s="50"/>
      <c r="D83" s="55">
        <f>IFERROR(__xludf.DUMMYFUNCTION("""COMPUTED_VALUE"""),161856.78)</f>
        <v>161856.78</v>
      </c>
    </row>
    <row r="84">
      <c r="A84" s="50" t="str">
        <f>IFERROR(__xludf.DUMMYFUNCTION("""COMPUTED_VALUE"""),"N9K-C9504")</f>
        <v>N9K-C9504</v>
      </c>
      <c r="B84" s="55">
        <f>IFERROR(__xludf.DUMMYFUNCTION("""COMPUTED_VALUE"""),383674.39)</f>
        <v>383674.39</v>
      </c>
      <c r="C84" s="50"/>
      <c r="D84" s="55">
        <f>IFERROR(__xludf.DUMMYFUNCTION("""COMPUTED_VALUE"""),383674.39)</f>
        <v>383674.39</v>
      </c>
    </row>
    <row r="85">
      <c r="A85" s="50" t="str">
        <f>IFERROR(__xludf.DUMMYFUNCTION("""COMPUTED_VALUE"""),"N9K-C9508")</f>
        <v>N9K-C9508</v>
      </c>
      <c r="B85" s="55">
        <f>IFERROR(__xludf.DUMMYFUNCTION("""COMPUTED_VALUE"""),645324.61)</f>
        <v>645324.61</v>
      </c>
      <c r="C85" s="50"/>
      <c r="D85" s="55">
        <f>IFERROR(__xludf.DUMMYFUNCTION("""COMPUTED_VALUE"""),645324.61)</f>
        <v>645324.61</v>
      </c>
    </row>
    <row r="86">
      <c r="A86" s="50" t="str">
        <f>IFERROR(__xludf.DUMMYFUNCTION("""COMPUTED_VALUE"""),"N9K-C9516")</f>
        <v>N9K-C9516</v>
      </c>
      <c r="B86" s="55">
        <f>IFERROR(__xludf.DUMMYFUNCTION("""COMPUTED_VALUE"""),761874.61)</f>
        <v>761874.61</v>
      </c>
      <c r="C86" s="50"/>
      <c r="D86" s="55">
        <f>IFERROR(__xludf.DUMMYFUNCTION("""COMPUTED_VALUE"""),761874.61)</f>
        <v>761874.61</v>
      </c>
    </row>
    <row r="87">
      <c r="A87" s="50" t="str">
        <f>IFERROR(__xludf.DUMMYFUNCTION("""COMPUTED_VALUE"""),"N9K-X9736C-FX3=")</f>
        <v>N9K-X9736C-FX3=</v>
      </c>
      <c r="B87" s="55">
        <f>IFERROR(__xludf.DUMMYFUNCTION("""COMPUTED_VALUE"""),59012.02)</f>
        <v>59012.02</v>
      </c>
      <c r="C87" s="50"/>
      <c r="D87" s="55">
        <f>IFERROR(__xludf.DUMMYFUNCTION("""COMPUTED_VALUE"""),59012.02)</f>
        <v>59012.02</v>
      </c>
    </row>
    <row r="88">
      <c r="A88" s="50" t="str">
        <f>IFERROR(__xludf.DUMMYFUNCTION("""COMPUTED_VALUE"""),"N9K-C9364C-GX")</f>
        <v>N9K-C9364C-GX</v>
      </c>
      <c r="B88" s="55">
        <f>IFERROR(__xludf.DUMMYFUNCTION("""COMPUTED_VALUE"""),150153.17)</f>
        <v>150153.17</v>
      </c>
      <c r="C88" s="50"/>
      <c r="D88" s="55">
        <f>IFERROR(__xludf.DUMMYFUNCTION("""COMPUTED_VALUE"""),150153.17)</f>
        <v>150153.17</v>
      </c>
    </row>
    <row r="89">
      <c r="A89" s="50" t="str">
        <f>IFERROR(__xludf.DUMMYFUNCTION("""COMPUTED_VALUE"""),"N9K-C9316D-GX")</f>
        <v>N9K-C9316D-GX</v>
      </c>
      <c r="B89" s="55">
        <f>IFERROR(__xludf.DUMMYFUNCTION("""COMPUTED_VALUE"""),125701.93)</f>
        <v>125701.93</v>
      </c>
      <c r="C89" s="55">
        <f>IFERROR(__xludf.DUMMYFUNCTION("""COMPUTED_VALUE"""),26500.0)</f>
        <v>26500</v>
      </c>
      <c r="D89" s="55">
        <f>IFERROR(__xludf.DUMMYFUNCTION("""COMPUTED_VALUE"""),26500.0)</f>
        <v>26500</v>
      </c>
    </row>
    <row r="90">
      <c r="A90" s="50" t="str">
        <f>IFERROR(__xludf.DUMMYFUNCTION("""COMPUTED_VALUE"""),"N9K-C93600CD-GX")</f>
        <v>N9K-C93600CD-GX</v>
      </c>
      <c r="B90" s="55">
        <f>IFERROR(__xludf.DUMMYFUNCTION("""COMPUTED_VALUE"""),121246.9)</f>
        <v>121246.9</v>
      </c>
      <c r="C90" s="55">
        <f>IFERROR(__xludf.DUMMYFUNCTION("""COMPUTED_VALUE"""),32500.0)</f>
        <v>32500</v>
      </c>
      <c r="D90" s="55">
        <f>IFERROR(__xludf.DUMMYFUNCTION("""COMPUTED_VALUE"""),32500.0)</f>
        <v>32500</v>
      </c>
    </row>
    <row r="91">
      <c r="A91" s="50" t="str">
        <f>IFERROR(__xludf.DUMMYFUNCTION("""COMPUTED_VALUE"""),"N9K-C93180YC-FX3")</f>
        <v>N9K-C93180YC-FX3</v>
      </c>
      <c r="B91" s="55">
        <f>IFERROR(__xludf.DUMMYFUNCTION("""COMPUTED_VALUE"""),73302.82)</f>
        <v>73302.82</v>
      </c>
      <c r="C91" s="55">
        <f>IFERROR(__xludf.DUMMYFUNCTION("""COMPUTED_VALUE"""),192000.0)</f>
        <v>192000</v>
      </c>
      <c r="D91" s="55">
        <f>IFERROR(__xludf.DUMMYFUNCTION("""COMPUTED_VALUE"""),192000.0)</f>
        <v>192000</v>
      </c>
    </row>
    <row r="92">
      <c r="A92" s="50" t="str">
        <f>IFERROR(__xludf.DUMMYFUNCTION("""COMPUTED_VALUE"""),"N9K-C93240YC-FX2")</f>
        <v>N9K-C93240YC-FX2</v>
      </c>
      <c r="B92" s="55">
        <f>IFERROR(__xludf.DUMMYFUNCTION("""COMPUTED_VALUE"""),81871.35)</f>
        <v>81871.35</v>
      </c>
      <c r="C92" s="50"/>
      <c r="D92" s="55">
        <f>IFERROR(__xludf.DUMMYFUNCTION("""COMPUTED_VALUE"""),81871.35)</f>
        <v>81871.35</v>
      </c>
    </row>
    <row r="93">
      <c r="A93" s="50" t="str">
        <f>IFERROR(__xludf.DUMMYFUNCTION("""COMPUTED_VALUE"""),"N9K-C93360YC-FX2")</f>
        <v>N9K-C93360YC-FX2</v>
      </c>
      <c r="B93" s="55">
        <f>IFERROR(__xludf.DUMMYFUNCTION("""COMPUTED_VALUE"""),95456.27)</f>
        <v>95456.27</v>
      </c>
      <c r="C93" s="50"/>
      <c r="D93" s="55">
        <f>IFERROR(__xludf.DUMMYFUNCTION("""COMPUTED_VALUE"""),95456.27)</f>
        <v>95456.27</v>
      </c>
    </row>
    <row r="94">
      <c r="A94" s="50" t="str">
        <f>IFERROR(__xludf.DUMMYFUNCTION("""COMPUTED_VALUE"""),"N9K-C93216TC-FX2")</f>
        <v>N9K-C93216TC-FX2</v>
      </c>
      <c r="B94" s="55">
        <f>IFERROR(__xludf.DUMMYFUNCTION("""COMPUTED_VALUE"""),95212.19)</f>
        <v>95212.19</v>
      </c>
      <c r="C94" s="50"/>
      <c r="D94" s="55">
        <f>IFERROR(__xludf.DUMMYFUNCTION("""COMPUTED_VALUE"""),95212.19)</f>
        <v>95212.19</v>
      </c>
    </row>
    <row r="95">
      <c r="A95" s="50" t="str">
        <f>IFERROR(__xludf.DUMMYFUNCTION("""COMPUTED_VALUE"""),"N9K-C93108TC-FX3")</f>
        <v>N9K-C93108TC-FX3</v>
      </c>
      <c r="B95" s="55">
        <f>IFERROR(__xludf.DUMMYFUNCTION("""COMPUTED_VALUE"""),78416.27)</f>
        <v>78416.27</v>
      </c>
      <c r="C95" s="50"/>
      <c r="D95" s="55">
        <f>IFERROR(__xludf.DUMMYFUNCTION("""COMPUTED_VALUE"""),78416.27)</f>
        <v>78416.27</v>
      </c>
    </row>
    <row r="96">
      <c r="A96" s="50" t="str">
        <f>IFERROR(__xludf.DUMMYFUNCTION("""COMPUTED_VALUE"""),"N9K-C9348GC-FX3")</f>
        <v>N9K-C9348GC-FX3</v>
      </c>
      <c r="B96" s="55">
        <f>IFERROR(__xludf.DUMMYFUNCTION("""COMPUTED_VALUE"""),32577.06)</f>
        <v>32577.06</v>
      </c>
      <c r="C96" s="50"/>
      <c r="D96" s="55">
        <f>IFERROR(__xludf.DUMMYFUNCTION("""COMPUTED_VALUE"""),32577.06)</f>
        <v>32577.06</v>
      </c>
    </row>
    <row r="97">
      <c r="A97" s="50" t="str">
        <f>IFERROR(__xludf.DUMMYFUNCTION("""COMPUTED_VALUE"""),"C1161X-8P")</f>
        <v>C1161X-8P</v>
      </c>
      <c r="B97" s="55">
        <f>IFERROR(__xludf.DUMMYFUNCTION("""COMPUTED_VALUE"""),10265.06)</f>
        <v>10265.06</v>
      </c>
      <c r="C97" s="50"/>
      <c r="D97" s="55">
        <f>IFERROR(__xludf.DUMMYFUNCTION("""COMPUTED_VALUE"""),10265.06)</f>
        <v>10265.06</v>
      </c>
    </row>
    <row r="98">
      <c r="A98" s="50" t="str">
        <f>IFERROR(__xludf.DUMMYFUNCTION("""COMPUTED_VALUE"""),"C1127-8PLTEP")</f>
        <v>C1127-8PLTEP</v>
      </c>
      <c r="B98" s="55">
        <f>IFERROR(__xludf.DUMMYFUNCTION("""COMPUTED_VALUE"""),8935.48)</f>
        <v>8935.48</v>
      </c>
      <c r="C98" s="50"/>
      <c r="D98" s="55">
        <f>IFERROR(__xludf.DUMMYFUNCTION("""COMPUTED_VALUE"""),8935.48)</f>
        <v>8935.48</v>
      </c>
    </row>
    <row r="99">
      <c r="A99" s="50" t="str">
        <f>IFERROR(__xludf.DUMMYFUNCTION("""COMPUTED_VALUE"""),"C1117-4P")</f>
        <v>C1117-4P</v>
      </c>
      <c r="B99" s="55">
        <f>IFERROR(__xludf.DUMMYFUNCTION("""COMPUTED_VALUE"""),8519.2)</f>
        <v>8519.2</v>
      </c>
      <c r="C99" s="50"/>
      <c r="D99" s="55">
        <f>IFERROR(__xludf.DUMMYFUNCTION("""COMPUTED_VALUE"""),8519.2)</f>
        <v>8519.2</v>
      </c>
    </row>
    <row r="100">
      <c r="A100" s="50" t="str">
        <f>IFERROR(__xludf.DUMMYFUNCTION("""COMPUTED_VALUE"""),"C1109-4PLTE2P")</f>
        <v>C1109-4PLTE2P</v>
      </c>
      <c r="B100" s="55">
        <f>IFERROR(__xludf.DUMMYFUNCTION("""COMPUTED_VALUE"""),9070.11)</f>
        <v>9070.11</v>
      </c>
      <c r="C100" s="50"/>
      <c r="D100" s="55">
        <f>IFERROR(__xludf.DUMMYFUNCTION("""COMPUTED_VALUE"""),9070.11)</f>
        <v>9070.11</v>
      </c>
    </row>
    <row r="101">
      <c r="A101" s="50" t="str">
        <f>IFERROR(__xludf.DUMMYFUNCTION("""COMPUTED_VALUE"""),"C1161-8P")</f>
        <v>C1161-8P</v>
      </c>
      <c r="B101" s="55">
        <f>IFERROR(__xludf.DUMMYFUNCTION("""COMPUTED_VALUE"""),9713.63)</f>
        <v>9713.63</v>
      </c>
      <c r="C101" s="50"/>
      <c r="D101" s="55">
        <f>IFERROR(__xludf.DUMMYFUNCTION("""COMPUTED_VALUE"""),9713.63)</f>
        <v>9713.63</v>
      </c>
    </row>
    <row r="102">
      <c r="A102" s="50" t="str">
        <f>IFERROR(__xludf.DUMMYFUNCTION("""COMPUTED_VALUE"""),"C1131-8PWS")</f>
        <v>C1131-8PWS</v>
      </c>
      <c r="B102" s="55">
        <f>IFERROR(__xludf.DUMMYFUNCTION("""COMPUTED_VALUE"""),8922.97)</f>
        <v>8922.97</v>
      </c>
      <c r="C102" s="50"/>
      <c r="D102" s="55">
        <f>IFERROR(__xludf.DUMMYFUNCTION("""COMPUTED_VALUE"""),8922.97)</f>
        <v>8922.97</v>
      </c>
    </row>
    <row r="103">
      <c r="A103" s="50" t="str">
        <f>IFERROR(__xludf.DUMMYFUNCTION("""COMPUTED_VALUE"""),"C1131X-8PWS")</f>
        <v>C1131X-8PWS</v>
      </c>
      <c r="B103" s="55">
        <f>IFERROR(__xludf.DUMMYFUNCTION("""COMPUTED_VALUE"""),9142.75)</f>
        <v>9142.75</v>
      </c>
      <c r="C103" s="50"/>
      <c r="D103" s="55">
        <f>IFERROR(__xludf.DUMMYFUNCTION("""COMPUTED_VALUE"""),9142.75)</f>
        <v>9142.75</v>
      </c>
    </row>
    <row r="104">
      <c r="A104" s="50" t="str">
        <f>IFERROR(__xludf.DUMMYFUNCTION("""COMPUTED_VALUE"""),"C1121-4P")</f>
        <v>C1121-4P</v>
      </c>
      <c r="B104" s="55">
        <f>IFERROR(__xludf.DUMMYFUNCTION("""COMPUTED_VALUE"""),8003.549999999999)</f>
        <v>8003.55</v>
      </c>
      <c r="C104" s="50"/>
      <c r="D104" s="55">
        <f>IFERROR(__xludf.DUMMYFUNCTION("""COMPUTED_VALUE"""),8003.549999999999)</f>
        <v>8003.55</v>
      </c>
    </row>
    <row r="105">
      <c r="A105" s="50" t="str">
        <f>IFERROR(__xludf.DUMMYFUNCTION("""COMPUTED_VALUE"""),"C1121-8P")</f>
        <v>C1121-8P</v>
      </c>
      <c r="B105" s="55">
        <f>IFERROR(__xludf.DUMMYFUNCTION("""COMPUTED_VALUE"""),8311.31)</f>
        <v>8311.31</v>
      </c>
      <c r="C105" s="50"/>
      <c r="D105" s="55">
        <f>IFERROR(__xludf.DUMMYFUNCTION("""COMPUTED_VALUE"""),8311.31)</f>
        <v>8311.31</v>
      </c>
    </row>
    <row r="106">
      <c r="A106" s="50" t="str">
        <f>IFERROR(__xludf.DUMMYFUNCTION("""COMPUTED_VALUE"""),"C1116-4P")</f>
        <v>C1116-4P</v>
      </c>
      <c r="B106" s="55">
        <f>IFERROR(__xludf.DUMMYFUNCTION("""COMPUTED_VALUE"""),8519.2)</f>
        <v>8519.2</v>
      </c>
      <c r="C106" s="50"/>
      <c r="D106" s="55">
        <f>IFERROR(__xludf.DUMMYFUNCTION("""COMPUTED_VALUE"""),8519.2)</f>
        <v>8519.2</v>
      </c>
    </row>
    <row r="107">
      <c r="A107" s="50" t="str">
        <f>IFERROR(__xludf.DUMMYFUNCTION("""COMPUTED_VALUE"""),"C1112-8P")</f>
        <v>C1112-8P</v>
      </c>
      <c r="B107" s="55">
        <f>IFERROR(__xludf.DUMMYFUNCTION("""COMPUTED_VALUE"""),9556.939999999999)</f>
        <v>9556.94</v>
      </c>
      <c r="C107" s="50"/>
      <c r="D107" s="55">
        <f>IFERROR(__xludf.DUMMYFUNCTION("""COMPUTED_VALUE"""),9556.939999999999)</f>
        <v>9556.94</v>
      </c>
    </row>
    <row r="108">
      <c r="A108" s="50" t="str">
        <f>IFERROR(__xludf.DUMMYFUNCTION("""COMPUTED_VALUE"""),"C8355-G2 (Default Routing)")</f>
        <v>C8355-G2 (Default Routing)</v>
      </c>
      <c r="B108" s="55">
        <f>IFERROR(__xludf.DUMMYFUNCTION("""COMPUTED_VALUE"""),24102.27)</f>
        <v>24102.27</v>
      </c>
      <c r="C108" s="50"/>
      <c r="D108" s="55">
        <f>IFERROR(__xludf.DUMMYFUNCTION("""COMPUTED_VALUE"""),24102.27)</f>
        <v>24102.27</v>
      </c>
    </row>
    <row r="109">
      <c r="A109" s="50" t="str">
        <f>IFERROR(__xludf.DUMMYFUNCTION("""COMPUTED_VALUE"""),"C8355-G2 (Adv Routing)")</f>
        <v>C8355-G2 (Adv Routing)</v>
      </c>
      <c r="B109" s="55">
        <f>IFERROR(__xludf.DUMMYFUNCTION("""COMPUTED_VALUE"""),34182.270000000004)</f>
        <v>34182.27</v>
      </c>
      <c r="C109" s="50"/>
      <c r="D109" s="55">
        <f>IFERROR(__xludf.DUMMYFUNCTION("""COMPUTED_VALUE"""),34182.270000000004)</f>
        <v>34182.27</v>
      </c>
    </row>
    <row r="110">
      <c r="A110" s="50" t="str">
        <f>IFERROR(__xludf.DUMMYFUNCTION("""COMPUTED_VALUE"""),"C8355-G2 (SDWAN)")</f>
        <v>C8355-G2 (SDWAN)</v>
      </c>
      <c r="B110" s="55">
        <f>IFERROR(__xludf.DUMMYFUNCTION("""COMPUTED_VALUE"""),38286.270000000004)</f>
        <v>38286.27</v>
      </c>
      <c r="C110" s="50"/>
      <c r="D110" s="55">
        <f>IFERROR(__xludf.DUMMYFUNCTION("""COMPUTED_VALUE"""),38286.270000000004)</f>
        <v>38286.27</v>
      </c>
    </row>
    <row r="111">
      <c r="A111" s="50" t="str">
        <f>IFERROR(__xludf.DUMMYFUNCTION("""COMPUTED_VALUE"""),"C8355-G2 (Full Adds On)")</f>
        <v>C8355-G2 (Full Adds On)</v>
      </c>
      <c r="B111" s="55">
        <f>IFERROR(__xludf.DUMMYFUNCTION("""COMPUTED_VALUE"""),40122.270000000004)</f>
        <v>40122.27</v>
      </c>
      <c r="C111" s="50"/>
      <c r="D111" s="55">
        <f>IFERROR(__xludf.DUMMYFUNCTION("""COMPUTED_VALUE"""),40122.270000000004)</f>
        <v>40122.27</v>
      </c>
    </row>
    <row r="112">
      <c r="A112" s="50" t="str">
        <f>IFERROR(__xludf.DUMMYFUNCTION("""COMPUTED_VALUE"""),"C8375-E-G2 (Default Routing)")</f>
        <v>C8375-E-G2 (Default Routing)</v>
      </c>
      <c r="B112" s="55">
        <f>IFERROR(__xludf.DUMMYFUNCTION("""COMPUTED_VALUE"""),40699.17)</f>
        <v>40699.17</v>
      </c>
      <c r="C112" s="50"/>
      <c r="D112" s="55">
        <f>IFERROR(__xludf.DUMMYFUNCTION("""COMPUTED_VALUE"""),40699.17)</f>
        <v>40699.17</v>
      </c>
    </row>
    <row r="113">
      <c r="A113" s="50" t="str">
        <f>IFERROR(__xludf.DUMMYFUNCTION("""COMPUTED_VALUE"""),"C8375-E-G2 (Adv Routing)")</f>
        <v>C8375-E-G2 (Adv Routing)</v>
      </c>
      <c r="B113" s="55">
        <f>IFERROR(__xludf.DUMMYFUNCTION("""COMPUTED_VALUE"""),50779.17)</f>
        <v>50779.17</v>
      </c>
      <c r="C113" s="50"/>
      <c r="D113" s="55">
        <f>IFERROR(__xludf.DUMMYFUNCTION("""COMPUTED_VALUE"""),50779.17)</f>
        <v>50779.17</v>
      </c>
    </row>
    <row r="114">
      <c r="A114" s="50" t="str">
        <f>IFERROR(__xludf.DUMMYFUNCTION("""COMPUTED_VALUE"""),"C8375-E-G2 (SDWAN)")</f>
        <v>C8375-E-G2 (SDWAN)</v>
      </c>
      <c r="B114" s="55">
        <f>IFERROR(__xludf.DUMMYFUNCTION("""COMPUTED_VALUE"""),54883.17)</f>
        <v>54883.17</v>
      </c>
      <c r="C114" s="50"/>
      <c r="D114" s="55">
        <f>IFERROR(__xludf.DUMMYFUNCTION("""COMPUTED_VALUE"""),54883.17)</f>
        <v>54883.17</v>
      </c>
    </row>
    <row r="115">
      <c r="A115" s="50" t="str">
        <f>IFERROR(__xludf.DUMMYFUNCTION("""COMPUTED_VALUE"""),"C8375-E-G2 (Full Adds On)")</f>
        <v>C8375-E-G2 (Full Adds On)</v>
      </c>
      <c r="B115" s="55">
        <f>IFERROR(__xludf.DUMMYFUNCTION("""COMPUTED_VALUE"""),56719.17)</f>
        <v>56719.17</v>
      </c>
      <c r="C115" s="50"/>
      <c r="D115" s="55">
        <f>IFERROR(__xludf.DUMMYFUNCTION("""COMPUTED_VALUE"""),56719.17)</f>
        <v>56719.17</v>
      </c>
    </row>
    <row r="116">
      <c r="A116" s="50" t="str">
        <f>IFERROR(__xludf.DUMMYFUNCTION("""COMPUTED_VALUE"""),"C8550-G2 (Default Routing)")</f>
        <v>C8550-G2 (Default Routing)</v>
      </c>
      <c r="B116" s="55">
        <f>IFERROR(__xludf.DUMMYFUNCTION("""COMPUTED_VALUE"""),164387.73)</f>
        <v>164387.73</v>
      </c>
      <c r="C116" s="50"/>
      <c r="D116" s="55">
        <f>IFERROR(__xludf.DUMMYFUNCTION("""COMPUTED_VALUE"""),164387.73)</f>
        <v>164387.73</v>
      </c>
    </row>
    <row r="117">
      <c r="A117" s="50" t="str">
        <f>IFERROR(__xludf.DUMMYFUNCTION("""COMPUTED_VALUE"""),"C8550-G2 (Adv Routing)")</f>
        <v>C8550-G2 (Adv Routing)</v>
      </c>
      <c r="B117" s="55">
        <f>IFERROR(__xludf.DUMMYFUNCTION("""COMPUTED_VALUE"""),197987.73)</f>
        <v>197987.73</v>
      </c>
      <c r="C117" s="50"/>
      <c r="D117" s="55">
        <f>IFERROR(__xludf.DUMMYFUNCTION("""COMPUTED_VALUE"""),197987.73)</f>
        <v>197987.73</v>
      </c>
    </row>
    <row r="118">
      <c r="A118" s="50" t="str">
        <f>IFERROR(__xludf.DUMMYFUNCTION("""COMPUTED_VALUE"""),"C8550-G2 (SDWAN)")</f>
        <v>C8550-G2 (SDWAN)</v>
      </c>
      <c r="B118" s="55">
        <f>IFERROR(__xludf.DUMMYFUNCTION("""COMPUTED_VALUE"""),219575.73)</f>
        <v>219575.73</v>
      </c>
      <c r="C118" s="50"/>
      <c r="D118" s="55">
        <f>IFERROR(__xludf.DUMMYFUNCTION("""COMPUTED_VALUE"""),219575.73)</f>
        <v>219575.73</v>
      </c>
    </row>
    <row r="119">
      <c r="A119" s="50" t="str">
        <f>IFERROR(__xludf.DUMMYFUNCTION("""COMPUTED_VALUE"""),"C8570-G2 (Default Routing)")</f>
        <v>C8570-G2 (Default Routing)</v>
      </c>
      <c r="B119" s="55">
        <f>IFERROR(__xludf.DUMMYFUNCTION("""COMPUTED_VALUE"""),229697.16)</f>
        <v>229697.16</v>
      </c>
      <c r="C119" s="50"/>
      <c r="D119" s="55">
        <f>IFERROR(__xludf.DUMMYFUNCTION("""COMPUTED_VALUE"""),229697.16)</f>
        <v>229697.16</v>
      </c>
    </row>
    <row r="120">
      <c r="A120" s="50" t="str">
        <f>IFERROR(__xludf.DUMMYFUNCTION("""COMPUTED_VALUE"""),"C8570-G2 (Adv Routing)")</f>
        <v>C8570-G2 (Adv Routing)</v>
      </c>
      <c r="B120" s="55">
        <f>IFERROR(__xludf.DUMMYFUNCTION("""COMPUTED_VALUE"""),263297.16000000003)</f>
        <v>263297.16</v>
      </c>
      <c r="C120" s="50"/>
      <c r="D120" s="55">
        <f>IFERROR(__xludf.DUMMYFUNCTION("""COMPUTED_VALUE"""),263297.16000000003)</f>
        <v>263297.16</v>
      </c>
    </row>
    <row r="121">
      <c r="A121" s="50" t="str">
        <f>IFERROR(__xludf.DUMMYFUNCTION("""COMPUTED_VALUE"""),"C8570-G2 (SDWAN)")</f>
        <v>C8570-G2 (SDWAN)</v>
      </c>
      <c r="B121" s="55">
        <f>IFERROR(__xludf.DUMMYFUNCTION("""COMPUTED_VALUE"""),284885.16000000003)</f>
        <v>284885.16</v>
      </c>
      <c r="C121" s="50"/>
      <c r="D121" s="55">
        <f>IFERROR(__xludf.DUMMYFUNCTION("""COMPUTED_VALUE"""),284885.16000000003)</f>
        <v>284885.16</v>
      </c>
    </row>
    <row r="122">
      <c r="A122" s="50" t="str">
        <f>IFERROR(__xludf.DUMMYFUNCTION("""COMPUTED_VALUE"""),"C8455-G2 (Default Routing)")</f>
        <v>C8455-G2 (Default Routing)</v>
      </c>
      <c r="B122" s="55">
        <f>IFERROR(__xludf.DUMMYFUNCTION("""COMPUTED_VALUE"""),55540.54)</f>
        <v>55540.54</v>
      </c>
      <c r="C122" s="50"/>
      <c r="D122" s="55">
        <f>IFERROR(__xludf.DUMMYFUNCTION("""COMPUTED_VALUE"""),55540.54)</f>
        <v>55540.54</v>
      </c>
    </row>
    <row r="123">
      <c r="A123" s="50" t="str">
        <f>IFERROR(__xludf.DUMMYFUNCTION("""COMPUTED_VALUE"""),"C8455-G2 (Adv Routing)")</f>
        <v>C8455-G2 (Adv Routing)</v>
      </c>
      <c r="B123" s="55">
        <f>IFERROR(__xludf.DUMMYFUNCTION("""COMPUTED_VALUE"""),89140.54000000001)</f>
        <v>89140.54</v>
      </c>
      <c r="C123" s="50"/>
      <c r="D123" s="55">
        <f>IFERROR(__xludf.DUMMYFUNCTION("""COMPUTED_VALUE"""),89140.54000000001)</f>
        <v>89140.54</v>
      </c>
    </row>
    <row r="124">
      <c r="A124" s="50" t="str">
        <f>IFERROR(__xludf.DUMMYFUNCTION("""COMPUTED_VALUE"""),"C8455-G2 (SDWAN)")</f>
        <v>C8455-G2 (SDWAN)</v>
      </c>
      <c r="B124" s="55">
        <f>IFERROR(__xludf.DUMMYFUNCTION("""COMPUTED_VALUE"""),110728.54000000001)</f>
        <v>110728.54</v>
      </c>
      <c r="C124" s="50"/>
      <c r="D124" s="55">
        <f>IFERROR(__xludf.DUMMYFUNCTION("""COMPUTED_VALUE"""),110728.54000000001)</f>
        <v>110728.54</v>
      </c>
    </row>
    <row r="125">
      <c r="A125" s="50" t="str">
        <f>IFERROR(__xludf.DUMMYFUNCTION("""COMPUTED_VALUE"""),"C8455-G2 (Full Adds On)")</f>
        <v>C8455-G2 (Full Adds On)</v>
      </c>
      <c r="B125" s="55">
        <f>IFERROR(__xludf.DUMMYFUNCTION("""COMPUTED_VALUE"""),114400.54000000001)</f>
        <v>114400.54</v>
      </c>
      <c r="C125" s="50"/>
      <c r="D125" s="55">
        <f>IFERROR(__xludf.DUMMYFUNCTION("""COMPUTED_VALUE"""),114400.54000000001)</f>
        <v>114400.54</v>
      </c>
    </row>
    <row r="126">
      <c r="A126" s="50" t="str">
        <f>IFERROR(__xludf.DUMMYFUNCTION("""COMPUTED_VALUE"""),"C8475-G2 (Default Routing)")</f>
        <v>C8475-G2 (Default Routing)</v>
      </c>
      <c r="B126" s="55">
        <f>IFERROR(__xludf.DUMMYFUNCTION("""COMPUTED_VALUE"""),99078.32)</f>
        <v>99078.32</v>
      </c>
      <c r="C126" s="50"/>
      <c r="D126" s="55">
        <f>IFERROR(__xludf.DUMMYFUNCTION("""COMPUTED_VALUE"""),99078.32)</f>
        <v>99078.32</v>
      </c>
    </row>
    <row r="127">
      <c r="A127" s="50" t="str">
        <f>IFERROR(__xludf.DUMMYFUNCTION("""COMPUTED_VALUE"""),"C8475-G2 (Adv Routing)")</f>
        <v>C8475-G2 (Adv Routing)</v>
      </c>
      <c r="B127" s="55">
        <f>IFERROR(__xludf.DUMMYFUNCTION("""COMPUTED_VALUE"""),132678.32)</f>
        <v>132678.32</v>
      </c>
      <c r="C127" s="50"/>
      <c r="D127" s="55">
        <f>IFERROR(__xludf.DUMMYFUNCTION("""COMPUTED_VALUE"""),132678.32)</f>
        <v>132678.32</v>
      </c>
    </row>
    <row r="128">
      <c r="A128" s="50" t="str">
        <f>IFERROR(__xludf.DUMMYFUNCTION("""COMPUTED_VALUE"""),"C8475-G2 (SDWAN)")</f>
        <v>C8475-G2 (SDWAN)</v>
      </c>
      <c r="B128" s="55">
        <f>IFERROR(__xludf.DUMMYFUNCTION("""COMPUTED_VALUE"""),154266.32)</f>
        <v>154266.32</v>
      </c>
      <c r="C128" s="50"/>
      <c r="D128" s="55">
        <f>IFERROR(__xludf.DUMMYFUNCTION("""COMPUTED_VALUE"""),154266.32)</f>
        <v>154266.32</v>
      </c>
    </row>
    <row r="129">
      <c r="A129" s="50" t="str">
        <f>IFERROR(__xludf.DUMMYFUNCTION("""COMPUTED_VALUE"""),"C8475-G2 (Full Adds On)")</f>
        <v>C8475-G2 (Full Adds On)</v>
      </c>
      <c r="B129" s="55">
        <f>IFERROR(__xludf.DUMMYFUNCTION("""COMPUTED_VALUE"""),157938.32)</f>
        <v>157938.32</v>
      </c>
      <c r="C129" s="50"/>
      <c r="D129" s="55">
        <f>IFERROR(__xludf.DUMMYFUNCTION("""COMPUTED_VALUE"""),157938.32)</f>
        <v>157938.32</v>
      </c>
    </row>
    <row r="130">
      <c r="A130" s="50" t="str">
        <f>IFERROR(__xludf.DUMMYFUNCTION("""COMPUTED_VALUE"""),"C8235-E-G2 (Default Routing)")</f>
        <v>C8235-E-G2 (Default Routing)</v>
      </c>
      <c r="B130" s="55">
        <f>IFERROR(__xludf.DUMMYFUNCTION("""COMPUTED_VALUE"""),12676.0)</f>
        <v>12676</v>
      </c>
      <c r="C130" s="50"/>
      <c r="D130" s="55">
        <f>IFERROR(__xludf.DUMMYFUNCTION("""COMPUTED_VALUE"""),12676.0)</f>
        <v>12676</v>
      </c>
    </row>
    <row r="131">
      <c r="A131" s="50" t="str">
        <f>IFERROR(__xludf.DUMMYFUNCTION("""COMPUTED_VALUE"""),"C8235-E-G2 (Adv Routing)")</f>
        <v>C8235-E-G2 (Adv Routing)</v>
      </c>
      <c r="B131" s="55">
        <f>IFERROR(__xludf.DUMMYFUNCTION("""COMPUTED_VALUE"""),16708.0)</f>
        <v>16708</v>
      </c>
      <c r="C131" s="50"/>
      <c r="D131" s="55">
        <f>IFERROR(__xludf.DUMMYFUNCTION("""COMPUTED_VALUE"""),16708.0)</f>
        <v>16708</v>
      </c>
    </row>
    <row r="132">
      <c r="A132" s="50" t="str">
        <f>IFERROR(__xludf.DUMMYFUNCTION("""COMPUTED_VALUE"""),"C8235-E-G2 (SDWAN)")</f>
        <v>C8235-E-G2 (SDWAN)</v>
      </c>
      <c r="B132" s="55">
        <f>IFERROR(__xludf.DUMMYFUNCTION("""COMPUTED_VALUE"""),17356.0)</f>
        <v>17356</v>
      </c>
      <c r="C132" s="50"/>
      <c r="D132" s="55">
        <f>IFERROR(__xludf.DUMMYFUNCTION("""COMPUTED_VALUE"""),17356.0)</f>
        <v>17356</v>
      </c>
    </row>
    <row r="133">
      <c r="A133" s="50" t="str">
        <f>IFERROR(__xludf.DUMMYFUNCTION("""COMPUTED_VALUE"""),"C8235-E-G2 (Full Adds On)")</f>
        <v>C8235-E-G2 (Full Adds On)</v>
      </c>
      <c r="B133" s="55">
        <f>IFERROR(__xludf.DUMMYFUNCTION("""COMPUTED_VALUE"""),18004.0)</f>
        <v>18004</v>
      </c>
      <c r="C133" s="50"/>
      <c r="D133" s="55">
        <f>IFERROR(__xludf.DUMMYFUNCTION("""COMPUTED_VALUE"""),18004.0)</f>
        <v>18004</v>
      </c>
    </row>
    <row r="134">
      <c r="A134" s="50" t="str">
        <f>IFERROR(__xludf.DUMMYFUNCTION("""COMPUTED_VALUE"""),"C8231-E-G2 (Default Routing)")</f>
        <v>C8231-E-G2 (Default Routing)</v>
      </c>
      <c r="B134" s="55">
        <f>IFERROR(__xludf.DUMMYFUNCTION("""COMPUTED_VALUE"""),10123.96)</f>
        <v>10123.96</v>
      </c>
      <c r="C134" s="50"/>
      <c r="D134" s="55">
        <f>IFERROR(__xludf.DUMMYFUNCTION("""COMPUTED_VALUE"""),10123.96)</f>
        <v>10123.96</v>
      </c>
    </row>
    <row r="135">
      <c r="A135" s="50" t="str">
        <f>IFERROR(__xludf.DUMMYFUNCTION("""COMPUTED_VALUE"""),"C8231-E-G2 (Adv Routing)")</f>
        <v>C8231-E-G2 (Adv Routing)</v>
      </c>
      <c r="B135" s="55">
        <f>IFERROR(__xludf.DUMMYFUNCTION("""COMPUTED_VALUE"""),14155.96)</f>
        <v>14155.96</v>
      </c>
      <c r="C135" s="50"/>
      <c r="D135" s="55">
        <f>IFERROR(__xludf.DUMMYFUNCTION("""COMPUTED_VALUE"""),14155.96)</f>
        <v>14155.96</v>
      </c>
    </row>
    <row r="136">
      <c r="A136" s="50" t="str">
        <f>IFERROR(__xludf.DUMMYFUNCTION("""COMPUTED_VALUE"""),"C8231-E-G2 (SDWAN)")</f>
        <v>C8231-E-G2 (SDWAN)</v>
      </c>
      <c r="B136" s="55">
        <f>IFERROR(__xludf.DUMMYFUNCTION("""COMPUTED_VALUE"""),14803.96)</f>
        <v>14803.96</v>
      </c>
      <c r="C136" s="50"/>
      <c r="D136" s="55">
        <f>IFERROR(__xludf.DUMMYFUNCTION("""COMPUTED_VALUE"""),14803.96)</f>
        <v>14803.96</v>
      </c>
    </row>
    <row r="137">
      <c r="A137" s="50" t="str">
        <f>IFERROR(__xludf.DUMMYFUNCTION("""COMPUTED_VALUE"""),"C8231-E-G2 (Full Adds On)")</f>
        <v>C8231-E-G2 (Full Adds On)</v>
      </c>
      <c r="B137" s="55">
        <f>IFERROR(__xludf.DUMMYFUNCTION("""COMPUTED_VALUE"""),15451.96)</f>
        <v>15451.96</v>
      </c>
      <c r="C137" s="50"/>
      <c r="D137" s="55">
        <f>IFERROR(__xludf.DUMMYFUNCTION("""COMPUTED_VALUE"""),15451.96)</f>
        <v>15451.96</v>
      </c>
    </row>
    <row r="138">
      <c r="A138" s="50" t="str">
        <f>IFERROR(__xludf.DUMMYFUNCTION("""COMPUTED_VALUE"""),"C8235-G2 (Default Routing)")</f>
        <v>C8235-G2 (Default Routing)</v>
      </c>
      <c r="B138" s="55">
        <f>IFERROR(__xludf.DUMMYFUNCTION("""COMPUTED_VALUE"""),10306.39)</f>
        <v>10306.39</v>
      </c>
      <c r="C138" s="50"/>
      <c r="D138" s="55">
        <f>IFERROR(__xludf.DUMMYFUNCTION("""COMPUTED_VALUE"""),10306.39)</f>
        <v>10306.39</v>
      </c>
    </row>
    <row r="139">
      <c r="A139" s="50" t="str">
        <f>IFERROR(__xludf.DUMMYFUNCTION("""COMPUTED_VALUE"""),"C8235-G2 (Adv Routing)")</f>
        <v>C8235-G2 (Adv Routing)</v>
      </c>
      <c r="B139" s="55">
        <f>IFERROR(__xludf.DUMMYFUNCTION("""COMPUTED_VALUE"""),14338.39)</f>
        <v>14338.39</v>
      </c>
      <c r="C139" s="50"/>
      <c r="D139" s="55">
        <f>IFERROR(__xludf.DUMMYFUNCTION("""COMPUTED_VALUE"""),14338.39)</f>
        <v>14338.39</v>
      </c>
    </row>
    <row r="140">
      <c r="A140" s="50" t="str">
        <f>IFERROR(__xludf.DUMMYFUNCTION("""COMPUTED_VALUE"""),"C8235-G2 (SDWAN)")</f>
        <v>C8235-G2 (SDWAN)</v>
      </c>
      <c r="B140" s="55">
        <f>IFERROR(__xludf.DUMMYFUNCTION("""COMPUTED_VALUE"""),14986.39)</f>
        <v>14986.39</v>
      </c>
      <c r="C140" s="50"/>
      <c r="D140" s="55">
        <f>IFERROR(__xludf.DUMMYFUNCTION("""COMPUTED_VALUE"""),14986.39)</f>
        <v>14986.39</v>
      </c>
    </row>
    <row r="141">
      <c r="A141" s="50" t="str">
        <f>IFERROR(__xludf.DUMMYFUNCTION("""COMPUTED_VALUE"""),"C8235-G2 (Full Adds On)")</f>
        <v>C8235-G2 (Full Adds On)</v>
      </c>
      <c r="B141" s="55">
        <f>IFERROR(__xludf.DUMMYFUNCTION("""COMPUTED_VALUE"""),15634.39)</f>
        <v>15634.39</v>
      </c>
      <c r="C141" s="50"/>
      <c r="D141" s="55">
        <f>IFERROR(__xludf.DUMMYFUNCTION("""COMPUTED_VALUE"""),15634.39)</f>
        <v>15634.39</v>
      </c>
    </row>
    <row r="142">
      <c r="A142" s="50" t="str">
        <f>IFERROR(__xludf.DUMMYFUNCTION("""COMPUTED_VALUE"""),"C8231-G2 (Default Routing)")</f>
        <v>C8231-G2 (Default Routing)</v>
      </c>
      <c r="B142" s="55">
        <f>IFERROR(__xludf.DUMMYFUNCTION("""COMPUTED_VALUE"""),6545.14)</f>
        <v>6545.14</v>
      </c>
      <c r="C142" s="50"/>
      <c r="D142" s="55">
        <f>IFERROR(__xludf.DUMMYFUNCTION("""COMPUTED_VALUE"""),6545.14)</f>
        <v>6545.14</v>
      </c>
    </row>
    <row r="143">
      <c r="A143" s="50" t="str">
        <f>IFERROR(__xludf.DUMMYFUNCTION("""COMPUTED_VALUE"""),"C8231-G2 (Adv Routing)")</f>
        <v>C8231-G2 (Adv Routing)</v>
      </c>
      <c r="B143" s="55">
        <f>IFERROR(__xludf.DUMMYFUNCTION("""COMPUTED_VALUE"""),10577.14)</f>
        <v>10577.14</v>
      </c>
      <c r="C143" s="50"/>
      <c r="D143" s="55">
        <f>IFERROR(__xludf.DUMMYFUNCTION("""COMPUTED_VALUE"""),10577.14)</f>
        <v>10577.14</v>
      </c>
    </row>
    <row r="144">
      <c r="A144" s="50" t="str">
        <f>IFERROR(__xludf.DUMMYFUNCTION("""COMPUTED_VALUE"""),"C8231-G2 (SDWAN)")</f>
        <v>C8231-G2 (SDWAN)</v>
      </c>
      <c r="B144" s="55">
        <f>IFERROR(__xludf.DUMMYFUNCTION("""COMPUTED_VALUE"""),11225.14)</f>
        <v>11225.14</v>
      </c>
      <c r="C144" s="50"/>
      <c r="D144" s="55">
        <f>IFERROR(__xludf.DUMMYFUNCTION("""COMPUTED_VALUE"""),11225.14)</f>
        <v>11225.14</v>
      </c>
    </row>
    <row r="145">
      <c r="A145" s="50" t="str">
        <f>IFERROR(__xludf.DUMMYFUNCTION("""COMPUTED_VALUE"""),"C8231-G2 (Full Adds On)")</f>
        <v>C8231-G2 (Full Adds On)</v>
      </c>
      <c r="B145" s="55">
        <f>IFERROR(__xludf.DUMMYFUNCTION("""COMPUTED_VALUE"""),11873.14)</f>
        <v>11873.14</v>
      </c>
      <c r="C145" s="50"/>
      <c r="D145" s="55">
        <f>IFERROR(__xludf.DUMMYFUNCTION("""COMPUTED_VALUE"""),11873.14)</f>
        <v>11873.14</v>
      </c>
    </row>
    <row r="146">
      <c r="A146" s="50" t="str">
        <f>IFERROR(__xludf.DUMMYFUNCTION("""COMPUTED_VALUE"""),"C8130-G2 (Default Routing)")</f>
        <v>C8130-G2 (Default Routing)</v>
      </c>
      <c r="B146" s="55">
        <f>IFERROR(__xludf.DUMMYFUNCTION("""COMPUTED_VALUE"""),2142.02)</f>
        <v>2142.02</v>
      </c>
      <c r="C146" s="50"/>
      <c r="D146" s="55">
        <f>IFERROR(__xludf.DUMMYFUNCTION("""COMPUTED_VALUE"""),2142.02)</f>
        <v>2142.02</v>
      </c>
    </row>
    <row r="147">
      <c r="A147" s="50" t="str">
        <f>IFERROR(__xludf.DUMMYFUNCTION("""COMPUTED_VALUE"""),"C8130-G2 (Adv Routing)")</f>
        <v>C8130-G2 (Adv Routing)</v>
      </c>
      <c r="B147" s="55">
        <f>IFERROR(__xludf.DUMMYFUNCTION("""COMPUTED_VALUE"""),3822.02)</f>
        <v>3822.02</v>
      </c>
      <c r="C147" s="50"/>
      <c r="D147" s="55">
        <f>IFERROR(__xludf.DUMMYFUNCTION("""COMPUTED_VALUE"""),3822.02)</f>
        <v>3822.02</v>
      </c>
    </row>
    <row r="148">
      <c r="A148" s="50" t="str">
        <f>IFERROR(__xludf.DUMMYFUNCTION("""COMPUTED_VALUE"""),"C8131-G2 (Default Routing)")</f>
        <v>C8131-G2 (Default Routing)</v>
      </c>
      <c r="B148" s="55">
        <f>IFERROR(__xludf.DUMMYFUNCTION("""COMPUTED_VALUE"""),2559.26)</f>
        <v>2559.26</v>
      </c>
      <c r="C148" s="50"/>
      <c r="D148" s="55">
        <f>IFERROR(__xludf.DUMMYFUNCTION("""COMPUTED_VALUE"""),2559.26)</f>
        <v>2559.26</v>
      </c>
    </row>
    <row r="149">
      <c r="A149" s="50" t="str">
        <f>IFERROR(__xludf.DUMMYFUNCTION("""COMPUTED_VALUE"""),"C8131-G2 (Adv Routing)")</f>
        <v>C8131-G2 (Adv Routing)</v>
      </c>
      <c r="B149" s="55">
        <f>IFERROR(__xludf.DUMMYFUNCTION("""COMPUTED_VALUE"""),4239.26)</f>
        <v>4239.26</v>
      </c>
      <c r="C149" s="50"/>
      <c r="D149" s="55">
        <f>IFERROR(__xludf.DUMMYFUNCTION("""COMPUTED_VALUE"""),4239.26)</f>
        <v>4239.26</v>
      </c>
    </row>
    <row r="150">
      <c r="A150" s="50" t="str">
        <f>IFERROR(__xludf.DUMMYFUNCTION("""COMPUTED_VALUE"""),"C8131-G2 (SDWAN)")</f>
        <v>C8131-G2 (SDWAN)</v>
      </c>
      <c r="B150" s="55">
        <f>IFERROR(__xludf.DUMMYFUNCTION("""COMPUTED_VALUE"""),4575.26)</f>
        <v>4575.26</v>
      </c>
      <c r="C150" s="50"/>
      <c r="D150" s="55">
        <f>IFERROR(__xludf.DUMMYFUNCTION("""COMPUTED_VALUE"""),4575.26)</f>
        <v>4575.26</v>
      </c>
    </row>
    <row r="151">
      <c r="A151" s="50" t="str">
        <f>IFERROR(__xludf.DUMMYFUNCTION("""COMPUTED_VALUE"""),"C8131-G2 (Full Adds On)")</f>
        <v>C8131-G2 (Full Adds On)</v>
      </c>
      <c r="B151" s="55">
        <f>IFERROR(__xludf.DUMMYFUNCTION("""COMPUTED_VALUE"""),4899.26)</f>
        <v>4899.26</v>
      </c>
      <c r="C151" s="50"/>
      <c r="D151" s="55">
        <f>IFERROR(__xludf.DUMMYFUNCTION("""COMPUTED_VALUE"""),4899.26)</f>
        <v>4899.26</v>
      </c>
    </row>
    <row r="152">
      <c r="A152" s="50" t="str">
        <f>IFERROR(__xludf.DUMMYFUNCTION("""COMPUTED_VALUE"""),"C8140-G2 (Default Routing)")</f>
        <v>C8140-G2 (Default Routing)</v>
      </c>
      <c r="B152" s="55">
        <f>IFERROR(__xludf.DUMMYFUNCTION("""COMPUTED_VALUE"""),2563.32)</f>
        <v>2563.32</v>
      </c>
      <c r="C152" s="50"/>
      <c r="D152" s="55">
        <f>IFERROR(__xludf.DUMMYFUNCTION("""COMPUTED_VALUE"""),2563.32)</f>
        <v>2563.32</v>
      </c>
    </row>
    <row r="153">
      <c r="A153" s="50" t="str">
        <f>IFERROR(__xludf.DUMMYFUNCTION("""COMPUTED_VALUE"""),"C8140-G2 (Adv Routing)")</f>
        <v>C8140-G2 (Adv Routing)</v>
      </c>
      <c r="B153" s="55">
        <f>IFERROR(__xludf.DUMMYFUNCTION("""COMPUTED_VALUE"""),4243.32)</f>
        <v>4243.32</v>
      </c>
      <c r="C153" s="50"/>
      <c r="D153" s="55">
        <f>IFERROR(__xludf.DUMMYFUNCTION("""COMPUTED_VALUE"""),4243.32)</f>
        <v>4243.32</v>
      </c>
    </row>
    <row r="154">
      <c r="A154" s="50" t="str">
        <f>IFERROR(__xludf.DUMMYFUNCTION("""COMPUTED_VALUE"""),"C8151-G2 (Default Routing)")</f>
        <v>C8151-G2 (Default Routing)</v>
      </c>
      <c r="B154" s="55">
        <f>IFERROR(__xludf.DUMMYFUNCTION("""COMPUTED_VALUE"""),3265.48)</f>
        <v>3265.48</v>
      </c>
      <c r="C154" s="50"/>
      <c r="D154" s="55">
        <f>IFERROR(__xludf.DUMMYFUNCTION("""COMPUTED_VALUE"""),3265.48)</f>
        <v>3265.48</v>
      </c>
    </row>
    <row r="155">
      <c r="A155" s="50" t="str">
        <f>IFERROR(__xludf.DUMMYFUNCTION("""COMPUTED_VALUE"""),"C8151-G2 (Adv Routing)")</f>
        <v>C8151-G2 (Adv Routing)</v>
      </c>
      <c r="B155" s="55">
        <f>IFERROR(__xludf.DUMMYFUNCTION("""COMPUTED_VALUE"""),4945.48)</f>
        <v>4945.48</v>
      </c>
      <c r="C155" s="50"/>
      <c r="D155" s="55">
        <f>IFERROR(__xludf.DUMMYFUNCTION("""COMPUTED_VALUE"""),4945.48)</f>
        <v>4945.48</v>
      </c>
    </row>
    <row r="156">
      <c r="A156" s="50" t="str">
        <f>IFERROR(__xludf.DUMMYFUNCTION("""COMPUTED_VALUE"""),"C8151-G2 (SDWAN)")</f>
        <v>C8151-G2 (SDWAN)</v>
      </c>
      <c r="B156" s="55">
        <f>IFERROR(__xludf.DUMMYFUNCTION("""COMPUTED_VALUE"""),5281.48)</f>
        <v>5281.48</v>
      </c>
      <c r="C156" s="50"/>
      <c r="D156" s="55">
        <f>IFERROR(__xludf.DUMMYFUNCTION("""COMPUTED_VALUE"""),5281.48)</f>
        <v>5281.48</v>
      </c>
    </row>
    <row r="157">
      <c r="A157" s="50" t="str">
        <f>IFERROR(__xludf.DUMMYFUNCTION("""COMPUTED_VALUE"""),"C8151-G2 (Full Adds On)")</f>
        <v>C8151-G2 (Full Adds On)</v>
      </c>
      <c r="B157" s="55">
        <f>IFERROR(__xludf.DUMMYFUNCTION("""COMPUTED_VALUE"""),5605.48)</f>
        <v>5605.48</v>
      </c>
      <c r="C157" s="50"/>
      <c r="D157" s="55">
        <f>IFERROR(__xludf.DUMMYFUNCTION("""COMPUTED_VALUE"""),5605.48)</f>
        <v>5605.48</v>
      </c>
    </row>
    <row r="158">
      <c r="A158" s="50" t="str">
        <f>IFERROR(__xludf.DUMMYFUNCTION("""COMPUTED_VALUE"""),"C8161-G2 (Default Routing)")</f>
        <v>C8161-G2 (Default Routing)</v>
      </c>
      <c r="B158" s="55">
        <f>IFERROR(__xludf.DUMMYFUNCTION("""COMPUTED_VALUE"""),3824.45)</f>
        <v>3824.45</v>
      </c>
      <c r="C158" s="50"/>
      <c r="D158" s="55">
        <f>IFERROR(__xludf.DUMMYFUNCTION("""COMPUTED_VALUE"""),3824.45)</f>
        <v>3824.45</v>
      </c>
    </row>
    <row r="159">
      <c r="A159" s="50" t="str">
        <f>IFERROR(__xludf.DUMMYFUNCTION("""COMPUTED_VALUE"""),"C8161-G2 (Adv Routing)")</f>
        <v>C8161-G2 (Adv Routing)</v>
      </c>
      <c r="B159" s="55">
        <f>IFERROR(__xludf.DUMMYFUNCTION("""COMPUTED_VALUE"""),5504.45)</f>
        <v>5504.45</v>
      </c>
      <c r="C159" s="50"/>
      <c r="D159" s="55">
        <f>IFERROR(__xludf.DUMMYFUNCTION("""COMPUTED_VALUE"""),5504.45)</f>
        <v>5504.45</v>
      </c>
    </row>
    <row r="160">
      <c r="A160" s="50" t="str">
        <f>IFERROR(__xludf.DUMMYFUNCTION("""COMPUTED_VALUE"""),"C8161-G2 (SDWAN)")</f>
        <v>C8161-G2 (SDWAN)</v>
      </c>
      <c r="B160" s="55">
        <f>IFERROR(__xludf.DUMMYFUNCTION("""COMPUTED_VALUE"""),5840.45)</f>
        <v>5840.45</v>
      </c>
      <c r="C160" s="50"/>
      <c r="D160" s="55">
        <f>IFERROR(__xludf.DUMMYFUNCTION("""COMPUTED_VALUE"""),5840.45)</f>
        <v>5840.45</v>
      </c>
    </row>
    <row r="161">
      <c r="A161" s="50" t="str">
        <f>IFERROR(__xludf.DUMMYFUNCTION("""COMPUTED_VALUE"""),"C8161-G2 (Full Adds On)")</f>
        <v>C8161-G2 (Full Adds On)</v>
      </c>
      <c r="B161" s="55">
        <f>IFERROR(__xludf.DUMMYFUNCTION("""COMPUTED_VALUE"""),6164.45)</f>
        <v>6164.45</v>
      </c>
      <c r="C161" s="50"/>
      <c r="D161" s="55">
        <f>IFERROR(__xludf.DUMMYFUNCTION("""COMPUTED_VALUE"""),6164.45)</f>
        <v>6164.45</v>
      </c>
    </row>
    <row r="162">
      <c r="A162" s="50" t="str">
        <f>IFERROR(__xludf.DUMMYFUNCTION("""COMPUTED_VALUE"""),"100GQSFP-LR4-4=")</f>
        <v>100GQSFP-LR4-4=</v>
      </c>
      <c r="B162" s="55">
        <f>IFERROR(__xludf.DUMMYFUNCTION("""COMPUTED_VALUE"""),36510.54)</f>
        <v>36510.54</v>
      </c>
      <c r="C162" s="50"/>
      <c r="D162" s="55">
        <f>IFERROR(__xludf.DUMMYFUNCTION("""COMPUTED_VALUE"""),36510.54)</f>
        <v>36510.54</v>
      </c>
    </row>
    <row r="163">
      <c r="A163" s="50" t="str">
        <f>IFERROR(__xludf.DUMMYFUNCTION("""COMPUTED_VALUE"""),"QSFP-100G-LR-S=")</f>
        <v>QSFP-100G-LR-S=</v>
      </c>
      <c r="B163" s="55">
        <f>IFERROR(__xludf.DUMMYFUNCTION("""COMPUTED_VALUE"""),4130.83)</f>
        <v>4130.83</v>
      </c>
      <c r="C163" s="50"/>
      <c r="D163" s="55">
        <f>IFERROR(__xludf.DUMMYFUNCTION("""COMPUTED_VALUE"""),4130.83)</f>
        <v>4130.83</v>
      </c>
    </row>
    <row r="164">
      <c r="A164" s="50" t="str">
        <f>IFERROR(__xludf.DUMMYFUNCTION("""COMPUTED_VALUE"""),"QSFP-100G-ER4L-S=")</f>
        <v>QSFP-100G-ER4L-S=</v>
      </c>
      <c r="B164" s="55">
        <f>IFERROR(__xludf.DUMMYFUNCTION("""COMPUTED_VALUE"""),91270.27)</f>
        <v>91270.27</v>
      </c>
      <c r="C164" s="50"/>
      <c r="D164" s="55">
        <f>IFERROR(__xludf.DUMMYFUNCTION("""COMPUTED_VALUE"""),91270.27)</f>
        <v>91270.27</v>
      </c>
    </row>
    <row r="165">
      <c r="A165" s="50" t="str">
        <f>IFERROR(__xludf.DUMMYFUNCTION("""COMPUTED_VALUE"""),"QSFP-100G-ZR4-S=")</f>
        <v>QSFP-100G-ZR4-S=</v>
      </c>
      <c r="B165" s="55">
        <f>IFERROR(__xludf.DUMMYFUNCTION("""COMPUTED_VALUE"""),36190.0)</f>
        <v>36190</v>
      </c>
      <c r="C165" s="50"/>
      <c r="D165" s="55">
        <f>IFERROR(__xludf.DUMMYFUNCTION("""COMPUTED_VALUE"""),36190.0)</f>
        <v>36190</v>
      </c>
    </row>
    <row r="166">
      <c r="A166" s="50" t="str">
        <f>IFERROR(__xludf.DUMMYFUNCTION("""COMPUTED_VALUE"""),"SFP-10G-SR=")</f>
        <v>SFP-10G-SR=</v>
      </c>
      <c r="B166" s="55">
        <f>IFERROR(__xludf.DUMMYFUNCTION("""COMPUTED_VALUE"""),1210.94)</f>
        <v>1210.94</v>
      </c>
      <c r="C166" s="50"/>
      <c r="D166" s="55">
        <f>IFERROR(__xludf.DUMMYFUNCTION("""COMPUTED_VALUE"""),1210.94)</f>
        <v>1210.94</v>
      </c>
    </row>
    <row r="167">
      <c r="A167" s="50" t="str">
        <f>IFERROR(__xludf.DUMMYFUNCTION("""COMPUTED_VALUE"""),"SFP-10G-LR=")</f>
        <v>SFP-10G-LR=</v>
      </c>
      <c r="B167" s="55">
        <f>IFERROR(__xludf.DUMMYFUNCTION("""COMPUTED_VALUE"""),4861.99)</f>
        <v>4861.99</v>
      </c>
      <c r="C167" s="50"/>
      <c r="D167" s="55">
        <f>IFERROR(__xludf.DUMMYFUNCTION("""COMPUTED_VALUE"""),4861.99)</f>
        <v>4861.99</v>
      </c>
    </row>
    <row r="168">
      <c r="A168" s="50" t="str">
        <f>IFERROR(__xludf.DUMMYFUNCTION("""COMPUTED_VALUE"""),"SFP-10G-ER=")</f>
        <v>SFP-10G-ER=</v>
      </c>
      <c r="B168" s="55">
        <f>IFERROR(__xludf.DUMMYFUNCTION("""COMPUTED_VALUE"""),12170.18)</f>
        <v>12170.18</v>
      </c>
      <c r="C168" s="50"/>
      <c r="D168" s="55">
        <f>IFERROR(__xludf.DUMMYFUNCTION("""COMPUTED_VALUE"""),12170.18)</f>
        <v>12170.18</v>
      </c>
    </row>
    <row r="169">
      <c r="A169" s="50" t="str">
        <f>IFERROR(__xludf.DUMMYFUNCTION("""COMPUTED_VALUE"""),"SFP-10G-ZR=")</f>
        <v>SFP-10G-ZR=</v>
      </c>
      <c r="B169" s="55">
        <f>IFERROR(__xludf.DUMMYFUNCTION("""COMPUTED_VALUE"""),19472.29)</f>
        <v>19472.29</v>
      </c>
      <c r="C169" s="50"/>
      <c r="D169" s="55">
        <f>IFERROR(__xludf.DUMMYFUNCTION("""COMPUTED_VALUE"""),19472.29)</f>
        <v>19472.29</v>
      </c>
    </row>
    <row r="170">
      <c r="A170" s="50" t="str">
        <f>IFERROR(__xludf.DUMMYFUNCTION("""COMPUTED_VALUE"""),"GLC-LH-SMD=")</f>
        <v>GLC-LH-SMD=</v>
      </c>
      <c r="B170" s="55">
        <f>IFERROR(__xludf.DUMMYFUNCTION("""COMPUTED_VALUE"""),1210.94)</f>
        <v>1210.94</v>
      </c>
      <c r="C170" s="50"/>
      <c r="D170" s="55">
        <f>IFERROR(__xludf.DUMMYFUNCTION("""COMPUTED_VALUE"""),1210.94)</f>
        <v>1210.94</v>
      </c>
    </row>
    <row r="171">
      <c r="A171" s="50" t="str">
        <f>IFERROR(__xludf.DUMMYFUNCTION("""COMPUTED_VALUE"""),"GLC-EX-SMD=")</f>
        <v>GLC-EX-SMD=</v>
      </c>
      <c r="B171" s="55">
        <f>IFERROR(__xludf.DUMMYFUNCTION("""COMPUTED_VALUE"""),2427.96)</f>
        <v>2427.96</v>
      </c>
      <c r="C171" s="50"/>
      <c r="D171" s="55">
        <f>IFERROR(__xludf.DUMMYFUNCTION("""COMPUTED_VALUE"""),2427.96)</f>
        <v>2427.96</v>
      </c>
    </row>
    <row r="172">
      <c r="A172" s="50" t="str">
        <f>IFERROR(__xludf.DUMMYFUNCTION("""COMPUTED_VALUE"""),"GLC-ZX-SMD=")</f>
        <v>GLC-ZX-SMD=</v>
      </c>
      <c r="B172" s="55">
        <f>IFERROR(__xludf.DUMMYFUNCTION("""COMPUTED_VALUE"""),4861.99)</f>
        <v>4861.99</v>
      </c>
      <c r="C172" s="50"/>
      <c r="D172" s="55">
        <f>IFERROR(__xludf.DUMMYFUNCTION("""COMPUTED_VALUE"""),4861.99)</f>
        <v>4861.99</v>
      </c>
    </row>
    <row r="173">
      <c r="A173" s="50" t="str">
        <f>IFERROR(__xludf.DUMMYFUNCTION("""COMPUTED_VALUE"""),"GLC-TE=")</f>
        <v>GLC-TE=</v>
      </c>
      <c r="B173" s="55">
        <f>IFERROR(__xludf.DUMMYFUNCTION("""COMPUTED_VALUE"""),547.66)</f>
        <v>547.66</v>
      </c>
      <c r="C173" s="50"/>
      <c r="D173" s="55">
        <f>IFERROR(__xludf.DUMMYFUNCTION("""COMPUTED_VALUE"""),547.66)</f>
        <v>547.66</v>
      </c>
    </row>
    <row r="174">
      <c r="A174" s="50" t="str">
        <f>IFERROR(__xludf.DUMMYFUNCTION("""COMPUTED_VALUE"""),"SFP-10G-SR-S=")</f>
        <v>SFP-10G-SR-S=</v>
      </c>
      <c r="B174" s="55">
        <f>IFERROR(__xludf.DUMMYFUNCTION("""COMPUTED_VALUE"""),851.91)</f>
        <v>851.91</v>
      </c>
      <c r="C174" s="50"/>
      <c r="D174" s="55">
        <f>IFERROR(__xludf.DUMMYFUNCTION("""COMPUTED_VALUE"""),851.91)</f>
        <v>851.91</v>
      </c>
    </row>
    <row r="175">
      <c r="A175" s="50" t="str">
        <f>IFERROR(__xludf.DUMMYFUNCTION("""COMPUTED_VALUE"""),"SFP-10G-LR-S=")</f>
        <v>SFP-10G-LR-S=</v>
      </c>
      <c r="B175" s="55">
        <f>IFERROR(__xludf.DUMMYFUNCTION("""COMPUTED_VALUE"""),2434.04)</f>
        <v>2434.04</v>
      </c>
      <c r="C175" s="50"/>
      <c r="D175" s="55">
        <f>IFERROR(__xludf.DUMMYFUNCTION("""COMPUTED_VALUE"""),2434.04)</f>
        <v>2434.04</v>
      </c>
    </row>
    <row r="176">
      <c r="A176" s="50" t="str">
        <f>IFERROR(__xludf.DUMMYFUNCTION("""COMPUTED_VALUE"""),"SFP-10G-ER-S=")</f>
        <v>SFP-10G-ER-S=</v>
      </c>
      <c r="B176" s="55">
        <f>IFERROR(__xludf.DUMMYFUNCTION("""COMPUTED_VALUE"""),9614.44)</f>
        <v>9614.44</v>
      </c>
      <c r="C176" s="50"/>
      <c r="D176" s="55">
        <f>IFERROR(__xludf.DUMMYFUNCTION("""COMPUTED_VALUE"""),9614.44)</f>
        <v>9614.44</v>
      </c>
    </row>
    <row r="177">
      <c r="A177" s="50" t="str">
        <f>IFERROR(__xludf.DUMMYFUNCTION("""COMPUTED_VALUE"""),"SFP-10G-ZR-S=")</f>
        <v>SFP-10G-ZR-S=</v>
      </c>
      <c r="B177" s="55">
        <f>IFERROR(__xludf.DUMMYFUNCTION("""COMPUTED_VALUE"""),13265.5)</f>
        <v>13265.5</v>
      </c>
      <c r="C177" s="50"/>
      <c r="D177" s="55">
        <f>IFERROR(__xludf.DUMMYFUNCTION("""COMPUTED_VALUE"""),13265.5)</f>
        <v>13265.5</v>
      </c>
    </row>
    <row r="178">
      <c r="A178" s="50" t="str">
        <f>IFERROR(__xludf.DUMMYFUNCTION("""COMPUTED_VALUE"""),"GLC-SX-MMD=")</f>
        <v>GLC-SX-MMD=</v>
      </c>
      <c r="B178" s="55">
        <f>IFERROR(__xludf.DUMMYFUNCTION("""COMPUTED_VALUE"""),608.51)</f>
        <v>608.51</v>
      </c>
      <c r="C178" s="50"/>
      <c r="D178" s="55">
        <f>IFERROR(__xludf.DUMMYFUNCTION("""COMPUTED_VALUE"""),608.51)</f>
        <v>608.51</v>
      </c>
    </row>
    <row r="179">
      <c r="A179" s="50" t="str">
        <f>IFERROR(__xludf.DUMMYFUNCTION("""COMPUTED_VALUE"""),"C9136I")</f>
        <v>C9136I</v>
      </c>
      <c r="B179" s="55">
        <f>IFERROR(__xludf.DUMMYFUNCTION("""COMPUTED_VALUE"""),4892.02)</f>
        <v>4892.02</v>
      </c>
      <c r="C179" s="50"/>
      <c r="D179" s="55">
        <f>IFERROR(__xludf.DUMMYFUNCTION("""COMPUTED_VALUE"""),4892.02)</f>
        <v>4892.02</v>
      </c>
    </row>
    <row r="180">
      <c r="A180" s="50" t="str">
        <f>IFERROR(__xludf.DUMMYFUNCTION("""COMPUTED_VALUE"""),"CW9162I")</f>
        <v>CW9162I</v>
      </c>
      <c r="B180" s="55">
        <f>IFERROR(__xludf.DUMMYFUNCTION("""COMPUTED_VALUE"""),2476.36)</f>
        <v>2476.36</v>
      </c>
      <c r="C180" s="50"/>
      <c r="D180" s="55">
        <f>IFERROR(__xludf.DUMMYFUNCTION("""COMPUTED_VALUE"""),2476.36)</f>
        <v>2476.36</v>
      </c>
    </row>
    <row r="181">
      <c r="A181" s="50" t="str">
        <f>IFERROR(__xludf.DUMMYFUNCTION("""COMPUTED_VALUE"""),"CW9164I")</f>
        <v>CW9164I</v>
      </c>
      <c r="B181" s="55">
        <f>IFERROR(__xludf.DUMMYFUNCTION("""COMPUTED_VALUE"""),3786.46)</f>
        <v>3786.46</v>
      </c>
      <c r="C181" s="50"/>
      <c r="D181" s="55">
        <f>IFERROR(__xludf.DUMMYFUNCTION("""COMPUTED_VALUE"""),3786.46)</f>
        <v>3786.46</v>
      </c>
    </row>
    <row r="182">
      <c r="A182" s="50" t="str">
        <f>IFERROR(__xludf.DUMMYFUNCTION("""COMPUTED_VALUE"""),"CW9166I")</f>
        <v>CW9166I</v>
      </c>
      <c r="B182" s="55">
        <f>IFERROR(__xludf.DUMMYFUNCTION("""COMPUTED_VALUE"""),4201.05)</f>
        <v>4201.05</v>
      </c>
      <c r="C182" s="50"/>
      <c r="D182" s="55">
        <f>IFERROR(__xludf.DUMMYFUNCTION("""COMPUTED_VALUE"""),4201.05)</f>
        <v>4201.05</v>
      </c>
    </row>
    <row r="183">
      <c r="A183" s="50" t="str">
        <f>IFERROR(__xludf.DUMMYFUNCTION("""COMPUTED_VALUE"""),"CW9166D1")</f>
        <v>CW9166D1</v>
      </c>
      <c r="B183" s="55">
        <f>IFERROR(__xludf.DUMMYFUNCTION("""COMPUTED_VALUE"""),4615.63)</f>
        <v>4615.63</v>
      </c>
      <c r="C183" s="50"/>
      <c r="D183" s="55">
        <f>IFERROR(__xludf.DUMMYFUNCTION("""COMPUTED_VALUE"""),4615.63)</f>
        <v>4615.63</v>
      </c>
    </row>
    <row r="184">
      <c r="A184" s="50" t="str">
        <f>IFERROR(__xludf.DUMMYFUNCTION("""COMPUTED_VALUE"""),"CW9172I")</f>
        <v>CW9172I</v>
      </c>
      <c r="B184" s="55">
        <f>IFERROR(__xludf.DUMMYFUNCTION("""COMPUTED_VALUE"""),2643.68)</f>
        <v>2643.68</v>
      </c>
      <c r="C184" s="50"/>
      <c r="D184" s="55">
        <f>IFERROR(__xludf.DUMMYFUNCTION("""COMPUTED_VALUE"""),2643.68)</f>
        <v>2643.68</v>
      </c>
    </row>
    <row r="185">
      <c r="A185" s="50" t="str">
        <f>IFERROR(__xludf.DUMMYFUNCTION("""COMPUTED_VALUE"""),"CW9172H")</f>
        <v>CW9172H</v>
      </c>
      <c r="B185" s="55">
        <f>IFERROR(__xludf.DUMMYFUNCTION("""COMPUTED_VALUE"""),2350.28)</f>
        <v>2350.28</v>
      </c>
      <c r="C185" s="50"/>
      <c r="D185" s="55">
        <f>IFERROR(__xludf.DUMMYFUNCTION("""COMPUTED_VALUE"""),2350.28)</f>
        <v>2350.28</v>
      </c>
    </row>
    <row r="186">
      <c r="A186" s="50" t="str">
        <f>IFERROR(__xludf.DUMMYFUNCTION("""COMPUTED_VALUE"""),"CW9176I")</f>
        <v>CW9176I</v>
      </c>
      <c r="B186" s="55">
        <f>IFERROR(__xludf.DUMMYFUNCTION("""COMPUTED_VALUE"""),4414.0599999999995)</f>
        <v>4414.06</v>
      </c>
      <c r="C186" s="50"/>
      <c r="D186" s="55">
        <f>IFERROR(__xludf.DUMMYFUNCTION("""COMPUTED_VALUE"""),4414.0599999999995)</f>
        <v>4414.06</v>
      </c>
    </row>
    <row r="187">
      <c r="A187" s="50" t="str">
        <f>IFERROR(__xludf.DUMMYFUNCTION("""COMPUTED_VALUE"""),"CW9176D1")</f>
        <v>CW9176D1</v>
      </c>
      <c r="B187" s="55">
        <f>IFERROR(__xludf.DUMMYFUNCTION("""COMPUTED_VALUE"""),4854.66)</f>
        <v>4854.66</v>
      </c>
      <c r="C187" s="50"/>
      <c r="D187" s="55">
        <f>IFERROR(__xludf.DUMMYFUNCTION("""COMPUTED_VALUE"""),4854.66)</f>
        <v>4854.66</v>
      </c>
    </row>
    <row r="188">
      <c r="A188" s="50" t="str">
        <f>IFERROR(__xludf.DUMMYFUNCTION("""COMPUTED_VALUE"""),"CW9178I")</f>
        <v>CW9178I</v>
      </c>
      <c r="B188" s="55">
        <f>IFERROR(__xludf.DUMMYFUNCTION("""COMPUTED_VALUE"""),5149.29)</f>
        <v>5149.29</v>
      </c>
      <c r="C188" s="50"/>
      <c r="D188" s="55">
        <f>IFERROR(__xludf.DUMMYFUNCTION("""COMPUTED_VALUE"""),5149.29)</f>
        <v>5149.29</v>
      </c>
    </row>
    <row r="189">
      <c r="A189" s="50" t="str">
        <f>IFERROR(__xludf.DUMMYFUNCTION("""COMPUTED_VALUE"""),"C9124AXI")</f>
        <v>C9124AXI</v>
      </c>
      <c r="B189" s="55">
        <f>IFERROR(__xludf.DUMMYFUNCTION("""COMPUTED_VALUE"""),4605.48)</f>
        <v>4605.48</v>
      </c>
      <c r="C189" s="50"/>
      <c r="D189" s="55">
        <f>IFERROR(__xludf.DUMMYFUNCTION("""COMPUTED_VALUE"""),4605.48)</f>
        <v>4605.48</v>
      </c>
    </row>
    <row r="190">
      <c r="A190" s="50" t="str">
        <f>IFERROR(__xludf.DUMMYFUNCTION("""COMPUTED_VALUE"""),"C9124AXD")</f>
        <v>C9124AXD</v>
      </c>
      <c r="B190" s="55">
        <f>IFERROR(__xludf.DUMMYFUNCTION("""COMPUTED_VALUE"""),4933.2)</f>
        <v>4933.2</v>
      </c>
      <c r="C190" s="50"/>
      <c r="D190" s="55">
        <f>IFERROR(__xludf.DUMMYFUNCTION("""COMPUTED_VALUE"""),4933.2)</f>
        <v>4933.2</v>
      </c>
    </row>
    <row r="191">
      <c r="A191" s="50" t="str">
        <f>IFERROR(__xludf.DUMMYFUNCTION("""COMPUTED_VALUE"""),"C9124AXE")</f>
        <v>C9124AXE</v>
      </c>
      <c r="B191" s="55">
        <f>IFERROR(__xludf.DUMMYFUNCTION("""COMPUTED_VALUE"""),4933.2)</f>
        <v>4933.2</v>
      </c>
      <c r="C191" s="50"/>
      <c r="D191" s="55">
        <f>IFERROR(__xludf.DUMMYFUNCTION("""COMPUTED_VALUE"""),4933.2)</f>
        <v>4933.2</v>
      </c>
    </row>
    <row r="192">
      <c r="A192" s="50" t="str">
        <f>IFERROR(__xludf.DUMMYFUNCTION("""COMPUTED_VALUE"""),"CW9163E")</f>
        <v>CW9163E</v>
      </c>
      <c r="B192" s="55">
        <f>IFERROR(__xludf.DUMMYFUNCTION("""COMPUTED_VALUE"""),4041.4900000000002)</f>
        <v>4041.49</v>
      </c>
      <c r="C192" s="50"/>
      <c r="D192" s="55">
        <f>IFERROR(__xludf.DUMMYFUNCTION("""COMPUTED_VALUE"""),4041.4900000000002)</f>
        <v>4041.49</v>
      </c>
    </row>
    <row r="193">
      <c r="A193" s="50" t="str">
        <f>IFERROR(__xludf.DUMMYFUNCTION("""COMPUTED_VALUE"""),"IW-PWRINJ-60RGDMG=")</f>
        <v>IW-PWRINJ-60RGDMG=</v>
      </c>
      <c r="B193" s="55">
        <f>IFERROR(__xludf.DUMMYFUNCTION("""COMPUTED_VALUE"""),1292.5)</f>
        <v>1292.5</v>
      </c>
      <c r="C193" s="50"/>
      <c r="D193" s="55">
        <f>IFERROR(__xludf.DUMMYFUNCTION("""COMPUTED_VALUE"""),1292.5)</f>
        <v>1292.5</v>
      </c>
    </row>
    <row r="194">
      <c r="A194" s="50" t="str">
        <f>IFERROR(__xludf.DUMMYFUNCTION("""COMPUTED_VALUE"""),"AIR-PWRINJ7=")</f>
        <v>AIR-PWRINJ7=</v>
      </c>
      <c r="B194" s="55">
        <f>IFERROR(__xludf.DUMMYFUNCTION("""COMPUTED_VALUE"""),483.4)</f>
        <v>483.4</v>
      </c>
      <c r="C194" s="50"/>
      <c r="D194" s="55">
        <f>IFERROR(__xludf.DUMMYFUNCTION("""COMPUTED_VALUE"""),483.4)</f>
        <v>483.4</v>
      </c>
    </row>
    <row r="195">
      <c r="A195" s="50" t="str">
        <f>IFERROR(__xludf.DUMMYFUNCTION("""COMPUTED_VALUE"""),"C9404R")</f>
        <v>C9404R</v>
      </c>
      <c r="B195" s="55">
        <f>IFERROR(__xludf.DUMMYFUNCTION("""COMPUTED_VALUE"""),117530.33)</f>
        <v>117530.33</v>
      </c>
      <c r="C195" s="50"/>
      <c r="D195" s="55">
        <f>IFERROR(__xludf.DUMMYFUNCTION("""COMPUTED_VALUE"""),117530.33)</f>
        <v>117530.33</v>
      </c>
    </row>
    <row r="196">
      <c r="A196" s="50" t="str">
        <f>IFERROR(__xludf.DUMMYFUNCTION("""COMPUTED_VALUE"""),"C9407R")</f>
        <v>C9407R</v>
      </c>
      <c r="B196" s="55">
        <f>IFERROR(__xludf.DUMMYFUNCTION("""COMPUTED_VALUE"""),136174.7)</f>
        <v>136174.7</v>
      </c>
      <c r="C196" s="50"/>
      <c r="D196" s="55">
        <f>IFERROR(__xludf.DUMMYFUNCTION("""COMPUTED_VALUE"""),136174.7)</f>
        <v>136174.7</v>
      </c>
    </row>
    <row r="197">
      <c r="A197" s="50" t="str">
        <f>IFERROR(__xludf.DUMMYFUNCTION("""COMPUTED_VALUE"""),"C9410R")</f>
        <v>C9410R</v>
      </c>
      <c r="B197" s="55">
        <f>IFERROR(__xludf.DUMMYFUNCTION("""COMPUTED_VALUE"""),144810.28)</f>
        <v>144810.28</v>
      </c>
      <c r="C197" s="50"/>
      <c r="D197" s="55">
        <f>IFERROR(__xludf.DUMMYFUNCTION("""COMPUTED_VALUE"""),144810.28)</f>
        <v>144810.28</v>
      </c>
    </row>
    <row r="198">
      <c r="A198" s="50" t="str">
        <f>IFERROR(__xludf.DUMMYFUNCTION("""COMPUTED_VALUE"""),"C9400-LC-12QC=")</f>
        <v>C9400-LC-12QC=</v>
      </c>
      <c r="B198" s="55">
        <f>IFERROR(__xludf.DUMMYFUNCTION("""COMPUTED_VALUE"""),38258.0)</f>
        <v>38258</v>
      </c>
      <c r="C198" s="50"/>
      <c r="D198" s="55">
        <f>IFERROR(__xludf.DUMMYFUNCTION("""COMPUTED_VALUE"""),38258.0)</f>
        <v>38258</v>
      </c>
    </row>
    <row r="199">
      <c r="A199" s="50" t="str">
        <f>IFERROR(__xludf.DUMMYFUNCTION("""COMPUTED_VALUE"""),"C9400-LC-48T=")</f>
        <v>C9400-LC-48T=</v>
      </c>
      <c r="B199" s="55">
        <f>IFERROR(__xludf.DUMMYFUNCTION("""COMPUTED_VALUE"""),8689.51)</f>
        <v>8689.51</v>
      </c>
      <c r="C199" s="50"/>
      <c r="D199" s="55">
        <f>IFERROR(__xludf.DUMMYFUNCTION("""COMPUTED_VALUE"""),8689.51)</f>
        <v>8689.51</v>
      </c>
    </row>
    <row r="200">
      <c r="A200" s="50" t="str">
        <f>IFERROR(__xludf.DUMMYFUNCTION("""COMPUTED_VALUE"""),"C9400-LC-48TX=")</f>
        <v>C9400-LC-48TX=</v>
      </c>
      <c r="B200" s="55">
        <f>IFERROR(__xludf.DUMMYFUNCTION("""COMPUTED_VALUE"""),19129.0)</f>
        <v>19129</v>
      </c>
      <c r="C200" s="50"/>
      <c r="D200" s="55">
        <f>IFERROR(__xludf.DUMMYFUNCTION("""COMPUTED_VALUE"""),19129.0)</f>
        <v>19129</v>
      </c>
    </row>
    <row r="201">
      <c r="A201" s="50" t="str">
        <f>IFERROR(__xludf.DUMMYFUNCTION("""COMPUTED_VALUE"""),"C9400-LC-48S=")</f>
        <v>C9400-LC-48S=</v>
      </c>
      <c r="B201" s="55">
        <f>IFERROR(__xludf.DUMMYFUNCTION("""COMPUTED_VALUE"""),30425.45)</f>
        <v>30425.45</v>
      </c>
      <c r="C201" s="50"/>
      <c r="D201" s="55">
        <f>IFERROR(__xludf.DUMMYFUNCTION("""COMPUTED_VALUE"""),30425.45)</f>
        <v>30425.45</v>
      </c>
    </row>
    <row r="202">
      <c r="A202" s="50" t="str">
        <f>IFERROR(__xludf.DUMMYFUNCTION("""COMPUTED_VALUE"""),"C9400-LC-48XS=")</f>
        <v>C9400-LC-48XS=</v>
      </c>
      <c r="B202" s="55">
        <f>IFERROR(__xludf.DUMMYFUNCTION("""COMPUTED_VALUE"""),47564.0)</f>
        <v>47564</v>
      </c>
      <c r="C202" s="50"/>
      <c r="D202" s="55">
        <f>IFERROR(__xludf.DUMMYFUNCTION("""COMPUTED_VALUE"""),47564.0)</f>
        <v>47564</v>
      </c>
    </row>
    <row r="203">
      <c r="A203" s="50" t="str">
        <f>IFERROR(__xludf.DUMMYFUNCTION("""COMPUTED_VALUE"""),"C9606R")</f>
        <v>C9606R</v>
      </c>
      <c r="B203" s="55">
        <f>IFERROR(__xludf.DUMMYFUNCTION("""COMPUTED_VALUE"""),246495.41)</f>
        <v>246495.41</v>
      </c>
      <c r="C203" s="50"/>
      <c r="D203" s="55">
        <f>IFERROR(__xludf.DUMMYFUNCTION("""COMPUTED_VALUE"""),246495.41)</f>
        <v>246495.41</v>
      </c>
    </row>
    <row r="204">
      <c r="A204" s="50" t="str">
        <f>IFERROR(__xludf.DUMMYFUNCTION("""COMPUTED_VALUE"""),"C9600-LC-48TX=")</f>
        <v>C9600-LC-48TX=</v>
      </c>
      <c r="B204" s="55">
        <f>IFERROR(__xludf.DUMMYFUNCTION("""COMPUTED_VALUE"""),28916.35)</f>
        <v>28916.35</v>
      </c>
      <c r="C204" s="50"/>
      <c r="D204" s="55">
        <f>IFERROR(__xludf.DUMMYFUNCTION("""COMPUTED_VALUE"""),28916.35)</f>
        <v>28916.35</v>
      </c>
    </row>
    <row r="205">
      <c r="A205" s="50" t="str">
        <f>IFERROR(__xludf.DUMMYFUNCTION("""COMPUTED_VALUE"""),"C9600-LC-48YL=")</f>
        <v>C9600-LC-48YL=</v>
      </c>
      <c r="B205" s="55">
        <f>IFERROR(__xludf.DUMMYFUNCTION("""COMPUTED_VALUE"""),28916.35)</f>
        <v>28916.35</v>
      </c>
      <c r="C205" s="50"/>
      <c r="D205" s="55">
        <f>IFERROR(__xludf.DUMMYFUNCTION("""COMPUTED_VALUE"""),28916.35)</f>
        <v>28916.35</v>
      </c>
    </row>
    <row r="206">
      <c r="A206" s="50" t="str">
        <f>IFERROR(__xludf.DUMMYFUNCTION("""COMPUTED_VALUE"""),"C9600-LC-40YL4CD=")</f>
        <v>C9600-LC-40YL4CD=</v>
      </c>
      <c r="B206" s="55">
        <f>IFERROR(__xludf.DUMMYFUNCTION("""COMPUTED_VALUE"""),34122.0)</f>
        <v>34122</v>
      </c>
      <c r="C206" s="50"/>
      <c r="D206" s="55">
        <f>IFERROR(__xludf.DUMMYFUNCTION("""COMPUTED_VALUE"""),34122.0)</f>
        <v>34122</v>
      </c>
    </row>
    <row r="207">
      <c r="A207" s="50" t="str">
        <f>IFERROR(__xludf.DUMMYFUNCTION("""COMPUTED_VALUE"""),"C9600-LC-24C=")</f>
        <v>C9600-LC-24C=</v>
      </c>
      <c r="B207" s="55">
        <f>IFERROR(__xludf.DUMMYFUNCTION("""COMPUTED_VALUE"""),32859.49)</f>
        <v>32859.49</v>
      </c>
      <c r="C207" s="50"/>
      <c r="D207" s="55">
        <f>IFERROR(__xludf.DUMMYFUNCTION("""COMPUTED_VALUE"""),32859.49)</f>
        <v>32859.49</v>
      </c>
    </row>
    <row r="208">
      <c r="A208" s="50" t="str">
        <f>IFERROR(__xludf.DUMMYFUNCTION("""COMPUTED_VALUE"""),"EX4200-24T")</f>
        <v>EX4200-24T</v>
      </c>
      <c r="B208" s="55">
        <f>IFERROR(__xludf.DUMMYFUNCTION("""COMPUTED_VALUE"""),10000.0)</f>
        <v>10000</v>
      </c>
      <c r="C208" s="55">
        <f>IFERROR(__xludf.DUMMYFUNCTION("""COMPUTED_VALUE"""),26500.0)</f>
        <v>26500</v>
      </c>
      <c r="D208" s="55">
        <f>IFERROR(__xludf.DUMMYFUNCTION("""COMPUTED_VALUE"""),26500.0)</f>
        <v>26500</v>
      </c>
    </row>
    <row r="209">
      <c r="A209" s="50" t="str">
        <f>IFERROR(__xludf.DUMMYFUNCTION("""COMPUTED_VALUE"""),"EX4300-48S")</f>
        <v>EX4300-48S</v>
      </c>
      <c r="B209" s="55">
        <f>IFERROR(__xludf.DUMMYFUNCTION("""COMPUTED_VALUE"""),20000.0)</f>
        <v>20000</v>
      </c>
      <c r="C209" s="55">
        <f>IFERROR(__xludf.DUMMYFUNCTION("""COMPUTED_VALUE"""),32500.0)</f>
        <v>32500</v>
      </c>
      <c r="D209" s="55">
        <f>IFERROR(__xludf.DUMMYFUNCTION("""COMPUTED_VALUE"""),32500.0)</f>
        <v>32500</v>
      </c>
    </row>
    <row r="210">
      <c r="A210" s="50" t="str">
        <f>IFERROR(__xludf.DUMMYFUNCTION("""COMPUTED_VALUE"""),"EX4600")</f>
        <v>EX4600</v>
      </c>
      <c r="B210" s="55">
        <f>IFERROR(__xludf.DUMMYFUNCTION("""COMPUTED_VALUE"""),30000.0)</f>
        <v>30000</v>
      </c>
      <c r="C210" s="55">
        <f>IFERROR(__xludf.DUMMYFUNCTION("""COMPUTED_VALUE"""),192000.0)</f>
        <v>192000</v>
      </c>
      <c r="D210" s="55">
        <f>IFERROR(__xludf.DUMMYFUNCTION("""COMPUTED_VALUE"""),192000.0)</f>
        <v>192000</v>
      </c>
    </row>
    <row r="211">
      <c r="A211" s="50" t="str">
        <f>IFERROR(__xludf.DUMMYFUNCTION("""COMPUTED_VALUE"""),"Ficer-1G-0.5km")</f>
        <v>Ficer-1G-0.5km</v>
      </c>
      <c r="B211" s="55">
        <f>IFERROR(__xludf.DUMMYFUNCTION("""COMPUTED_VALUE"""),8.0)</f>
        <v>8</v>
      </c>
      <c r="C211" s="50"/>
      <c r="D211" s="55">
        <f>IFERROR(__xludf.DUMMYFUNCTION("""COMPUTED_VALUE"""),8.0)</f>
        <v>8</v>
      </c>
    </row>
    <row r="212">
      <c r="A212" s="50" t="str">
        <f>IFERROR(__xludf.DUMMYFUNCTION("""COMPUTED_VALUE"""),"Ficer-1G-10km")</f>
        <v>Ficer-1G-10km</v>
      </c>
      <c r="B212" s="55">
        <f>IFERROR(__xludf.DUMMYFUNCTION("""COMPUTED_VALUE"""),9.0)</f>
        <v>9</v>
      </c>
      <c r="C212" s="50"/>
      <c r="D212" s="55">
        <f>IFERROR(__xludf.DUMMYFUNCTION("""COMPUTED_VALUE"""),9.0)</f>
        <v>9</v>
      </c>
    </row>
    <row r="213">
      <c r="A213" s="50" t="str">
        <f>IFERROR(__xludf.DUMMYFUNCTION("""COMPUTED_VALUE"""),"Ficer-1G-40km")</f>
        <v>Ficer-1G-40km</v>
      </c>
      <c r="B213" s="55">
        <f>IFERROR(__xludf.DUMMYFUNCTION("""COMPUTED_VALUE"""),21.0)</f>
        <v>21</v>
      </c>
      <c r="C213" s="50"/>
      <c r="D213" s="55">
        <f>IFERROR(__xludf.DUMMYFUNCTION("""COMPUTED_VALUE"""),21.0)</f>
        <v>21</v>
      </c>
    </row>
    <row r="214">
      <c r="A214" s="50" t="str">
        <f>IFERROR(__xludf.DUMMYFUNCTION("""COMPUTED_VALUE"""),"Ficer-1G-80km")</f>
        <v>Ficer-1G-80km</v>
      </c>
      <c r="B214" s="55">
        <f>IFERROR(__xludf.DUMMYFUNCTION("""COMPUTED_VALUE"""),35.0)</f>
        <v>35</v>
      </c>
      <c r="C214" s="50"/>
      <c r="D214" s="55">
        <f>IFERROR(__xludf.DUMMYFUNCTION("""COMPUTED_VALUE"""),35.0)</f>
        <v>35</v>
      </c>
    </row>
    <row r="215">
      <c r="A215" s="50" t="str">
        <f>IFERROR(__xludf.DUMMYFUNCTION("""COMPUTED_VALUE"""),"Ficer-10G-0.5km")</f>
        <v>Ficer-10G-0.5km</v>
      </c>
      <c r="B215" s="55">
        <f>IFERROR(__xludf.DUMMYFUNCTION("""COMPUTED_VALUE"""),12.5)</f>
        <v>12.5</v>
      </c>
      <c r="C215" s="50"/>
      <c r="D215" s="55">
        <f>IFERROR(__xludf.DUMMYFUNCTION("""COMPUTED_VALUE"""),12.5)</f>
        <v>12.5</v>
      </c>
    </row>
    <row r="216">
      <c r="A216" s="50" t="str">
        <f>IFERROR(__xludf.DUMMYFUNCTION("""COMPUTED_VALUE"""),"Ficer-10G-10km")</f>
        <v>Ficer-10G-10km</v>
      </c>
      <c r="B216" s="55">
        <f>IFERROR(__xludf.DUMMYFUNCTION("""COMPUTED_VALUE"""),32.0)</f>
        <v>32</v>
      </c>
      <c r="C216" s="50"/>
      <c r="D216" s="55">
        <f>IFERROR(__xludf.DUMMYFUNCTION("""COMPUTED_VALUE"""),32.0)</f>
        <v>32</v>
      </c>
    </row>
    <row r="217">
      <c r="A217" s="50" t="str">
        <f>IFERROR(__xludf.DUMMYFUNCTION("""COMPUTED_VALUE"""),"Ficer-10G-40km")</f>
        <v>Ficer-10G-40km</v>
      </c>
      <c r="B217" s="55">
        <f>IFERROR(__xludf.DUMMYFUNCTION("""COMPUTED_VALUE"""),150.0)</f>
        <v>150</v>
      </c>
      <c r="C217" s="50"/>
      <c r="D217" s="55">
        <f>IFERROR(__xludf.DUMMYFUNCTION("""COMPUTED_VALUE"""),150.0)</f>
        <v>150</v>
      </c>
    </row>
    <row r="218">
      <c r="A218" s="50" t="str">
        <f>IFERROR(__xludf.DUMMYFUNCTION("""COMPUTED_VALUE"""),"Ficer-10G-80km")</f>
        <v>Ficer-10G-80km</v>
      </c>
      <c r="B218" s="55">
        <f>IFERROR(__xludf.DUMMYFUNCTION("""COMPUTED_VALUE"""),290.0)</f>
        <v>290</v>
      </c>
      <c r="C218" s="50"/>
      <c r="D218" s="55">
        <f>IFERROR(__xludf.DUMMYFUNCTION("""COMPUTED_VALUE"""),290.0)</f>
        <v>290</v>
      </c>
    </row>
    <row r="219">
      <c r="A219" s="50" t="str">
        <f>IFERROR(__xludf.DUMMYFUNCTION("""COMPUTED_VALUE"""),"Ficer-100G-10km")</f>
        <v>Ficer-100G-10km</v>
      </c>
      <c r="B219" s="50"/>
      <c r="C219" s="55">
        <f>IFERROR(__xludf.DUMMYFUNCTION("""COMPUTED_VALUE"""),500.0)</f>
        <v>500</v>
      </c>
      <c r="D219" s="55">
        <f>IFERROR(__xludf.DUMMYFUNCTION("""COMPUTED_VALUE"""),500.0)</f>
        <v>500</v>
      </c>
    </row>
    <row r="220">
      <c r="A220" s="50" t="str">
        <f>IFERROR(__xludf.DUMMYFUNCTION("""COMPUTED_VALUE"""),"Ficer-100G-40km")</f>
        <v>Ficer-100G-40km</v>
      </c>
      <c r="B220" s="50"/>
      <c r="C220" s="55">
        <f>IFERROR(__xludf.DUMMYFUNCTION("""COMPUTED_VALUE"""),800.0)</f>
        <v>800</v>
      </c>
      <c r="D220" s="55">
        <f>IFERROR(__xludf.DUMMYFUNCTION("""COMPUTED_VALUE"""),800.0)</f>
        <v>800</v>
      </c>
    </row>
    <row r="221">
      <c r="A221" s="50" t="str">
        <f>IFERROR(__xludf.DUMMYFUNCTION("""COMPUTED_VALUE"""),"Ficer-100G-80km")</f>
        <v>Ficer-100G-80km</v>
      </c>
      <c r="B221" s="50"/>
      <c r="C221" s="55">
        <f>IFERROR(__xludf.DUMMYFUNCTION("""COMPUTED_VALUE"""),1000.0)</f>
        <v>1000</v>
      </c>
      <c r="D221" s="55">
        <f>IFERROR(__xludf.DUMMYFUNCTION("""COMPUTED_VALUE"""),1000.0)</f>
        <v>1000</v>
      </c>
    </row>
  </sheetData>
  <conditionalFormatting sqref="D2:D1000">
    <cfRule type="expression" dxfId="0" priority="1">
      <formula>B2&lt;&gt;D2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1" width="27.38"/>
  </cols>
  <sheetData>
    <row r="1">
      <c r="A1" s="59" t="s">
        <v>173</v>
      </c>
      <c r="B1" s="59" t="s">
        <v>174</v>
      </c>
      <c r="C1" s="60" t="s">
        <v>175</v>
      </c>
      <c r="D1" s="60" t="s">
        <v>176</v>
      </c>
      <c r="E1" s="59" t="s">
        <v>177</v>
      </c>
      <c r="F1" s="59" t="s">
        <v>178</v>
      </c>
      <c r="G1" s="60" t="s">
        <v>179</v>
      </c>
      <c r="H1" s="59" t="s">
        <v>180</v>
      </c>
      <c r="I1" s="59" t="s">
        <v>181</v>
      </c>
      <c r="J1" s="59" t="s">
        <v>182</v>
      </c>
      <c r="K1" s="59" t="s">
        <v>183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</row>
    <row r="2">
      <c r="A2" s="62" t="s">
        <v>184</v>
      </c>
      <c r="B2" s="62" t="s">
        <v>184</v>
      </c>
      <c r="C2" s="62" t="s">
        <v>185</v>
      </c>
      <c r="D2" s="62" t="s">
        <v>185</v>
      </c>
      <c r="E2" s="62" t="s">
        <v>186</v>
      </c>
      <c r="F2" s="62" t="s">
        <v>187</v>
      </c>
      <c r="G2" s="62" t="s">
        <v>184</v>
      </c>
      <c r="H2" s="62" t="s">
        <v>188</v>
      </c>
      <c r="I2" s="62" t="s">
        <v>189</v>
      </c>
      <c r="J2" s="62" t="s">
        <v>190</v>
      </c>
      <c r="K2" s="62" t="s">
        <v>189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</row>
    <row r="3">
      <c r="A3" s="62" t="s">
        <v>191</v>
      </c>
      <c r="B3" s="62" t="s">
        <v>191</v>
      </c>
      <c r="C3" s="62" t="s">
        <v>192</v>
      </c>
      <c r="D3" s="62" t="s">
        <v>192</v>
      </c>
      <c r="E3" s="62" t="s">
        <v>193</v>
      </c>
      <c r="F3" s="62" t="s">
        <v>194</v>
      </c>
      <c r="G3" s="62" t="s">
        <v>191</v>
      </c>
      <c r="H3" s="62" t="s">
        <v>195</v>
      </c>
      <c r="I3" s="62" t="s">
        <v>196</v>
      </c>
      <c r="J3" s="62" t="s">
        <v>197</v>
      </c>
      <c r="K3" s="62" t="s">
        <v>196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</row>
    <row r="4">
      <c r="A4" s="62" t="s">
        <v>198</v>
      </c>
      <c r="B4" s="62" t="s">
        <v>198</v>
      </c>
      <c r="C4" s="62" t="s">
        <v>199</v>
      </c>
      <c r="D4" s="62" t="s">
        <v>199</v>
      </c>
      <c r="E4" s="62" t="s">
        <v>200</v>
      </c>
      <c r="F4" s="62" t="s">
        <v>201</v>
      </c>
      <c r="G4" s="62" t="s">
        <v>198</v>
      </c>
      <c r="H4" s="62" t="s">
        <v>202</v>
      </c>
      <c r="I4" s="63"/>
      <c r="J4" s="62" t="s">
        <v>203</v>
      </c>
      <c r="K4" s="62" t="s">
        <v>204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</row>
    <row r="5">
      <c r="A5" s="62" t="s">
        <v>205</v>
      </c>
      <c r="B5" s="62" t="s">
        <v>205</v>
      </c>
      <c r="C5" s="62" t="s">
        <v>206</v>
      </c>
      <c r="D5" s="62" t="s">
        <v>206</v>
      </c>
      <c r="E5" s="62" t="s">
        <v>207</v>
      </c>
      <c r="F5" s="63"/>
      <c r="G5" s="62" t="s">
        <v>205</v>
      </c>
      <c r="H5" s="62" t="s">
        <v>208</v>
      </c>
      <c r="I5" s="63"/>
      <c r="J5" s="62" t="s">
        <v>209</v>
      </c>
      <c r="K5" s="62" t="s">
        <v>210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</row>
    <row r="6">
      <c r="A6" s="62" t="s">
        <v>211</v>
      </c>
      <c r="B6" s="63"/>
      <c r="C6" s="64" t="s">
        <v>212</v>
      </c>
      <c r="D6" s="64" t="s">
        <v>212</v>
      </c>
      <c r="E6" s="63"/>
      <c r="F6" s="63"/>
      <c r="G6" s="63"/>
      <c r="H6" s="62" t="s">
        <v>213</v>
      </c>
      <c r="I6" s="63"/>
      <c r="J6" s="62" t="s">
        <v>214</v>
      </c>
      <c r="K6" s="63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</row>
    <row r="7">
      <c r="A7" s="62" t="s">
        <v>215</v>
      </c>
      <c r="B7" s="63"/>
      <c r="C7" s="64" t="s">
        <v>216</v>
      </c>
      <c r="D7" s="64" t="s">
        <v>216</v>
      </c>
      <c r="E7" s="63"/>
      <c r="F7" s="63"/>
      <c r="G7" s="63"/>
      <c r="H7" s="62" t="s">
        <v>217</v>
      </c>
      <c r="I7" s="63"/>
      <c r="J7" s="62" t="s">
        <v>218</v>
      </c>
      <c r="K7" s="63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</row>
    <row r="8">
      <c r="A8" s="63"/>
      <c r="B8" s="63"/>
      <c r="C8" s="62" t="s">
        <v>217</v>
      </c>
      <c r="D8" s="62" t="s">
        <v>217</v>
      </c>
      <c r="E8" s="63"/>
      <c r="F8" s="63"/>
      <c r="G8" s="63"/>
      <c r="H8" s="63"/>
      <c r="I8" s="63"/>
      <c r="J8" s="63"/>
      <c r="K8" s="63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</row>
    <row r="9">
      <c r="A9" s="63"/>
      <c r="B9" s="63"/>
      <c r="C9" s="62" t="s">
        <v>219</v>
      </c>
      <c r="D9" s="62" t="s">
        <v>219</v>
      </c>
      <c r="E9" s="63"/>
      <c r="F9" s="63"/>
      <c r="G9" s="63"/>
      <c r="H9" s="63"/>
      <c r="I9" s="63"/>
      <c r="J9" s="63"/>
      <c r="K9" s="63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</row>
    <row r="10">
      <c r="A10" s="63"/>
      <c r="B10" s="63"/>
      <c r="C10" s="64" t="s">
        <v>220</v>
      </c>
      <c r="D10" s="64" t="s">
        <v>220</v>
      </c>
      <c r="E10" s="63"/>
      <c r="F10" s="63"/>
      <c r="G10" s="63"/>
      <c r="H10" s="63"/>
      <c r="I10" s="63"/>
      <c r="J10" s="63"/>
      <c r="K10" s="63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</row>
    <row r="11">
      <c r="A11" s="61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</row>
    <row r="12">
      <c r="A12" s="61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</row>
    <row r="13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</row>
    <row r="14">
      <c r="A14" s="61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</row>
    <row r="1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</row>
    <row r="16">
      <c r="A16" s="61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</row>
    <row r="17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</row>
    <row r="18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</row>
    <row r="20">
      <c r="A20" s="61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</row>
    <row r="21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</row>
    <row r="22">
      <c r="A22" s="61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</row>
    <row r="23">
      <c r="A23" s="61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</row>
    <row r="24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</row>
    <row r="25">
      <c r="A25" s="61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</row>
    <row r="26">
      <c r="A26" s="61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</row>
    <row r="27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</row>
    <row r="28">
      <c r="A28" s="61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</row>
    <row r="29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</row>
    <row r="30">
      <c r="A30" s="61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</row>
    <row r="31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</row>
    <row r="32">
      <c r="A32" s="61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</row>
    <row r="33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</row>
    <row r="34">
      <c r="A34" s="61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</row>
    <row r="3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</row>
    <row r="36">
      <c r="A36" s="61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</row>
    <row r="37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</row>
    <row r="38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</row>
    <row r="39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</row>
    <row r="40">
      <c r="A40" s="61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</row>
    <row r="41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</row>
    <row r="42">
      <c r="A42" s="61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</row>
    <row r="43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</row>
    <row r="52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</row>
    <row r="53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</row>
    <row r="54">
      <c r="A54" s="61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</row>
    <row r="5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</row>
    <row r="56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</row>
    <row r="57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</row>
    <row r="58">
      <c r="A58" s="61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</row>
    <row r="59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</row>
    <row r="60">
      <c r="A60" s="61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</row>
    <row r="61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</row>
    <row r="62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</row>
    <row r="6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</row>
    <row r="64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</row>
    <row r="6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</row>
    <row r="66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</row>
    <row r="67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</row>
    <row r="68">
      <c r="A68" s="61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</row>
    <row r="69">
      <c r="A69" s="61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</row>
    <row r="70">
      <c r="A70" s="6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</row>
    <row r="71">
      <c r="A71" s="6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</row>
    <row r="72">
      <c r="A72" s="6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</row>
    <row r="73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</row>
    <row r="74">
      <c r="A74" s="6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</row>
    <row r="75">
      <c r="A75" s="6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</row>
    <row r="76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</row>
    <row r="77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</row>
    <row r="78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</row>
    <row r="79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</row>
    <row r="80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</row>
    <row r="81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</row>
    <row r="82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</row>
    <row r="8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</row>
    <row r="84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</row>
    <row r="8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</row>
    <row r="86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</row>
    <row r="87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</row>
    <row r="88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</row>
    <row r="89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</row>
    <row r="90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</row>
    <row r="91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</row>
    <row r="92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</row>
    <row r="9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</row>
    <row r="94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</row>
    <row r="9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</row>
    <row r="96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</row>
    <row r="97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</row>
    <row r="98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</row>
    <row r="99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</row>
    <row r="100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</row>
    <row r="101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</row>
    <row r="102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</row>
    <row r="10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</row>
    <row r="104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</row>
    <row r="10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</row>
    <row r="106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</row>
    <row r="107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</row>
    <row r="108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</row>
    <row r="109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</row>
    <row r="110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</row>
    <row r="111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</row>
    <row r="112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</row>
    <row r="11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</row>
    <row r="114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</row>
    <row r="11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</row>
    <row r="116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</row>
    <row r="117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</row>
    <row r="118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</row>
    <row r="119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</row>
    <row r="120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</row>
    <row r="12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</row>
    <row r="122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</row>
    <row r="12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</row>
    <row r="124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</row>
    <row r="1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</row>
    <row r="126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</row>
    <row r="127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</row>
    <row r="128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</row>
    <row r="129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</row>
    <row r="130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</row>
    <row r="131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</row>
    <row r="132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</row>
    <row r="1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</row>
    <row r="134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</row>
    <row r="13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</row>
    <row r="136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</row>
    <row r="137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</row>
    <row r="138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</row>
    <row r="139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</row>
    <row r="140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</row>
    <row r="141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</row>
    <row r="142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</row>
    <row r="14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</row>
    <row r="144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</row>
    <row r="14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</row>
    <row r="146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</row>
    <row r="147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</row>
    <row r="148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</row>
    <row r="149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</row>
    <row r="150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</row>
    <row r="151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</row>
    <row r="152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</row>
    <row r="15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</row>
    <row r="154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</row>
    <row r="155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</row>
    <row r="156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</row>
    <row r="157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</row>
    <row r="158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</row>
    <row r="159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</row>
    <row r="160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</row>
    <row r="161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</row>
    <row r="162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</row>
    <row r="16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</row>
    <row r="164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</row>
    <row r="165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</row>
    <row r="166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</row>
    <row r="167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</row>
    <row r="168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</row>
    <row r="169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</row>
    <row r="170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</row>
    <row r="171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</row>
    <row r="172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</row>
    <row r="17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</row>
    <row r="174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</row>
    <row r="175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</row>
    <row r="176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</row>
    <row r="177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</row>
    <row r="178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</row>
    <row r="179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</row>
    <row r="180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</row>
    <row r="181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</row>
    <row r="182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</row>
    <row r="18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</row>
    <row r="184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</row>
    <row r="18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</row>
    <row r="186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</row>
    <row r="187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</row>
    <row r="188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</row>
    <row r="189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</row>
    <row r="190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</row>
    <row r="191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</row>
    <row r="192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</row>
    <row r="19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</row>
    <row r="194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</row>
    <row r="195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</row>
    <row r="196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</row>
    <row r="197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</row>
    <row r="198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</row>
    <row r="199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</row>
    <row r="200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</row>
    <row r="201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</row>
    <row r="202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</row>
    <row r="20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</row>
    <row r="204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</row>
    <row r="205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</row>
    <row r="206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</row>
    <row r="207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</row>
    <row r="208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</row>
    <row r="209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</row>
    <row r="210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</row>
    <row r="211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</row>
    <row r="212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</row>
    <row r="21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</row>
    <row r="214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</row>
    <row r="215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</row>
    <row r="216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</row>
    <row r="217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</row>
    <row r="218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</row>
    <row r="219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</row>
    <row r="220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</row>
    <row r="221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</row>
    <row r="222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</row>
    <row r="22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</row>
    <row r="224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</row>
    <row r="225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</row>
    <row r="226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</row>
    <row r="227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</row>
    <row r="228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</row>
    <row r="229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</row>
    <row r="230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</row>
    <row r="23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</row>
    <row r="232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</row>
    <row r="2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</row>
    <row r="234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</row>
    <row r="235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</row>
    <row r="236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</row>
    <row r="237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</row>
    <row r="238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</row>
    <row r="239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</row>
    <row r="240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</row>
    <row r="241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</row>
    <row r="242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</row>
    <row r="24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</row>
    <row r="244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</row>
    <row r="245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</row>
    <row r="246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</row>
    <row r="247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</row>
    <row r="248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</row>
    <row r="249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</row>
    <row r="250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</row>
    <row r="25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</row>
    <row r="252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</row>
    <row r="25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</row>
    <row r="254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</row>
    <row r="25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</row>
    <row r="256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</row>
    <row r="257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</row>
    <row r="258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</row>
    <row r="259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</row>
    <row r="260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</row>
    <row r="26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</row>
    <row r="262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</row>
    <row r="26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</row>
    <row r="264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</row>
    <row r="265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</row>
    <row r="266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</row>
    <row r="267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</row>
    <row r="268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</row>
    <row r="269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</row>
    <row r="270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</row>
    <row r="27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</row>
    <row r="272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</row>
    <row r="27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</row>
    <row r="274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</row>
    <row r="275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</row>
    <row r="276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</row>
    <row r="277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</row>
    <row r="278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</row>
    <row r="279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</row>
    <row r="280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</row>
    <row r="28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</row>
    <row r="282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</row>
    <row r="28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</row>
    <row r="284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</row>
    <row r="285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</row>
    <row r="286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</row>
    <row r="287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</row>
    <row r="288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</row>
    <row r="289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</row>
    <row r="290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</row>
    <row r="29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</row>
    <row r="292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</row>
    <row r="29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</row>
    <row r="294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</row>
    <row r="295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</row>
    <row r="296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</row>
    <row r="297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</row>
    <row r="298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</row>
    <row r="299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</row>
    <row r="300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</row>
    <row r="30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</row>
    <row r="302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</row>
    <row r="30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</row>
    <row r="304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</row>
    <row r="305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</row>
    <row r="306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</row>
    <row r="307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</row>
    <row r="308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</row>
    <row r="309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</row>
    <row r="310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</row>
    <row r="31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</row>
    <row r="312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</row>
    <row r="31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</row>
    <row r="314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</row>
    <row r="315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</row>
    <row r="316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</row>
    <row r="317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</row>
    <row r="318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</row>
    <row r="319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</row>
    <row r="320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</row>
    <row r="32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</row>
    <row r="322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</row>
    <row r="32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</row>
    <row r="324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</row>
    <row r="325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</row>
    <row r="326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</row>
    <row r="327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</row>
    <row r="328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</row>
    <row r="329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</row>
    <row r="330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</row>
    <row r="33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</row>
    <row r="332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</row>
    <row r="3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</row>
    <row r="334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</row>
    <row r="335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</row>
    <row r="336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</row>
    <row r="337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</row>
    <row r="338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</row>
    <row r="339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</row>
    <row r="340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</row>
    <row r="34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</row>
    <row r="342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</row>
    <row r="34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</row>
    <row r="344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</row>
    <row r="345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</row>
    <row r="346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</row>
    <row r="347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</row>
    <row r="348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</row>
    <row r="349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</row>
    <row r="350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</row>
    <row r="35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</row>
    <row r="352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</row>
    <row r="35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</row>
    <row r="354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</row>
    <row r="355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</row>
    <row r="356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</row>
    <row r="357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</row>
    <row r="358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</row>
    <row r="359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</row>
    <row r="360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</row>
    <row r="36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</row>
    <row r="362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</row>
    <row r="36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</row>
    <row r="364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</row>
    <row r="365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</row>
    <row r="366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</row>
    <row r="367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</row>
    <row r="368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</row>
    <row r="369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</row>
    <row r="370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</row>
    <row r="37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</row>
    <row r="372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</row>
    <row r="37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</row>
    <row r="374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</row>
    <row r="375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</row>
    <row r="376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</row>
    <row r="377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</row>
    <row r="378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</row>
    <row r="379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</row>
    <row r="380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</row>
    <row r="38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</row>
    <row r="382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</row>
    <row r="38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</row>
    <row r="384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</row>
    <row r="385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</row>
    <row r="386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</row>
    <row r="387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</row>
    <row r="388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</row>
    <row r="389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</row>
    <row r="390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</row>
    <row r="39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</row>
    <row r="392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</row>
    <row r="39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</row>
    <row r="394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</row>
    <row r="395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</row>
    <row r="396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</row>
    <row r="397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</row>
    <row r="398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</row>
    <row r="399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</row>
    <row r="400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</row>
    <row r="40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</row>
    <row r="402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</row>
    <row r="40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</row>
    <row r="404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</row>
    <row r="405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</row>
    <row r="406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</row>
    <row r="407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</row>
    <row r="408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</row>
    <row r="409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</row>
    <row r="410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</row>
    <row r="41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</row>
    <row r="412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</row>
    <row r="41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</row>
    <row r="414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</row>
    <row r="415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</row>
    <row r="416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</row>
    <row r="417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</row>
    <row r="418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</row>
    <row r="419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</row>
    <row r="420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</row>
    <row r="42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</row>
    <row r="422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</row>
    <row r="42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</row>
    <row r="424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</row>
    <row r="425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</row>
    <row r="426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</row>
    <row r="427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</row>
    <row r="428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</row>
    <row r="429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</row>
    <row r="430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</row>
    <row r="43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</row>
    <row r="432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</row>
    <row r="4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</row>
    <row r="434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</row>
    <row r="43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</row>
    <row r="436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</row>
    <row r="437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</row>
    <row r="438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</row>
    <row r="439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</row>
    <row r="440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</row>
    <row r="44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</row>
    <row r="442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</row>
    <row r="44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</row>
    <row r="444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</row>
    <row r="44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</row>
    <row r="446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</row>
    <row r="447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</row>
    <row r="448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</row>
    <row r="449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</row>
    <row r="450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</row>
    <row r="45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</row>
    <row r="452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</row>
    <row r="45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</row>
    <row r="454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</row>
    <row r="45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</row>
    <row r="456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</row>
    <row r="457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</row>
    <row r="458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</row>
    <row r="459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</row>
    <row r="460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</row>
    <row r="46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</row>
    <row r="462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</row>
    <row r="46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</row>
    <row r="464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</row>
    <row r="465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</row>
    <row r="466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</row>
    <row r="467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</row>
    <row r="468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</row>
    <row r="469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</row>
    <row r="470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</row>
    <row r="47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</row>
    <row r="472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</row>
    <row r="47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</row>
    <row r="474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</row>
    <row r="475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</row>
    <row r="476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</row>
    <row r="477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</row>
    <row r="478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</row>
    <row r="479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</row>
    <row r="480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</row>
    <row r="48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</row>
    <row r="482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</row>
    <row r="48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</row>
    <row r="484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</row>
    <row r="485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</row>
    <row r="486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</row>
    <row r="487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</row>
    <row r="488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</row>
    <row r="489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</row>
    <row r="490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</row>
    <row r="49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</row>
    <row r="492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</row>
    <row r="49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</row>
    <row r="494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</row>
    <row r="495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</row>
    <row r="496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</row>
    <row r="497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</row>
    <row r="498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</row>
    <row r="499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</row>
    <row r="500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</row>
    <row r="50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</row>
    <row r="502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</row>
    <row r="50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</row>
    <row r="504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</row>
    <row r="505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</row>
    <row r="506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</row>
    <row r="507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</row>
    <row r="508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</row>
    <row r="509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</row>
    <row r="510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</row>
    <row r="51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</row>
    <row r="512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</row>
    <row r="51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</row>
    <row r="514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</row>
    <row r="515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</row>
    <row r="516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</row>
    <row r="517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</row>
    <row r="518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</row>
    <row r="519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</row>
    <row r="520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</row>
    <row r="52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</row>
    <row r="522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</row>
    <row r="52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</row>
    <row r="524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</row>
    <row r="525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</row>
    <row r="526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</row>
    <row r="527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</row>
    <row r="528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</row>
    <row r="529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</row>
    <row r="530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</row>
    <row r="53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</row>
    <row r="532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</row>
    <row r="5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</row>
    <row r="534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</row>
    <row r="535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</row>
    <row r="536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</row>
    <row r="537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</row>
    <row r="538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</row>
    <row r="539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</row>
    <row r="540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</row>
    <row r="54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</row>
    <row r="542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</row>
    <row r="54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</row>
    <row r="544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</row>
    <row r="545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</row>
    <row r="546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</row>
    <row r="547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</row>
    <row r="548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</row>
    <row r="549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</row>
    <row r="550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</row>
    <row r="55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</row>
    <row r="552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</row>
    <row r="55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</row>
    <row r="554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</row>
    <row r="555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</row>
    <row r="556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</row>
    <row r="557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</row>
    <row r="558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</row>
    <row r="559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</row>
    <row r="560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</row>
    <row r="56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</row>
    <row r="562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</row>
    <row r="56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</row>
    <row r="564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</row>
    <row r="565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</row>
    <row r="566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</row>
    <row r="567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</row>
    <row r="568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</row>
    <row r="569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</row>
    <row r="570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</row>
    <row r="57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</row>
    <row r="572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</row>
    <row r="57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</row>
    <row r="574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</row>
    <row r="575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</row>
    <row r="576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</row>
    <row r="577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</row>
    <row r="578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</row>
    <row r="579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</row>
    <row r="580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</row>
    <row r="58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</row>
    <row r="582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</row>
    <row r="58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</row>
    <row r="584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</row>
    <row r="585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</row>
    <row r="586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</row>
    <row r="587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</row>
    <row r="588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</row>
    <row r="589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</row>
    <row r="590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</row>
    <row r="59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</row>
    <row r="592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</row>
    <row r="59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</row>
    <row r="594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</row>
    <row r="595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</row>
    <row r="596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</row>
    <row r="597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</row>
    <row r="598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</row>
    <row r="599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</row>
    <row r="600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</row>
    <row r="60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</row>
    <row r="602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</row>
    <row r="60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</row>
    <row r="604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</row>
    <row r="605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</row>
    <row r="606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</row>
    <row r="607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</row>
    <row r="608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</row>
    <row r="609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</row>
    <row r="610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</row>
    <row r="61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</row>
    <row r="612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</row>
    <row r="61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</row>
    <row r="614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</row>
    <row r="615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</row>
    <row r="616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</row>
    <row r="617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</row>
    <row r="618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</row>
    <row r="619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</row>
    <row r="620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</row>
    <row r="62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</row>
    <row r="622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</row>
    <row r="62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</row>
    <row r="624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</row>
    <row r="625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</row>
    <row r="626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</row>
    <row r="627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</row>
    <row r="628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</row>
    <row r="629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</row>
    <row r="630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</row>
    <row r="63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</row>
    <row r="632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</row>
    <row r="6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</row>
    <row r="634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</row>
    <row r="635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</row>
    <row r="636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</row>
    <row r="637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</row>
    <row r="638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</row>
    <row r="639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</row>
    <row r="640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</row>
    <row r="64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</row>
    <row r="642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</row>
    <row r="64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</row>
    <row r="644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</row>
    <row r="645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</row>
    <row r="646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</row>
    <row r="647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</row>
    <row r="648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</row>
    <row r="649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</row>
    <row r="650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</row>
    <row r="65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</row>
    <row r="652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</row>
    <row r="65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</row>
    <row r="654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</row>
    <row r="655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</row>
    <row r="656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</row>
    <row r="657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</row>
    <row r="658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</row>
    <row r="659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</row>
    <row r="660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</row>
    <row r="66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</row>
    <row r="662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</row>
    <row r="66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</row>
    <row r="664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</row>
    <row r="665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</row>
    <row r="666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</row>
    <row r="667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</row>
    <row r="668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</row>
    <row r="669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</row>
    <row r="670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</row>
    <row r="67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</row>
    <row r="672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</row>
    <row r="67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</row>
    <row r="674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</row>
    <row r="675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</row>
    <row r="676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</row>
    <row r="677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</row>
    <row r="678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</row>
    <row r="679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</row>
    <row r="680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</row>
    <row r="68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</row>
    <row r="682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</row>
    <row r="68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</row>
    <row r="684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</row>
    <row r="685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</row>
    <row r="686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</row>
    <row r="687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</row>
    <row r="688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</row>
    <row r="689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</row>
    <row r="690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</row>
    <row r="69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</row>
    <row r="692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</row>
    <row r="69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</row>
    <row r="694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</row>
    <row r="695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</row>
    <row r="696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</row>
    <row r="697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</row>
    <row r="698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</row>
    <row r="699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</row>
    <row r="700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</row>
    <row r="70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</row>
    <row r="702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</row>
    <row r="70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</row>
    <row r="704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</row>
    <row r="705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</row>
    <row r="706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</row>
    <row r="707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</row>
    <row r="708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</row>
    <row r="709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</row>
    <row r="710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</row>
    <row r="71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</row>
    <row r="712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</row>
    <row r="71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</row>
    <row r="714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</row>
    <row r="715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</row>
    <row r="716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</row>
    <row r="717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</row>
    <row r="718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</row>
    <row r="719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</row>
    <row r="720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</row>
    <row r="72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</row>
    <row r="722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</row>
    <row r="72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</row>
    <row r="724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</row>
    <row r="725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</row>
    <row r="726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</row>
    <row r="727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</row>
    <row r="728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</row>
    <row r="729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</row>
    <row r="730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</row>
    <row r="73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</row>
    <row r="732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</row>
    <row r="7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</row>
    <row r="734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</row>
    <row r="735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</row>
    <row r="736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</row>
    <row r="737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</row>
    <row r="738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</row>
    <row r="739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</row>
    <row r="740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</row>
    <row r="74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</row>
    <row r="742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</row>
    <row r="74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</row>
    <row r="744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</row>
    <row r="745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</row>
    <row r="746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</row>
    <row r="747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</row>
    <row r="748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</row>
    <row r="749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</row>
    <row r="750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</row>
    <row r="75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</row>
    <row r="752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</row>
    <row r="75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</row>
    <row r="754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</row>
    <row r="755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</row>
    <row r="756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</row>
    <row r="757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</row>
    <row r="758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</row>
    <row r="759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</row>
    <row r="760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</row>
    <row r="76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</row>
    <row r="762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</row>
    <row r="76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</row>
    <row r="764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</row>
    <row r="765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</row>
    <row r="766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</row>
    <row r="767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</row>
    <row r="768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</row>
    <row r="769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</row>
    <row r="770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</row>
    <row r="77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</row>
    <row r="772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</row>
    <row r="77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</row>
    <row r="774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</row>
    <row r="775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</row>
    <row r="776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</row>
    <row r="777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</row>
    <row r="778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</row>
    <row r="779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</row>
    <row r="780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</row>
    <row r="78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</row>
    <row r="782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</row>
    <row r="78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</row>
    <row r="784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</row>
    <row r="785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</row>
    <row r="786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</row>
    <row r="787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</row>
    <row r="788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</row>
    <row r="789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</row>
    <row r="790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</row>
    <row r="79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</row>
    <row r="792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</row>
    <row r="79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</row>
    <row r="794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</row>
    <row r="795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</row>
    <row r="796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</row>
    <row r="797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</row>
    <row r="798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</row>
    <row r="799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</row>
    <row r="800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</row>
    <row r="80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</row>
    <row r="802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</row>
    <row r="80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</row>
    <row r="804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</row>
    <row r="805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</row>
    <row r="806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</row>
    <row r="807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</row>
    <row r="808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</row>
    <row r="809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</row>
    <row r="810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</row>
    <row r="81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</row>
    <row r="812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</row>
    <row r="81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</row>
    <row r="814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</row>
    <row r="815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</row>
    <row r="816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</row>
    <row r="817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</row>
    <row r="818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</row>
    <row r="819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</row>
    <row r="820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</row>
    <row r="82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</row>
    <row r="822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</row>
    <row r="82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</row>
    <row r="824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</row>
    <row r="825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</row>
    <row r="826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</row>
    <row r="827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</row>
    <row r="828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</row>
    <row r="829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</row>
    <row r="830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</row>
    <row r="83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</row>
    <row r="832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</row>
    <row r="8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</row>
    <row r="834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</row>
    <row r="835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</row>
    <row r="836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</row>
    <row r="837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</row>
    <row r="838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</row>
    <row r="839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</row>
    <row r="840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</row>
    <row r="84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</row>
    <row r="842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</row>
    <row r="84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</row>
    <row r="844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</row>
    <row r="845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</row>
    <row r="846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</row>
    <row r="847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</row>
    <row r="848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</row>
    <row r="849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</row>
    <row r="850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</row>
    <row r="85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</row>
    <row r="852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</row>
    <row r="85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</row>
    <row r="854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</row>
    <row r="855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</row>
    <row r="856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</row>
    <row r="857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</row>
    <row r="858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</row>
    <row r="859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</row>
    <row r="860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</row>
    <row r="86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</row>
    <row r="862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</row>
    <row r="86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</row>
    <row r="864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</row>
    <row r="865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</row>
    <row r="866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</row>
    <row r="867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</row>
    <row r="868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</row>
    <row r="869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</row>
    <row r="870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</row>
    <row r="87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</row>
    <row r="872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</row>
    <row r="87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</row>
    <row r="874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</row>
    <row r="875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</row>
    <row r="876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</row>
    <row r="877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</row>
    <row r="878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</row>
    <row r="879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</row>
    <row r="880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</row>
    <row r="88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</row>
    <row r="882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</row>
    <row r="88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</row>
    <row r="884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</row>
    <row r="885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</row>
    <row r="886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</row>
    <row r="887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</row>
    <row r="888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</row>
    <row r="889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</row>
    <row r="890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</row>
    <row r="89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</row>
    <row r="892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</row>
    <row r="89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</row>
    <row r="894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</row>
    <row r="895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</row>
    <row r="896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</row>
    <row r="897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</row>
    <row r="898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</row>
    <row r="899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</row>
    <row r="900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</row>
    <row r="90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</row>
    <row r="902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</row>
    <row r="90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</row>
    <row r="904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</row>
    <row r="905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</row>
    <row r="906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</row>
    <row r="907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</row>
    <row r="908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</row>
    <row r="909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</row>
    <row r="910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</row>
    <row r="91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</row>
    <row r="912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</row>
    <row r="91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</row>
    <row r="914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</row>
    <row r="915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</row>
    <row r="916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</row>
    <row r="917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</row>
    <row r="918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</row>
    <row r="919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</row>
    <row r="920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</row>
    <row r="92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</row>
    <row r="922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</row>
    <row r="92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</row>
    <row r="924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</row>
    <row r="925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</row>
    <row r="926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</row>
    <row r="927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</row>
    <row r="928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</row>
    <row r="929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</row>
    <row r="930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</row>
    <row r="93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</row>
    <row r="932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</row>
    <row r="9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</row>
    <row r="934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</row>
    <row r="935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</row>
    <row r="936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</row>
    <row r="937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</row>
    <row r="938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</row>
    <row r="939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</row>
    <row r="940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</row>
    <row r="94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</row>
    <row r="942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</row>
    <row r="94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</row>
    <row r="944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</row>
    <row r="945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</row>
    <row r="946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</row>
    <row r="947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</row>
    <row r="948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</row>
    <row r="949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</row>
    <row r="950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</row>
    <row r="95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</row>
    <row r="952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</row>
    <row r="95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</row>
    <row r="954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</row>
    <row r="955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</row>
    <row r="956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</row>
    <row r="957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</row>
    <row r="958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</row>
    <row r="959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</row>
    <row r="960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</row>
    <row r="96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</row>
    <row r="962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</row>
    <row r="96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</row>
    <row r="964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</row>
    <row r="965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</row>
    <row r="966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</row>
    <row r="967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</row>
    <row r="968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</row>
    <row r="969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</row>
    <row r="970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</row>
    <row r="97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</row>
    <row r="972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</row>
    <row r="97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</row>
    <row r="974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</row>
    <row r="975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</row>
    <row r="976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</row>
    <row r="977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</row>
    <row r="978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</row>
    <row r="979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</row>
    <row r="980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</row>
    <row r="98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</row>
    <row r="982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</row>
    <row r="98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</row>
    <row r="984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</row>
    <row r="985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</row>
    <row r="986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</row>
    <row r="987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</row>
    <row r="988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</row>
    <row r="989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</row>
    <row r="990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</row>
    <row r="99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</row>
    <row r="992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</row>
    <row r="99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</row>
    <row r="994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</row>
    <row r="995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</row>
    <row r="996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</row>
    <row r="997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</row>
    <row r="998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</row>
    <row r="999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</row>
    <row r="1000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63"/>
    <col customWidth="1" min="2" max="4" width="12.63"/>
    <col customWidth="1" min="5" max="7" width="13.5"/>
    <col customWidth="1" min="8" max="10" width="14.38"/>
    <col customWidth="1" min="11" max="12" width="12.5"/>
    <col customWidth="1" min="13" max="13" width="12.38"/>
    <col customWidth="1" min="14" max="16" width="11.75"/>
    <col customWidth="1" min="17" max="17" width="16.5"/>
    <col customWidth="1" min="18" max="18" width="17.63"/>
    <col customWidth="1" min="19" max="19" width="16.5"/>
  </cols>
  <sheetData>
    <row r="1">
      <c r="A1" s="1" t="str">
        <f>Specs!I1</f>
        <v>SFP</v>
      </c>
      <c r="B1" s="4" t="s">
        <v>221</v>
      </c>
      <c r="C1" s="4" t="s">
        <v>222</v>
      </c>
      <c r="D1" s="4" t="s">
        <v>223</v>
      </c>
      <c r="E1" s="4" t="s">
        <v>224</v>
      </c>
      <c r="F1" s="4" t="s">
        <v>225</v>
      </c>
      <c r="G1" s="4" t="s">
        <v>226</v>
      </c>
      <c r="H1" s="4" t="s">
        <v>227</v>
      </c>
      <c r="I1" s="4" t="s">
        <v>228</v>
      </c>
      <c r="J1" s="4" t="s">
        <v>229</v>
      </c>
      <c r="K1" s="4" t="s">
        <v>230</v>
      </c>
      <c r="L1" s="4" t="s">
        <v>231</v>
      </c>
      <c r="M1" s="4" t="s">
        <v>232</v>
      </c>
      <c r="N1" s="4" t="s">
        <v>233</v>
      </c>
      <c r="O1" s="4" t="s">
        <v>234</v>
      </c>
      <c r="P1" s="4" t="s">
        <v>235</v>
      </c>
      <c r="Q1" s="4" t="s">
        <v>236</v>
      </c>
      <c r="R1" s="4" t="s">
        <v>237</v>
      </c>
      <c r="S1" s="4" t="s">
        <v>238</v>
      </c>
      <c r="T1" s="35" t="s">
        <v>239</v>
      </c>
      <c r="U1" s="35" t="s">
        <v>240</v>
      </c>
      <c r="V1" s="35" t="s">
        <v>241</v>
      </c>
      <c r="W1" s="35" t="s">
        <v>242</v>
      </c>
      <c r="X1" s="35" t="s">
        <v>243</v>
      </c>
      <c r="Y1" s="35" t="s">
        <v>244</v>
      </c>
      <c r="Z1" s="35" t="s">
        <v>245</v>
      </c>
      <c r="AA1" s="7"/>
      <c r="AB1" s="7"/>
      <c r="AC1" s="7"/>
      <c r="AD1" s="7"/>
      <c r="AE1" s="7"/>
      <c r="AF1" s="7"/>
      <c r="AG1" s="7"/>
    </row>
    <row r="2">
      <c r="A2" s="8" t="str">
        <f>Specs!I2</f>
        <v>Tốc độ (1G/10G/100G)</v>
      </c>
      <c r="B2" s="65">
        <v>1.0</v>
      </c>
      <c r="C2" s="65">
        <v>1.0</v>
      </c>
      <c r="D2" s="65">
        <v>1.0</v>
      </c>
      <c r="E2" s="65">
        <v>10.0</v>
      </c>
      <c r="F2" s="65">
        <v>10.0</v>
      </c>
      <c r="G2" s="65">
        <v>10.0</v>
      </c>
      <c r="H2" s="65">
        <v>100.0</v>
      </c>
      <c r="I2" s="65">
        <v>100.0</v>
      </c>
      <c r="J2" s="65">
        <v>100.0</v>
      </c>
      <c r="K2" s="65">
        <v>1.0</v>
      </c>
      <c r="L2" s="65">
        <v>1.0</v>
      </c>
      <c r="M2" s="65">
        <v>1.0</v>
      </c>
      <c r="N2" s="65">
        <v>1.0</v>
      </c>
      <c r="O2" s="65">
        <v>10.0</v>
      </c>
      <c r="P2" s="65">
        <v>10.0</v>
      </c>
      <c r="Q2" s="65">
        <v>10.0</v>
      </c>
      <c r="R2" s="65">
        <v>10.0</v>
      </c>
      <c r="S2" s="65">
        <v>10.0</v>
      </c>
      <c r="T2" s="36">
        <v>10.0</v>
      </c>
      <c r="U2" s="36">
        <v>10.0</v>
      </c>
      <c r="V2" s="36">
        <v>10.0</v>
      </c>
      <c r="W2" s="36">
        <v>100.0</v>
      </c>
      <c r="X2" s="36">
        <v>100.0</v>
      </c>
      <c r="Y2" s="36">
        <v>100.0</v>
      </c>
      <c r="Z2" s="36">
        <v>100.0</v>
      </c>
      <c r="AA2" s="7"/>
      <c r="AB2" s="7"/>
      <c r="AC2" s="7"/>
      <c r="AD2" s="7"/>
      <c r="AE2" s="7"/>
      <c r="AF2" s="7"/>
      <c r="AG2" s="7"/>
    </row>
    <row r="3">
      <c r="A3" s="8" t="str">
        <f>Specs!I3</f>
        <v>Khoảng cách truyền (km)</v>
      </c>
      <c r="B3" s="65">
        <v>10.0</v>
      </c>
      <c r="C3" s="65">
        <v>40.0</v>
      </c>
      <c r="D3" s="65">
        <v>80.0</v>
      </c>
      <c r="E3" s="65">
        <v>10.0</v>
      </c>
      <c r="F3" s="65">
        <v>40.0</v>
      </c>
      <c r="G3" s="65">
        <v>80.0</v>
      </c>
      <c r="H3" s="65">
        <v>10.0</v>
      </c>
      <c r="I3" s="65">
        <v>40.0</v>
      </c>
      <c r="J3" s="65">
        <v>80.0</v>
      </c>
      <c r="K3" s="65">
        <v>0.5</v>
      </c>
      <c r="L3" s="65">
        <v>10.0</v>
      </c>
      <c r="M3" s="65">
        <v>40.0</v>
      </c>
      <c r="N3" s="65">
        <v>70.0</v>
      </c>
      <c r="O3" s="65">
        <v>0.5</v>
      </c>
      <c r="P3" s="65">
        <v>0.5</v>
      </c>
      <c r="Q3" s="65">
        <v>10.0</v>
      </c>
      <c r="R3" s="65">
        <v>10.0</v>
      </c>
      <c r="S3" s="65">
        <v>40.0</v>
      </c>
      <c r="T3" s="36">
        <v>40.0</v>
      </c>
      <c r="U3" s="36">
        <v>80.0</v>
      </c>
      <c r="V3" s="36">
        <v>80.0</v>
      </c>
      <c r="W3" s="36">
        <v>10.0</v>
      </c>
      <c r="X3" s="36">
        <v>10.0</v>
      </c>
      <c r="Y3" s="36">
        <v>40.0</v>
      </c>
      <c r="Z3" s="36">
        <v>80.0</v>
      </c>
      <c r="AA3" s="7"/>
      <c r="AB3" s="7"/>
      <c r="AC3" s="7"/>
      <c r="AD3" s="7"/>
      <c r="AE3" s="7"/>
      <c r="AF3" s="7"/>
      <c r="AG3" s="7"/>
    </row>
    <row r="4">
      <c r="A4" s="22" t="s">
        <v>246</v>
      </c>
      <c r="B4" s="21" t="s">
        <v>23</v>
      </c>
      <c r="C4" s="21" t="s">
        <v>23</v>
      </c>
      <c r="D4" s="21" t="s">
        <v>23</v>
      </c>
      <c r="E4" s="21" t="s">
        <v>23</v>
      </c>
      <c r="F4" s="21" t="s">
        <v>23</v>
      </c>
      <c r="G4" s="21" t="s">
        <v>23</v>
      </c>
      <c r="H4" s="21" t="s">
        <v>23</v>
      </c>
      <c r="I4" s="21" t="s">
        <v>23</v>
      </c>
      <c r="J4" s="21" t="s">
        <v>23</v>
      </c>
      <c r="K4" s="21" t="s">
        <v>25</v>
      </c>
      <c r="L4" s="21" t="s">
        <v>25</v>
      </c>
      <c r="M4" s="21" t="s">
        <v>25</v>
      </c>
      <c r="N4" s="21" t="s">
        <v>25</v>
      </c>
      <c r="O4" s="21" t="s">
        <v>25</v>
      </c>
      <c r="P4" s="21" t="s">
        <v>25</v>
      </c>
      <c r="Q4" s="21" t="s">
        <v>25</v>
      </c>
      <c r="R4" s="21" t="s">
        <v>25</v>
      </c>
      <c r="S4" s="21" t="s">
        <v>25</v>
      </c>
      <c r="T4" s="25" t="s">
        <v>25</v>
      </c>
      <c r="U4" s="25" t="s">
        <v>25</v>
      </c>
      <c r="V4" s="25" t="s">
        <v>25</v>
      </c>
      <c r="W4" s="25" t="s">
        <v>25</v>
      </c>
      <c r="X4" s="25" t="s">
        <v>25</v>
      </c>
      <c r="Y4" s="25" t="s">
        <v>25</v>
      </c>
      <c r="Z4" s="25" t="s">
        <v>25</v>
      </c>
      <c r="AA4" s="7"/>
      <c r="AB4" s="7"/>
      <c r="AC4" s="7"/>
      <c r="AD4" s="7"/>
      <c r="AE4" s="7"/>
      <c r="AF4" s="7"/>
      <c r="AG4" s="7"/>
    </row>
    <row r="5">
      <c r="A5" s="22" t="s">
        <v>27</v>
      </c>
      <c r="B5" s="27">
        <f>iferror(vlookup(B1,AllListPrice!$A$2:$D$1000,4,0),0)</f>
        <v>9</v>
      </c>
      <c r="C5" s="27">
        <f>iferror(vlookup(C1,AllListPrice!$A$2:$D$1000,4,0),0)</f>
        <v>21</v>
      </c>
      <c r="D5" s="27">
        <f>iferror(vlookup(D1,AllListPrice!$A$2:$D$1000,4,0),0)</f>
        <v>35</v>
      </c>
      <c r="E5" s="27">
        <f>iferror(vlookup(E1,AllListPrice!$A$2:$D$1000,4,0),0)</f>
        <v>32</v>
      </c>
      <c r="F5" s="27">
        <f>iferror(vlookup(F1,AllListPrice!$A$2:$D$1000,4,0),0)</f>
        <v>150</v>
      </c>
      <c r="G5" s="27">
        <f>iferror(vlookup(G1,AllListPrice!$A$2:$D$1000,4,0),0)</f>
        <v>290</v>
      </c>
      <c r="H5" s="27">
        <f>iferror(vlookup(H1,AllListPrice!$A$2:$D$1000,4,0),0)</f>
        <v>500</v>
      </c>
      <c r="I5" s="27">
        <f>iferror(vlookup(I1,AllListPrice!$A$2:$D$1000,4,0),0)</f>
        <v>800</v>
      </c>
      <c r="J5" s="27">
        <f>iferror(vlookup(J1,AllListPrice!$A$2:$D$1000,4,0),0)</f>
        <v>1000</v>
      </c>
      <c r="K5" s="27">
        <f>iferror(vlookup(K1,AllListPrice!$A$2:$D$1000,4,0),0)</f>
        <v>608.51</v>
      </c>
      <c r="L5" s="27">
        <f>iferror(vlookup(L1,AllListPrice!$A$2:$D$1000,4,0),0)</f>
        <v>1210.94</v>
      </c>
      <c r="M5" s="27">
        <f>iferror(vlookup(M1,AllListPrice!$A$2:$D$1000,4,0),0)</f>
        <v>2427.96</v>
      </c>
      <c r="N5" s="27">
        <f>iferror(vlookup(N1,AllListPrice!$A$2:$D$1000,4,0),0)</f>
        <v>4861.99</v>
      </c>
      <c r="O5" s="27">
        <f>iferror(vlookup(O1,AllListPrice!$A$2:$D$1000,4,0),0)</f>
        <v>851.91</v>
      </c>
      <c r="P5" s="27">
        <f>iferror(vlookup(P1,AllListPrice!$A$2:$D$1000,4,0),0)</f>
        <v>1210.94</v>
      </c>
      <c r="Q5" s="27">
        <f>iferror(vlookup(Q1,AllListPrice!$A$2:$D$1000,4,0),0)</f>
        <v>2434.04</v>
      </c>
      <c r="R5" s="27">
        <f>iferror(vlookup(R1,AllListPrice!$A$2:$D$1000,4,0),0)</f>
        <v>4861.99</v>
      </c>
      <c r="S5" s="27">
        <f>iferror(vlookup(S1,AllListPrice!$A$2:$D$1000,4,0),0)</f>
        <v>9614.44</v>
      </c>
      <c r="T5" s="27">
        <f>iferror(vlookup(T1,AllListPrice!$A$2:$D$1000,4,0),0)</f>
        <v>12170.18</v>
      </c>
      <c r="U5" s="27">
        <f>iferror(vlookup(U1,AllListPrice!$A$2:$D$1000,4,0),0)</f>
        <v>13265.5</v>
      </c>
      <c r="V5" s="27">
        <f>iferror(vlookup(V1,AllListPrice!$A$2:$D$1000,4,0),0)</f>
        <v>19472.29</v>
      </c>
      <c r="W5" s="27">
        <f>iferror(vlookup("100GQSFP-LR4-4=",AllListPrice!$A$2:$D$1000,4,0)/4,0)</f>
        <v>9127.635</v>
      </c>
      <c r="X5" s="27">
        <f>iferror(vlookup(X1,AllListPrice!$A$2:$D$1000,4,0),0)</f>
        <v>4130.83</v>
      </c>
      <c r="Y5" s="27">
        <f>iferror(vlookup(Y1,AllListPrice!$A$2:$D$1000,4,0),0)</f>
        <v>91270.27</v>
      </c>
      <c r="Z5" s="27">
        <f>iferror(vlookup(Z1,AllListPrice!$A$2:$D$1000,4,0),0)</f>
        <v>36190</v>
      </c>
      <c r="AA5" s="7"/>
      <c r="AB5" s="7"/>
      <c r="AC5" s="7"/>
      <c r="AD5" s="7"/>
      <c r="AE5" s="7"/>
      <c r="AF5" s="7"/>
      <c r="AG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</row>
    <row r="7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</sheetData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tr">
        <f>IFERROR(__xludf.DUMMYFUNCTION("IMPORTRANGE(""https://docs.google.com/spreadsheets/d/1ZF-QDGfmo_fBzzZWWfaYOCy9-vh0mMaR1tyOWyJgUt4/edit?gid=893872081#gid=893872081"",""3rdSFP!A1:D1000"")"),"Devices")</f>
        <v>Devices</v>
      </c>
      <c r="B1" s="56" t="str">
        <f>IFERROR(__xludf.DUMMYFUNCTION("""COMPUTED_VALUE"""),"List Price")</f>
        <v>List Price</v>
      </c>
      <c r="C1" s="56" t="str">
        <f>IFERROR(__xludf.DUMMYFUNCTION("""COMPUTED_VALUE"""),"Giá AM nhập")</f>
        <v>Giá AM nhập</v>
      </c>
      <c r="D1" s="56" t="str">
        <f>IFERROR(__xludf.DUMMYFUNCTION("""COMPUTED_VALUE"""),"Final Price")</f>
        <v>Final Price</v>
      </c>
    </row>
    <row r="2">
      <c r="A2" s="50" t="str">
        <f>IFERROR(__xludf.DUMMYFUNCTION("""COMPUTED_VALUE"""),"Ficer-1G-0.5km")</f>
        <v>Ficer-1G-0.5km</v>
      </c>
      <c r="B2" s="55">
        <f>IFERROR(__xludf.DUMMYFUNCTION("""COMPUTED_VALUE"""),8.0)</f>
        <v>8</v>
      </c>
      <c r="C2" s="50"/>
      <c r="D2" s="55">
        <f>IFERROR(__xludf.DUMMYFUNCTION("""COMPUTED_VALUE"""),8.0)</f>
        <v>8</v>
      </c>
    </row>
    <row r="3">
      <c r="A3" s="50" t="str">
        <f>IFERROR(__xludf.DUMMYFUNCTION("""COMPUTED_VALUE"""),"Ficer-1G-10km")</f>
        <v>Ficer-1G-10km</v>
      </c>
      <c r="B3" s="55">
        <f>IFERROR(__xludf.DUMMYFUNCTION("""COMPUTED_VALUE"""),9.0)</f>
        <v>9</v>
      </c>
      <c r="C3" s="50"/>
      <c r="D3" s="55">
        <f>IFERROR(__xludf.DUMMYFUNCTION("""COMPUTED_VALUE"""),9.0)</f>
        <v>9</v>
      </c>
    </row>
    <row r="4">
      <c r="A4" s="50" t="str">
        <f>IFERROR(__xludf.DUMMYFUNCTION("""COMPUTED_VALUE"""),"Ficer-1G-40km")</f>
        <v>Ficer-1G-40km</v>
      </c>
      <c r="B4" s="55">
        <f>IFERROR(__xludf.DUMMYFUNCTION("""COMPUTED_VALUE"""),21.0)</f>
        <v>21</v>
      </c>
      <c r="C4" s="50"/>
      <c r="D4" s="55">
        <f>IFERROR(__xludf.DUMMYFUNCTION("""COMPUTED_VALUE"""),21.0)</f>
        <v>21</v>
      </c>
    </row>
    <row r="5">
      <c r="A5" s="50" t="str">
        <f>IFERROR(__xludf.DUMMYFUNCTION("""COMPUTED_VALUE"""),"Ficer-1G-80km")</f>
        <v>Ficer-1G-80km</v>
      </c>
      <c r="B5" s="55">
        <f>IFERROR(__xludf.DUMMYFUNCTION("""COMPUTED_VALUE"""),35.0)</f>
        <v>35</v>
      </c>
      <c r="C5" s="50"/>
      <c r="D5" s="55">
        <f>IFERROR(__xludf.DUMMYFUNCTION("""COMPUTED_VALUE"""),35.0)</f>
        <v>35</v>
      </c>
    </row>
    <row r="6">
      <c r="A6" s="50" t="str">
        <f>IFERROR(__xludf.DUMMYFUNCTION("""COMPUTED_VALUE"""),"Ficer-10G-0.5km")</f>
        <v>Ficer-10G-0.5km</v>
      </c>
      <c r="B6" s="55">
        <f>IFERROR(__xludf.DUMMYFUNCTION("""COMPUTED_VALUE"""),12.5)</f>
        <v>12.5</v>
      </c>
      <c r="C6" s="50"/>
      <c r="D6" s="55">
        <f>IFERROR(__xludf.DUMMYFUNCTION("""COMPUTED_VALUE"""),12.5)</f>
        <v>12.5</v>
      </c>
    </row>
    <row r="7">
      <c r="A7" s="50" t="str">
        <f>IFERROR(__xludf.DUMMYFUNCTION("""COMPUTED_VALUE"""),"Ficer-10G-10km")</f>
        <v>Ficer-10G-10km</v>
      </c>
      <c r="B7" s="55">
        <f>IFERROR(__xludf.DUMMYFUNCTION("""COMPUTED_VALUE"""),32.0)</f>
        <v>32</v>
      </c>
      <c r="C7" s="50"/>
      <c r="D7" s="55">
        <f>IFERROR(__xludf.DUMMYFUNCTION("""COMPUTED_VALUE"""),32.0)</f>
        <v>32</v>
      </c>
    </row>
    <row r="8">
      <c r="A8" s="50" t="str">
        <f>IFERROR(__xludf.DUMMYFUNCTION("""COMPUTED_VALUE"""),"Ficer-10G-40km")</f>
        <v>Ficer-10G-40km</v>
      </c>
      <c r="B8" s="55">
        <f>IFERROR(__xludf.DUMMYFUNCTION("""COMPUTED_VALUE"""),150.0)</f>
        <v>150</v>
      </c>
      <c r="C8" s="50"/>
      <c r="D8" s="55">
        <f>IFERROR(__xludf.DUMMYFUNCTION("""COMPUTED_VALUE"""),150.0)</f>
        <v>150</v>
      </c>
    </row>
    <row r="9">
      <c r="A9" s="50" t="str">
        <f>IFERROR(__xludf.DUMMYFUNCTION("""COMPUTED_VALUE"""),"Ficer-10G-80km")</f>
        <v>Ficer-10G-80km</v>
      </c>
      <c r="B9" s="55">
        <f>IFERROR(__xludf.DUMMYFUNCTION("""COMPUTED_VALUE"""),290.0)</f>
        <v>290</v>
      </c>
      <c r="C9" s="50"/>
      <c r="D9" s="55">
        <f>IFERROR(__xludf.DUMMYFUNCTION("""COMPUTED_VALUE"""),290.0)</f>
        <v>290</v>
      </c>
    </row>
    <row r="10">
      <c r="A10" s="50" t="str">
        <f>IFERROR(__xludf.DUMMYFUNCTION("""COMPUTED_VALUE"""),"Ficer-100G-10km")</f>
        <v>Ficer-100G-10km</v>
      </c>
      <c r="B10" s="50"/>
      <c r="C10" s="55">
        <f>IFERROR(__xludf.DUMMYFUNCTION("""COMPUTED_VALUE"""),500.0)</f>
        <v>500</v>
      </c>
      <c r="D10" s="55">
        <f>IFERROR(__xludf.DUMMYFUNCTION("""COMPUTED_VALUE"""),500.0)</f>
        <v>500</v>
      </c>
    </row>
    <row r="11">
      <c r="A11" s="50" t="str">
        <f>IFERROR(__xludf.DUMMYFUNCTION("""COMPUTED_VALUE"""),"Ficer-100G-40km")</f>
        <v>Ficer-100G-40km</v>
      </c>
      <c r="B11" s="50"/>
      <c r="C11" s="55">
        <f>IFERROR(__xludf.DUMMYFUNCTION("""COMPUTED_VALUE"""),800.0)</f>
        <v>800</v>
      </c>
      <c r="D11" s="55">
        <f>IFERROR(__xludf.DUMMYFUNCTION("""COMPUTED_VALUE"""),800.0)</f>
        <v>800</v>
      </c>
    </row>
    <row r="12">
      <c r="A12" s="50" t="str">
        <f>IFERROR(__xludf.DUMMYFUNCTION("""COMPUTED_VALUE"""),"Ficer-100G-80km")</f>
        <v>Ficer-100G-80km</v>
      </c>
      <c r="B12" s="50"/>
      <c r="C12" s="55">
        <f>IFERROR(__xludf.DUMMYFUNCTION("""COMPUTED_VALUE"""),1000.0)</f>
        <v>1000</v>
      </c>
      <c r="D12" s="55">
        <f>IFERROR(__xludf.DUMMYFUNCTION("""COMPUTED_VALUE"""),1000.0)</f>
        <v>1000</v>
      </c>
    </row>
    <row r="13">
      <c r="A13" s="50"/>
      <c r="B13" s="50"/>
      <c r="C13" s="50"/>
      <c r="D13" s="50"/>
    </row>
    <row r="14">
      <c r="A14" s="50"/>
      <c r="B14" s="50"/>
      <c r="C14" s="50"/>
      <c r="D14" s="50"/>
    </row>
    <row r="15">
      <c r="A15" s="50"/>
      <c r="B15" s="50"/>
      <c r="C15" s="50"/>
      <c r="D15" s="50"/>
    </row>
    <row r="16">
      <c r="A16" s="50"/>
      <c r="B16" s="50"/>
      <c r="C16" s="50"/>
      <c r="D16" s="50"/>
    </row>
    <row r="17">
      <c r="A17" s="50"/>
      <c r="B17" s="50"/>
      <c r="C17" s="50"/>
      <c r="D17" s="50"/>
    </row>
    <row r="18">
      <c r="A18" s="50"/>
      <c r="B18" s="50"/>
      <c r="C18" s="50"/>
      <c r="D18" s="50"/>
    </row>
    <row r="19">
      <c r="A19" s="50"/>
      <c r="B19" s="50"/>
      <c r="C19" s="50"/>
      <c r="D19" s="50"/>
    </row>
    <row r="20">
      <c r="A20" s="50"/>
      <c r="B20" s="50"/>
      <c r="C20" s="50"/>
      <c r="D20" s="50"/>
    </row>
    <row r="21">
      <c r="A21" s="50"/>
      <c r="B21" s="50"/>
      <c r="C21" s="50"/>
      <c r="D21" s="50"/>
    </row>
    <row r="22">
      <c r="A22" s="50"/>
      <c r="B22" s="50"/>
      <c r="C22" s="50"/>
      <c r="D22" s="50"/>
    </row>
    <row r="23">
      <c r="A23" s="50"/>
      <c r="B23" s="50"/>
      <c r="C23" s="50"/>
      <c r="D23" s="50"/>
    </row>
    <row r="24">
      <c r="A24" s="50"/>
      <c r="B24" s="50"/>
      <c r="C24" s="50"/>
      <c r="D24" s="50"/>
    </row>
    <row r="25">
      <c r="A25" s="50"/>
      <c r="B25" s="50"/>
      <c r="C25" s="50"/>
      <c r="D25" s="50"/>
    </row>
    <row r="26">
      <c r="A26" s="50"/>
      <c r="B26" s="50"/>
      <c r="C26" s="50"/>
      <c r="D26" s="50"/>
    </row>
    <row r="27">
      <c r="A27" s="50"/>
      <c r="B27" s="50"/>
      <c r="C27" s="50"/>
      <c r="D27" s="50"/>
    </row>
    <row r="28">
      <c r="A28" s="50"/>
      <c r="B28" s="50"/>
      <c r="C28" s="50"/>
      <c r="D28" s="50"/>
    </row>
    <row r="29">
      <c r="A29" s="50"/>
      <c r="B29" s="50"/>
      <c r="C29" s="50"/>
      <c r="D29" s="50"/>
    </row>
    <row r="30">
      <c r="A30" s="50"/>
      <c r="B30" s="50"/>
      <c r="C30" s="50"/>
      <c r="D30" s="50"/>
    </row>
    <row r="31">
      <c r="A31" s="50"/>
      <c r="B31" s="50"/>
      <c r="C31" s="50"/>
      <c r="D31" s="50"/>
    </row>
    <row r="32">
      <c r="A32" s="50"/>
      <c r="B32" s="50"/>
      <c r="C32" s="50"/>
      <c r="D32" s="50"/>
    </row>
    <row r="33">
      <c r="A33" s="50"/>
      <c r="B33" s="50"/>
      <c r="C33" s="50"/>
      <c r="D33" s="50"/>
    </row>
    <row r="34">
      <c r="A34" s="50"/>
      <c r="B34" s="50"/>
      <c r="C34" s="50"/>
      <c r="D34" s="50"/>
    </row>
    <row r="35">
      <c r="A35" s="50"/>
      <c r="B35" s="50"/>
      <c r="C35" s="50"/>
      <c r="D35" s="50"/>
    </row>
    <row r="36">
      <c r="A36" s="50"/>
      <c r="B36" s="50"/>
      <c r="C36" s="50"/>
      <c r="D36" s="50"/>
    </row>
    <row r="37">
      <c r="A37" s="50"/>
      <c r="B37" s="50"/>
      <c r="C37" s="50"/>
      <c r="D37" s="50"/>
    </row>
    <row r="38">
      <c r="A38" s="50"/>
      <c r="B38" s="50"/>
      <c r="C38" s="50"/>
      <c r="D38" s="50"/>
    </row>
    <row r="39">
      <c r="A39" s="50"/>
      <c r="B39" s="50"/>
      <c r="C39" s="50"/>
      <c r="D39" s="50"/>
    </row>
    <row r="40">
      <c r="A40" s="50"/>
      <c r="B40" s="50"/>
      <c r="C40" s="50"/>
      <c r="D40" s="50"/>
    </row>
    <row r="41">
      <c r="A41" s="50"/>
      <c r="B41" s="50"/>
      <c r="C41" s="50"/>
      <c r="D41" s="50"/>
    </row>
    <row r="42">
      <c r="A42" s="50"/>
      <c r="B42" s="50"/>
      <c r="C42" s="50"/>
      <c r="D42" s="50"/>
    </row>
    <row r="43">
      <c r="A43" s="50"/>
      <c r="B43" s="50"/>
      <c r="C43" s="50"/>
      <c r="D43" s="50"/>
    </row>
    <row r="44">
      <c r="A44" s="50"/>
      <c r="B44" s="50"/>
      <c r="C44" s="50"/>
      <c r="D44" s="50"/>
    </row>
    <row r="45">
      <c r="A45" s="50"/>
      <c r="B45" s="50"/>
      <c r="C45" s="50"/>
      <c r="D45" s="50"/>
    </row>
    <row r="46">
      <c r="A46" s="50"/>
      <c r="B46" s="50"/>
      <c r="C46" s="50"/>
      <c r="D46" s="50"/>
    </row>
    <row r="47">
      <c r="A47" s="50"/>
      <c r="B47" s="50"/>
      <c r="C47" s="50"/>
      <c r="D47" s="50"/>
    </row>
    <row r="48">
      <c r="A48" s="50"/>
      <c r="B48" s="50"/>
      <c r="C48" s="50"/>
      <c r="D48" s="50"/>
    </row>
    <row r="49">
      <c r="A49" s="50"/>
      <c r="B49" s="50"/>
      <c r="C49" s="50"/>
      <c r="D49" s="50"/>
    </row>
    <row r="50">
      <c r="A50" s="50"/>
      <c r="B50" s="50"/>
      <c r="C50" s="50"/>
      <c r="D50" s="50"/>
    </row>
    <row r="51">
      <c r="A51" s="50"/>
      <c r="B51" s="50"/>
      <c r="C51" s="50"/>
      <c r="D51" s="50"/>
    </row>
    <row r="52">
      <c r="A52" s="50"/>
      <c r="B52" s="50"/>
      <c r="C52" s="50"/>
      <c r="D52" s="50"/>
    </row>
    <row r="53">
      <c r="A53" s="50"/>
      <c r="B53" s="50"/>
      <c r="C53" s="50"/>
      <c r="D53" s="50"/>
    </row>
    <row r="54">
      <c r="A54" s="50"/>
      <c r="B54" s="50"/>
      <c r="C54" s="50"/>
      <c r="D54" s="50"/>
    </row>
    <row r="55">
      <c r="A55" s="50"/>
      <c r="B55" s="50"/>
      <c r="C55" s="50"/>
      <c r="D55" s="50"/>
    </row>
    <row r="56">
      <c r="A56" s="50"/>
      <c r="B56" s="50"/>
      <c r="C56" s="50"/>
      <c r="D56" s="50"/>
    </row>
    <row r="57">
      <c r="A57" s="50"/>
      <c r="B57" s="50"/>
      <c r="C57" s="50"/>
      <c r="D57" s="50"/>
    </row>
    <row r="58">
      <c r="A58" s="50"/>
      <c r="B58" s="50"/>
      <c r="C58" s="50"/>
      <c r="D58" s="50"/>
    </row>
    <row r="59">
      <c r="A59" s="50"/>
      <c r="B59" s="50"/>
      <c r="C59" s="50"/>
      <c r="D59" s="50"/>
    </row>
    <row r="60">
      <c r="A60" s="50"/>
      <c r="B60" s="50"/>
      <c r="C60" s="50"/>
      <c r="D60" s="50"/>
    </row>
    <row r="61">
      <c r="A61" s="50"/>
      <c r="B61" s="50"/>
      <c r="C61" s="50"/>
      <c r="D61" s="50"/>
    </row>
    <row r="62">
      <c r="A62" s="50"/>
      <c r="B62" s="50"/>
      <c r="C62" s="50"/>
      <c r="D62" s="50"/>
    </row>
    <row r="63">
      <c r="A63" s="50"/>
      <c r="B63" s="50"/>
      <c r="C63" s="50"/>
      <c r="D63" s="50"/>
    </row>
    <row r="64">
      <c r="A64" s="50"/>
      <c r="B64" s="50"/>
      <c r="C64" s="50"/>
      <c r="D64" s="50"/>
    </row>
    <row r="65">
      <c r="A65" s="50"/>
      <c r="B65" s="50"/>
      <c r="C65" s="50"/>
      <c r="D65" s="50"/>
    </row>
    <row r="66">
      <c r="A66" s="50"/>
      <c r="B66" s="50"/>
      <c r="C66" s="50"/>
      <c r="D66" s="50"/>
    </row>
    <row r="67">
      <c r="A67" s="50"/>
      <c r="B67" s="50"/>
      <c r="C67" s="50"/>
      <c r="D67" s="50"/>
    </row>
    <row r="68">
      <c r="A68" s="50"/>
      <c r="B68" s="50"/>
      <c r="C68" s="50"/>
      <c r="D68" s="50"/>
    </row>
    <row r="69">
      <c r="A69" s="50"/>
      <c r="B69" s="50"/>
      <c r="C69" s="50"/>
      <c r="D69" s="50"/>
    </row>
    <row r="70">
      <c r="A70" s="50"/>
      <c r="B70" s="50"/>
      <c r="C70" s="50"/>
      <c r="D70" s="50"/>
    </row>
    <row r="71">
      <c r="A71" s="50"/>
      <c r="B71" s="50"/>
      <c r="C71" s="50"/>
      <c r="D71" s="50"/>
    </row>
    <row r="72">
      <c r="A72" s="50"/>
      <c r="B72" s="50"/>
      <c r="C72" s="50"/>
      <c r="D72" s="50"/>
    </row>
    <row r="73">
      <c r="A73" s="50"/>
      <c r="B73" s="50"/>
      <c r="C73" s="50"/>
      <c r="D73" s="50"/>
    </row>
    <row r="74">
      <c r="A74" s="50"/>
      <c r="B74" s="50"/>
      <c r="C74" s="50"/>
      <c r="D74" s="50"/>
    </row>
    <row r="75">
      <c r="A75" s="50"/>
      <c r="B75" s="50"/>
      <c r="C75" s="50"/>
      <c r="D75" s="50"/>
    </row>
    <row r="76">
      <c r="A76" s="50"/>
      <c r="B76" s="50"/>
      <c r="C76" s="50"/>
      <c r="D76" s="50"/>
    </row>
    <row r="77">
      <c r="A77" s="50"/>
      <c r="B77" s="50"/>
      <c r="C77" s="50"/>
      <c r="D77" s="50"/>
    </row>
    <row r="78">
      <c r="A78" s="50"/>
      <c r="B78" s="50"/>
      <c r="C78" s="50"/>
      <c r="D78" s="50"/>
    </row>
    <row r="79">
      <c r="A79" s="50"/>
      <c r="B79" s="50"/>
      <c r="C79" s="50"/>
      <c r="D79" s="50"/>
    </row>
    <row r="80">
      <c r="A80" s="50"/>
      <c r="B80" s="50"/>
      <c r="C80" s="50"/>
      <c r="D80" s="50"/>
    </row>
    <row r="81">
      <c r="A81" s="50"/>
      <c r="B81" s="50"/>
      <c r="C81" s="50"/>
      <c r="D81" s="50"/>
    </row>
    <row r="82">
      <c r="A82" s="50"/>
      <c r="B82" s="50"/>
      <c r="C82" s="50"/>
      <c r="D82" s="50"/>
    </row>
    <row r="83">
      <c r="A83" s="50"/>
      <c r="B83" s="50"/>
      <c r="C83" s="50"/>
      <c r="D83" s="50"/>
    </row>
    <row r="84">
      <c r="A84" s="50"/>
      <c r="B84" s="50"/>
      <c r="C84" s="50"/>
      <c r="D84" s="50"/>
    </row>
    <row r="85">
      <c r="A85" s="50"/>
      <c r="B85" s="50"/>
      <c r="C85" s="50"/>
      <c r="D85" s="50"/>
    </row>
    <row r="86">
      <c r="A86" s="50"/>
      <c r="B86" s="50"/>
      <c r="C86" s="50"/>
      <c r="D86" s="50"/>
    </row>
    <row r="87">
      <c r="A87" s="50"/>
      <c r="B87" s="50"/>
      <c r="C87" s="50"/>
      <c r="D87" s="50"/>
    </row>
    <row r="88">
      <c r="A88" s="50"/>
      <c r="B88" s="50"/>
      <c r="C88" s="50"/>
      <c r="D88" s="50"/>
    </row>
    <row r="89">
      <c r="A89" s="50"/>
      <c r="B89" s="50"/>
      <c r="C89" s="50"/>
      <c r="D89" s="50"/>
    </row>
    <row r="90">
      <c r="A90" s="50"/>
      <c r="B90" s="50"/>
      <c r="C90" s="50"/>
      <c r="D90" s="50"/>
    </row>
    <row r="91">
      <c r="A91" s="50"/>
      <c r="B91" s="50"/>
      <c r="C91" s="50"/>
      <c r="D91" s="50"/>
    </row>
    <row r="92">
      <c r="A92" s="50"/>
      <c r="B92" s="50"/>
      <c r="C92" s="50"/>
      <c r="D92" s="50"/>
    </row>
    <row r="93">
      <c r="A93" s="50"/>
      <c r="B93" s="50"/>
      <c r="C93" s="50"/>
      <c r="D93" s="50"/>
    </row>
    <row r="94">
      <c r="A94" s="50"/>
      <c r="B94" s="50"/>
      <c r="C94" s="50"/>
      <c r="D94" s="50"/>
    </row>
    <row r="95">
      <c r="A95" s="50"/>
      <c r="B95" s="50"/>
      <c r="C95" s="50"/>
      <c r="D95" s="50"/>
    </row>
    <row r="96">
      <c r="A96" s="50"/>
      <c r="B96" s="50"/>
      <c r="C96" s="50"/>
      <c r="D96" s="50"/>
    </row>
    <row r="97">
      <c r="A97" s="50"/>
      <c r="B97" s="50"/>
      <c r="C97" s="50"/>
      <c r="D97" s="50"/>
    </row>
    <row r="98">
      <c r="A98" s="50"/>
      <c r="B98" s="50"/>
      <c r="C98" s="50"/>
      <c r="D98" s="50"/>
    </row>
    <row r="99">
      <c r="A99" s="50"/>
      <c r="B99" s="50"/>
      <c r="C99" s="50"/>
      <c r="D99" s="50"/>
    </row>
    <row r="100">
      <c r="A100" s="50"/>
      <c r="B100" s="50"/>
      <c r="C100" s="50"/>
      <c r="D100" s="50"/>
    </row>
    <row r="101">
      <c r="A101" s="50"/>
      <c r="B101" s="50"/>
      <c r="C101" s="50"/>
      <c r="D101" s="50"/>
    </row>
    <row r="102">
      <c r="A102" s="50"/>
      <c r="B102" s="50"/>
      <c r="C102" s="50"/>
      <c r="D102" s="50"/>
    </row>
    <row r="103">
      <c r="A103" s="50"/>
      <c r="B103" s="50"/>
      <c r="C103" s="50"/>
      <c r="D103" s="50"/>
    </row>
    <row r="104">
      <c r="A104" s="50"/>
      <c r="B104" s="50"/>
      <c r="C104" s="50"/>
      <c r="D104" s="50"/>
    </row>
    <row r="105">
      <c r="A105" s="50"/>
      <c r="B105" s="50"/>
      <c r="C105" s="50"/>
      <c r="D105" s="50"/>
    </row>
    <row r="106">
      <c r="A106" s="50"/>
      <c r="B106" s="50"/>
      <c r="C106" s="50"/>
      <c r="D106" s="50"/>
    </row>
    <row r="107">
      <c r="A107" s="50"/>
      <c r="B107" s="50"/>
      <c r="C107" s="50"/>
      <c r="D107" s="50"/>
    </row>
    <row r="108">
      <c r="A108" s="50"/>
      <c r="B108" s="50"/>
      <c r="C108" s="50"/>
      <c r="D108" s="50"/>
    </row>
    <row r="109">
      <c r="A109" s="50"/>
      <c r="B109" s="50"/>
      <c r="C109" s="50"/>
      <c r="D109" s="50"/>
    </row>
    <row r="110">
      <c r="A110" s="50"/>
      <c r="B110" s="50"/>
      <c r="C110" s="50"/>
      <c r="D110" s="50"/>
    </row>
    <row r="111">
      <c r="A111" s="50"/>
      <c r="B111" s="50"/>
      <c r="C111" s="50"/>
      <c r="D111" s="50"/>
    </row>
    <row r="112">
      <c r="A112" s="50"/>
      <c r="B112" s="50"/>
      <c r="C112" s="50"/>
      <c r="D112" s="50"/>
    </row>
    <row r="113">
      <c r="A113" s="50"/>
      <c r="B113" s="50"/>
      <c r="C113" s="50"/>
      <c r="D113" s="50"/>
    </row>
    <row r="114">
      <c r="A114" s="50"/>
      <c r="B114" s="50"/>
      <c r="C114" s="50"/>
      <c r="D114" s="50"/>
    </row>
    <row r="115">
      <c r="A115" s="50"/>
      <c r="B115" s="50"/>
      <c r="C115" s="50"/>
      <c r="D115" s="50"/>
    </row>
    <row r="116">
      <c r="A116" s="50"/>
      <c r="B116" s="50"/>
      <c r="C116" s="50"/>
      <c r="D116" s="50"/>
    </row>
    <row r="117">
      <c r="A117" s="50"/>
      <c r="B117" s="50"/>
      <c r="C117" s="50"/>
      <c r="D117" s="50"/>
    </row>
    <row r="118">
      <c r="A118" s="50"/>
      <c r="B118" s="50"/>
      <c r="C118" s="50"/>
      <c r="D118" s="50"/>
    </row>
    <row r="119">
      <c r="A119" s="50"/>
      <c r="B119" s="50"/>
      <c r="C119" s="50"/>
      <c r="D119" s="50"/>
    </row>
    <row r="120">
      <c r="A120" s="50"/>
      <c r="B120" s="50"/>
      <c r="C120" s="50"/>
      <c r="D120" s="50"/>
    </row>
    <row r="121">
      <c r="A121" s="50"/>
      <c r="B121" s="50"/>
      <c r="C121" s="50"/>
      <c r="D121" s="50"/>
    </row>
    <row r="122">
      <c r="A122" s="50"/>
      <c r="B122" s="50"/>
      <c r="C122" s="50"/>
      <c r="D122" s="50"/>
    </row>
    <row r="123">
      <c r="A123" s="50"/>
      <c r="B123" s="50"/>
      <c r="C123" s="50"/>
      <c r="D123" s="50"/>
    </row>
    <row r="124">
      <c r="A124" s="50"/>
      <c r="B124" s="50"/>
      <c r="C124" s="50"/>
      <c r="D124" s="50"/>
    </row>
    <row r="125">
      <c r="A125" s="50"/>
      <c r="B125" s="50"/>
      <c r="C125" s="50"/>
      <c r="D125" s="50"/>
    </row>
    <row r="126">
      <c r="A126" s="50"/>
      <c r="B126" s="50"/>
      <c r="C126" s="50"/>
      <c r="D126" s="50"/>
    </row>
    <row r="127">
      <c r="A127" s="50"/>
      <c r="B127" s="50"/>
      <c r="C127" s="50"/>
      <c r="D127" s="50"/>
    </row>
    <row r="128">
      <c r="A128" s="50"/>
      <c r="B128" s="50"/>
      <c r="C128" s="50"/>
      <c r="D128" s="50"/>
    </row>
    <row r="129">
      <c r="A129" s="50"/>
      <c r="B129" s="50"/>
      <c r="C129" s="50"/>
      <c r="D129" s="50"/>
    </row>
    <row r="130">
      <c r="A130" s="50"/>
      <c r="B130" s="50"/>
      <c r="C130" s="50"/>
      <c r="D130" s="50"/>
    </row>
    <row r="131">
      <c r="A131" s="50"/>
      <c r="B131" s="50"/>
      <c r="C131" s="50"/>
      <c r="D131" s="50"/>
    </row>
    <row r="132">
      <c r="A132" s="50"/>
      <c r="B132" s="50"/>
      <c r="C132" s="50"/>
      <c r="D132" s="50"/>
    </row>
    <row r="133">
      <c r="A133" s="50"/>
      <c r="B133" s="50"/>
      <c r="C133" s="50"/>
      <c r="D133" s="50"/>
    </row>
    <row r="134">
      <c r="A134" s="50"/>
      <c r="B134" s="50"/>
      <c r="C134" s="50"/>
      <c r="D134" s="50"/>
    </row>
    <row r="135">
      <c r="A135" s="50"/>
      <c r="B135" s="50"/>
      <c r="C135" s="50"/>
      <c r="D135" s="50"/>
    </row>
    <row r="136">
      <c r="A136" s="50"/>
      <c r="B136" s="50"/>
      <c r="C136" s="50"/>
      <c r="D136" s="50"/>
    </row>
    <row r="137">
      <c r="A137" s="50"/>
      <c r="B137" s="50"/>
      <c r="C137" s="50"/>
      <c r="D137" s="50"/>
    </row>
    <row r="138">
      <c r="A138" s="50"/>
      <c r="B138" s="50"/>
      <c r="C138" s="50"/>
      <c r="D138" s="50"/>
    </row>
    <row r="139">
      <c r="A139" s="50"/>
      <c r="B139" s="50"/>
      <c r="C139" s="50"/>
      <c r="D139" s="50"/>
    </row>
    <row r="140">
      <c r="A140" s="50"/>
      <c r="B140" s="50"/>
      <c r="C140" s="50"/>
      <c r="D140" s="50"/>
    </row>
    <row r="141">
      <c r="A141" s="50"/>
      <c r="B141" s="50"/>
      <c r="C141" s="50"/>
      <c r="D141" s="50"/>
    </row>
    <row r="142">
      <c r="A142" s="50"/>
      <c r="B142" s="50"/>
      <c r="C142" s="50"/>
      <c r="D142" s="50"/>
    </row>
    <row r="143">
      <c r="A143" s="50"/>
      <c r="B143" s="50"/>
      <c r="C143" s="50"/>
      <c r="D143" s="50"/>
    </row>
    <row r="144">
      <c r="A144" s="50"/>
      <c r="B144" s="50"/>
      <c r="C144" s="50"/>
      <c r="D144" s="50"/>
    </row>
    <row r="145">
      <c r="A145" s="50"/>
      <c r="B145" s="50"/>
      <c r="C145" s="50"/>
      <c r="D145" s="50"/>
    </row>
    <row r="146">
      <c r="A146" s="50"/>
      <c r="B146" s="50"/>
      <c r="C146" s="50"/>
      <c r="D146" s="50"/>
    </row>
    <row r="147">
      <c r="A147" s="50"/>
      <c r="B147" s="50"/>
      <c r="C147" s="50"/>
      <c r="D147" s="50"/>
    </row>
    <row r="148">
      <c r="A148" s="50"/>
      <c r="B148" s="50"/>
      <c r="C148" s="50"/>
      <c r="D148" s="50"/>
    </row>
    <row r="149">
      <c r="A149" s="50"/>
      <c r="B149" s="50"/>
      <c r="C149" s="50"/>
      <c r="D149" s="50"/>
    </row>
    <row r="150">
      <c r="A150" s="50"/>
      <c r="B150" s="50"/>
      <c r="C150" s="50"/>
      <c r="D150" s="50"/>
    </row>
    <row r="151">
      <c r="A151" s="50"/>
      <c r="B151" s="50"/>
      <c r="C151" s="50"/>
      <c r="D151" s="50"/>
    </row>
    <row r="152">
      <c r="A152" s="50"/>
      <c r="B152" s="50"/>
      <c r="C152" s="50"/>
      <c r="D152" s="50"/>
    </row>
    <row r="153">
      <c r="A153" s="50"/>
      <c r="B153" s="50"/>
      <c r="C153" s="50"/>
      <c r="D153" s="50"/>
    </row>
    <row r="154">
      <c r="A154" s="50"/>
      <c r="B154" s="50"/>
      <c r="C154" s="50"/>
      <c r="D154" s="50"/>
    </row>
    <row r="155">
      <c r="A155" s="50"/>
      <c r="B155" s="50"/>
      <c r="C155" s="50"/>
      <c r="D155" s="50"/>
    </row>
    <row r="156">
      <c r="A156" s="50"/>
      <c r="B156" s="50"/>
      <c r="C156" s="50"/>
      <c r="D156" s="50"/>
    </row>
    <row r="157">
      <c r="A157" s="50"/>
      <c r="B157" s="50"/>
      <c r="C157" s="50"/>
      <c r="D157" s="50"/>
    </row>
    <row r="158">
      <c r="A158" s="50"/>
      <c r="B158" s="50"/>
      <c r="C158" s="50"/>
      <c r="D158" s="50"/>
    </row>
    <row r="159">
      <c r="A159" s="50"/>
      <c r="B159" s="50"/>
      <c r="C159" s="50"/>
      <c r="D159" s="50"/>
    </row>
    <row r="160">
      <c r="A160" s="50"/>
      <c r="B160" s="50"/>
      <c r="C160" s="50"/>
      <c r="D160" s="50"/>
    </row>
    <row r="161">
      <c r="A161" s="50"/>
      <c r="B161" s="50"/>
      <c r="C161" s="50"/>
      <c r="D161" s="50"/>
    </row>
    <row r="162">
      <c r="A162" s="50"/>
      <c r="B162" s="50"/>
      <c r="C162" s="50"/>
      <c r="D162" s="50"/>
    </row>
    <row r="163">
      <c r="A163" s="50"/>
      <c r="B163" s="50"/>
      <c r="C163" s="50"/>
      <c r="D163" s="50"/>
    </row>
    <row r="164">
      <c r="A164" s="50"/>
      <c r="B164" s="50"/>
      <c r="C164" s="50"/>
      <c r="D164" s="50"/>
    </row>
    <row r="165">
      <c r="A165" s="50"/>
      <c r="B165" s="50"/>
      <c r="C165" s="50"/>
      <c r="D165" s="50"/>
    </row>
    <row r="166">
      <c r="A166" s="50"/>
      <c r="B166" s="50"/>
      <c r="C166" s="50"/>
      <c r="D166" s="50"/>
    </row>
    <row r="167">
      <c r="A167" s="50"/>
      <c r="B167" s="50"/>
      <c r="C167" s="50"/>
      <c r="D167" s="50"/>
    </row>
    <row r="168">
      <c r="A168" s="50"/>
      <c r="B168" s="50"/>
      <c r="C168" s="50"/>
      <c r="D168" s="50"/>
    </row>
    <row r="169">
      <c r="A169" s="50"/>
      <c r="B169" s="50"/>
      <c r="C169" s="50"/>
      <c r="D169" s="50"/>
    </row>
    <row r="170">
      <c r="A170" s="50"/>
      <c r="B170" s="50"/>
      <c r="C170" s="50"/>
      <c r="D170" s="50"/>
    </row>
    <row r="171">
      <c r="A171" s="50"/>
      <c r="B171" s="50"/>
      <c r="C171" s="50"/>
      <c r="D171" s="50"/>
    </row>
    <row r="172">
      <c r="A172" s="50"/>
      <c r="B172" s="50"/>
      <c r="C172" s="50"/>
      <c r="D172" s="50"/>
    </row>
    <row r="173">
      <c r="A173" s="50"/>
      <c r="B173" s="50"/>
      <c r="C173" s="50"/>
      <c r="D173" s="50"/>
    </row>
    <row r="174">
      <c r="A174" s="50"/>
      <c r="B174" s="50"/>
      <c r="C174" s="50"/>
      <c r="D174" s="50"/>
    </row>
    <row r="175">
      <c r="A175" s="50"/>
      <c r="B175" s="50"/>
      <c r="C175" s="50"/>
      <c r="D175" s="50"/>
    </row>
    <row r="176">
      <c r="A176" s="50"/>
      <c r="B176" s="50"/>
      <c r="C176" s="50"/>
      <c r="D176" s="50"/>
    </row>
    <row r="177">
      <c r="A177" s="50"/>
      <c r="B177" s="50"/>
      <c r="C177" s="50"/>
      <c r="D177" s="50"/>
    </row>
    <row r="178">
      <c r="A178" s="50"/>
      <c r="B178" s="50"/>
      <c r="C178" s="50"/>
      <c r="D178" s="50"/>
    </row>
    <row r="179">
      <c r="A179" s="50"/>
      <c r="B179" s="50"/>
      <c r="C179" s="50"/>
      <c r="D179" s="50"/>
    </row>
    <row r="180">
      <c r="A180" s="50"/>
      <c r="B180" s="50"/>
      <c r="C180" s="50"/>
      <c r="D180" s="50"/>
    </row>
    <row r="181">
      <c r="A181" s="50"/>
      <c r="B181" s="50"/>
      <c r="C181" s="50"/>
      <c r="D181" s="50"/>
    </row>
    <row r="182">
      <c r="A182" s="50"/>
      <c r="B182" s="50"/>
      <c r="C182" s="50"/>
      <c r="D182" s="50"/>
    </row>
    <row r="183">
      <c r="A183" s="50"/>
      <c r="B183" s="50"/>
      <c r="C183" s="50"/>
      <c r="D183" s="50"/>
    </row>
    <row r="184">
      <c r="A184" s="50"/>
      <c r="B184" s="50"/>
      <c r="C184" s="50"/>
      <c r="D184" s="50"/>
    </row>
    <row r="185">
      <c r="A185" s="50"/>
      <c r="B185" s="50"/>
      <c r="C185" s="50"/>
      <c r="D185" s="50"/>
    </row>
    <row r="186">
      <c r="A186" s="50"/>
      <c r="B186" s="50"/>
      <c r="C186" s="50"/>
      <c r="D186" s="50"/>
    </row>
    <row r="187">
      <c r="A187" s="50"/>
      <c r="B187" s="50"/>
      <c r="C187" s="50"/>
      <c r="D187" s="50"/>
    </row>
    <row r="188">
      <c r="A188" s="50"/>
      <c r="B188" s="50"/>
      <c r="C188" s="50"/>
      <c r="D188" s="50"/>
    </row>
    <row r="189">
      <c r="A189" s="50"/>
      <c r="B189" s="50"/>
      <c r="C189" s="50"/>
      <c r="D189" s="50"/>
    </row>
    <row r="190">
      <c r="A190" s="50"/>
      <c r="B190" s="50"/>
      <c r="C190" s="50"/>
      <c r="D190" s="50"/>
    </row>
    <row r="191">
      <c r="A191" s="50"/>
      <c r="B191" s="50"/>
      <c r="C191" s="50"/>
      <c r="D191" s="50"/>
    </row>
    <row r="192">
      <c r="A192" s="50"/>
      <c r="B192" s="50"/>
      <c r="C192" s="50"/>
      <c r="D192" s="50"/>
    </row>
    <row r="193">
      <c r="A193" s="50"/>
      <c r="B193" s="50"/>
      <c r="C193" s="50"/>
      <c r="D193" s="50"/>
    </row>
    <row r="194">
      <c r="A194" s="50"/>
      <c r="B194" s="50"/>
      <c r="C194" s="50"/>
      <c r="D194" s="50"/>
    </row>
    <row r="195">
      <c r="A195" s="50"/>
      <c r="B195" s="50"/>
      <c r="C195" s="50"/>
      <c r="D195" s="50"/>
    </row>
    <row r="196">
      <c r="A196" s="50"/>
      <c r="B196" s="50"/>
      <c r="C196" s="50"/>
      <c r="D196" s="50"/>
    </row>
    <row r="197">
      <c r="A197" s="50"/>
      <c r="B197" s="50"/>
      <c r="C197" s="50"/>
      <c r="D197" s="50"/>
    </row>
    <row r="198">
      <c r="A198" s="50"/>
      <c r="B198" s="50"/>
      <c r="C198" s="50"/>
      <c r="D198" s="50"/>
    </row>
    <row r="199">
      <c r="A199" s="50"/>
      <c r="B199" s="50"/>
      <c r="C199" s="50"/>
      <c r="D199" s="50"/>
    </row>
    <row r="200">
      <c r="A200" s="50"/>
      <c r="B200" s="50"/>
      <c r="C200" s="50"/>
      <c r="D200" s="50"/>
    </row>
    <row r="201">
      <c r="A201" s="50"/>
      <c r="B201" s="50"/>
      <c r="C201" s="50"/>
      <c r="D201" s="50"/>
    </row>
    <row r="202">
      <c r="A202" s="50"/>
      <c r="B202" s="50"/>
      <c r="C202" s="50"/>
      <c r="D202" s="50"/>
    </row>
    <row r="203">
      <c r="A203" s="50"/>
      <c r="B203" s="50"/>
      <c r="C203" s="50"/>
      <c r="D203" s="50"/>
    </row>
    <row r="204">
      <c r="A204" s="50"/>
      <c r="B204" s="50"/>
      <c r="C204" s="50"/>
      <c r="D204" s="50"/>
    </row>
    <row r="205">
      <c r="A205" s="50"/>
      <c r="B205" s="50"/>
      <c r="C205" s="50"/>
      <c r="D205" s="50"/>
    </row>
    <row r="206">
      <c r="A206" s="50"/>
      <c r="B206" s="50"/>
      <c r="C206" s="50"/>
      <c r="D206" s="50"/>
    </row>
    <row r="207">
      <c r="A207" s="50"/>
      <c r="B207" s="50"/>
      <c r="C207" s="50"/>
      <c r="D207" s="50"/>
    </row>
    <row r="208">
      <c r="A208" s="50"/>
      <c r="B208" s="50"/>
      <c r="C208" s="50"/>
      <c r="D208" s="50"/>
    </row>
    <row r="209">
      <c r="A209" s="50"/>
      <c r="B209" s="50"/>
      <c r="C209" s="50"/>
      <c r="D209" s="50"/>
    </row>
    <row r="210">
      <c r="A210" s="50"/>
      <c r="B210" s="50"/>
      <c r="C210" s="50"/>
      <c r="D210" s="50"/>
    </row>
    <row r="211">
      <c r="A211" s="50"/>
      <c r="B211" s="50"/>
      <c r="C211" s="50"/>
      <c r="D211" s="50"/>
    </row>
    <row r="212">
      <c r="A212" s="50"/>
      <c r="B212" s="50"/>
      <c r="C212" s="50"/>
      <c r="D212" s="50"/>
    </row>
    <row r="213">
      <c r="A213" s="50"/>
      <c r="B213" s="50"/>
      <c r="C213" s="50"/>
      <c r="D213" s="50"/>
    </row>
    <row r="214">
      <c r="A214" s="50"/>
      <c r="B214" s="50"/>
      <c r="C214" s="50"/>
      <c r="D214" s="50"/>
    </row>
    <row r="215">
      <c r="A215" s="50"/>
      <c r="B215" s="50"/>
      <c r="C215" s="50"/>
      <c r="D215" s="50"/>
    </row>
    <row r="216">
      <c r="A216" s="50"/>
      <c r="B216" s="50"/>
      <c r="C216" s="50"/>
      <c r="D216" s="50"/>
    </row>
    <row r="217">
      <c r="A217" s="50"/>
      <c r="B217" s="50"/>
      <c r="C217" s="50"/>
      <c r="D217" s="50"/>
    </row>
    <row r="218">
      <c r="A218" s="50"/>
      <c r="B218" s="50"/>
      <c r="C218" s="50"/>
      <c r="D218" s="50"/>
    </row>
    <row r="219">
      <c r="A219" s="50"/>
      <c r="B219" s="50"/>
      <c r="C219" s="50"/>
      <c r="D219" s="50"/>
    </row>
    <row r="220">
      <c r="A220" s="50"/>
      <c r="B220" s="50"/>
      <c r="C220" s="50"/>
      <c r="D220" s="50"/>
    </row>
    <row r="221">
      <c r="A221" s="50"/>
      <c r="B221" s="50"/>
      <c r="C221" s="50"/>
      <c r="D221" s="50"/>
    </row>
    <row r="222">
      <c r="A222" s="50"/>
      <c r="B222" s="50"/>
      <c r="C222" s="50"/>
      <c r="D222" s="50"/>
    </row>
    <row r="223">
      <c r="A223" s="50"/>
      <c r="B223" s="50"/>
      <c r="C223" s="50"/>
      <c r="D223" s="50"/>
    </row>
    <row r="224">
      <c r="A224" s="50"/>
      <c r="B224" s="50"/>
      <c r="C224" s="50"/>
      <c r="D224" s="50"/>
    </row>
    <row r="225">
      <c r="A225" s="50"/>
      <c r="B225" s="50"/>
      <c r="C225" s="50"/>
      <c r="D225" s="50"/>
    </row>
    <row r="226">
      <c r="A226" s="50"/>
      <c r="B226" s="50"/>
      <c r="C226" s="50"/>
      <c r="D226" s="50"/>
    </row>
    <row r="227">
      <c r="A227" s="50"/>
      <c r="B227" s="50"/>
      <c r="C227" s="50"/>
      <c r="D227" s="50"/>
    </row>
    <row r="228">
      <c r="A228" s="50"/>
      <c r="B228" s="50"/>
      <c r="C228" s="50"/>
      <c r="D228" s="50"/>
    </row>
    <row r="229">
      <c r="A229" s="50"/>
      <c r="B229" s="50"/>
      <c r="C229" s="50"/>
      <c r="D229" s="50"/>
    </row>
    <row r="230">
      <c r="A230" s="50"/>
      <c r="B230" s="50"/>
      <c r="C230" s="50"/>
      <c r="D230" s="50"/>
    </row>
    <row r="231">
      <c r="A231" s="50"/>
      <c r="B231" s="50"/>
      <c r="C231" s="50"/>
      <c r="D231" s="50"/>
    </row>
    <row r="232">
      <c r="A232" s="50"/>
      <c r="B232" s="50"/>
      <c r="C232" s="50"/>
      <c r="D232" s="50"/>
    </row>
    <row r="233">
      <c r="A233" s="50"/>
      <c r="B233" s="50"/>
      <c r="C233" s="50"/>
      <c r="D233" s="50"/>
    </row>
    <row r="234">
      <c r="A234" s="50"/>
      <c r="B234" s="50"/>
      <c r="C234" s="50"/>
      <c r="D234" s="50"/>
    </row>
    <row r="235">
      <c r="A235" s="50"/>
      <c r="B235" s="50"/>
      <c r="C235" s="50"/>
      <c r="D235" s="50"/>
    </row>
    <row r="236">
      <c r="A236" s="50"/>
      <c r="B236" s="50"/>
      <c r="C236" s="50"/>
      <c r="D236" s="50"/>
    </row>
    <row r="237">
      <c r="A237" s="50"/>
      <c r="B237" s="50"/>
      <c r="C237" s="50"/>
      <c r="D237" s="50"/>
    </row>
    <row r="238">
      <c r="A238" s="50"/>
      <c r="B238" s="50"/>
      <c r="C238" s="50"/>
      <c r="D238" s="50"/>
    </row>
    <row r="239">
      <c r="A239" s="50"/>
      <c r="B239" s="50"/>
      <c r="C239" s="50"/>
      <c r="D239" s="50"/>
    </row>
    <row r="240">
      <c r="A240" s="50"/>
      <c r="B240" s="50"/>
      <c r="C240" s="50"/>
      <c r="D240" s="50"/>
    </row>
    <row r="241">
      <c r="A241" s="50"/>
      <c r="B241" s="50"/>
      <c r="C241" s="50"/>
      <c r="D241" s="50"/>
    </row>
    <row r="242">
      <c r="A242" s="50"/>
      <c r="B242" s="50"/>
      <c r="C242" s="50"/>
      <c r="D242" s="50"/>
    </row>
    <row r="243">
      <c r="A243" s="50"/>
      <c r="B243" s="50"/>
      <c r="C243" s="50"/>
      <c r="D243" s="50"/>
    </row>
    <row r="244">
      <c r="A244" s="50"/>
      <c r="B244" s="50"/>
      <c r="C244" s="50"/>
      <c r="D244" s="50"/>
    </row>
    <row r="245">
      <c r="A245" s="50"/>
      <c r="B245" s="50"/>
      <c r="C245" s="50"/>
      <c r="D245" s="50"/>
    </row>
    <row r="246">
      <c r="A246" s="50"/>
      <c r="B246" s="50"/>
      <c r="C246" s="50"/>
      <c r="D246" s="50"/>
    </row>
    <row r="247">
      <c r="A247" s="50"/>
      <c r="B247" s="50"/>
      <c r="C247" s="50"/>
      <c r="D247" s="50"/>
    </row>
    <row r="248">
      <c r="A248" s="50"/>
      <c r="B248" s="50"/>
      <c r="C248" s="50"/>
      <c r="D248" s="50"/>
    </row>
    <row r="249">
      <c r="A249" s="50"/>
      <c r="B249" s="50"/>
      <c r="C249" s="50"/>
      <c r="D249" s="50"/>
    </row>
    <row r="250">
      <c r="A250" s="50"/>
      <c r="B250" s="50"/>
      <c r="C250" s="50"/>
      <c r="D250" s="50"/>
    </row>
    <row r="251">
      <c r="A251" s="50"/>
      <c r="B251" s="50"/>
      <c r="C251" s="50"/>
      <c r="D251" s="50"/>
    </row>
    <row r="252">
      <c r="A252" s="50"/>
      <c r="B252" s="50"/>
      <c r="C252" s="50"/>
      <c r="D252" s="50"/>
    </row>
    <row r="253">
      <c r="A253" s="50"/>
      <c r="B253" s="50"/>
      <c r="C253" s="50"/>
      <c r="D253" s="50"/>
    </row>
    <row r="254">
      <c r="A254" s="50"/>
      <c r="B254" s="50"/>
      <c r="C254" s="50"/>
      <c r="D254" s="50"/>
    </row>
    <row r="255">
      <c r="A255" s="50"/>
      <c r="B255" s="50"/>
      <c r="C255" s="50"/>
      <c r="D255" s="50"/>
    </row>
    <row r="256">
      <c r="A256" s="50"/>
      <c r="B256" s="50"/>
      <c r="C256" s="50"/>
      <c r="D256" s="50"/>
    </row>
    <row r="257">
      <c r="A257" s="50"/>
      <c r="B257" s="50"/>
      <c r="C257" s="50"/>
      <c r="D257" s="50"/>
    </row>
    <row r="258">
      <c r="A258" s="50"/>
      <c r="B258" s="50"/>
      <c r="C258" s="50"/>
      <c r="D258" s="50"/>
    </row>
    <row r="259">
      <c r="A259" s="50"/>
      <c r="B259" s="50"/>
      <c r="C259" s="50"/>
      <c r="D259" s="50"/>
    </row>
    <row r="260">
      <c r="A260" s="50"/>
      <c r="B260" s="50"/>
      <c r="C260" s="50"/>
      <c r="D260" s="50"/>
    </row>
    <row r="261">
      <c r="A261" s="50"/>
      <c r="B261" s="50"/>
      <c r="C261" s="50"/>
      <c r="D261" s="50"/>
    </row>
    <row r="262">
      <c r="A262" s="50"/>
      <c r="B262" s="50"/>
      <c r="C262" s="50"/>
      <c r="D262" s="50"/>
    </row>
    <row r="263">
      <c r="A263" s="50"/>
      <c r="B263" s="50"/>
      <c r="C263" s="50"/>
      <c r="D263" s="50"/>
    </row>
    <row r="264">
      <c r="A264" s="50"/>
      <c r="B264" s="50"/>
      <c r="C264" s="50"/>
      <c r="D264" s="50"/>
    </row>
    <row r="265">
      <c r="A265" s="50"/>
      <c r="B265" s="50"/>
      <c r="C265" s="50"/>
      <c r="D265" s="50"/>
    </row>
    <row r="266">
      <c r="A266" s="50"/>
      <c r="B266" s="50"/>
      <c r="C266" s="50"/>
      <c r="D266" s="50"/>
    </row>
    <row r="267">
      <c r="A267" s="50"/>
      <c r="B267" s="50"/>
      <c r="C267" s="50"/>
      <c r="D267" s="50"/>
    </row>
    <row r="268">
      <c r="A268" s="50"/>
      <c r="B268" s="50"/>
      <c r="C268" s="50"/>
      <c r="D268" s="50"/>
    </row>
    <row r="269">
      <c r="A269" s="50"/>
      <c r="B269" s="50"/>
      <c r="C269" s="50"/>
      <c r="D269" s="50"/>
    </row>
    <row r="270">
      <c r="A270" s="50"/>
      <c r="B270" s="50"/>
      <c r="C270" s="50"/>
      <c r="D270" s="50"/>
    </row>
    <row r="271">
      <c r="A271" s="50"/>
      <c r="B271" s="50"/>
      <c r="C271" s="50"/>
      <c r="D271" s="50"/>
    </row>
    <row r="272">
      <c r="A272" s="50"/>
      <c r="B272" s="50"/>
      <c r="C272" s="50"/>
      <c r="D272" s="50"/>
    </row>
    <row r="273">
      <c r="A273" s="50"/>
      <c r="B273" s="50"/>
      <c r="C273" s="50"/>
      <c r="D273" s="50"/>
    </row>
    <row r="274">
      <c r="A274" s="50"/>
      <c r="B274" s="50"/>
      <c r="C274" s="50"/>
      <c r="D274" s="50"/>
    </row>
    <row r="275">
      <c r="A275" s="50"/>
      <c r="B275" s="50"/>
      <c r="C275" s="50"/>
      <c r="D275" s="50"/>
    </row>
    <row r="276">
      <c r="A276" s="50"/>
      <c r="B276" s="50"/>
      <c r="C276" s="50"/>
      <c r="D276" s="50"/>
    </row>
    <row r="277">
      <c r="A277" s="50"/>
      <c r="B277" s="50"/>
      <c r="C277" s="50"/>
      <c r="D277" s="50"/>
    </row>
    <row r="278">
      <c r="A278" s="50"/>
      <c r="B278" s="50"/>
      <c r="C278" s="50"/>
      <c r="D278" s="50"/>
    </row>
    <row r="279">
      <c r="A279" s="50"/>
      <c r="B279" s="50"/>
      <c r="C279" s="50"/>
      <c r="D279" s="50"/>
    </row>
    <row r="280">
      <c r="A280" s="50"/>
      <c r="B280" s="50"/>
      <c r="C280" s="50"/>
      <c r="D280" s="50"/>
    </row>
    <row r="281">
      <c r="A281" s="50"/>
      <c r="B281" s="50"/>
      <c r="C281" s="50"/>
      <c r="D281" s="50"/>
    </row>
    <row r="282">
      <c r="A282" s="50"/>
      <c r="B282" s="50"/>
      <c r="C282" s="50"/>
      <c r="D282" s="50"/>
    </row>
    <row r="283">
      <c r="A283" s="50"/>
      <c r="B283" s="50"/>
      <c r="C283" s="50"/>
      <c r="D283" s="50"/>
    </row>
    <row r="284">
      <c r="A284" s="50"/>
      <c r="B284" s="50"/>
      <c r="C284" s="50"/>
      <c r="D284" s="50"/>
    </row>
    <row r="285">
      <c r="A285" s="50"/>
      <c r="B285" s="50"/>
      <c r="C285" s="50"/>
      <c r="D285" s="50"/>
    </row>
    <row r="286">
      <c r="A286" s="50"/>
      <c r="B286" s="50"/>
      <c r="C286" s="50"/>
      <c r="D286" s="50"/>
    </row>
    <row r="287">
      <c r="A287" s="50"/>
      <c r="B287" s="50"/>
      <c r="C287" s="50"/>
      <c r="D287" s="50"/>
    </row>
    <row r="288">
      <c r="A288" s="50"/>
      <c r="B288" s="50"/>
      <c r="C288" s="50"/>
      <c r="D288" s="50"/>
    </row>
    <row r="289">
      <c r="A289" s="50"/>
      <c r="B289" s="50"/>
      <c r="C289" s="50"/>
      <c r="D289" s="50"/>
    </row>
    <row r="290">
      <c r="A290" s="50"/>
      <c r="B290" s="50"/>
      <c r="C290" s="50"/>
      <c r="D290" s="50"/>
    </row>
    <row r="291">
      <c r="A291" s="50"/>
      <c r="B291" s="50"/>
      <c r="C291" s="50"/>
      <c r="D291" s="50"/>
    </row>
    <row r="292">
      <c r="A292" s="50"/>
      <c r="B292" s="50"/>
      <c r="C292" s="50"/>
      <c r="D292" s="50"/>
    </row>
    <row r="293">
      <c r="A293" s="50"/>
      <c r="B293" s="50"/>
      <c r="C293" s="50"/>
      <c r="D293" s="50"/>
    </row>
    <row r="294">
      <c r="A294" s="50"/>
      <c r="B294" s="50"/>
      <c r="C294" s="50"/>
      <c r="D294" s="50"/>
    </row>
    <row r="295">
      <c r="A295" s="50"/>
      <c r="B295" s="50"/>
      <c r="C295" s="50"/>
      <c r="D295" s="50"/>
    </row>
    <row r="296">
      <c r="A296" s="50"/>
      <c r="B296" s="50"/>
      <c r="C296" s="50"/>
      <c r="D296" s="50"/>
    </row>
    <row r="297">
      <c r="A297" s="50"/>
      <c r="B297" s="50"/>
      <c r="C297" s="50"/>
      <c r="D297" s="50"/>
    </row>
    <row r="298">
      <c r="A298" s="50"/>
      <c r="B298" s="50"/>
      <c r="C298" s="50"/>
      <c r="D298" s="50"/>
    </row>
    <row r="299">
      <c r="A299" s="50"/>
      <c r="B299" s="50"/>
      <c r="C299" s="50"/>
      <c r="D299" s="50"/>
    </row>
    <row r="300">
      <c r="A300" s="50"/>
      <c r="B300" s="50"/>
      <c r="C300" s="50"/>
      <c r="D300" s="50"/>
    </row>
    <row r="301">
      <c r="A301" s="50"/>
      <c r="B301" s="50"/>
      <c r="C301" s="50"/>
      <c r="D301" s="50"/>
    </row>
    <row r="302">
      <c r="A302" s="50"/>
      <c r="B302" s="50"/>
      <c r="C302" s="50"/>
      <c r="D302" s="50"/>
    </row>
    <row r="303">
      <c r="A303" s="50"/>
      <c r="B303" s="50"/>
      <c r="C303" s="50"/>
      <c r="D303" s="50"/>
    </row>
    <row r="304">
      <c r="A304" s="50"/>
      <c r="B304" s="50"/>
      <c r="C304" s="50"/>
      <c r="D304" s="50"/>
    </row>
    <row r="305">
      <c r="A305" s="50"/>
      <c r="B305" s="50"/>
      <c r="C305" s="50"/>
      <c r="D305" s="50"/>
    </row>
    <row r="306">
      <c r="A306" s="50"/>
      <c r="B306" s="50"/>
      <c r="C306" s="50"/>
      <c r="D306" s="50"/>
    </row>
    <row r="307">
      <c r="A307" s="50"/>
      <c r="B307" s="50"/>
      <c r="C307" s="50"/>
      <c r="D307" s="50"/>
    </row>
    <row r="308">
      <c r="A308" s="50"/>
      <c r="B308" s="50"/>
      <c r="C308" s="50"/>
      <c r="D308" s="50"/>
    </row>
    <row r="309">
      <c r="A309" s="50"/>
      <c r="B309" s="50"/>
      <c r="C309" s="50"/>
      <c r="D309" s="50"/>
    </row>
    <row r="310">
      <c r="A310" s="50"/>
      <c r="B310" s="50"/>
      <c r="C310" s="50"/>
      <c r="D310" s="50"/>
    </row>
    <row r="311">
      <c r="A311" s="50"/>
      <c r="B311" s="50"/>
      <c r="C311" s="50"/>
      <c r="D311" s="50"/>
    </row>
    <row r="312">
      <c r="A312" s="50"/>
      <c r="B312" s="50"/>
      <c r="C312" s="50"/>
      <c r="D312" s="50"/>
    </row>
    <row r="313">
      <c r="A313" s="50"/>
      <c r="B313" s="50"/>
      <c r="C313" s="50"/>
      <c r="D313" s="50"/>
    </row>
    <row r="314">
      <c r="A314" s="50"/>
      <c r="B314" s="50"/>
      <c r="C314" s="50"/>
      <c r="D314" s="50"/>
    </row>
    <row r="315">
      <c r="A315" s="50"/>
      <c r="B315" s="50"/>
      <c r="C315" s="50"/>
      <c r="D315" s="50"/>
    </row>
    <row r="316">
      <c r="A316" s="50"/>
      <c r="B316" s="50"/>
      <c r="C316" s="50"/>
      <c r="D316" s="50"/>
    </row>
    <row r="317">
      <c r="A317" s="50"/>
      <c r="B317" s="50"/>
      <c r="C317" s="50"/>
      <c r="D317" s="50"/>
    </row>
    <row r="318">
      <c r="A318" s="50"/>
      <c r="B318" s="50"/>
      <c r="C318" s="50"/>
      <c r="D318" s="50"/>
    </row>
    <row r="319">
      <c r="A319" s="50"/>
      <c r="B319" s="50"/>
      <c r="C319" s="50"/>
      <c r="D319" s="50"/>
    </row>
    <row r="320">
      <c r="A320" s="50"/>
      <c r="B320" s="50"/>
      <c r="C320" s="50"/>
      <c r="D320" s="50"/>
    </row>
    <row r="321">
      <c r="A321" s="50"/>
      <c r="B321" s="50"/>
      <c r="C321" s="50"/>
      <c r="D321" s="50"/>
    </row>
    <row r="322">
      <c r="A322" s="50"/>
      <c r="B322" s="50"/>
      <c r="C322" s="50"/>
      <c r="D322" s="50"/>
    </row>
    <row r="323">
      <c r="A323" s="50"/>
      <c r="B323" s="50"/>
      <c r="C323" s="50"/>
      <c r="D323" s="50"/>
    </row>
    <row r="324">
      <c r="A324" s="50"/>
      <c r="B324" s="50"/>
      <c r="C324" s="50"/>
      <c r="D324" s="50"/>
    </row>
    <row r="325">
      <c r="A325" s="50"/>
      <c r="B325" s="50"/>
      <c r="C325" s="50"/>
      <c r="D325" s="50"/>
    </row>
    <row r="326">
      <c r="A326" s="50"/>
      <c r="B326" s="50"/>
      <c r="C326" s="50"/>
      <c r="D326" s="50"/>
    </row>
    <row r="327">
      <c r="A327" s="50"/>
      <c r="B327" s="50"/>
      <c r="C327" s="50"/>
      <c r="D327" s="50"/>
    </row>
    <row r="328">
      <c r="A328" s="50"/>
      <c r="B328" s="50"/>
      <c r="C328" s="50"/>
      <c r="D328" s="50"/>
    </row>
    <row r="329">
      <c r="A329" s="50"/>
      <c r="B329" s="50"/>
      <c r="C329" s="50"/>
      <c r="D329" s="50"/>
    </row>
    <row r="330">
      <c r="A330" s="50"/>
      <c r="B330" s="50"/>
      <c r="C330" s="50"/>
      <c r="D330" s="50"/>
    </row>
    <row r="331">
      <c r="A331" s="50"/>
      <c r="B331" s="50"/>
      <c r="C331" s="50"/>
      <c r="D331" s="50"/>
    </row>
    <row r="332">
      <c r="A332" s="50"/>
      <c r="B332" s="50"/>
      <c r="C332" s="50"/>
      <c r="D332" s="50"/>
    </row>
    <row r="333">
      <c r="A333" s="50"/>
      <c r="B333" s="50"/>
      <c r="C333" s="50"/>
      <c r="D333" s="50"/>
    </row>
    <row r="334">
      <c r="A334" s="50"/>
      <c r="B334" s="50"/>
      <c r="C334" s="50"/>
      <c r="D334" s="50"/>
    </row>
    <row r="335">
      <c r="A335" s="50"/>
      <c r="B335" s="50"/>
      <c r="C335" s="50"/>
      <c r="D335" s="50"/>
    </row>
    <row r="336">
      <c r="A336" s="50"/>
      <c r="B336" s="50"/>
      <c r="C336" s="50"/>
      <c r="D336" s="50"/>
    </row>
    <row r="337">
      <c r="A337" s="50"/>
      <c r="B337" s="50"/>
      <c r="C337" s="50"/>
      <c r="D337" s="50"/>
    </row>
    <row r="338">
      <c r="A338" s="50"/>
      <c r="B338" s="50"/>
      <c r="C338" s="50"/>
      <c r="D338" s="50"/>
    </row>
    <row r="339">
      <c r="A339" s="50"/>
      <c r="B339" s="50"/>
      <c r="C339" s="50"/>
      <c r="D339" s="50"/>
    </row>
    <row r="340">
      <c r="A340" s="50"/>
      <c r="B340" s="50"/>
      <c r="C340" s="50"/>
      <c r="D340" s="50"/>
    </row>
    <row r="341">
      <c r="A341" s="50"/>
      <c r="B341" s="50"/>
      <c r="C341" s="50"/>
      <c r="D341" s="50"/>
    </row>
    <row r="342">
      <c r="A342" s="50"/>
      <c r="B342" s="50"/>
      <c r="C342" s="50"/>
      <c r="D342" s="50"/>
    </row>
    <row r="343">
      <c r="A343" s="50"/>
      <c r="B343" s="50"/>
      <c r="C343" s="50"/>
      <c r="D343" s="50"/>
    </row>
    <row r="344">
      <c r="A344" s="50"/>
      <c r="B344" s="50"/>
      <c r="C344" s="50"/>
      <c r="D344" s="50"/>
    </row>
    <row r="345">
      <c r="A345" s="50"/>
      <c r="B345" s="50"/>
      <c r="C345" s="50"/>
      <c r="D345" s="50"/>
    </row>
    <row r="346">
      <c r="A346" s="50"/>
      <c r="B346" s="50"/>
      <c r="C346" s="50"/>
      <c r="D346" s="50"/>
    </row>
    <row r="347">
      <c r="A347" s="50"/>
      <c r="B347" s="50"/>
      <c r="C347" s="50"/>
      <c r="D347" s="50"/>
    </row>
    <row r="348">
      <c r="A348" s="50"/>
      <c r="B348" s="50"/>
      <c r="C348" s="50"/>
      <c r="D348" s="50"/>
    </row>
    <row r="349">
      <c r="A349" s="50"/>
      <c r="B349" s="50"/>
      <c r="C349" s="50"/>
      <c r="D349" s="50"/>
    </row>
    <row r="350">
      <c r="A350" s="50"/>
      <c r="B350" s="50"/>
      <c r="C350" s="50"/>
      <c r="D350" s="50"/>
    </row>
    <row r="351">
      <c r="A351" s="50"/>
      <c r="B351" s="50"/>
      <c r="C351" s="50"/>
      <c r="D351" s="50"/>
    </row>
    <row r="352">
      <c r="A352" s="50"/>
      <c r="B352" s="50"/>
      <c r="C352" s="50"/>
      <c r="D352" s="50"/>
    </row>
    <row r="353">
      <c r="A353" s="50"/>
      <c r="B353" s="50"/>
      <c r="C353" s="50"/>
      <c r="D353" s="50"/>
    </row>
    <row r="354">
      <c r="A354" s="50"/>
      <c r="B354" s="50"/>
      <c r="C354" s="50"/>
      <c r="D354" s="50"/>
    </row>
    <row r="355">
      <c r="A355" s="50"/>
      <c r="B355" s="50"/>
      <c r="C355" s="50"/>
      <c r="D355" s="50"/>
    </row>
    <row r="356">
      <c r="A356" s="50"/>
      <c r="B356" s="50"/>
      <c r="C356" s="50"/>
      <c r="D356" s="50"/>
    </row>
    <row r="357">
      <c r="A357" s="50"/>
      <c r="B357" s="50"/>
      <c r="C357" s="50"/>
      <c r="D357" s="50"/>
    </row>
    <row r="358">
      <c r="A358" s="50"/>
      <c r="B358" s="50"/>
      <c r="C358" s="50"/>
      <c r="D358" s="50"/>
    </row>
    <row r="359">
      <c r="A359" s="50"/>
      <c r="B359" s="50"/>
      <c r="C359" s="50"/>
      <c r="D359" s="50"/>
    </row>
    <row r="360">
      <c r="A360" s="50"/>
      <c r="B360" s="50"/>
      <c r="C360" s="50"/>
      <c r="D360" s="50"/>
    </row>
    <row r="361">
      <c r="A361" s="50"/>
      <c r="B361" s="50"/>
      <c r="C361" s="50"/>
      <c r="D361" s="50"/>
    </row>
    <row r="362">
      <c r="A362" s="50"/>
      <c r="B362" s="50"/>
      <c r="C362" s="50"/>
      <c r="D362" s="50"/>
    </row>
    <row r="363">
      <c r="A363" s="50"/>
      <c r="B363" s="50"/>
      <c r="C363" s="50"/>
      <c r="D363" s="50"/>
    </row>
    <row r="364">
      <c r="A364" s="50"/>
      <c r="B364" s="50"/>
      <c r="C364" s="50"/>
      <c r="D364" s="50"/>
    </row>
    <row r="365">
      <c r="A365" s="50"/>
      <c r="B365" s="50"/>
      <c r="C365" s="50"/>
      <c r="D365" s="50"/>
    </row>
    <row r="366">
      <c r="A366" s="50"/>
      <c r="B366" s="50"/>
      <c r="C366" s="50"/>
      <c r="D366" s="50"/>
    </row>
    <row r="367">
      <c r="A367" s="50"/>
      <c r="B367" s="50"/>
      <c r="C367" s="50"/>
      <c r="D367" s="50"/>
    </row>
    <row r="368">
      <c r="A368" s="50"/>
      <c r="B368" s="50"/>
      <c r="C368" s="50"/>
      <c r="D368" s="50"/>
    </row>
    <row r="369">
      <c r="A369" s="50"/>
      <c r="B369" s="50"/>
      <c r="C369" s="50"/>
      <c r="D369" s="50"/>
    </row>
    <row r="370">
      <c r="A370" s="50"/>
      <c r="B370" s="50"/>
      <c r="C370" s="50"/>
      <c r="D370" s="50"/>
    </row>
    <row r="371">
      <c r="A371" s="50"/>
      <c r="B371" s="50"/>
      <c r="C371" s="50"/>
      <c r="D371" s="50"/>
    </row>
    <row r="372">
      <c r="A372" s="50"/>
      <c r="B372" s="50"/>
      <c r="C372" s="50"/>
      <c r="D372" s="50"/>
    </row>
    <row r="373">
      <c r="A373" s="50"/>
      <c r="B373" s="50"/>
      <c r="C373" s="50"/>
      <c r="D373" s="50"/>
    </row>
    <row r="374">
      <c r="A374" s="50"/>
      <c r="B374" s="50"/>
      <c r="C374" s="50"/>
      <c r="D374" s="50"/>
    </row>
    <row r="375">
      <c r="A375" s="50"/>
      <c r="B375" s="50"/>
      <c r="C375" s="50"/>
      <c r="D375" s="50"/>
    </row>
    <row r="376">
      <c r="A376" s="50"/>
      <c r="B376" s="50"/>
      <c r="C376" s="50"/>
      <c r="D376" s="50"/>
    </row>
    <row r="377">
      <c r="A377" s="50"/>
      <c r="B377" s="50"/>
      <c r="C377" s="50"/>
      <c r="D377" s="50"/>
    </row>
    <row r="378">
      <c r="A378" s="50"/>
      <c r="B378" s="50"/>
      <c r="C378" s="50"/>
      <c r="D378" s="50"/>
    </row>
    <row r="379">
      <c r="A379" s="50"/>
      <c r="B379" s="50"/>
      <c r="C379" s="50"/>
      <c r="D379" s="50"/>
    </row>
    <row r="380">
      <c r="A380" s="50"/>
      <c r="B380" s="50"/>
      <c r="C380" s="50"/>
      <c r="D380" s="50"/>
    </row>
    <row r="381">
      <c r="A381" s="50"/>
      <c r="B381" s="50"/>
      <c r="C381" s="50"/>
      <c r="D381" s="50"/>
    </row>
    <row r="382">
      <c r="A382" s="50"/>
      <c r="B382" s="50"/>
      <c r="C382" s="50"/>
      <c r="D382" s="50"/>
    </row>
    <row r="383">
      <c r="A383" s="50"/>
      <c r="B383" s="50"/>
      <c r="C383" s="50"/>
      <c r="D383" s="50"/>
    </row>
    <row r="384">
      <c r="A384" s="50"/>
      <c r="B384" s="50"/>
      <c r="C384" s="50"/>
      <c r="D384" s="50"/>
    </row>
    <row r="385">
      <c r="A385" s="50"/>
      <c r="B385" s="50"/>
      <c r="C385" s="50"/>
      <c r="D385" s="50"/>
    </row>
    <row r="386">
      <c r="A386" s="50"/>
      <c r="B386" s="50"/>
      <c r="C386" s="50"/>
      <c r="D386" s="50"/>
    </row>
    <row r="387">
      <c r="A387" s="50"/>
      <c r="B387" s="50"/>
      <c r="C387" s="50"/>
      <c r="D387" s="50"/>
    </row>
    <row r="388">
      <c r="A388" s="50"/>
      <c r="B388" s="50"/>
      <c r="C388" s="50"/>
      <c r="D388" s="50"/>
    </row>
    <row r="389">
      <c r="A389" s="50"/>
      <c r="B389" s="50"/>
      <c r="C389" s="50"/>
      <c r="D389" s="50"/>
    </row>
    <row r="390">
      <c r="A390" s="50"/>
      <c r="B390" s="50"/>
      <c r="C390" s="50"/>
      <c r="D390" s="50"/>
    </row>
    <row r="391">
      <c r="A391" s="50"/>
      <c r="B391" s="50"/>
      <c r="C391" s="50"/>
      <c r="D391" s="50"/>
    </row>
    <row r="392">
      <c r="A392" s="50"/>
      <c r="B392" s="50"/>
      <c r="C392" s="50"/>
      <c r="D392" s="50"/>
    </row>
    <row r="393">
      <c r="A393" s="50"/>
      <c r="B393" s="50"/>
      <c r="C393" s="50"/>
      <c r="D393" s="50"/>
    </row>
    <row r="394">
      <c r="A394" s="50"/>
      <c r="B394" s="50"/>
      <c r="C394" s="50"/>
      <c r="D394" s="50"/>
    </row>
    <row r="395">
      <c r="A395" s="50"/>
      <c r="B395" s="50"/>
      <c r="C395" s="50"/>
      <c r="D395" s="50"/>
    </row>
    <row r="396">
      <c r="A396" s="50"/>
      <c r="B396" s="50"/>
      <c r="C396" s="50"/>
      <c r="D396" s="50"/>
    </row>
    <row r="397">
      <c r="A397" s="50"/>
      <c r="B397" s="50"/>
      <c r="C397" s="50"/>
      <c r="D397" s="50"/>
    </row>
    <row r="398">
      <c r="A398" s="50"/>
      <c r="B398" s="50"/>
      <c r="C398" s="50"/>
      <c r="D398" s="50"/>
    </row>
    <row r="399">
      <c r="A399" s="50"/>
      <c r="B399" s="50"/>
      <c r="C399" s="50"/>
      <c r="D399" s="50"/>
    </row>
    <row r="400">
      <c r="A400" s="50"/>
      <c r="B400" s="50"/>
      <c r="C400" s="50"/>
      <c r="D400" s="50"/>
    </row>
    <row r="401">
      <c r="A401" s="50"/>
      <c r="B401" s="50"/>
      <c r="C401" s="50"/>
      <c r="D401" s="50"/>
    </row>
    <row r="402">
      <c r="A402" s="50"/>
      <c r="B402" s="50"/>
      <c r="C402" s="50"/>
      <c r="D402" s="50"/>
    </row>
    <row r="403">
      <c r="A403" s="50"/>
      <c r="B403" s="50"/>
      <c r="C403" s="50"/>
      <c r="D403" s="50"/>
    </row>
    <row r="404">
      <c r="A404" s="50"/>
      <c r="B404" s="50"/>
      <c r="C404" s="50"/>
      <c r="D404" s="50"/>
    </row>
    <row r="405">
      <c r="A405" s="50"/>
      <c r="B405" s="50"/>
      <c r="C405" s="50"/>
      <c r="D405" s="50"/>
    </row>
    <row r="406">
      <c r="A406" s="50"/>
      <c r="B406" s="50"/>
      <c r="C406" s="50"/>
      <c r="D406" s="50"/>
    </row>
    <row r="407">
      <c r="A407" s="50"/>
      <c r="B407" s="50"/>
      <c r="C407" s="50"/>
      <c r="D407" s="50"/>
    </row>
    <row r="408">
      <c r="A408" s="50"/>
      <c r="B408" s="50"/>
      <c r="C408" s="50"/>
      <c r="D408" s="50"/>
    </row>
    <row r="409">
      <c r="A409" s="50"/>
      <c r="B409" s="50"/>
      <c r="C409" s="50"/>
      <c r="D409" s="50"/>
    </row>
    <row r="410">
      <c r="A410" s="50"/>
      <c r="B410" s="50"/>
      <c r="C410" s="50"/>
      <c r="D410" s="50"/>
    </row>
    <row r="411">
      <c r="A411" s="50"/>
      <c r="B411" s="50"/>
      <c r="C411" s="50"/>
      <c r="D411" s="50"/>
    </row>
    <row r="412">
      <c r="A412" s="50"/>
      <c r="B412" s="50"/>
      <c r="C412" s="50"/>
      <c r="D412" s="50"/>
    </row>
    <row r="413">
      <c r="A413" s="50"/>
      <c r="B413" s="50"/>
      <c r="C413" s="50"/>
      <c r="D413" s="50"/>
    </row>
    <row r="414">
      <c r="A414" s="50"/>
      <c r="B414" s="50"/>
      <c r="C414" s="50"/>
      <c r="D414" s="50"/>
    </row>
    <row r="415">
      <c r="A415" s="50"/>
      <c r="B415" s="50"/>
      <c r="C415" s="50"/>
      <c r="D415" s="50"/>
    </row>
    <row r="416">
      <c r="A416" s="50"/>
      <c r="B416" s="50"/>
      <c r="C416" s="50"/>
      <c r="D416" s="50"/>
    </row>
    <row r="417">
      <c r="A417" s="50"/>
      <c r="B417" s="50"/>
      <c r="C417" s="50"/>
      <c r="D417" s="50"/>
    </row>
    <row r="418">
      <c r="A418" s="50"/>
      <c r="B418" s="50"/>
      <c r="C418" s="50"/>
      <c r="D418" s="50"/>
    </row>
    <row r="419">
      <c r="A419" s="50"/>
      <c r="B419" s="50"/>
      <c r="C419" s="50"/>
      <c r="D419" s="50"/>
    </row>
    <row r="420">
      <c r="A420" s="50"/>
      <c r="B420" s="50"/>
      <c r="C420" s="50"/>
      <c r="D420" s="50"/>
    </row>
    <row r="421">
      <c r="A421" s="50"/>
      <c r="B421" s="50"/>
      <c r="C421" s="50"/>
      <c r="D421" s="50"/>
    </row>
    <row r="422">
      <c r="A422" s="50"/>
      <c r="B422" s="50"/>
      <c r="C422" s="50"/>
      <c r="D422" s="50"/>
    </row>
    <row r="423">
      <c r="A423" s="50"/>
      <c r="B423" s="50"/>
      <c r="C423" s="50"/>
      <c r="D423" s="50"/>
    </row>
    <row r="424">
      <c r="A424" s="50"/>
      <c r="B424" s="50"/>
      <c r="C424" s="50"/>
      <c r="D424" s="50"/>
    </row>
    <row r="425">
      <c r="A425" s="50"/>
      <c r="B425" s="50"/>
      <c r="C425" s="50"/>
      <c r="D425" s="50"/>
    </row>
    <row r="426">
      <c r="A426" s="50"/>
      <c r="B426" s="50"/>
      <c r="C426" s="50"/>
      <c r="D426" s="50"/>
    </row>
    <row r="427">
      <c r="A427" s="50"/>
      <c r="B427" s="50"/>
      <c r="C427" s="50"/>
      <c r="D427" s="50"/>
    </row>
    <row r="428">
      <c r="A428" s="50"/>
      <c r="B428" s="50"/>
      <c r="C428" s="50"/>
      <c r="D428" s="50"/>
    </row>
    <row r="429">
      <c r="A429" s="50"/>
      <c r="B429" s="50"/>
      <c r="C429" s="50"/>
      <c r="D429" s="50"/>
    </row>
    <row r="430">
      <c r="A430" s="50"/>
      <c r="B430" s="50"/>
      <c r="C430" s="50"/>
      <c r="D430" s="50"/>
    </row>
    <row r="431">
      <c r="A431" s="50"/>
      <c r="B431" s="50"/>
      <c r="C431" s="50"/>
      <c r="D431" s="50"/>
    </row>
    <row r="432">
      <c r="A432" s="50"/>
      <c r="B432" s="50"/>
      <c r="C432" s="50"/>
      <c r="D432" s="50"/>
    </row>
    <row r="433">
      <c r="A433" s="50"/>
      <c r="B433" s="50"/>
      <c r="C433" s="50"/>
      <c r="D433" s="50"/>
    </row>
    <row r="434">
      <c r="A434" s="50"/>
      <c r="B434" s="50"/>
      <c r="C434" s="50"/>
      <c r="D434" s="50"/>
    </row>
    <row r="435">
      <c r="A435" s="50"/>
      <c r="B435" s="50"/>
      <c r="C435" s="50"/>
      <c r="D435" s="50"/>
    </row>
    <row r="436">
      <c r="A436" s="50"/>
      <c r="B436" s="50"/>
      <c r="C436" s="50"/>
      <c r="D436" s="50"/>
    </row>
    <row r="437">
      <c r="A437" s="50"/>
      <c r="B437" s="50"/>
      <c r="C437" s="50"/>
      <c r="D437" s="50"/>
    </row>
    <row r="438">
      <c r="A438" s="50"/>
      <c r="B438" s="50"/>
      <c r="C438" s="50"/>
      <c r="D438" s="50"/>
    </row>
    <row r="439">
      <c r="A439" s="50"/>
      <c r="B439" s="50"/>
      <c r="C439" s="50"/>
      <c r="D439" s="50"/>
    </row>
    <row r="440">
      <c r="A440" s="50"/>
      <c r="B440" s="50"/>
      <c r="C440" s="50"/>
      <c r="D440" s="50"/>
    </row>
    <row r="441">
      <c r="A441" s="50"/>
      <c r="B441" s="50"/>
      <c r="C441" s="50"/>
      <c r="D441" s="50"/>
    </row>
    <row r="442">
      <c r="A442" s="50"/>
      <c r="B442" s="50"/>
      <c r="C442" s="50"/>
      <c r="D442" s="50"/>
    </row>
    <row r="443">
      <c r="A443" s="50"/>
      <c r="B443" s="50"/>
      <c r="C443" s="50"/>
      <c r="D443" s="50"/>
    </row>
    <row r="444">
      <c r="A444" s="50"/>
      <c r="B444" s="50"/>
      <c r="C444" s="50"/>
      <c r="D444" s="50"/>
    </row>
    <row r="445">
      <c r="A445" s="50"/>
      <c r="B445" s="50"/>
      <c r="C445" s="50"/>
      <c r="D445" s="50"/>
    </row>
    <row r="446">
      <c r="A446" s="50"/>
      <c r="B446" s="50"/>
      <c r="C446" s="50"/>
      <c r="D446" s="50"/>
    </row>
    <row r="447">
      <c r="A447" s="50"/>
      <c r="B447" s="50"/>
      <c r="C447" s="50"/>
      <c r="D447" s="50"/>
    </row>
    <row r="448">
      <c r="A448" s="50"/>
      <c r="B448" s="50"/>
      <c r="C448" s="50"/>
      <c r="D448" s="50"/>
    </row>
    <row r="449">
      <c r="A449" s="50"/>
      <c r="B449" s="50"/>
      <c r="C449" s="50"/>
      <c r="D449" s="50"/>
    </row>
    <row r="450">
      <c r="A450" s="50"/>
      <c r="B450" s="50"/>
      <c r="C450" s="50"/>
      <c r="D450" s="50"/>
    </row>
    <row r="451">
      <c r="A451" s="50"/>
      <c r="B451" s="50"/>
      <c r="C451" s="50"/>
      <c r="D451" s="50"/>
    </row>
    <row r="452">
      <c r="A452" s="50"/>
      <c r="B452" s="50"/>
      <c r="C452" s="50"/>
      <c r="D452" s="50"/>
    </row>
    <row r="453">
      <c r="A453" s="50"/>
      <c r="B453" s="50"/>
      <c r="C453" s="50"/>
      <c r="D453" s="50"/>
    </row>
    <row r="454">
      <c r="A454" s="50"/>
      <c r="B454" s="50"/>
      <c r="C454" s="50"/>
      <c r="D454" s="50"/>
    </row>
    <row r="455">
      <c r="A455" s="50"/>
      <c r="B455" s="50"/>
      <c r="C455" s="50"/>
      <c r="D455" s="50"/>
    </row>
    <row r="456">
      <c r="A456" s="50"/>
      <c r="B456" s="50"/>
      <c r="C456" s="50"/>
      <c r="D456" s="50"/>
    </row>
    <row r="457">
      <c r="A457" s="50"/>
      <c r="B457" s="50"/>
      <c r="C457" s="50"/>
      <c r="D457" s="50"/>
    </row>
    <row r="458">
      <c r="A458" s="50"/>
      <c r="B458" s="50"/>
      <c r="C458" s="50"/>
      <c r="D458" s="50"/>
    </row>
    <row r="459">
      <c r="A459" s="50"/>
      <c r="B459" s="50"/>
      <c r="C459" s="50"/>
      <c r="D459" s="50"/>
    </row>
    <row r="460">
      <c r="A460" s="50"/>
      <c r="B460" s="50"/>
      <c r="C460" s="50"/>
      <c r="D460" s="50"/>
    </row>
    <row r="461">
      <c r="A461" s="50"/>
      <c r="B461" s="50"/>
      <c r="C461" s="50"/>
      <c r="D461" s="50"/>
    </row>
    <row r="462">
      <c r="A462" s="50"/>
      <c r="B462" s="50"/>
      <c r="C462" s="50"/>
      <c r="D462" s="50"/>
    </row>
    <row r="463">
      <c r="A463" s="50"/>
      <c r="B463" s="50"/>
      <c r="C463" s="50"/>
      <c r="D463" s="50"/>
    </row>
    <row r="464">
      <c r="A464" s="50"/>
      <c r="B464" s="50"/>
      <c r="C464" s="50"/>
      <c r="D464" s="50"/>
    </row>
    <row r="465">
      <c r="A465" s="50"/>
      <c r="B465" s="50"/>
      <c r="C465" s="50"/>
      <c r="D465" s="50"/>
    </row>
    <row r="466">
      <c r="A466" s="50"/>
      <c r="B466" s="50"/>
      <c r="C466" s="50"/>
      <c r="D466" s="50"/>
    </row>
    <row r="467">
      <c r="A467" s="50"/>
      <c r="B467" s="50"/>
      <c r="C467" s="50"/>
      <c r="D467" s="50"/>
    </row>
    <row r="468">
      <c r="A468" s="50"/>
      <c r="B468" s="50"/>
      <c r="C468" s="50"/>
      <c r="D468" s="50"/>
    </row>
    <row r="469">
      <c r="A469" s="50"/>
      <c r="B469" s="50"/>
      <c r="C469" s="50"/>
      <c r="D469" s="50"/>
    </row>
    <row r="470">
      <c r="A470" s="50"/>
      <c r="B470" s="50"/>
      <c r="C470" s="50"/>
      <c r="D470" s="50"/>
    </row>
    <row r="471">
      <c r="A471" s="50"/>
      <c r="B471" s="50"/>
      <c r="C471" s="50"/>
      <c r="D471" s="50"/>
    </row>
    <row r="472">
      <c r="A472" s="50"/>
      <c r="B472" s="50"/>
      <c r="C472" s="50"/>
      <c r="D472" s="50"/>
    </row>
    <row r="473">
      <c r="A473" s="50"/>
      <c r="B473" s="50"/>
      <c r="C473" s="50"/>
      <c r="D473" s="50"/>
    </row>
    <row r="474">
      <c r="A474" s="50"/>
      <c r="B474" s="50"/>
      <c r="C474" s="50"/>
      <c r="D474" s="50"/>
    </row>
    <row r="475">
      <c r="A475" s="50"/>
      <c r="B475" s="50"/>
      <c r="C475" s="50"/>
      <c r="D475" s="50"/>
    </row>
    <row r="476">
      <c r="A476" s="50"/>
      <c r="B476" s="50"/>
      <c r="C476" s="50"/>
      <c r="D476" s="50"/>
    </row>
    <row r="477">
      <c r="A477" s="50"/>
      <c r="B477" s="50"/>
      <c r="C477" s="50"/>
      <c r="D477" s="50"/>
    </row>
    <row r="478">
      <c r="A478" s="50"/>
      <c r="B478" s="50"/>
      <c r="C478" s="50"/>
      <c r="D478" s="50"/>
    </row>
    <row r="479">
      <c r="A479" s="50"/>
      <c r="B479" s="50"/>
      <c r="C479" s="50"/>
      <c r="D479" s="50"/>
    </row>
    <row r="480">
      <c r="A480" s="50"/>
      <c r="B480" s="50"/>
      <c r="C480" s="50"/>
      <c r="D480" s="50"/>
    </row>
    <row r="481">
      <c r="A481" s="50"/>
      <c r="B481" s="50"/>
      <c r="C481" s="50"/>
      <c r="D481" s="50"/>
    </row>
    <row r="482">
      <c r="A482" s="50"/>
      <c r="B482" s="50"/>
      <c r="C482" s="50"/>
      <c r="D482" s="50"/>
    </row>
    <row r="483">
      <c r="A483" s="50"/>
      <c r="B483" s="50"/>
      <c r="C483" s="50"/>
      <c r="D483" s="50"/>
    </row>
    <row r="484">
      <c r="A484" s="50"/>
      <c r="B484" s="50"/>
      <c r="C484" s="50"/>
      <c r="D484" s="50"/>
    </row>
    <row r="485">
      <c r="A485" s="50"/>
      <c r="B485" s="50"/>
      <c r="C485" s="50"/>
      <c r="D485" s="50"/>
    </row>
    <row r="486">
      <c r="A486" s="50"/>
      <c r="B486" s="50"/>
      <c r="C486" s="50"/>
      <c r="D486" s="50"/>
    </row>
    <row r="487">
      <c r="A487" s="50"/>
      <c r="B487" s="50"/>
      <c r="C487" s="50"/>
      <c r="D487" s="50"/>
    </row>
    <row r="488">
      <c r="A488" s="50"/>
      <c r="B488" s="50"/>
      <c r="C488" s="50"/>
      <c r="D488" s="50"/>
    </row>
    <row r="489">
      <c r="A489" s="50"/>
      <c r="B489" s="50"/>
      <c r="C489" s="50"/>
      <c r="D489" s="50"/>
    </row>
    <row r="490">
      <c r="A490" s="50"/>
      <c r="B490" s="50"/>
      <c r="C490" s="50"/>
      <c r="D490" s="50"/>
    </row>
    <row r="491">
      <c r="A491" s="50"/>
      <c r="B491" s="50"/>
      <c r="C491" s="50"/>
      <c r="D491" s="50"/>
    </row>
    <row r="492">
      <c r="A492" s="50"/>
      <c r="B492" s="50"/>
      <c r="C492" s="50"/>
      <c r="D492" s="50"/>
    </row>
    <row r="493">
      <c r="A493" s="50"/>
      <c r="B493" s="50"/>
      <c r="C493" s="50"/>
      <c r="D493" s="50"/>
    </row>
    <row r="494">
      <c r="A494" s="50"/>
      <c r="B494" s="50"/>
      <c r="C494" s="50"/>
      <c r="D494" s="50"/>
    </row>
    <row r="495">
      <c r="A495" s="50"/>
      <c r="B495" s="50"/>
      <c r="C495" s="50"/>
      <c r="D495" s="50"/>
    </row>
    <row r="496">
      <c r="A496" s="50"/>
      <c r="B496" s="50"/>
      <c r="C496" s="50"/>
      <c r="D496" s="50"/>
    </row>
    <row r="497">
      <c r="A497" s="50"/>
      <c r="B497" s="50"/>
      <c r="C497" s="50"/>
      <c r="D497" s="50"/>
    </row>
    <row r="498">
      <c r="A498" s="50"/>
      <c r="B498" s="50"/>
      <c r="C498" s="50"/>
      <c r="D498" s="50"/>
    </row>
    <row r="499">
      <c r="A499" s="50"/>
      <c r="B499" s="50"/>
      <c r="C499" s="50"/>
      <c r="D499" s="50"/>
    </row>
    <row r="500">
      <c r="A500" s="50"/>
      <c r="B500" s="50"/>
      <c r="C500" s="50"/>
      <c r="D500" s="50"/>
    </row>
    <row r="501">
      <c r="A501" s="50"/>
      <c r="B501" s="50"/>
      <c r="C501" s="50"/>
      <c r="D501" s="50"/>
    </row>
    <row r="502">
      <c r="A502" s="50"/>
      <c r="B502" s="50"/>
      <c r="C502" s="50"/>
      <c r="D502" s="50"/>
    </row>
    <row r="503">
      <c r="A503" s="50"/>
      <c r="B503" s="50"/>
      <c r="C503" s="50"/>
      <c r="D503" s="50"/>
    </row>
    <row r="504">
      <c r="A504" s="50"/>
      <c r="B504" s="50"/>
      <c r="C504" s="50"/>
      <c r="D504" s="50"/>
    </row>
    <row r="505">
      <c r="A505" s="50"/>
      <c r="B505" s="50"/>
      <c r="C505" s="50"/>
      <c r="D505" s="50"/>
    </row>
    <row r="506">
      <c r="A506" s="50"/>
      <c r="B506" s="50"/>
      <c r="C506" s="50"/>
      <c r="D506" s="50"/>
    </row>
    <row r="507">
      <c r="A507" s="50"/>
      <c r="B507" s="50"/>
      <c r="C507" s="50"/>
      <c r="D507" s="50"/>
    </row>
    <row r="508">
      <c r="A508" s="50"/>
      <c r="B508" s="50"/>
      <c r="C508" s="50"/>
      <c r="D508" s="50"/>
    </row>
    <row r="509">
      <c r="A509" s="50"/>
      <c r="B509" s="50"/>
      <c r="C509" s="50"/>
      <c r="D509" s="50"/>
    </row>
    <row r="510">
      <c r="A510" s="50"/>
      <c r="B510" s="50"/>
      <c r="C510" s="50"/>
      <c r="D510" s="50"/>
    </row>
    <row r="511">
      <c r="A511" s="50"/>
      <c r="B511" s="50"/>
      <c r="C511" s="50"/>
      <c r="D511" s="50"/>
    </row>
    <row r="512">
      <c r="A512" s="50"/>
      <c r="B512" s="50"/>
      <c r="C512" s="50"/>
      <c r="D512" s="50"/>
    </row>
    <row r="513">
      <c r="A513" s="50"/>
      <c r="B513" s="50"/>
      <c r="C513" s="50"/>
      <c r="D513" s="50"/>
    </row>
    <row r="514">
      <c r="A514" s="50"/>
      <c r="B514" s="50"/>
      <c r="C514" s="50"/>
      <c r="D514" s="50"/>
    </row>
    <row r="515">
      <c r="A515" s="50"/>
      <c r="B515" s="50"/>
      <c r="C515" s="50"/>
      <c r="D515" s="50"/>
    </row>
    <row r="516">
      <c r="A516" s="50"/>
      <c r="B516" s="50"/>
      <c r="C516" s="50"/>
      <c r="D516" s="50"/>
    </row>
    <row r="517">
      <c r="A517" s="50"/>
      <c r="B517" s="50"/>
      <c r="C517" s="50"/>
      <c r="D517" s="50"/>
    </row>
    <row r="518">
      <c r="A518" s="50"/>
      <c r="B518" s="50"/>
      <c r="C518" s="50"/>
      <c r="D518" s="50"/>
    </row>
    <row r="519">
      <c r="A519" s="50"/>
      <c r="B519" s="50"/>
      <c r="C519" s="50"/>
      <c r="D519" s="50"/>
    </row>
    <row r="520">
      <c r="A520" s="50"/>
      <c r="B520" s="50"/>
      <c r="C520" s="50"/>
      <c r="D520" s="50"/>
    </row>
    <row r="521">
      <c r="A521" s="50"/>
      <c r="B521" s="50"/>
      <c r="C521" s="50"/>
      <c r="D521" s="50"/>
    </row>
    <row r="522">
      <c r="A522" s="50"/>
      <c r="B522" s="50"/>
      <c r="C522" s="50"/>
      <c r="D522" s="50"/>
    </row>
    <row r="523">
      <c r="A523" s="50"/>
      <c r="B523" s="50"/>
      <c r="C523" s="50"/>
      <c r="D523" s="50"/>
    </row>
    <row r="524">
      <c r="A524" s="50"/>
      <c r="B524" s="50"/>
      <c r="C524" s="50"/>
      <c r="D524" s="50"/>
    </row>
    <row r="525">
      <c r="A525" s="50"/>
      <c r="B525" s="50"/>
      <c r="C525" s="50"/>
      <c r="D525" s="50"/>
    </row>
    <row r="526">
      <c r="A526" s="50"/>
      <c r="B526" s="50"/>
      <c r="C526" s="50"/>
      <c r="D526" s="50"/>
    </row>
    <row r="527">
      <c r="A527" s="50"/>
      <c r="B527" s="50"/>
      <c r="C527" s="50"/>
      <c r="D527" s="50"/>
    </row>
    <row r="528">
      <c r="A528" s="50"/>
      <c r="B528" s="50"/>
      <c r="C528" s="50"/>
      <c r="D528" s="50"/>
    </row>
    <row r="529">
      <c r="A529" s="50"/>
      <c r="B529" s="50"/>
      <c r="C529" s="50"/>
      <c r="D529" s="50"/>
    </row>
    <row r="530">
      <c r="A530" s="50"/>
      <c r="B530" s="50"/>
      <c r="C530" s="50"/>
      <c r="D530" s="50"/>
    </row>
    <row r="531">
      <c r="A531" s="50"/>
      <c r="B531" s="50"/>
      <c r="C531" s="50"/>
      <c r="D531" s="50"/>
    </row>
    <row r="532">
      <c r="A532" s="50"/>
      <c r="B532" s="50"/>
      <c r="C532" s="50"/>
      <c r="D532" s="50"/>
    </row>
    <row r="533">
      <c r="A533" s="50"/>
      <c r="B533" s="50"/>
      <c r="C533" s="50"/>
      <c r="D533" s="50"/>
    </row>
    <row r="534">
      <c r="A534" s="50"/>
      <c r="B534" s="50"/>
      <c r="C534" s="50"/>
      <c r="D534" s="50"/>
    </row>
    <row r="535">
      <c r="A535" s="50"/>
      <c r="B535" s="50"/>
      <c r="C535" s="50"/>
      <c r="D535" s="50"/>
    </row>
    <row r="536">
      <c r="A536" s="50"/>
      <c r="B536" s="50"/>
      <c r="C536" s="50"/>
      <c r="D536" s="50"/>
    </row>
    <row r="537">
      <c r="A537" s="50"/>
      <c r="B537" s="50"/>
      <c r="C537" s="50"/>
      <c r="D537" s="50"/>
    </row>
    <row r="538">
      <c r="A538" s="50"/>
      <c r="B538" s="50"/>
      <c r="C538" s="50"/>
      <c r="D538" s="50"/>
    </row>
    <row r="539">
      <c r="A539" s="50"/>
      <c r="B539" s="50"/>
      <c r="C539" s="50"/>
      <c r="D539" s="50"/>
    </row>
    <row r="540">
      <c r="A540" s="50"/>
      <c r="B540" s="50"/>
      <c r="C540" s="50"/>
      <c r="D540" s="50"/>
    </row>
    <row r="541">
      <c r="A541" s="50"/>
      <c r="B541" s="50"/>
      <c r="C541" s="50"/>
      <c r="D541" s="50"/>
    </row>
    <row r="542">
      <c r="A542" s="50"/>
      <c r="B542" s="50"/>
      <c r="C542" s="50"/>
      <c r="D542" s="50"/>
    </row>
    <row r="543">
      <c r="A543" s="50"/>
      <c r="B543" s="50"/>
      <c r="C543" s="50"/>
      <c r="D543" s="50"/>
    </row>
    <row r="544">
      <c r="A544" s="50"/>
      <c r="B544" s="50"/>
      <c r="C544" s="50"/>
      <c r="D544" s="50"/>
    </row>
    <row r="545">
      <c r="A545" s="50"/>
      <c r="B545" s="50"/>
      <c r="C545" s="50"/>
      <c r="D545" s="50"/>
    </row>
    <row r="546">
      <c r="A546" s="50"/>
      <c r="B546" s="50"/>
      <c r="C546" s="50"/>
      <c r="D546" s="50"/>
    </row>
    <row r="547">
      <c r="A547" s="50"/>
      <c r="B547" s="50"/>
      <c r="C547" s="50"/>
      <c r="D547" s="50"/>
    </row>
    <row r="548">
      <c r="A548" s="50"/>
      <c r="B548" s="50"/>
      <c r="C548" s="50"/>
      <c r="D548" s="50"/>
    </row>
    <row r="549">
      <c r="A549" s="50"/>
      <c r="B549" s="50"/>
      <c r="C549" s="50"/>
      <c r="D549" s="50"/>
    </row>
    <row r="550">
      <c r="A550" s="50"/>
      <c r="B550" s="50"/>
      <c r="C550" s="50"/>
      <c r="D550" s="50"/>
    </row>
    <row r="551">
      <c r="A551" s="50"/>
      <c r="B551" s="50"/>
      <c r="C551" s="50"/>
      <c r="D551" s="50"/>
    </row>
    <row r="552">
      <c r="A552" s="50"/>
      <c r="B552" s="50"/>
      <c r="C552" s="50"/>
      <c r="D552" s="50"/>
    </row>
    <row r="553">
      <c r="A553" s="50"/>
      <c r="B553" s="50"/>
      <c r="C553" s="50"/>
      <c r="D553" s="50"/>
    </row>
    <row r="554">
      <c r="A554" s="50"/>
      <c r="B554" s="50"/>
      <c r="C554" s="50"/>
      <c r="D554" s="50"/>
    </row>
    <row r="555">
      <c r="A555" s="50"/>
      <c r="B555" s="50"/>
      <c r="C555" s="50"/>
      <c r="D555" s="50"/>
    </row>
    <row r="556">
      <c r="A556" s="50"/>
      <c r="B556" s="50"/>
      <c r="C556" s="50"/>
      <c r="D556" s="50"/>
    </row>
    <row r="557">
      <c r="A557" s="50"/>
      <c r="B557" s="50"/>
      <c r="C557" s="50"/>
      <c r="D557" s="50"/>
    </row>
    <row r="558">
      <c r="A558" s="50"/>
      <c r="B558" s="50"/>
      <c r="C558" s="50"/>
      <c r="D558" s="50"/>
    </row>
    <row r="559">
      <c r="A559" s="50"/>
      <c r="B559" s="50"/>
      <c r="C559" s="50"/>
      <c r="D559" s="50"/>
    </row>
    <row r="560">
      <c r="A560" s="50"/>
      <c r="B560" s="50"/>
      <c r="C560" s="50"/>
      <c r="D560" s="50"/>
    </row>
    <row r="561">
      <c r="A561" s="50"/>
      <c r="B561" s="50"/>
      <c r="C561" s="50"/>
      <c r="D561" s="50"/>
    </row>
    <row r="562">
      <c r="A562" s="50"/>
      <c r="B562" s="50"/>
      <c r="C562" s="50"/>
      <c r="D562" s="50"/>
    </row>
    <row r="563">
      <c r="A563" s="50"/>
      <c r="B563" s="50"/>
      <c r="C563" s="50"/>
      <c r="D563" s="50"/>
    </row>
    <row r="564">
      <c r="A564" s="50"/>
      <c r="B564" s="50"/>
      <c r="C564" s="50"/>
      <c r="D564" s="50"/>
    </row>
    <row r="565">
      <c r="A565" s="50"/>
      <c r="B565" s="50"/>
      <c r="C565" s="50"/>
      <c r="D565" s="50"/>
    </row>
    <row r="566">
      <c r="A566" s="50"/>
      <c r="B566" s="50"/>
      <c r="C566" s="50"/>
      <c r="D566" s="50"/>
    </row>
    <row r="567">
      <c r="A567" s="50"/>
      <c r="B567" s="50"/>
      <c r="C567" s="50"/>
      <c r="D567" s="50"/>
    </row>
    <row r="568">
      <c r="A568" s="50"/>
      <c r="B568" s="50"/>
      <c r="C568" s="50"/>
      <c r="D568" s="50"/>
    </row>
    <row r="569">
      <c r="A569" s="50"/>
      <c r="B569" s="50"/>
      <c r="C569" s="50"/>
      <c r="D569" s="50"/>
    </row>
    <row r="570">
      <c r="A570" s="50"/>
      <c r="B570" s="50"/>
      <c r="C570" s="50"/>
      <c r="D570" s="50"/>
    </row>
    <row r="571">
      <c r="A571" s="50"/>
      <c r="B571" s="50"/>
      <c r="C571" s="50"/>
      <c r="D571" s="50"/>
    </row>
    <row r="572">
      <c r="A572" s="50"/>
      <c r="B572" s="50"/>
      <c r="C572" s="50"/>
      <c r="D572" s="50"/>
    </row>
    <row r="573">
      <c r="A573" s="50"/>
      <c r="B573" s="50"/>
      <c r="C573" s="50"/>
      <c r="D573" s="50"/>
    </row>
    <row r="574">
      <c r="A574" s="50"/>
      <c r="B574" s="50"/>
      <c r="C574" s="50"/>
      <c r="D574" s="50"/>
    </row>
    <row r="575">
      <c r="A575" s="50"/>
      <c r="B575" s="50"/>
      <c r="C575" s="50"/>
      <c r="D575" s="50"/>
    </row>
    <row r="576">
      <c r="A576" s="50"/>
      <c r="B576" s="50"/>
      <c r="C576" s="50"/>
      <c r="D576" s="50"/>
    </row>
    <row r="577">
      <c r="A577" s="50"/>
      <c r="B577" s="50"/>
      <c r="C577" s="50"/>
      <c r="D577" s="50"/>
    </row>
    <row r="578">
      <c r="A578" s="50"/>
      <c r="B578" s="50"/>
      <c r="C578" s="50"/>
      <c r="D578" s="50"/>
    </row>
    <row r="579">
      <c r="A579" s="50"/>
      <c r="B579" s="50"/>
      <c r="C579" s="50"/>
      <c r="D579" s="50"/>
    </row>
    <row r="580">
      <c r="A580" s="50"/>
      <c r="B580" s="50"/>
      <c r="C580" s="50"/>
      <c r="D580" s="50"/>
    </row>
    <row r="581">
      <c r="A581" s="50"/>
      <c r="B581" s="50"/>
      <c r="C581" s="50"/>
      <c r="D581" s="50"/>
    </row>
    <row r="582">
      <c r="A582" s="50"/>
      <c r="B582" s="50"/>
      <c r="C582" s="50"/>
      <c r="D582" s="50"/>
    </row>
    <row r="583">
      <c r="A583" s="50"/>
      <c r="B583" s="50"/>
      <c r="C583" s="50"/>
      <c r="D583" s="50"/>
    </row>
    <row r="584">
      <c r="A584" s="50"/>
      <c r="B584" s="50"/>
      <c r="C584" s="50"/>
      <c r="D584" s="50"/>
    </row>
    <row r="585">
      <c r="A585" s="50"/>
      <c r="B585" s="50"/>
      <c r="C585" s="50"/>
      <c r="D585" s="50"/>
    </row>
    <row r="586">
      <c r="A586" s="50"/>
      <c r="B586" s="50"/>
      <c r="C586" s="50"/>
      <c r="D586" s="50"/>
    </row>
    <row r="587">
      <c r="A587" s="50"/>
      <c r="B587" s="50"/>
      <c r="C587" s="50"/>
      <c r="D587" s="50"/>
    </row>
    <row r="588">
      <c r="A588" s="50"/>
      <c r="B588" s="50"/>
      <c r="C588" s="50"/>
      <c r="D588" s="50"/>
    </row>
    <row r="589">
      <c r="A589" s="50"/>
      <c r="B589" s="50"/>
      <c r="C589" s="50"/>
      <c r="D589" s="50"/>
    </row>
    <row r="590">
      <c r="A590" s="50"/>
      <c r="B590" s="50"/>
      <c r="C590" s="50"/>
      <c r="D590" s="50"/>
    </row>
    <row r="591">
      <c r="A591" s="50"/>
      <c r="B591" s="50"/>
      <c r="C591" s="50"/>
      <c r="D591" s="50"/>
    </row>
    <row r="592">
      <c r="A592" s="50"/>
      <c r="B592" s="50"/>
      <c r="C592" s="50"/>
      <c r="D592" s="50"/>
    </row>
    <row r="593">
      <c r="A593" s="50"/>
      <c r="B593" s="50"/>
      <c r="C593" s="50"/>
      <c r="D593" s="50"/>
    </row>
    <row r="594">
      <c r="A594" s="50"/>
      <c r="B594" s="50"/>
      <c r="C594" s="50"/>
      <c r="D594" s="50"/>
    </row>
    <row r="595">
      <c r="A595" s="50"/>
      <c r="B595" s="50"/>
      <c r="C595" s="50"/>
      <c r="D595" s="50"/>
    </row>
    <row r="596">
      <c r="A596" s="50"/>
      <c r="B596" s="50"/>
      <c r="C596" s="50"/>
      <c r="D596" s="50"/>
    </row>
    <row r="597">
      <c r="A597" s="50"/>
      <c r="B597" s="50"/>
      <c r="C597" s="50"/>
      <c r="D597" s="50"/>
    </row>
    <row r="598">
      <c r="A598" s="50"/>
      <c r="B598" s="50"/>
      <c r="C598" s="50"/>
      <c r="D598" s="50"/>
    </row>
    <row r="599">
      <c r="A599" s="50"/>
      <c r="B599" s="50"/>
      <c r="C599" s="50"/>
      <c r="D599" s="50"/>
    </row>
    <row r="600">
      <c r="A600" s="50"/>
      <c r="B600" s="50"/>
      <c r="C600" s="50"/>
      <c r="D600" s="50"/>
    </row>
    <row r="601">
      <c r="A601" s="50"/>
      <c r="B601" s="50"/>
      <c r="C601" s="50"/>
      <c r="D601" s="50"/>
    </row>
    <row r="602">
      <c r="A602" s="50"/>
      <c r="B602" s="50"/>
      <c r="C602" s="50"/>
      <c r="D602" s="50"/>
    </row>
    <row r="603">
      <c r="A603" s="50"/>
      <c r="B603" s="50"/>
      <c r="C603" s="50"/>
      <c r="D603" s="50"/>
    </row>
    <row r="604">
      <c r="A604" s="50"/>
      <c r="B604" s="50"/>
      <c r="C604" s="50"/>
      <c r="D604" s="50"/>
    </row>
    <row r="605">
      <c r="A605" s="50"/>
      <c r="B605" s="50"/>
      <c r="C605" s="50"/>
      <c r="D605" s="50"/>
    </row>
    <row r="606">
      <c r="A606" s="50"/>
      <c r="B606" s="50"/>
      <c r="C606" s="50"/>
      <c r="D606" s="50"/>
    </row>
    <row r="607">
      <c r="A607" s="50"/>
      <c r="B607" s="50"/>
      <c r="C607" s="50"/>
      <c r="D607" s="50"/>
    </row>
    <row r="608">
      <c r="A608" s="50"/>
      <c r="B608" s="50"/>
      <c r="C608" s="50"/>
      <c r="D608" s="50"/>
    </row>
    <row r="609">
      <c r="A609" s="50"/>
      <c r="B609" s="50"/>
      <c r="C609" s="50"/>
      <c r="D609" s="50"/>
    </row>
    <row r="610">
      <c r="A610" s="50"/>
      <c r="B610" s="50"/>
      <c r="C610" s="50"/>
      <c r="D610" s="50"/>
    </row>
    <row r="611">
      <c r="A611" s="50"/>
      <c r="B611" s="50"/>
      <c r="C611" s="50"/>
      <c r="D611" s="50"/>
    </row>
    <row r="612">
      <c r="A612" s="50"/>
      <c r="B612" s="50"/>
      <c r="C612" s="50"/>
      <c r="D612" s="50"/>
    </row>
    <row r="613">
      <c r="A613" s="50"/>
      <c r="B613" s="50"/>
      <c r="C613" s="50"/>
      <c r="D613" s="50"/>
    </row>
    <row r="614">
      <c r="A614" s="50"/>
      <c r="B614" s="50"/>
      <c r="C614" s="50"/>
      <c r="D614" s="50"/>
    </row>
    <row r="615">
      <c r="A615" s="50"/>
      <c r="B615" s="50"/>
      <c r="C615" s="50"/>
      <c r="D615" s="50"/>
    </row>
    <row r="616">
      <c r="A616" s="50"/>
      <c r="B616" s="50"/>
      <c r="C616" s="50"/>
      <c r="D616" s="50"/>
    </row>
    <row r="617">
      <c r="A617" s="50"/>
      <c r="B617" s="50"/>
      <c r="C617" s="50"/>
      <c r="D617" s="50"/>
    </row>
    <row r="618">
      <c r="A618" s="50"/>
      <c r="B618" s="50"/>
      <c r="C618" s="50"/>
      <c r="D618" s="50"/>
    </row>
    <row r="619">
      <c r="A619" s="50"/>
      <c r="B619" s="50"/>
      <c r="C619" s="50"/>
      <c r="D619" s="50"/>
    </row>
    <row r="620">
      <c r="A620" s="50"/>
      <c r="B620" s="50"/>
      <c r="C620" s="50"/>
      <c r="D620" s="50"/>
    </row>
    <row r="621">
      <c r="A621" s="50"/>
      <c r="B621" s="50"/>
      <c r="C621" s="50"/>
      <c r="D621" s="50"/>
    </row>
    <row r="622">
      <c r="A622" s="50"/>
      <c r="B622" s="50"/>
      <c r="C622" s="50"/>
      <c r="D622" s="50"/>
    </row>
    <row r="623">
      <c r="A623" s="50"/>
      <c r="B623" s="50"/>
      <c r="C623" s="50"/>
      <c r="D623" s="50"/>
    </row>
    <row r="624">
      <c r="A624" s="50"/>
      <c r="B624" s="50"/>
      <c r="C624" s="50"/>
      <c r="D624" s="50"/>
    </row>
    <row r="625">
      <c r="A625" s="50"/>
      <c r="B625" s="50"/>
      <c r="C625" s="50"/>
      <c r="D625" s="50"/>
    </row>
    <row r="626">
      <c r="A626" s="50"/>
      <c r="B626" s="50"/>
      <c r="C626" s="50"/>
      <c r="D626" s="50"/>
    </row>
    <row r="627">
      <c r="A627" s="50"/>
      <c r="B627" s="50"/>
      <c r="C627" s="50"/>
      <c r="D627" s="50"/>
    </row>
    <row r="628">
      <c r="A628" s="50"/>
      <c r="B628" s="50"/>
      <c r="C628" s="50"/>
      <c r="D628" s="50"/>
    </row>
    <row r="629">
      <c r="A629" s="50"/>
      <c r="B629" s="50"/>
      <c r="C629" s="50"/>
      <c r="D629" s="50"/>
    </row>
    <row r="630">
      <c r="A630" s="50"/>
      <c r="B630" s="50"/>
      <c r="C630" s="50"/>
      <c r="D630" s="50"/>
    </row>
    <row r="631">
      <c r="A631" s="50"/>
      <c r="B631" s="50"/>
      <c r="C631" s="50"/>
      <c r="D631" s="50"/>
    </row>
    <row r="632">
      <c r="A632" s="50"/>
      <c r="B632" s="50"/>
      <c r="C632" s="50"/>
      <c r="D632" s="50"/>
    </row>
    <row r="633">
      <c r="A633" s="50"/>
      <c r="B633" s="50"/>
      <c r="C633" s="50"/>
      <c r="D633" s="50"/>
    </row>
    <row r="634">
      <c r="A634" s="50"/>
      <c r="B634" s="50"/>
      <c r="C634" s="50"/>
      <c r="D634" s="50"/>
    </row>
    <row r="635">
      <c r="A635" s="50"/>
      <c r="B635" s="50"/>
      <c r="C635" s="50"/>
      <c r="D635" s="50"/>
    </row>
    <row r="636">
      <c r="A636" s="50"/>
      <c r="B636" s="50"/>
      <c r="C636" s="50"/>
      <c r="D636" s="50"/>
    </row>
    <row r="637">
      <c r="A637" s="50"/>
      <c r="B637" s="50"/>
      <c r="C637" s="50"/>
      <c r="D637" s="50"/>
    </row>
    <row r="638">
      <c r="A638" s="50"/>
      <c r="B638" s="50"/>
      <c r="C638" s="50"/>
      <c r="D638" s="50"/>
    </row>
    <row r="639">
      <c r="A639" s="50"/>
      <c r="B639" s="50"/>
      <c r="C639" s="50"/>
      <c r="D639" s="50"/>
    </row>
    <row r="640">
      <c r="A640" s="50"/>
      <c r="B640" s="50"/>
      <c r="C640" s="50"/>
      <c r="D640" s="50"/>
    </row>
    <row r="641">
      <c r="A641" s="50"/>
      <c r="B641" s="50"/>
      <c r="C641" s="50"/>
      <c r="D641" s="50"/>
    </row>
    <row r="642">
      <c r="A642" s="50"/>
      <c r="B642" s="50"/>
      <c r="C642" s="50"/>
      <c r="D642" s="50"/>
    </row>
    <row r="643">
      <c r="A643" s="50"/>
      <c r="B643" s="50"/>
      <c r="C643" s="50"/>
      <c r="D643" s="50"/>
    </row>
    <row r="644">
      <c r="A644" s="50"/>
      <c r="B644" s="50"/>
      <c r="C644" s="50"/>
      <c r="D644" s="50"/>
    </row>
    <row r="645">
      <c r="A645" s="50"/>
      <c r="B645" s="50"/>
      <c r="C645" s="50"/>
      <c r="D645" s="50"/>
    </row>
    <row r="646">
      <c r="A646" s="50"/>
      <c r="B646" s="50"/>
      <c r="C646" s="50"/>
      <c r="D646" s="50"/>
    </row>
    <row r="647">
      <c r="A647" s="50"/>
      <c r="B647" s="50"/>
      <c r="C647" s="50"/>
      <c r="D647" s="50"/>
    </row>
    <row r="648">
      <c r="A648" s="50"/>
      <c r="B648" s="50"/>
      <c r="C648" s="50"/>
      <c r="D648" s="50"/>
    </row>
    <row r="649">
      <c r="A649" s="50"/>
      <c r="B649" s="50"/>
      <c r="C649" s="50"/>
      <c r="D649" s="50"/>
    </row>
    <row r="650">
      <c r="A650" s="50"/>
      <c r="B650" s="50"/>
      <c r="C650" s="50"/>
      <c r="D650" s="50"/>
    </row>
    <row r="651">
      <c r="A651" s="50"/>
      <c r="B651" s="50"/>
      <c r="C651" s="50"/>
      <c r="D651" s="50"/>
    </row>
    <row r="652">
      <c r="A652" s="50"/>
      <c r="B652" s="50"/>
      <c r="C652" s="50"/>
      <c r="D652" s="50"/>
    </row>
    <row r="653">
      <c r="A653" s="50"/>
      <c r="B653" s="50"/>
      <c r="C653" s="50"/>
      <c r="D653" s="50"/>
    </row>
    <row r="654">
      <c r="A654" s="50"/>
      <c r="B654" s="50"/>
      <c r="C654" s="50"/>
      <c r="D654" s="50"/>
    </row>
    <row r="655">
      <c r="A655" s="50"/>
      <c r="B655" s="50"/>
      <c r="C655" s="50"/>
      <c r="D655" s="50"/>
    </row>
    <row r="656">
      <c r="A656" s="50"/>
      <c r="B656" s="50"/>
      <c r="C656" s="50"/>
      <c r="D656" s="50"/>
    </row>
    <row r="657">
      <c r="A657" s="50"/>
      <c r="B657" s="50"/>
      <c r="C657" s="50"/>
      <c r="D657" s="50"/>
    </row>
    <row r="658">
      <c r="A658" s="50"/>
      <c r="B658" s="50"/>
      <c r="C658" s="50"/>
      <c r="D658" s="50"/>
    </row>
    <row r="659">
      <c r="A659" s="50"/>
      <c r="B659" s="50"/>
      <c r="C659" s="50"/>
      <c r="D659" s="50"/>
    </row>
    <row r="660">
      <c r="A660" s="50"/>
      <c r="B660" s="50"/>
      <c r="C660" s="50"/>
      <c r="D660" s="50"/>
    </row>
    <row r="661">
      <c r="A661" s="50"/>
      <c r="B661" s="50"/>
      <c r="C661" s="50"/>
      <c r="D661" s="50"/>
    </row>
    <row r="662">
      <c r="A662" s="50"/>
      <c r="B662" s="50"/>
      <c r="C662" s="50"/>
      <c r="D662" s="50"/>
    </row>
    <row r="663">
      <c r="A663" s="50"/>
      <c r="B663" s="50"/>
      <c r="C663" s="50"/>
      <c r="D663" s="50"/>
    </row>
    <row r="664">
      <c r="A664" s="50"/>
      <c r="B664" s="50"/>
      <c r="C664" s="50"/>
      <c r="D664" s="50"/>
    </row>
    <row r="665">
      <c r="A665" s="50"/>
      <c r="B665" s="50"/>
      <c r="C665" s="50"/>
      <c r="D665" s="50"/>
    </row>
    <row r="666">
      <c r="A666" s="50"/>
      <c r="B666" s="50"/>
      <c r="C666" s="50"/>
      <c r="D666" s="50"/>
    </row>
    <row r="667">
      <c r="A667" s="50"/>
      <c r="B667" s="50"/>
      <c r="C667" s="50"/>
      <c r="D667" s="50"/>
    </row>
    <row r="668">
      <c r="A668" s="50"/>
      <c r="B668" s="50"/>
      <c r="C668" s="50"/>
      <c r="D668" s="50"/>
    </row>
    <row r="669">
      <c r="A669" s="50"/>
      <c r="B669" s="50"/>
      <c r="C669" s="50"/>
      <c r="D669" s="50"/>
    </row>
    <row r="670">
      <c r="A670" s="50"/>
      <c r="B670" s="50"/>
      <c r="C670" s="50"/>
      <c r="D670" s="50"/>
    </row>
    <row r="671">
      <c r="A671" s="50"/>
      <c r="B671" s="50"/>
      <c r="C671" s="50"/>
      <c r="D671" s="50"/>
    </row>
    <row r="672">
      <c r="A672" s="50"/>
      <c r="B672" s="50"/>
      <c r="C672" s="50"/>
      <c r="D672" s="50"/>
    </row>
    <row r="673">
      <c r="A673" s="50"/>
      <c r="B673" s="50"/>
      <c r="C673" s="50"/>
      <c r="D673" s="50"/>
    </row>
    <row r="674">
      <c r="A674" s="50"/>
      <c r="B674" s="50"/>
      <c r="C674" s="50"/>
      <c r="D674" s="50"/>
    </row>
    <row r="675">
      <c r="A675" s="50"/>
      <c r="B675" s="50"/>
      <c r="C675" s="50"/>
      <c r="D675" s="50"/>
    </row>
    <row r="676">
      <c r="A676" s="50"/>
      <c r="B676" s="50"/>
      <c r="C676" s="50"/>
      <c r="D676" s="50"/>
    </row>
    <row r="677">
      <c r="A677" s="50"/>
      <c r="B677" s="50"/>
      <c r="C677" s="50"/>
      <c r="D677" s="50"/>
    </row>
    <row r="678">
      <c r="A678" s="50"/>
      <c r="B678" s="50"/>
      <c r="C678" s="50"/>
      <c r="D678" s="50"/>
    </row>
    <row r="679">
      <c r="A679" s="50"/>
      <c r="B679" s="50"/>
      <c r="C679" s="50"/>
      <c r="D679" s="50"/>
    </row>
    <row r="680">
      <c r="A680" s="50"/>
      <c r="B680" s="50"/>
      <c r="C680" s="50"/>
      <c r="D680" s="50"/>
    </row>
    <row r="681">
      <c r="A681" s="50"/>
      <c r="B681" s="50"/>
      <c r="C681" s="50"/>
      <c r="D681" s="50"/>
    </row>
    <row r="682">
      <c r="A682" s="50"/>
      <c r="B682" s="50"/>
      <c r="C682" s="50"/>
      <c r="D682" s="50"/>
    </row>
    <row r="683">
      <c r="A683" s="50"/>
      <c r="B683" s="50"/>
      <c r="C683" s="50"/>
      <c r="D683" s="50"/>
    </row>
    <row r="684">
      <c r="A684" s="50"/>
      <c r="B684" s="50"/>
      <c r="C684" s="50"/>
      <c r="D684" s="50"/>
    </row>
    <row r="685">
      <c r="A685" s="50"/>
      <c r="B685" s="50"/>
      <c r="C685" s="50"/>
      <c r="D685" s="50"/>
    </row>
    <row r="686">
      <c r="A686" s="50"/>
      <c r="B686" s="50"/>
      <c r="C686" s="50"/>
      <c r="D686" s="50"/>
    </row>
    <row r="687">
      <c r="A687" s="50"/>
      <c r="B687" s="50"/>
      <c r="C687" s="50"/>
      <c r="D687" s="50"/>
    </row>
    <row r="688">
      <c r="A688" s="50"/>
      <c r="B688" s="50"/>
      <c r="C688" s="50"/>
      <c r="D688" s="50"/>
    </row>
    <row r="689">
      <c r="A689" s="50"/>
      <c r="B689" s="50"/>
      <c r="C689" s="50"/>
      <c r="D689" s="50"/>
    </row>
    <row r="690">
      <c r="A690" s="50"/>
      <c r="B690" s="50"/>
      <c r="C690" s="50"/>
      <c r="D690" s="50"/>
    </row>
    <row r="691">
      <c r="A691" s="50"/>
      <c r="B691" s="50"/>
      <c r="C691" s="50"/>
      <c r="D691" s="50"/>
    </row>
    <row r="692">
      <c r="A692" s="50"/>
      <c r="B692" s="50"/>
      <c r="C692" s="50"/>
      <c r="D692" s="50"/>
    </row>
    <row r="693">
      <c r="A693" s="50"/>
      <c r="B693" s="50"/>
      <c r="C693" s="50"/>
      <c r="D693" s="50"/>
    </row>
    <row r="694">
      <c r="A694" s="50"/>
      <c r="B694" s="50"/>
      <c r="C694" s="50"/>
      <c r="D694" s="50"/>
    </row>
    <row r="695">
      <c r="A695" s="50"/>
      <c r="B695" s="50"/>
      <c r="C695" s="50"/>
      <c r="D695" s="50"/>
    </row>
    <row r="696">
      <c r="A696" s="50"/>
      <c r="B696" s="50"/>
      <c r="C696" s="50"/>
      <c r="D696" s="50"/>
    </row>
    <row r="697">
      <c r="A697" s="50"/>
      <c r="B697" s="50"/>
      <c r="C697" s="50"/>
      <c r="D697" s="50"/>
    </row>
    <row r="698">
      <c r="A698" s="50"/>
      <c r="B698" s="50"/>
      <c r="C698" s="50"/>
      <c r="D698" s="50"/>
    </row>
    <row r="699">
      <c r="A699" s="50"/>
      <c r="B699" s="50"/>
      <c r="C699" s="50"/>
      <c r="D699" s="50"/>
    </row>
    <row r="700">
      <c r="A700" s="50"/>
      <c r="B700" s="50"/>
      <c r="C700" s="50"/>
      <c r="D700" s="50"/>
    </row>
    <row r="701">
      <c r="A701" s="50"/>
      <c r="B701" s="50"/>
      <c r="C701" s="50"/>
      <c r="D701" s="50"/>
    </row>
    <row r="702">
      <c r="A702" s="50"/>
      <c r="B702" s="50"/>
      <c r="C702" s="50"/>
      <c r="D702" s="50"/>
    </row>
    <row r="703">
      <c r="A703" s="50"/>
      <c r="B703" s="50"/>
      <c r="C703" s="50"/>
      <c r="D703" s="50"/>
    </row>
    <row r="704">
      <c r="A704" s="50"/>
      <c r="B704" s="50"/>
      <c r="C704" s="50"/>
      <c r="D704" s="50"/>
    </row>
    <row r="705">
      <c r="A705" s="50"/>
      <c r="B705" s="50"/>
      <c r="C705" s="50"/>
      <c r="D705" s="50"/>
    </row>
    <row r="706">
      <c r="A706" s="50"/>
      <c r="B706" s="50"/>
      <c r="C706" s="50"/>
      <c r="D706" s="50"/>
    </row>
    <row r="707">
      <c r="A707" s="50"/>
      <c r="B707" s="50"/>
      <c r="C707" s="50"/>
      <c r="D707" s="50"/>
    </row>
    <row r="708">
      <c r="A708" s="50"/>
      <c r="B708" s="50"/>
      <c r="C708" s="50"/>
      <c r="D708" s="50"/>
    </row>
    <row r="709">
      <c r="A709" s="50"/>
      <c r="B709" s="50"/>
      <c r="C709" s="50"/>
      <c r="D709" s="50"/>
    </row>
    <row r="710">
      <c r="A710" s="50"/>
      <c r="B710" s="50"/>
      <c r="C710" s="50"/>
      <c r="D710" s="50"/>
    </row>
    <row r="711">
      <c r="A711" s="50"/>
      <c r="B711" s="50"/>
      <c r="C711" s="50"/>
      <c r="D711" s="50"/>
    </row>
    <row r="712">
      <c r="A712" s="50"/>
      <c r="B712" s="50"/>
      <c r="C712" s="50"/>
      <c r="D712" s="50"/>
    </row>
    <row r="713">
      <c r="A713" s="50"/>
      <c r="B713" s="50"/>
      <c r="C713" s="50"/>
      <c r="D713" s="50"/>
    </row>
    <row r="714">
      <c r="A714" s="50"/>
      <c r="B714" s="50"/>
      <c r="C714" s="50"/>
      <c r="D714" s="50"/>
    </row>
    <row r="715">
      <c r="A715" s="50"/>
      <c r="B715" s="50"/>
      <c r="C715" s="50"/>
      <c r="D715" s="50"/>
    </row>
    <row r="716">
      <c r="A716" s="50"/>
      <c r="B716" s="50"/>
      <c r="C716" s="50"/>
      <c r="D716" s="50"/>
    </row>
    <row r="717">
      <c r="A717" s="50"/>
      <c r="B717" s="50"/>
      <c r="C717" s="50"/>
      <c r="D717" s="50"/>
    </row>
    <row r="718">
      <c r="A718" s="50"/>
      <c r="B718" s="50"/>
      <c r="C718" s="50"/>
      <c r="D718" s="50"/>
    </row>
    <row r="719">
      <c r="A719" s="50"/>
      <c r="B719" s="50"/>
      <c r="C719" s="50"/>
      <c r="D719" s="50"/>
    </row>
    <row r="720">
      <c r="A720" s="50"/>
      <c r="B720" s="50"/>
      <c r="C720" s="50"/>
      <c r="D720" s="50"/>
    </row>
    <row r="721">
      <c r="A721" s="50"/>
      <c r="B721" s="50"/>
      <c r="C721" s="50"/>
      <c r="D721" s="50"/>
    </row>
    <row r="722">
      <c r="A722" s="50"/>
      <c r="B722" s="50"/>
      <c r="C722" s="50"/>
      <c r="D722" s="50"/>
    </row>
    <row r="723">
      <c r="A723" s="50"/>
      <c r="B723" s="50"/>
      <c r="C723" s="50"/>
      <c r="D723" s="50"/>
    </row>
    <row r="724">
      <c r="A724" s="50"/>
      <c r="B724" s="50"/>
      <c r="C724" s="50"/>
      <c r="D724" s="50"/>
    </row>
    <row r="725">
      <c r="A725" s="50"/>
      <c r="B725" s="50"/>
      <c r="C725" s="50"/>
      <c r="D725" s="50"/>
    </row>
    <row r="726">
      <c r="A726" s="50"/>
      <c r="B726" s="50"/>
      <c r="C726" s="50"/>
      <c r="D726" s="50"/>
    </row>
    <row r="727">
      <c r="A727" s="50"/>
      <c r="B727" s="50"/>
      <c r="C727" s="50"/>
      <c r="D727" s="50"/>
    </row>
    <row r="728">
      <c r="A728" s="50"/>
      <c r="B728" s="50"/>
      <c r="C728" s="50"/>
      <c r="D728" s="50"/>
    </row>
    <row r="729">
      <c r="A729" s="50"/>
      <c r="B729" s="50"/>
      <c r="C729" s="50"/>
      <c r="D729" s="50"/>
    </row>
    <row r="730">
      <c r="A730" s="50"/>
      <c r="B730" s="50"/>
      <c r="C730" s="50"/>
      <c r="D730" s="50"/>
    </row>
    <row r="731">
      <c r="A731" s="50"/>
      <c r="B731" s="50"/>
      <c r="C731" s="50"/>
      <c r="D731" s="50"/>
    </row>
    <row r="732">
      <c r="A732" s="50"/>
      <c r="B732" s="50"/>
      <c r="C732" s="50"/>
      <c r="D732" s="50"/>
    </row>
    <row r="733">
      <c r="A733" s="50"/>
      <c r="B733" s="50"/>
      <c r="C733" s="50"/>
      <c r="D733" s="50"/>
    </row>
    <row r="734">
      <c r="A734" s="50"/>
      <c r="B734" s="50"/>
      <c r="C734" s="50"/>
      <c r="D734" s="50"/>
    </row>
    <row r="735">
      <c r="A735" s="50"/>
      <c r="B735" s="50"/>
      <c r="C735" s="50"/>
      <c r="D735" s="50"/>
    </row>
    <row r="736">
      <c r="A736" s="50"/>
      <c r="B736" s="50"/>
      <c r="C736" s="50"/>
      <c r="D736" s="50"/>
    </row>
    <row r="737">
      <c r="A737" s="50"/>
      <c r="B737" s="50"/>
      <c r="C737" s="50"/>
      <c r="D737" s="50"/>
    </row>
    <row r="738">
      <c r="A738" s="50"/>
      <c r="B738" s="50"/>
      <c r="C738" s="50"/>
      <c r="D738" s="50"/>
    </row>
    <row r="739">
      <c r="A739" s="50"/>
      <c r="B739" s="50"/>
      <c r="C739" s="50"/>
      <c r="D739" s="50"/>
    </row>
    <row r="740">
      <c r="A740" s="50"/>
      <c r="B740" s="50"/>
      <c r="C740" s="50"/>
      <c r="D740" s="50"/>
    </row>
    <row r="741">
      <c r="A741" s="50"/>
      <c r="B741" s="50"/>
      <c r="C741" s="50"/>
      <c r="D741" s="50"/>
    </row>
    <row r="742">
      <c r="A742" s="50"/>
      <c r="B742" s="50"/>
      <c r="C742" s="50"/>
      <c r="D742" s="50"/>
    </row>
    <row r="743">
      <c r="A743" s="50"/>
      <c r="B743" s="50"/>
      <c r="C743" s="50"/>
      <c r="D743" s="50"/>
    </row>
    <row r="744">
      <c r="A744" s="50"/>
      <c r="B744" s="50"/>
      <c r="C744" s="50"/>
      <c r="D744" s="50"/>
    </row>
    <row r="745">
      <c r="A745" s="50"/>
      <c r="B745" s="50"/>
      <c r="C745" s="50"/>
      <c r="D745" s="50"/>
    </row>
    <row r="746">
      <c r="A746" s="50"/>
      <c r="B746" s="50"/>
      <c r="C746" s="50"/>
      <c r="D746" s="50"/>
    </row>
    <row r="747">
      <c r="A747" s="50"/>
      <c r="B747" s="50"/>
      <c r="C747" s="50"/>
      <c r="D747" s="50"/>
    </row>
    <row r="748">
      <c r="A748" s="50"/>
      <c r="B748" s="50"/>
      <c r="C748" s="50"/>
      <c r="D748" s="50"/>
    </row>
    <row r="749">
      <c r="A749" s="50"/>
      <c r="B749" s="50"/>
      <c r="C749" s="50"/>
      <c r="D749" s="50"/>
    </row>
    <row r="750">
      <c r="A750" s="50"/>
      <c r="B750" s="50"/>
      <c r="C750" s="50"/>
      <c r="D750" s="50"/>
    </row>
    <row r="751">
      <c r="A751" s="50"/>
      <c r="B751" s="50"/>
      <c r="C751" s="50"/>
      <c r="D751" s="50"/>
    </row>
    <row r="752">
      <c r="A752" s="50"/>
      <c r="B752" s="50"/>
      <c r="C752" s="50"/>
      <c r="D752" s="50"/>
    </row>
    <row r="753">
      <c r="A753" s="50"/>
      <c r="B753" s="50"/>
      <c r="C753" s="50"/>
      <c r="D753" s="50"/>
    </row>
    <row r="754">
      <c r="A754" s="50"/>
      <c r="B754" s="50"/>
      <c r="C754" s="50"/>
      <c r="D754" s="50"/>
    </row>
    <row r="755">
      <c r="A755" s="50"/>
      <c r="B755" s="50"/>
      <c r="C755" s="50"/>
      <c r="D755" s="50"/>
    </row>
    <row r="756">
      <c r="A756" s="50"/>
      <c r="B756" s="50"/>
      <c r="C756" s="50"/>
      <c r="D756" s="50"/>
    </row>
    <row r="757">
      <c r="A757" s="50"/>
      <c r="B757" s="50"/>
      <c r="C757" s="50"/>
      <c r="D757" s="50"/>
    </row>
    <row r="758">
      <c r="A758" s="50"/>
      <c r="B758" s="50"/>
      <c r="C758" s="50"/>
      <c r="D758" s="50"/>
    </row>
    <row r="759">
      <c r="A759" s="50"/>
      <c r="B759" s="50"/>
      <c r="C759" s="50"/>
      <c r="D759" s="50"/>
    </row>
    <row r="760">
      <c r="A760" s="50"/>
      <c r="B760" s="50"/>
      <c r="C760" s="50"/>
      <c r="D760" s="50"/>
    </row>
    <row r="761">
      <c r="A761" s="50"/>
      <c r="B761" s="50"/>
      <c r="C761" s="50"/>
      <c r="D761" s="50"/>
    </row>
    <row r="762">
      <c r="A762" s="50"/>
      <c r="B762" s="50"/>
      <c r="C762" s="50"/>
      <c r="D762" s="50"/>
    </row>
    <row r="763">
      <c r="A763" s="50"/>
      <c r="B763" s="50"/>
      <c r="C763" s="50"/>
      <c r="D763" s="50"/>
    </row>
    <row r="764">
      <c r="A764" s="50"/>
      <c r="B764" s="50"/>
      <c r="C764" s="50"/>
      <c r="D764" s="50"/>
    </row>
    <row r="765">
      <c r="A765" s="50"/>
      <c r="B765" s="50"/>
      <c r="C765" s="50"/>
      <c r="D765" s="50"/>
    </row>
    <row r="766">
      <c r="A766" s="50"/>
      <c r="B766" s="50"/>
      <c r="C766" s="50"/>
      <c r="D766" s="50"/>
    </row>
    <row r="767">
      <c r="A767" s="50"/>
      <c r="B767" s="50"/>
      <c r="C767" s="50"/>
      <c r="D767" s="50"/>
    </row>
    <row r="768">
      <c r="A768" s="50"/>
      <c r="B768" s="50"/>
      <c r="C768" s="50"/>
      <c r="D768" s="50"/>
    </row>
    <row r="769">
      <c r="A769" s="50"/>
      <c r="B769" s="50"/>
      <c r="C769" s="50"/>
      <c r="D769" s="50"/>
    </row>
    <row r="770">
      <c r="A770" s="50"/>
      <c r="B770" s="50"/>
      <c r="C770" s="50"/>
      <c r="D770" s="50"/>
    </row>
    <row r="771">
      <c r="A771" s="50"/>
      <c r="B771" s="50"/>
      <c r="C771" s="50"/>
      <c r="D771" s="50"/>
    </row>
    <row r="772">
      <c r="A772" s="50"/>
      <c r="B772" s="50"/>
      <c r="C772" s="50"/>
      <c r="D772" s="50"/>
    </row>
    <row r="773">
      <c r="A773" s="50"/>
      <c r="B773" s="50"/>
      <c r="C773" s="50"/>
      <c r="D773" s="50"/>
    </row>
    <row r="774">
      <c r="A774" s="50"/>
      <c r="B774" s="50"/>
      <c r="C774" s="50"/>
      <c r="D774" s="50"/>
    </row>
    <row r="775">
      <c r="A775" s="50"/>
      <c r="B775" s="50"/>
      <c r="C775" s="50"/>
      <c r="D775" s="50"/>
    </row>
    <row r="776">
      <c r="A776" s="50"/>
      <c r="B776" s="50"/>
      <c r="C776" s="50"/>
      <c r="D776" s="50"/>
    </row>
    <row r="777">
      <c r="A777" s="50"/>
      <c r="B777" s="50"/>
      <c r="C777" s="50"/>
      <c r="D777" s="50"/>
    </row>
    <row r="778">
      <c r="A778" s="50"/>
      <c r="B778" s="50"/>
      <c r="C778" s="50"/>
      <c r="D778" s="50"/>
    </row>
    <row r="779">
      <c r="A779" s="50"/>
      <c r="B779" s="50"/>
      <c r="C779" s="50"/>
      <c r="D779" s="50"/>
    </row>
    <row r="780">
      <c r="A780" s="50"/>
      <c r="B780" s="50"/>
      <c r="C780" s="50"/>
      <c r="D780" s="50"/>
    </row>
    <row r="781">
      <c r="A781" s="50"/>
      <c r="B781" s="50"/>
      <c r="C781" s="50"/>
      <c r="D781" s="50"/>
    </row>
    <row r="782">
      <c r="A782" s="50"/>
      <c r="B782" s="50"/>
      <c r="C782" s="50"/>
      <c r="D782" s="50"/>
    </row>
    <row r="783">
      <c r="A783" s="50"/>
      <c r="B783" s="50"/>
      <c r="C783" s="50"/>
      <c r="D783" s="50"/>
    </row>
    <row r="784">
      <c r="A784" s="50"/>
      <c r="B784" s="50"/>
      <c r="C784" s="50"/>
      <c r="D784" s="50"/>
    </row>
    <row r="785">
      <c r="A785" s="50"/>
      <c r="B785" s="50"/>
      <c r="C785" s="50"/>
      <c r="D785" s="50"/>
    </row>
    <row r="786">
      <c r="A786" s="50"/>
      <c r="B786" s="50"/>
      <c r="C786" s="50"/>
      <c r="D786" s="50"/>
    </row>
    <row r="787">
      <c r="A787" s="50"/>
      <c r="B787" s="50"/>
      <c r="C787" s="50"/>
      <c r="D787" s="50"/>
    </row>
    <row r="788">
      <c r="A788" s="50"/>
      <c r="B788" s="50"/>
      <c r="C788" s="50"/>
      <c r="D788" s="50"/>
    </row>
    <row r="789">
      <c r="A789" s="50"/>
      <c r="B789" s="50"/>
      <c r="C789" s="50"/>
      <c r="D789" s="50"/>
    </row>
    <row r="790">
      <c r="A790" s="50"/>
      <c r="B790" s="50"/>
      <c r="C790" s="50"/>
      <c r="D790" s="50"/>
    </row>
    <row r="791">
      <c r="A791" s="50"/>
      <c r="B791" s="50"/>
      <c r="C791" s="50"/>
      <c r="D791" s="50"/>
    </row>
    <row r="792">
      <c r="A792" s="50"/>
      <c r="B792" s="50"/>
      <c r="C792" s="50"/>
      <c r="D792" s="50"/>
    </row>
    <row r="793">
      <c r="A793" s="50"/>
      <c r="B793" s="50"/>
      <c r="C793" s="50"/>
      <c r="D793" s="50"/>
    </row>
    <row r="794">
      <c r="A794" s="50"/>
      <c r="B794" s="50"/>
      <c r="C794" s="50"/>
      <c r="D794" s="50"/>
    </row>
    <row r="795">
      <c r="A795" s="50"/>
      <c r="B795" s="50"/>
      <c r="C795" s="50"/>
      <c r="D795" s="50"/>
    </row>
    <row r="796">
      <c r="A796" s="50"/>
      <c r="B796" s="50"/>
      <c r="C796" s="50"/>
      <c r="D796" s="50"/>
    </row>
    <row r="797">
      <c r="A797" s="50"/>
      <c r="B797" s="50"/>
      <c r="C797" s="50"/>
      <c r="D797" s="50"/>
    </row>
    <row r="798">
      <c r="A798" s="50"/>
      <c r="B798" s="50"/>
      <c r="C798" s="50"/>
      <c r="D798" s="50"/>
    </row>
    <row r="799">
      <c r="A799" s="50"/>
      <c r="B799" s="50"/>
      <c r="C799" s="50"/>
      <c r="D799" s="50"/>
    </row>
    <row r="800">
      <c r="A800" s="50"/>
      <c r="B800" s="50"/>
      <c r="C800" s="50"/>
      <c r="D800" s="50"/>
    </row>
    <row r="801">
      <c r="A801" s="50"/>
      <c r="B801" s="50"/>
      <c r="C801" s="50"/>
      <c r="D801" s="50"/>
    </row>
    <row r="802">
      <c r="A802" s="50"/>
      <c r="B802" s="50"/>
      <c r="C802" s="50"/>
      <c r="D802" s="50"/>
    </row>
    <row r="803">
      <c r="A803" s="50"/>
      <c r="B803" s="50"/>
      <c r="C803" s="50"/>
      <c r="D803" s="50"/>
    </row>
    <row r="804">
      <c r="A804" s="50"/>
      <c r="B804" s="50"/>
      <c r="C804" s="50"/>
      <c r="D804" s="50"/>
    </row>
    <row r="805">
      <c r="A805" s="50"/>
      <c r="B805" s="50"/>
      <c r="C805" s="50"/>
      <c r="D805" s="50"/>
    </row>
    <row r="806">
      <c r="A806" s="50"/>
      <c r="B806" s="50"/>
      <c r="C806" s="50"/>
      <c r="D806" s="50"/>
    </row>
    <row r="807">
      <c r="A807" s="50"/>
      <c r="B807" s="50"/>
      <c r="C807" s="50"/>
      <c r="D807" s="50"/>
    </row>
    <row r="808">
      <c r="A808" s="50"/>
      <c r="B808" s="50"/>
      <c r="C808" s="50"/>
      <c r="D808" s="50"/>
    </row>
    <row r="809">
      <c r="A809" s="50"/>
      <c r="B809" s="50"/>
      <c r="C809" s="50"/>
      <c r="D809" s="50"/>
    </row>
    <row r="810">
      <c r="A810" s="50"/>
      <c r="B810" s="50"/>
      <c r="C810" s="50"/>
      <c r="D810" s="50"/>
    </row>
    <row r="811">
      <c r="A811" s="50"/>
      <c r="B811" s="50"/>
      <c r="C811" s="50"/>
      <c r="D811" s="50"/>
    </row>
    <row r="812">
      <c r="A812" s="50"/>
      <c r="B812" s="50"/>
      <c r="C812" s="50"/>
      <c r="D812" s="50"/>
    </row>
    <row r="813">
      <c r="A813" s="50"/>
      <c r="B813" s="50"/>
      <c r="C813" s="50"/>
      <c r="D813" s="50"/>
    </row>
    <row r="814">
      <c r="A814" s="50"/>
      <c r="B814" s="50"/>
      <c r="C814" s="50"/>
      <c r="D814" s="50"/>
    </row>
    <row r="815">
      <c r="A815" s="50"/>
      <c r="B815" s="50"/>
      <c r="C815" s="50"/>
      <c r="D815" s="50"/>
    </row>
    <row r="816">
      <c r="A816" s="50"/>
      <c r="B816" s="50"/>
      <c r="C816" s="50"/>
      <c r="D816" s="50"/>
    </row>
    <row r="817">
      <c r="A817" s="50"/>
      <c r="B817" s="50"/>
      <c r="C817" s="50"/>
      <c r="D817" s="50"/>
    </row>
    <row r="818">
      <c r="A818" s="50"/>
      <c r="B818" s="50"/>
      <c r="C818" s="50"/>
      <c r="D818" s="50"/>
    </row>
    <row r="819">
      <c r="A819" s="50"/>
      <c r="B819" s="50"/>
      <c r="C819" s="50"/>
      <c r="D819" s="50"/>
    </row>
    <row r="820">
      <c r="A820" s="50"/>
      <c r="B820" s="50"/>
      <c r="C820" s="50"/>
      <c r="D820" s="50"/>
    </row>
    <row r="821">
      <c r="A821" s="50"/>
      <c r="B821" s="50"/>
      <c r="C821" s="50"/>
      <c r="D821" s="50"/>
    </row>
    <row r="822">
      <c r="A822" s="50"/>
      <c r="B822" s="50"/>
      <c r="C822" s="50"/>
      <c r="D822" s="50"/>
    </row>
    <row r="823">
      <c r="A823" s="50"/>
      <c r="B823" s="50"/>
      <c r="C823" s="50"/>
      <c r="D823" s="50"/>
    </row>
    <row r="824">
      <c r="A824" s="50"/>
      <c r="B824" s="50"/>
      <c r="C824" s="50"/>
      <c r="D824" s="50"/>
    </row>
    <row r="825">
      <c r="A825" s="50"/>
      <c r="B825" s="50"/>
      <c r="C825" s="50"/>
      <c r="D825" s="50"/>
    </row>
    <row r="826">
      <c r="A826" s="50"/>
      <c r="B826" s="50"/>
      <c r="C826" s="50"/>
      <c r="D826" s="50"/>
    </row>
    <row r="827">
      <c r="A827" s="50"/>
      <c r="B827" s="50"/>
      <c r="C827" s="50"/>
      <c r="D827" s="50"/>
    </row>
    <row r="828">
      <c r="A828" s="50"/>
      <c r="B828" s="50"/>
      <c r="C828" s="50"/>
      <c r="D828" s="50"/>
    </row>
    <row r="829">
      <c r="A829" s="50"/>
      <c r="B829" s="50"/>
      <c r="C829" s="50"/>
      <c r="D829" s="50"/>
    </row>
    <row r="830">
      <c r="A830" s="50"/>
      <c r="B830" s="50"/>
      <c r="C830" s="50"/>
      <c r="D830" s="50"/>
    </row>
    <row r="831">
      <c r="A831" s="50"/>
      <c r="B831" s="50"/>
      <c r="C831" s="50"/>
      <c r="D831" s="50"/>
    </row>
    <row r="832">
      <c r="A832" s="50"/>
      <c r="B832" s="50"/>
      <c r="C832" s="50"/>
      <c r="D832" s="50"/>
    </row>
    <row r="833">
      <c r="A833" s="50"/>
      <c r="B833" s="50"/>
      <c r="C833" s="50"/>
      <c r="D833" s="50"/>
    </row>
    <row r="834">
      <c r="A834" s="50"/>
      <c r="B834" s="50"/>
      <c r="C834" s="50"/>
      <c r="D834" s="50"/>
    </row>
    <row r="835">
      <c r="A835" s="50"/>
      <c r="B835" s="50"/>
      <c r="C835" s="50"/>
      <c r="D835" s="50"/>
    </row>
    <row r="836">
      <c r="A836" s="50"/>
      <c r="B836" s="50"/>
      <c r="C836" s="50"/>
      <c r="D836" s="50"/>
    </row>
    <row r="837">
      <c r="A837" s="50"/>
      <c r="B837" s="50"/>
      <c r="C837" s="50"/>
      <c r="D837" s="50"/>
    </row>
    <row r="838">
      <c r="A838" s="50"/>
      <c r="B838" s="50"/>
      <c r="C838" s="50"/>
      <c r="D838" s="50"/>
    </row>
    <row r="839">
      <c r="A839" s="50"/>
      <c r="B839" s="50"/>
      <c r="C839" s="50"/>
      <c r="D839" s="50"/>
    </row>
    <row r="840">
      <c r="A840" s="50"/>
      <c r="B840" s="50"/>
      <c r="C840" s="50"/>
      <c r="D840" s="50"/>
    </row>
    <row r="841">
      <c r="A841" s="50"/>
      <c r="B841" s="50"/>
      <c r="C841" s="50"/>
      <c r="D841" s="50"/>
    </row>
    <row r="842">
      <c r="A842" s="50"/>
      <c r="B842" s="50"/>
      <c r="C842" s="50"/>
      <c r="D842" s="50"/>
    </row>
    <row r="843">
      <c r="A843" s="50"/>
      <c r="B843" s="50"/>
      <c r="C843" s="50"/>
      <c r="D843" s="50"/>
    </row>
    <row r="844">
      <c r="A844" s="50"/>
      <c r="B844" s="50"/>
      <c r="C844" s="50"/>
      <c r="D844" s="50"/>
    </row>
    <row r="845">
      <c r="A845" s="50"/>
      <c r="B845" s="50"/>
      <c r="C845" s="50"/>
      <c r="D845" s="50"/>
    </row>
    <row r="846">
      <c r="A846" s="50"/>
      <c r="B846" s="50"/>
      <c r="C846" s="50"/>
      <c r="D846" s="50"/>
    </row>
    <row r="847">
      <c r="A847" s="50"/>
      <c r="B847" s="50"/>
      <c r="C847" s="50"/>
      <c r="D847" s="50"/>
    </row>
    <row r="848">
      <c r="A848" s="50"/>
      <c r="B848" s="50"/>
      <c r="C848" s="50"/>
      <c r="D848" s="50"/>
    </row>
    <row r="849">
      <c r="A849" s="50"/>
      <c r="B849" s="50"/>
      <c r="C849" s="50"/>
      <c r="D849" s="50"/>
    </row>
    <row r="850">
      <c r="A850" s="50"/>
      <c r="B850" s="50"/>
      <c r="C850" s="50"/>
      <c r="D850" s="50"/>
    </row>
    <row r="851">
      <c r="A851" s="50"/>
      <c r="B851" s="50"/>
      <c r="C851" s="50"/>
      <c r="D851" s="50"/>
    </row>
    <row r="852">
      <c r="A852" s="50"/>
      <c r="B852" s="50"/>
      <c r="C852" s="50"/>
      <c r="D852" s="50"/>
    </row>
    <row r="853">
      <c r="A853" s="50"/>
      <c r="B853" s="50"/>
      <c r="C853" s="50"/>
      <c r="D853" s="50"/>
    </row>
    <row r="854">
      <c r="A854" s="50"/>
      <c r="B854" s="50"/>
      <c r="C854" s="50"/>
      <c r="D854" s="50"/>
    </row>
    <row r="855">
      <c r="A855" s="50"/>
      <c r="B855" s="50"/>
      <c r="C855" s="50"/>
      <c r="D855" s="50"/>
    </row>
    <row r="856">
      <c r="A856" s="50"/>
      <c r="B856" s="50"/>
      <c r="C856" s="50"/>
      <c r="D856" s="50"/>
    </row>
    <row r="857">
      <c r="A857" s="50"/>
      <c r="B857" s="50"/>
      <c r="C857" s="50"/>
      <c r="D857" s="50"/>
    </row>
    <row r="858">
      <c r="A858" s="50"/>
      <c r="B858" s="50"/>
      <c r="C858" s="50"/>
      <c r="D858" s="50"/>
    </row>
    <row r="859">
      <c r="A859" s="50"/>
      <c r="B859" s="50"/>
      <c r="C859" s="50"/>
      <c r="D859" s="50"/>
    </row>
    <row r="860">
      <c r="A860" s="50"/>
      <c r="B860" s="50"/>
      <c r="C860" s="50"/>
      <c r="D860" s="50"/>
    </row>
    <row r="861">
      <c r="A861" s="50"/>
      <c r="B861" s="50"/>
      <c r="C861" s="50"/>
      <c r="D861" s="50"/>
    </row>
    <row r="862">
      <c r="A862" s="50"/>
      <c r="B862" s="50"/>
      <c r="C862" s="50"/>
      <c r="D862" s="50"/>
    </row>
    <row r="863">
      <c r="A863" s="50"/>
      <c r="B863" s="50"/>
      <c r="C863" s="50"/>
      <c r="D863" s="50"/>
    </row>
    <row r="864">
      <c r="A864" s="50"/>
      <c r="B864" s="50"/>
      <c r="C864" s="50"/>
      <c r="D864" s="50"/>
    </row>
    <row r="865">
      <c r="A865" s="50"/>
      <c r="B865" s="50"/>
      <c r="C865" s="50"/>
      <c r="D865" s="50"/>
    </row>
    <row r="866">
      <c r="A866" s="50"/>
      <c r="B866" s="50"/>
      <c r="C866" s="50"/>
      <c r="D866" s="50"/>
    </row>
    <row r="867">
      <c r="A867" s="50"/>
      <c r="B867" s="50"/>
      <c r="C867" s="50"/>
      <c r="D867" s="50"/>
    </row>
    <row r="868">
      <c r="A868" s="50"/>
      <c r="B868" s="50"/>
      <c r="C868" s="50"/>
      <c r="D868" s="50"/>
    </row>
    <row r="869">
      <c r="A869" s="50"/>
      <c r="B869" s="50"/>
      <c r="C869" s="50"/>
      <c r="D869" s="50"/>
    </row>
    <row r="870">
      <c r="A870" s="50"/>
      <c r="B870" s="50"/>
      <c r="C870" s="50"/>
      <c r="D870" s="50"/>
    </row>
    <row r="871">
      <c r="A871" s="50"/>
      <c r="B871" s="50"/>
      <c r="C871" s="50"/>
      <c r="D871" s="50"/>
    </row>
    <row r="872">
      <c r="A872" s="50"/>
      <c r="B872" s="50"/>
      <c r="C872" s="50"/>
      <c r="D872" s="50"/>
    </row>
    <row r="873">
      <c r="A873" s="50"/>
      <c r="B873" s="50"/>
      <c r="C873" s="50"/>
      <c r="D873" s="50"/>
    </row>
    <row r="874">
      <c r="A874" s="50"/>
      <c r="B874" s="50"/>
      <c r="C874" s="50"/>
      <c r="D874" s="50"/>
    </row>
    <row r="875">
      <c r="A875" s="50"/>
      <c r="B875" s="50"/>
      <c r="C875" s="50"/>
      <c r="D875" s="50"/>
    </row>
    <row r="876">
      <c r="A876" s="50"/>
      <c r="B876" s="50"/>
      <c r="C876" s="50"/>
      <c r="D876" s="50"/>
    </row>
    <row r="877">
      <c r="A877" s="50"/>
      <c r="B877" s="50"/>
      <c r="C877" s="50"/>
      <c r="D877" s="50"/>
    </row>
    <row r="878">
      <c r="A878" s="50"/>
      <c r="B878" s="50"/>
      <c r="C878" s="50"/>
      <c r="D878" s="50"/>
    </row>
    <row r="879">
      <c r="A879" s="50"/>
      <c r="B879" s="50"/>
      <c r="C879" s="50"/>
      <c r="D879" s="50"/>
    </row>
    <row r="880">
      <c r="A880" s="50"/>
      <c r="B880" s="50"/>
      <c r="C880" s="50"/>
      <c r="D880" s="50"/>
    </row>
    <row r="881">
      <c r="A881" s="50"/>
      <c r="B881" s="50"/>
      <c r="C881" s="50"/>
      <c r="D881" s="50"/>
    </row>
    <row r="882">
      <c r="A882" s="50"/>
      <c r="B882" s="50"/>
      <c r="C882" s="50"/>
      <c r="D882" s="50"/>
    </row>
    <row r="883">
      <c r="A883" s="50"/>
      <c r="B883" s="50"/>
      <c r="C883" s="50"/>
      <c r="D883" s="50"/>
    </row>
    <row r="884">
      <c r="A884" s="50"/>
      <c r="B884" s="50"/>
      <c r="C884" s="50"/>
      <c r="D884" s="50"/>
    </row>
    <row r="885">
      <c r="A885" s="50"/>
      <c r="B885" s="50"/>
      <c r="C885" s="50"/>
      <c r="D885" s="50"/>
    </row>
    <row r="886">
      <c r="A886" s="50"/>
      <c r="B886" s="50"/>
      <c r="C886" s="50"/>
      <c r="D886" s="50"/>
    </row>
    <row r="887">
      <c r="A887" s="50"/>
      <c r="B887" s="50"/>
      <c r="C887" s="50"/>
      <c r="D887" s="50"/>
    </row>
    <row r="888">
      <c r="A888" s="50"/>
      <c r="B888" s="50"/>
      <c r="C888" s="50"/>
      <c r="D888" s="50"/>
    </row>
    <row r="889">
      <c r="A889" s="50"/>
      <c r="B889" s="50"/>
      <c r="C889" s="50"/>
      <c r="D889" s="50"/>
    </row>
    <row r="890">
      <c r="A890" s="50"/>
      <c r="B890" s="50"/>
      <c r="C890" s="50"/>
      <c r="D890" s="50"/>
    </row>
    <row r="891">
      <c r="A891" s="50"/>
      <c r="B891" s="50"/>
      <c r="C891" s="50"/>
      <c r="D891" s="50"/>
    </row>
    <row r="892">
      <c r="A892" s="50"/>
      <c r="B892" s="50"/>
      <c r="C892" s="50"/>
      <c r="D892" s="50"/>
    </row>
    <row r="893">
      <c r="A893" s="50"/>
      <c r="B893" s="50"/>
      <c r="C893" s="50"/>
      <c r="D893" s="50"/>
    </row>
    <row r="894">
      <c r="A894" s="50"/>
      <c r="B894" s="50"/>
      <c r="C894" s="50"/>
      <c r="D894" s="50"/>
    </row>
    <row r="895">
      <c r="A895" s="50"/>
      <c r="B895" s="50"/>
      <c r="C895" s="50"/>
      <c r="D895" s="50"/>
    </row>
    <row r="896">
      <c r="A896" s="50"/>
      <c r="B896" s="50"/>
      <c r="C896" s="50"/>
      <c r="D896" s="50"/>
    </row>
    <row r="897">
      <c r="A897" s="50"/>
      <c r="B897" s="50"/>
      <c r="C897" s="50"/>
      <c r="D897" s="50"/>
    </row>
    <row r="898">
      <c r="A898" s="50"/>
      <c r="B898" s="50"/>
      <c r="C898" s="50"/>
      <c r="D898" s="50"/>
    </row>
    <row r="899">
      <c r="A899" s="50"/>
      <c r="B899" s="50"/>
      <c r="C899" s="50"/>
      <c r="D899" s="50"/>
    </row>
    <row r="900">
      <c r="A900" s="50"/>
      <c r="B900" s="50"/>
      <c r="C900" s="50"/>
      <c r="D900" s="50"/>
    </row>
    <row r="901">
      <c r="A901" s="50"/>
      <c r="B901" s="50"/>
      <c r="C901" s="50"/>
      <c r="D901" s="50"/>
    </row>
    <row r="902">
      <c r="A902" s="50"/>
      <c r="B902" s="50"/>
      <c r="C902" s="50"/>
      <c r="D902" s="50"/>
    </row>
    <row r="903">
      <c r="A903" s="50"/>
      <c r="B903" s="50"/>
      <c r="C903" s="50"/>
      <c r="D903" s="50"/>
    </row>
    <row r="904">
      <c r="A904" s="50"/>
      <c r="B904" s="50"/>
      <c r="C904" s="50"/>
      <c r="D904" s="50"/>
    </row>
    <row r="905">
      <c r="A905" s="50"/>
      <c r="B905" s="50"/>
      <c r="C905" s="50"/>
      <c r="D905" s="50"/>
    </row>
    <row r="906">
      <c r="A906" s="50"/>
      <c r="B906" s="50"/>
      <c r="C906" s="50"/>
      <c r="D906" s="50"/>
    </row>
    <row r="907">
      <c r="A907" s="50"/>
      <c r="B907" s="50"/>
      <c r="C907" s="50"/>
      <c r="D907" s="50"/>
    </row>
    <row r="908">
      <c r="A908" s="50"/>
      <c r="B908" s="50"/>
      <c r="C908" s="50"/>
      <c r="D908" s="50"/>
    </row>
    <row r="909">
      <c r="A909" s="50"/>
      <c r="B909" s="50"/>
      <c r="C909" s="50"/>
      <c r="D909" s="50"/>
    </row>
    <row r="910">
      <c r="A910" s="50"/>
      <c r="B910" s="50"/>
      <c r="C910" s="50"/>
      <c r="D910" s="50"/>
    </row>
    <row r="911">
      <c r="A911" s="50"/>
      <c r="B911" s="50"/>
      <c r="C911" s="50"/>
      <c r="D911" s="50"/>
    </row>
    <row r="912">
      <c r="A912" s="50"/>
      <c r="B912" s="50"/>
      <c r="C912" s="50"/>
      <c r="D912" s="50"/>
    </row>
    <row r="913">
      <c r="A913" s="50"/>
      <c r="B913" s="50"/>
      <c r="C913" s="50"/>
      <c r="D913" s="50"/>
    </row>
    <row r="914">
      <c r="A914" s="50"/>
      <c r="B914" s="50"/>
      <c r="C914" s="50"/>
      <c r="D914" s="50"/>
    </row>
    <row r="915">
      <c r="A915" s="50"/>
      <c r="B915" s="50"/>
      <c r="C915" s="50"/>
      <c r="D915" s="50"/>
    </row>
    <row r="916">
      <c r="A916" s="50"/>
      <c r="B916" s="50"/>
      <c r="C916" s="50"/>
      <c r="D916" s="50"/>
    </row>
    <row r="917">
      <c r="A917" s="50"/>
      <c r="B917" s="50"/>
      <c r="C917" s="50"/>
      <c r="D917" s="50"/>
    </row>
    <row r="918">
      <c r="A918" s="50"/>
      <c r="B918" s="50"/>
      <c r="C918" s="50"/>
      <c r="D918" s="50"/>
    </row>
    <row r="919">
      <c r="A919" s="50"/>
      <c r="B919" s="50"/>
      <c r="C919" s="50"/>
      <c r="D919" s="50"/>
    </row>
    <row r="920">
      <c r="A920" s="50"/>
      <c r="B920" s="50"/>
      <c r="C920" s="50"/>
      <c r="D920" s="50"/>
    </row>
    <row r="921">
      <c r="A921" s="50"/>
      <c r="B921" s="50"/>
      <c r="C921" s="50"/>
      <c r="D921" s="50"/>
    </row>
    <row r="922">
      <c r="A922" s="50"/>
      <c r="B922" s="50"/>
      <c r="C922" s="50"/>
      <c r="D922" s="50"/>
    </row>
    <row r="923">
      <c r="A923" s="50"/>
      <c r="B923" s="50"/>
      <c r="C923" s="50"/>
      <c r="D923" s="50"/>
    </row>
    <row r="924">
      <c r="A924" s="50"/>
      <c r="B924" s="50"/>
      <c r="C924" s="50"/>
      <c r="D924" s="50"/>
    </row>
    <row r="925">
      <c r="A925" s="50"/>
      <c r="B925" s="50"/>
      <c r="C925" s="50"/>
      <c r="D925" s="50"/>
    </row>
    <row r="926">
      <c r="A926" s="50"/>
      <c r="B926" s="50"/>
      <c r="C926" s="50"/>
      <c r="D926" s="50"/>
    </row>
    <row r="927">
      <c r="A927" s="50"/>
      <c r="B927" s="50"/>
      <c r="C927" s="50"/>
      <c r="D927" s="50"/>
    </row>
    <row r="928">
      <c r="A928" s="50"/>
      <c r="B928" s="50"/>
      <c r="C928" s="50"/>
      <c r="D928" s="50"/>
    </row>
    <row r="929">
      <c r="A929" s="50"/>
      <c r="B929" s="50"/>
      <c r="C929" s="50"/>
      <c r="D929" s="50"/>
    </row>
    <row r="930">
      <c r="A930" s="50"/>
      <c r="B930" s="50"/>
      <c r="C930" s="50"/>
      <c r="D930" s="50"/>
    </row>
    <row r="931">
      <c r="A931" s="50"/>
      <c r="B931" s="50"/>
      <c r="C931" s="50"/>
      <c r="D931" s="50"/>
    </row>
    <row r="932">
      <c r="A932" s="50"/>
      <c r="B932" s="50"/>
      <c r="C932" s="50"/>
      <c r="D932" s="50"/>
    </row>
    <row r="933">
      <c r="A933" s="50"/>
      <c r="B933" s="50"/>
      <c r="C933" s="50"/>
      <c r="D933" s="50"/>
    </row>
    <row r="934">
      <c r="A934" s="50"/>
      <c r="B934" s="50"/>
      <c r="C934" s="50"/>
      <c r="D934" s="50"/>
    </row>
    <row r="935">
      <c r="A935" s="50"/>
      <c r="B935" s="50"/>
      <c r="C935" s="50"/>
      <c r="D935" s="50"/>
    </row>
    <row r="936">
      <c r="A936" s="50"/>
      <c r="B936" s="50"/>
      <c r="C936" s="50"/>
      <c r="D936" s="50"/>
    </row>
    <row r="937">
      <c r="A937" s="50"/>
      <c r="B937" s="50"/>
      <c r="C937" s="50"/>
      <c r="D937" s="50"/>
    </row>
    <row r="938">
      <c r="A938" s="50"/>
      <c r="B938" s="50"/>
      <c r="C938" s="50"/>
      <c r="D938" s="50"/>
    </row>
    <row r="939">
      <c r="A939" s="50"/>
      <c r="B939" s="50"/>
      <c r="C939" s="50"/>
      <c r="D939" s="50"/>
    </row>
    <row r="940">
      <c r="A940" s="50"/>
      <c r="B940" s="50"/>
      <c r="C940" s="50"/>
      <c r="D940" s="50"/>
    </row>
    <row r="941">
      <c r="A941" s="50"/>
      <c r="B941" s="50"/>
      <c r="C941" s="50"/>
      <c r="D941" s="50"/>
    </row>
    <row r="942">
      <c r="A942" s="50"/>
      <c r="B942" s="50"/>
      <c r="C942" s="50"/>
      <c r="D942" s="50"/>
    </row>
    <row r="943">
      <c r="A943" s="50"/>
      <c r="B943" s="50"/>
      <c r="C943" s="50"/>
      <c r="D943" s="50"/>
    </row>
    <row r="944">
      <c r="A944" s="50"/>
      <c r="B944" s="50"/>
      <c r="C944" s="50"/>
      <c r="D944" s="50"/>
    </row>
    <row r="945">
      <c r="A945" s="50"/>
      <c r="B945" s="50"/>
      <c r="C945" s="50"/>
      <c r="D945" s="50"/>
    </row>
    <row r="946">
      <c r="A946" s="50"/>
      <c r="B946" s="50"/>
      <c r="C946" s="50"/>
      <c r="D946" s="50"/>
    </row>
    <row r="947">
      <c r="A947" s="50"/>
      <c r="B947" s="50"/>
      <c r="C947" s="50"/>
      <c r="D947" s="50"/>
    </row>
    <row r="948">
      <c r="A948" s="50"/>
      <c r="B948" s="50"/>
      <c r="C948" s="50"/>
      <c r="D948" s="50"/>
    </row>
    <row r="949">
      <c r="A949" s="50"/>
      <c r="B949" s="50"/>
      <c r="C949" s="50"/>
      <c r="D949" s="50"/>
    </row>
    <row r="950">
      <c r="A950" s="50"/>
      <c r="B950" s="50"/>
      <c r="C950" s="50"/>
      <c r="D950" s="50"/>
    </row>
    <row r="951">
      <c r="A951" s="50"/>
      <c r="B951" s="50"/>
      <c r="C951" s="50"/>
      <c r="D951" s="50"/>
    </row>
    <row r="952">
      <c r="A952" s="50"/>
      <c r="B952" s="50"/>
      <c r="C952" s="50"/>
      <c r="D952" s="50"/>
    </row>
    <row r="953">
      <c r="A953" s="50"/>
      <c r="B953" s="50"/>
      <c r="C953" s="50"/>
      <c r="D953" s="50"/>
    </row>
    <row r="954">
      <c r="A954" s="50"/>
      <c r="B954" s="50"/>
      <c r="C954" s="50"/>
      <c r="D954" s="50"/>
    </row>
    <row r="955">
      <c r="A955" s="50"/>
      <c r="B955" s="50"/>
      <c r="C955" s="50"/>
      <c r="D955" s="50"/>
    </row>
    <row r="956">
      <c r="A956" s="50"/>
      <c r="B956" s="50"/>
      <c r="C956" s="50"/>
      <c r="D956" s="50"/>
    </row>
    <row r="957">
      <c r="A957" s="50"/>
      <c r="B957" s="50"/>
      <c r="C957" s="50"/>
      <c r="D957" s="50"/>
    </row>
    <row r="958">
      <c r="A958" s="50"/>
      <c r="B958" s="50"/>
      <c r="C958" s="50"/>
      <c r="D958" s="50"/>
    </row>
    <row r="959">
      <c r="A959" s="50"/>
      <c r="B959" s="50"/>
      <c r="C959" s="50"/>
      <c r="D959" s="50"/>
    </row>
    <row r="960">
      <c r="A960" s="50"/>
      <c r="B960" s="50"/>
      <c r="C960" s="50"/>
      <c r="D960" s="50"/>
    </row>
    <row r="961">
      <c r="A961" s="50"/>
      <c r="B961" s="50"/>
      <c r="C961" s="50"/>
      <c r="D961" s="50"/>
    </row>
    <row r="962">
      <c r="A962" s="50"/>
      <c r="B962" s="50"/>
      <c r="C962" s="50"/>
      <c r="D962" s="50"/>
    </row>
    <row r="963">
      <c r="A963" s="50"/>
      <c r="B963" s="50"/>
      <c r="C963" s="50"/>
      <c r="D963" s="50"/>
    </row>
    <row r="964">
      <c r="A964" s="50"/>
      <c r="B964" s="50"/>
      <c r="C964" s="50"/>
      <c r="D964" s="50"/>
    </row>
    <row r="965">
      <c r="A965" s="50"/>
      <c r="B965" s="50"/>
      <c r="C965" s="50"/>
      <c r="D965" s="50"/>
    </row>
    <row r="966">
      <c r="A966" s="50"/>
      <c r="B966" s="50"/>
      <c r="C966" s="50"/>
      <c r="D966" s="50"/>
    </row>
    <row r="967">
      <c r="A967" s="50"/>
      <c r="B967" s="50"/>
      <c r="C967" s="50"/>
      <c r="D967" s="50"/>
    </row>
    <row r="968">
      <c r="A968" s="50"/>
      <c r="B968" s="50"/>
      <c r="C968" s="50"/>
      <c r="D968" s="50"/>
    </row>
    <row r="969">
      <c r="A969" s="50"/>
      <c r="B969" s="50"/>
      <c r="C969" s="50"/>
      <c r="D969" s="50"/>
    </row>
    <row r="970">
      <c r="A970" s="50"/>
      <c r="B970" s="50"/>
      <c r="C970" s="50"/>
      <c r="D970" s="50"/>
    </row>
    <row r="971">
      <c r="A971" s="50"/>
      <c r="B971" s="50"/>
      <c r="C971" s="50"/>
      <c r="D971" s="50"/>
    </row>
    <row r="972">
      <c r="A972" s="50"/>
      <c r="B972" s="50"/>
      <c r="C972" s="50"/>
      <c r="D972" s="50"/>
    </row>
    <row r="973">
      <c r="A973" s="50"/>
      <c r="B973" s="50"/>
      <c r="C973" s="50"/>
      <c r="D973" s="50"/>
    </row>
    <row r="974">
      <c r="A974" s="50"/>
      <c r="B974" s="50"/>
      <c r="C974" s="50"/>
      <c r="D974" s="50"/>
    </row>
    <row r="975">
      <c r="A975" s="50"/>
      <c r="B975" s="50"/>
      <c r="C975" s="50"/>
      <c r="D975" s="50"/>
    </row>
    <row r="976">
      <c r="A976" s="50"/>
      <c r="B976" s="50"/>
      <c r="C976" s="50"/>
      <c r="D976" s="50"/>
    </row>
    <row r="977">
      <c r="A977" s="50"/>
      <c r="B977" s="50"/>
      <c r="C977" s="50"/>
      <c r="D977" s="50"/>
    </row>
    <row r="978">
      <c r="A978" s="50"/>
      <c r="B978" s="50"/>
      <c r="C978" s="50"/>
      <c r="D978" s="50"/>
    </row>
    <row r="979">
      <c r="A979" s="50"/>
      <c r="B979" s="50"/>
      <c r="C979" s="50"/>
      <c r="D979" s="50"/>
    </row>
    <row r="980">
      <c r="A980" s="50"/>
      <c r="B980" s="50"/>
      <c r="C980" s="50"/>
      <c r="D980" s="50"/>
    </row>
    <row r="981">
      <c r="A981" s="50"/>
      <c r="B981" s="50"/>
      <c r="C981" s="50"/>
      <c r="D981" s="50"/>
    </row>
    <row r="982">
      <c r="A982" s="50"/>
      <c r="B982" s="50"/>
      <c r="C982" s="50"/>
      <c r="D982" s="50"/>
    </row>
    <row r="983">
      <c r="A983" s="50"/>
      <c r="B983" s="50"/>
      <c r="C983" s="50"/>
      <c r="D983" s="50"/>
    </row>
    <row r="984">
      <c r="A984" s="50"/>
      <c r="B984" s="50"/>
      <c r="C984" s="50"/>
      <c r="D984" s="50"/>
    </row>
    <row r="985">
      <c r="A985" s="50"/>
      <c r="B985" s="50"/>
      <c r="C985" s="50"/>
      <c r="D985" s="50"/>
    </row>
    <row r="986">
      <c r="A986" s="50"/>
      <c r="B986" s="50"/>
      <c r="C986" s="50"/>
      <c r="D986" s="50"/>
    </row>
    <row r="987">
      <c r="A987" s="50"/>
      <c r="B987" s="50"/>
      <c r="C987" s="50"/>
      <c r="D987" s="50"/>
    </row>
    <row r="988">
      <c r="A988" s="50"/>
      <c r="B988" s="50"/>
      <c r="C988" s="50"/>
      <c r="D988" s="50"/>
    </row>
    <row r="989">
      <c r="A989" s="50"/>
      <c r="B989" s="50"/>
      <c r="C989" s="50"/>
      <c r="D989" s="50"/>
    </row>
    <row r="990">
      <c r="A990" s="50"/>
      <c r="B990" s="50"/>
      <c r="C990" s="50"/>
      <c r="D990" s="50"/>
    </row>
    <row r="991">
      <c r="A991" s="50"/>
      <c r="B991" s="50"/>
      <c r="C991" s="50"/>
      <c r="D991" s="50"/>
    </row>
    <row r="992">
      <c r="A992" s="50"/>
      <c r="B992" s="50"/>
      <c r="C992" s="50"/>
      <c r="D992" s="50"/>
    </row>
    <row r="993">
      <c r="A993" s="50"/>
      <c r="B993" s="50"/>
      <c r="C993" s="50"/>
      <c r="D993" s="50"/>
    </row>
    <row r="994">
      <c r="A994" s="50"/>
      <c r="B994" s="50"/>
      <c r="C994" s="50"/>
      <c r="D994" s="50"/>
    </row>
    <row r="995">
      <c r="A995" s="50"/>
      <c r="B995" s="50"/>
      <c r="C995" s="50"/>
      <c r="D995" s="50"/>
    </row>
    <row r="996">
      <c r="A996" s="50"/>
      <c r="B996" s="50"/>
      <c r="C996" s="50"/>
      <c r="D996" s="50"/>
    </row>
    <row r="997">
      <c r="A997" s="50"/>
      <c r="B997" s="50"/>
      <c r="C997" s="50"/>
      <c r="D997" s="50"/>
    </row>
    <row r="998">
      <c r="A998" s="50"/>
      <c r="B998" s="50"/>
      <c r="C998" s="50"/>
      <c r="D998" s="50"/>
    </row>
    <row r="999">
      <c r="A999" s="50"/>
      <c r="B999" s="50"/>
      <c r="C999" s="50"/>
      <c r="D999" s="50"/>
    </row>
    <row r="1000">
      <c r="A1000" s="50"/>
      <c r="B1000" s="50"/>
      <c r="C1000" s="50"/>
      <c r="D1000" s="50"/>
    </row>
  </sheetData>
  <drawing r:id="rId1"/>
</worksheet>
</file>