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r" sheetId="1" r:id="rId5"/>
    <sheet state="visible" name="SwitchCampus" sheetId="2" r:id="rId6"/>
    <sheet state="visible" name="NexusSwitch" sheetId="3" r:id="rId7"/>
    <sheet state="visible" name="ModularSwitch" sheetId="4" r:id="rId8"/>
    <sheet state="visible" name="WiFi" sheetId="5" r:id="rId9"/>
    <sheet state="visible" name="SFP" sheetId="6" r:id="rId10"/>
    <sheet state="visible" name="AllDevices" sheetId="7" r:id="rId11"/>
    <sheet state="visible" name="Cisco" sheetId="8" r:id="rId12"/>
    <sheet state="visible" name="Juniper" sheetId="9" r:id="rId13"/>
    <sheet state="visible" name="3rdSFP" sheetId="10" r:id="rId14"/>
    <sheet state="visible" name="AllListPrice" sheetId="11" r:id="rId15"/>
    <sheet state="visible" name="Specs" sheetId="12" r:id="rId16"/>
  </sheets>
  <definedNames>
    <definedName hidden="1" localSheetId="6" name="_xlnm._FilterDatabase">AllDevices!$A$1:$Z$1001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tc={0cee2ef9-457b-464c-9202-79872b161538}</author>
    <author>tc={1af7dc55-21c0-4e58-b8cb-9238a7688239}</author>
    <author>tc={272df399-1a58-4ce9-b248-db6b3ed50f89}</author>
    <author>tc={616184fa-0604-4544-892e-c4a04f5e88ce}</author>
    <author>tc={846df763-772a-46eb-9ee7-f9c994100ad4}</author>
    <author>tc={aef4340a-fd38-48dd-9cb4-cd38286a1f8d}</author>
    <author>tc={f031bb3a-80f4-41d7-8eb5-def78c91c5ea}</author>
  </authors>
  <commentList>
    <comment authorId="0" xr:uid="{0cee2ef9-457b-464c-9202-79872b1615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Import toàn bộ Final Price để tính toán (sau khi AM đã hiệu chỉnh giá)
</t>
      </text>
    </comment>
    <comment authorId="1" xr:uid="{1af7dc55-21c0-4e58-b8cb-9238a76882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Dùng chung cổng 10G
</t>
      </text>
    </comment>
    <comment authorId="2" xr:uid="{272df399-1a58-4ce9-b248-db6b3ed50f89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Dùng chung cổng 10G
</t>
      </text>
    </comment>
    <comment authorId="3" xr:uid="{616184fa-0604-4544-892e-c4a04f5e88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Import toàn bộ giá List từ file Unit List Prices
</t>
      </text>
    </comment>
    <comment authorId="4" xr:uid="{846df763-772a-46eb-9ee7-f9c994100a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Import giá Final từ file Quotation Tool (sau khi AM đã hiệu chỉnh giá)
</t>
      </text>
    </comment>
    <comment authorId="5" xr:uid="{aef4340a-fd38-48dd-9cb4-cd38286a1f8d}" ref="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Dùng chung cổng 10G
</t>
      </text>
    </comment>
    <comment authorId="6" xr:uid="{f031bb3a-80f4-41d7-8eb5-def78c91c5ea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Chạy được 1G/10G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tc={2ffedc12-1b96-48b3-80fb-df43db7cd4f4}</author>
    <author>tc={383c874e-c0d2-4fc8-b02f-47e706b17d53}</author>
    <author>tc={3cbc38f1-6243-45f4-b52c-9ee183e93f4a}</author>
    <author>tc={7f14b00f-2e4e-41b1-8a90-5f3e937bedfb}</author>
    <author>tc={8fa62a30-6097-47c3-aa17-59be8c2460e2}</author>
    <author>tc={9608ed10-7bfb-4270-9bfc-9ba61a2098af}</author>
    <author>tc={d5cbd84a-ebfb-465c-b589-d8c3c1b06886}</author>
    <author>tc={ed1eb2de-bbb3-473c-b1d6-f95dd1e4d24e}</author>
  </authors>
  <commentList>
    <comment authorId="0" xr:uid="{2ffedc12-1b96-48b3-80fb-df43db7cd4f4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Slots ; 480Gbps/Slot
</t>
      </text>
    </comment>
    <comment authorId="1" xr:uid="{383c874e-c0d2-4fc8-b02f-47e706b17d53}" ref="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SUP-1 only
</t>
      </text>
    </comment>
    <comment authorId="2" xr:uid="{3cbc38f1-6243-45f4-b52c-9ee183e93f4a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Slots ; 480Gbps/Slot
</t>
      </text>
    </comment>
    <comment authorId="3" xr:uid="{7f14b00f-2e4e-41b1-8a90-5f3e937bedfb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StackWise Virtual
</t>
      </text>
    </comment>
    <comment authorId="4" xr:uid="{8fa62a30-6097-47c3-aa17-59be8c2460e2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SUP1: 1.2Tbps ; SUP2: 3.2Tbps; 4 Slot
</t>
      </text>
    </comment>
    <comment authorId="5" xr:uid="{9608ed10-7bfb-4270-9bfc-9ba61a2098af}" ref="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SUP-1 only
</t>
      </text>
    </comment>
    <comment authorId="6" xr:uid="{d5cbd84a-ebfb-465c-b589-d8c3c1b06886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Slots ; 480Gbps/Slot
</t>
      </text>
    </comment>
    <comment authorId="7" xr:uid="{ed1eb2de-bbb3-473c-b1d6-f95dd1e4d24e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SUP1 only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Cable loss = 0 dB; Receiver sensitivity = -75 dBm; Fade margin = 30 dB; tại 6GHz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tc={07b07a35-2803-4c96-8114-fd2c7e1f44be}</author>
  </authors>
  <commentList>
    <comment authorId="0" xr:uid="{07b07a35-2803-4c96-8114-fd2c7e1f44be}" ref="W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Lookup theo P/N 100GQSFP-LR4-4=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tc={0f2c60ab-3737-4972-bea9-c4060c066b29}</author>
  </authors>
  <commentList>
    <comment authorId="0" xr:uid="{0f2c60ab-3737-4972-bea9-c4060c066b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Sheet này để kiểm tra toàn bộ các thiết bị có Specs đã được cập nhật giá List chưa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tc={9b6d1430-33b0-4bfe-82ab-08b341f5a291}</author>
  </authors>
  <commentList>
    <comment authorId="0" xr:uid="{9b6d1430-33b0-4bfe-82ab-08b341f5a2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Ghép toàn bộ List Price của tất cả các Vedor
</t>
      </text>
    </comment>
  </commentList>
</comments>
</file>

<file path=xl/sharedStrings.xml><?xml version="1.0" encoding="utf-8"?>
<sst xmlns="http://schemas.openxmlformats.org/spreadsheetml/2006/main" count="649" uniqueCount="270">
  <si>
    <t>Requirement</t>
  </si>
  <si>
    <t>C1161-8P</t>
  </si>
  <si>
    <t>C1161X-8P</t>
  </si>
  <si>
    <t>C1131-8PWS</t>
  </si>
  <si>
    <t>C1131X-8PWS</t>
  </si>
  <si>
    <t>C1121-4P</t>
  </si>
  <si>
    <t>C1121-8P</t>
  </si>
  <si>
    <t>C1127-8PLTEP</t>
  </si>
  <si>
    <t>C1116-4P</t>
  </si>
  <si>
    <t>C1117-4P</t>
  </si>
  <si>
    <t>C1112-8P</t>
  </si>
  <si>
    <t>C1109-4PLTE2P</t>
  </si>
  <si>
    <t>C8200L-1N-4T</t>
  </si>
  <si>
    <t>C8200-1N-4T</t>
  </si>
  <si>
    <t>C8300-1N1S-6T</t>
  </si>
  <si>
    <t>C8300-2N2S-6T</t>
  </si>
  <si>
    <t>C8300-1N1S-4T2X</t>
  </si>
  <si>
    <t>C8300-2N2S-4T2X</t>
  </si>
  <si>
    <t>C8500L-8S4X</t>
  </si>
  <si>
    <t>C8500-12X</t>
  </si>
  <si>
    <t>C8500-12X4QC</t>
  </si>
  <si>
    <t>C8500-20X6C</t>
  </si>
  <si>
    <t>Router Class</t>
  </si>
  <si>
    <t>Low End</t>
  </si>
  <si>
    <t>Mid Range</t>
  </si>
  <si>
    <t>High End</t>
  </si>
  <si>
    <t>Số tiêu chí đáp ứng</t>
  </si>
  <si>
    <t>Giá dự toán</t>
  </si>
  <si>
    <t>Thiết bị đáp ứng sát nhất số lượng tiêu chí YCKT</t>
  </si>
  <si>
    <t>Thiết bị giá tốt nhất đáp ứng</t>
  </si>
  <si>
    <t>Thiết bị khác đáp ứng</t>
  </si>
  <si>
    <t>Các lựa chọn khác</t>
  </si>
  <si>
    <t>C1300-8T-E-2G</t>
  </si>
  <si>
    <t>C1300-8P-E-2G</t>
  </si>
  <si>
    <t>C1300-8FP-2G</t>
  </si>
  <si>
    <t>C1300-16T-2G</t>
  </si>
  <si>
    <t>C1300-16P-2G</t>
  </si>
  <si>
    <t>C1300-16FP-2G</t>
  </si>
  <si>
    <t>C1300-24T-4G</t>
  </si>
  <si>
    <t>C1300-24P-4G</t>
  </si>
  <si>
    <t>C1300-24FP-4G</t>
  </si>
  <si>
    <t>C1300-48T-4G</t>
  </si>
  <si>
    <t>C1300-48P-4G</t>
  </si>
  <si>
    <t>C1300-48FP-4G</t>
  </si>
  <si>
    <t>C1300-16P-4X</t>
  </si>
  <si>
    <t>C1300-24T-4X</t>
  </si>
  <si>
    <t>C1300-24P-4X</t>
  </si>
  <si>
    <t>C1300-24FP-4X</t>
  </si>
  <si>
    <t>C1300-48T-4X</t>
  </si>
  <si>
    <t>C1300-48P-4X</t>
  </si>
  <si>
    <t>C1300-48FP-4X</t>
  </si>
  <si>
    <t>C1300-12XT-2X</t>
  </si>
  <si>
    <t>C1300-12XS</t>
  </si>
  <si>
    <t>C1300-16XTS</t>
  </si>
  <si>
    <t>C1300-24XS</t>
  </si>
  <si>
    <t>C1300-24XT</t>
  </si>
  <si>
    <t>C1300-24XTS</t>
  </si>
  <si>
    <t>C1300X-24T-4X</t>
  </si>
  <si>
    <t>C1300X-48T-4X</t>
  </si>
  <si>
    <t>C1300X-24P-4X</t>
  </si>
  <si>
    <t>C1300X-48P-4X</t>
  </si>
  <si>
    <t>C9200-24T</t>
  </si>
  <si>
    <t>C9200-24P</t>
  </si>
  <si>
    <t>C9200-48T</t>
  </si>
  <si>
    <t>C9200-48P</t>
  </si>
  <si>
    <t>C9200L-24T-4G</t>
  </si>
  <si>
    <t>C9200L-24P-4G</t>
  </si>
  <si>
    <t>C9200L-48T-4G</t>
  </si>
  <si>
    <t>C9200L-48P-4G</t>
  </si>
  <si>
    <t>C9200L-24T-4X</t>
  </si>
  <si>
    <t>C9200L-24P-4X</t>
  </si>
  <si>
    <t>C9200L-48T-4X</t>
  </si>
  <si>
    <t>C9200L-48P-4X</t>
  </si>
  <si>
    <t>C9200CX-8P-2X2G</t>
  </si>
  <si>
    <t>C9200CX-12T-2X2G</t>
  </si>
  <si>
    <t>C9200CX-12P-2X2G</t>
  </si>
  <si>
    <t>C9300X-48HX</t>
  </si>
  <si>
    <t>C9300X-48TX</t>
  </si>
  <si>
    <t>C9300X-48HXN</t>
  </si>
  <si>
    <t>C9300X-24HX</t>
  </si>
  <si>
    <t>C9300X-12Y</t>
  </si>
  <si>
    <t>C9300X-24Y</t>
  </si>
  <si>
    <t>C9300L-24T-4G</t>
  </si>
  <si>
    <t>C9300L-24P-4G</t>
  </si>
  <si>
    <t>C9300L-24T-4X</t>
  </si>
  <si>
    <t>C9300L-24P-4X</t>
  </si>
  <si>
    <t>C9300L-48T-4G</t>
  </si>
  <si>
    <t>C9300L-48P-4G</t>
  </si>
  <si>
    <t>C9300L-48T-4X</t>
  </si>
  <si>
    <t>C9300L-48P-4X</t>
  </si>
  <si>
    <t>C9300-24T</t>
  </si>
  <si>
    <t>C9300-24P</t>
  </si>
  <si>
    <t>C9300-24U</t>
  </si>
  <si>
    <t>C9300-24H</t>
  </si>
  <si>
    <t>C9300-24S</t>
  </si>
  <si>
    <t>C9300-24UB</t>
  </si>
  <si>
    <t>C9300-48T</t>
  </si>
  <si>
    <t>C9300-48P</t>
  </si>
  <si>
    <t>C9300-48U</t>
  </si>
  <si>
    <t>C9300-48H</t>
  </si>
  <si>
    <t>C9300-48S</t>
  </si>
  <si>
    <t>C9300-48UB</t>
  </si>
  <si>
    <t>C9500-32C</t>
  </si>
  <si>
    <t>C9500-32QC</t>
  </si>
  <si>
    <t>C9500-48Y4C</t>
  </si>
  <si>
    <t>C9500-24Y4C</t>
  </si>
  <si>
    <t>C9500X-28C8D</t>
  </si>
  <si>
    <t>C9500X-60L4D</t>
  </si>
  <si>
    <t>C1200-8T-D</t>
  </si>
  <si>
    <t>C1200-8T-E-2G</t>
  </si>
  <si>
    <t>C1200-8P-E-2G</t>
  </si>
  <si>
    <t>C1200-8FP-2G</t>
  </si>
  <si>
    <t>C1200-16T-2G</t>
  </si>
  <si>
    <t>C1200-16P-2G</t>
  </si>
  <si>
    <t>C1200-24T-4G</t>
  </si>
  <si>
    <t>C1200-24P-4G</t>
  </si>
  <si>
    <t>C1200-24FP-4G</t>
  </si>
  <si>
    <t>C1200-48T-4G</t>
  </si>
  <si>
    <t>C1200-48P-4G</t>
  </si>
  <si>
    <t>C1200-24T-4X</t>
  </si>
  <si>
    <t>C1200-24P-4X</t>
  </si>
  <si>
    <t>C1200-24FP-4X</t>
  </si>
  <si>
    <t>C1200-48T-4X</t>
  </si>
  <si>
    <t>C1200-48P-4X</t>
  </si>
  <si>
    <t>EX4200-24T</t>
  </si>
  <si>
    <t>EX4300-48S</t>
  </si>
  <si>
    <t>EX4600</t>
  </si>
  <si>
    <t>1,76</t>
  </si>
  <si>
    <t>Y</t>
  </si>
  <si>
    <t>N</t>
  </si>
  <si>
    <t>Switch Class</t>
  </si>
  <si>
    <t>Nexus Switch</t>
  </si>
  <si>
    <t>N9K-C9504</t>
  </si>
  <si>
    <t>N9K-C9508</t>
  </si>
  <si>
    <t>N9K-C9516</t>
  </si>
  <si>
    <t>N9K-C9348GC-FX3</t>
  </si>
  <si>
    <t>N9K-C93108TC-FX3</t>
  </si>
  <si>
    <t>N9K-C93216TC-FX2</t>
  </si>
  <si>
    <t>N9K-C93360YC-FX2</t>
  </si>
  <si>
    <t>N9K-C93240YC-FX2</t>
  </si>
  <si>
    <t>N9K-C93180YC-FX3</t>
  </si>
  <si>
    <t>N9K-C93600CD-GX</t>
  </si>
  <si>
    <t>N9K-C9316D-GX</t>
  </si>
  <si>
    <t>N9K-C9364C-GX</t>
  </si>
  <si>
    <t>N9K-X9736C-FX3=</t>
  </si>
  <si>
    <t>C9404R</t>
  </si>
  <si>
    <t>C9407R</t>
  </si>
  <si>
    <t>C9410R</t>
  </si>
  <si>
    <t>C9606R</t>
  </si>
  <si>
    <t>C9400-LC-12QC=</t>
  </si>
  <si>
    <t>C9400-LC-48T=</t>
  </si>
  <si>
    <t>C9400-LC-48TX=</t>
  </si>
  <si>
    <t>C9400-LC-48S=</t>
  </si>
  <si>
    <t>C9400-LC-48XS=</t>
  </si>
  <si>
    <t>C9600-LC-48TX=</t>
  </si>
  <si>
    <t>C9600-LC-48YL=</t>
  </si>
  <si>
    <t>C9600-LC-40YL4CD=</t>
  </si>
  <si>
    <t>C9600-LC-24C=</t>
  </si>
  <si>
    <t>C9136I</t>
  </si>
  <si>
    <t>CW9162I</t>
  </si>
  <si>
    <t>CW9164I</t>
  </si>
  <si>
    <t>CW9166I</t>
  </si>
  <si>
    <t>CW9166D1</t>
  </si>
  <si>
    <t>CW9172I</t>
  </si>
  <si>
    <t>CW9172H</t>
  </si>
  <si>
    <t>CW9176I</t>
  </si>
  <si>
    <t>CW9176D1</t>
  </si>
  <si>
    <t>CW9178I</t>
  </si>
  <si>
    <t>C9124AXI</t>
  </si>
  <si>
    <t>C9124AXD</t>
  </si>
  <si>
    <t>C9124AXE</t>
  </si>
  <si>
    <t>CW9163E</t>
  </si>
  <si>
    <t>AIR-PWRINJ7=</t>
  </si>
  <si>
    <t>IW-PWRINJ-60RGDMG=</t>
  </si>
  <si>
    <t>indoor</t>
  </si>
  <si>
    <t>outdoor</t>
  </si>
  <si>
    <t>WiFi6E</t>
  </si>
  <si>
    <t>WiFi7</t>
  </si>
  <si>
    <t>WiFi6</t>
  </si>
  <si>
    <t>Công suất phát (dBm)</t>
  </si>
  <si>
    <t>Số lượng cổng Uplink 1GE RJ45</t>
  </si>
  <si>
    <t>Số lượng cổng Uplink 10GE RJ45</t>
  </si>
  <si>
    <t>Số lượng cổng Uplink 1GE SFP</t>
  </si>
  <si>
    <t>Antenna Type (Omni or Directional)</t>
  </si>
  <si>
    <t>Omni</t>
  </si>
  <si>
    <t>Directional</t>
  </si>
  <si>
    <t>Depend on Antenna</t>
  </si>
  <si>
    <t>Access Point Class</t>
  </si>
  <si>
    <t>Available transmit power settings</t>
  </si>
  <si>
    <t>Antenna gain (dBi)</t>
  </si>
  <si>
    <t>Ficer-1G-10km</t>
  </si>
  <si>
    <t>Ficer-1G-40km</t>
  </si>
  <si>
    <t>Ficer-1G-80km</t>
  </si>
  <si>
    <t>Ficer-10G-10km</t>
  </si>
  <si>
    <t>Ficer-10G-40km</t>
  </si>
  <si>
    <t>Ficer-10G-80km</t>
  </si>
  <si>
    <t>Ficer-100G-10km</t>
  </si>
  <si>
    <t>Ficer-100G-40km</t>
  </si>
  <si>
    <t>Ficer-100G-80km</t>
  </si>
  <si>
    <t>GLC-SX-MMD=</t>
  </si>
  <si>
    <t>GLC-LH-SMD=</t>
  </si>
  <si>
    <t>GLC-EX-SMD=</t>
  </si>
  <si>
    <t>GLC-ZX-SMD=</t>
  </si>
  <si>
    <t>SFP-10G-SR-S=</t>
  </si>
  <si>
    <t>SFP-10G-SR=</t>
  </si>
  <si>
    <t>SFP-10G-LR-S=</t>
  </si>
  <si>
    <t>SFP-10G-LR=</t>
  </si>
  <si>
    <t>SFP-10G-ER-S=</t>
  </si>
  <si>
    <t>SFP-10G-ER=</t>
  </si>
  <si>
    <t>SFP-10G-ZR-S=</t>
  </si>
  <si>
    <t>SFP-10G-ZR=</t>
  </si>
  <si>
    <t>QSFP-100G-LR4-S</t>
  </si>
  <si>
    <t>QSFP-100G-LR-S=</t>
  </si>
  <si>
    <t>QSFP-100G-ER4L-S=</t>
  </si>
  <si>
    <t>QSFP-100G-ZR4-S=</t>
  </si>
  <si>
    <t>SFP Class</t>
  </si>
  <si>
    <t>All Devices</t>
  </si>
  <si>
    <t>Đã có giá List chưa ?</t>
  </si>
  <si>
    <t>Devices</t>
  </si>
  <si>
    <t>List Price</t>
  </si>
  <si>
    <t>Giá AM nhập</t>
  </si>
  <si>
    <t>Final Price</t>
  </si>
  <si>
    <t>Cân bằng tải đường truyền</t>
  </si>
  <si>
    <t>Router</t>
  </si>
  <si>
    <t>SwitchCampus</t>
  </si>
  <si>
    <t>ModularSwitch</t>
  </si>
  <si>
    <t>Wireless</t>
  </si>
  <si>
    <t>Automation</t>
  </si>
  <si>
    <t>SDWAN</t>
  </si>
  <si>
    <t>Cân bằng tải ứng dụng</t>
  </si>
  <si>
    <t>SFP</t>
  </si>
  <si>
    <t>DWDM/ DCI</t>
  </si>
  <si>
    <t>Amplifier</t>
  </si>
  <si>
    <t>Throughput (Mbps)</t>
  </si>
  <si>
    <t>Switching Bandwidth - Full Duplex (Gbps)</t>
  </si>
  <si>
    <t>Loại Access Point (indoor/outdoor)</t>
  </si>
  <si>
    <t>Hiển thị trực quan topo mạng</t>
  </si>
  <si>
    <t>Application Throughput L4/L7 (Gbps)</t>
  </si>
  <si>
    <t>Tốc độ (1G/10G/100G)</t>
  </si>
  <si>
    <t>Kiểu kết nối (Điểm - điểm, Ring, Mesh)</t>
  </si>
  <si>
    <t>Số lượng cổng WAN 1GE</t>
  </si>
  <si>
    <t>Forwarding Capacity (Mpps)</t>
  </si>
  <si>
    <t>Công nghệ WiFi (WiFi6/WiFi7)</t>
  </si>
  <si>
    <t>Cấu hình cung cấp dịch vụ tập trung (L2VPN/L3VPN)</t>
  </si>
  <si>
    <t>Layer 4 Concurrent Sessions</t>
  </si>
  <si>
    <t>Khoảng cách truyền (km)</t>
  </si>
  <si>
    <t>Số lượng hướng quang</t>
  </si>
  <si>
    <t>Số lượng cổng WAN 10GE</t>
  </si>
  <si>
    <t>Số lượng cổng 1GE đồng</t>
  </si>
  <si>
    <t>Số lượng người dùng trong phạm vi phủ sóng 1 AP</t>
  </si>
  <si>
    <t>Nâng cấp OS tự động trên diện rộng</t>
  </si>
  <si>
    <t>Layer 7 Connection per Second</t>
  </si>
  <si>
    <t>Dải hoạt động (C-band, L-band, Kết hợp cả 2)</t>
  </si>
  <si>
    <t>Số lượng kênh (bước sóng)</t>
  </si>
  <si>
    <t>Số lượng cổng LAN 1GE</t>
  </si>
  <si>
    <t>Số lượng cổng 1GE SFP</t>
  </si>
  <si>
    <t>Bán kính phủ sóng (m)</t>
  </si>
  <si>
    <t>Số lượng cổng 1GE</t>
  </si>
  <si>
    <t>Số lượng bước sóng</t>
  </si>
  <si>
    <t>Số lượng cổng kết nối Client / kênh</t>
  </si>
  <si>
    <t>Số lượng cổng LAN 10GE</t>
  </si>
  <si>
    <t>Số lượng cổng 10GE đồng</t>
  </si>
  <si>
    <t>Số lượng cổng 10GE</t>
  </si>
  <si>
    <t>Dung lượng mỗi bước sóng (100G, 200G, 400G, 800G, 1,2T, 1,6T)</t>
  </si>
  <si>
    <t>Số lượng người dùng</t>
  </si>
  <si>
    <t>Số lượng cổng 10GE quang</t>
  </si>
  <si>
    <t>Số lượng cổng 100GE</t>
  </si>
  <si>
    <t>Loại giao diện cho client (10GE, 40GE, 100GE
 400GE)</t>
  </si>
  <si>
    <t>Stacking (Y/N)</t>
  </si>
  <si>
    <t>PoE (Y/N)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</si>
</sst>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2" fillId="5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0" fontId="1" numFmtId="0" xfId="0" applyFont="1"/>
    <xf borderId="1" fillId="0" fontId="3" numFmtId="0" xfId="0" applyBorder="1" applyFont="1"/>
    <xf borderId="1" fillId="3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3" fontId="3" numFmtId="0" xfId="0" applyAlignment="1" applyFont="1">
      <alignment horizontal="center"/>
    </xf>
    <xf borderId="0" fillId="4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4" fontId="3" numFmtId="0" xfId="0" applyAlignment="1" applyFont="1">
      <alignment horizontal="center"/>
    </xf>
    <xf borderId="0" fillId="4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1" fillId="2" fontId="5" numFmtId="0" xfId="0" applyAlignment="1" applyBorder="1" applyFont="1">
      <alignment horizontal="center" readingOrder="0"/>
    </xf>
    <xf borderId="1" fillId="5" fontId="6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readingOrder="0"/>
    </xf>
    <xf borderId="1" fillId="4" fontId="3" numFmtId="3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0" fontId="8" numFmtId="3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/>
    </xf>
    <xf borderId="1" fillId="0" fontId="9" numFmtId="0" xfId="0" applyAlignment="1" applyBorder="1" applyFont="1">
      <alignment vertical="bottom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shrinkToFit="0" wrapText="0"/>
    </xf>
    <xf borderId="1" fillId="0" fontId="9" numFmtId="0" xfId="0" applyAlignment="1" applyBorder="1" applyFont="1">
      <alignment vertical="bottom"/>
    </xf>
    <xf borderId="1" fillId="0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shrinkToFit="0" wrapText="0"/>
    </xf>
    <xf borderId="1" fillId="6" fontId="7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9" numFmtId="164" xfId="0" applyAlignment="1" applyFont="1" applyNumberFormat="1">
      <alignment horizontal="center" vertical="bottom"/>
    </xf>
    <xf borderId="1" fillId="2" fontId="1" numFmtId="0" xfId="0" applyAlignment="1" applyBorder="1" applyFont="1">
      <alignment readingOrder="0"/>
    </xf>
    <xf borderId="1" fillId="0" fontId="7" numFmtId="1" xfId="0" applyAlignment="1" applyBorder="1" applyFont="1" applyNumberFormat="1">
      <alignment horizontal="center"/>
    </xf>
    <xf borderId="1" fillId="0" fontId="7" numFmtId="165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/>
    </xf>
    <xf borderId="0" fillId="0" fontId="3" numFmtId="165" xfId="0" applyFont="1" applyNumberFormat="1"/>
    <xf borderId="1" fillId="0" fontId="3" numFmtId="0" xfId="0" applyAlignment="1" applyBorder="1" applyFont="1">
      <alignment readingOrder="0"/>
    </xf>
    <xf borderId="1" fillId="2" fontId="1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3" numFmtId="164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horizontal="center"/>
    </xf>
    <xf borderId="0" fillId="7" fontId="1" numFmtId="0" xfId="0" applyAlignment="1" applyFill="1" applyFont="1">
      <alignment horizontal="center" readingOrder="0"/>
    </xf>
    <xf borderId="0" fillId="7" fontId="1" numFmtId="164" xfId="0" applyAlignment="1" applyFont="1" applyNumberFormat="1">
      <alignment horizontal="center" readingOrder="0"/>
    </xf>
    <xf borderId="1" fillId="7" fontId="10" numFmtId="0" xfId="0" applyAlignment="1" applyBorder="1" applyFont="1">
      <alignment horizontal="center" shrinkToFit="0" vertical="center" wrapText="1"/>
    </xf>
    <xf borderId="1" fillId="7" fontId="10" numFmtId="0" xfId="0" applyAlignment="1" applyBorder="1" applyFont="1">
      <alignment horizontal="center" readingOrder="0" shrinkToFit="0" vertical="center" wrapText="1"/>
    </xf>
    <xf borderId="0" fillId="8" fontId="3" numFmtId="0" xfId="0" applyAlignment="1" applyFill="1" applyFont="1">
      <alignment vertical="center"/>
    </xf>
    <xf borderId="1" fillId="8" fontId="11" numFmtId="0" xfId="0" applyAlignment="1" applyBorder="1" applyFont="1">
      <alignment shrinkToFit="0" vertical="center" wrapText="1"/>
    </xf>
    <xf borderId="1" fillId="8" fontId="12" numFmtId="0" xfId="0" applyAlignment="1" applyBorder="1" applyFont="1">
      <alignment vertical="center"/>
    </xf>
    <xf borderId="1" fillId="8" fontId="1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6">
    <tableStyle count="3" pivot="0" name="Specs-style">
      <tableStyleElement dxfId="2" type="headerRow"/>
      <tableStyleElement dxfId="3" type="firstRowStripe"/>
      <tableStyleElement dxfId="4" type="secondRowStripe"/>
    </tableStyle>
    <tableStyle count="3" pivot="0" name="Specs-style 2">
      <tableStyleElement dxfId="2" type="headerRow"/>
      <tableStyleElement dxfId="3" type="firstRowStripe"/>
      <tableStyleElement dxfId="4" type="secondRowStripe"/>
    </tableStyle>
    <tableStyle count="2" pivot="0" name="Specs-style 3">
      <tableStyleElement dxfId="4" type="firstRowStripe"/>
      <tableStyleElement dxfId="3" type="secondRowStripe"/>
    </tableStyle>
    <tableStyle count="2" pivot="0" name="Specs-style 4">
      <tableStyleElement dxfId="4" type="firstRowStripe"/>
      <tableStyleElement dxfId="3" type="secondRowStripe"/>
    </tableStyle>
    <tableStyle count="2" pivot="0" name="Specs-style 5">
      <tableStyleElement dxfId="3" type="firstRowStripe"/>
      <tableStyleElement dxfId="4" type="secondRowStripe"/>
    </tableStyle>
    <tableStyle count="2" pivot="0" name="Specs-style 6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im Dao Trang" id="{8fe0d8be-2469-4129-ae10-4c4a74d96920}" providerId="google-sheets"/>
  <x18tc:person displayName="Ngo Kien Cuong" id="{fc604cb0-c890-46e9-8294-ec5931a4f887}" providerId="google-sheets"/>
</x18tc:personList>
</file>

<file path=xl/tables/table1.xml><?xml version="1.0" encoding="utf-8"?>
<table xmlns="http://schemas.openxmlformats.org/spreadsheetml/2006/main" ref="A1:H8" displayName="Table_1" name="Table_1" id="1">
  <tableColumns count="8">
    <tableColumn name="Cân bằng tải đường truyền" id="1"/>
    <tableColumn name="Router" id="2"/>
    <tableColumn name="SwitchCampus" id="3"/>
    <tableColumn name="ModularSwitch" id="4"/>
    <tableColumn name="Wireless" id="5"/>
    <tableColumn name="Automation" id="6"/>
    <tableColumn name="SDWAN" id="7"/>
    <tableColumn name="Cân bằng tải ứng dụng" id="8"/>
  </tableColumns>
  <tableStyleInfo name="Specs-style" showColumnStripes="0" showFirstColumn="1" showLastColumn="1" showRowStripes="1"/>
</table>
</file>

<file path=xl/tables/table2.xml><?xml version="1.0" encoding="utf-8"?>
<table xmlns="http://schemas.openxmlformats.org/spreadsheetml/2006/main" ref="I1:K8" displayName="Table_2" name="Table_2" id="2">
  <tableColumns count="3">
    <tableColumn name="SFP" id="1"/>
    <tableColumn name="DWDM/ DCI" id="2"/>
    <tableColumn name="Amplifier" id="3"/>
  </tableColumns>
  <tableStyleInfo name="Spec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9:H9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pecs-style 3" showColumnStripes="0" showFirstColumn="1" showLastColumn="1" showRowStripes="1"/>
</table>
</file>

<file path=xl/tables/table4.xml><?xml version="1.0" encoding="utf-8"?>
<table xmlns="http://schemas.openxmlformats.org/spreadsheetml/2006/main" headerRowCount="0" ref="I9:K9" displayName="Table_4" name="Table_4" id="4">
  <tableColumns count="3">
    <tableColumn name="Column1" id="1"/>
    <tableColumn name="Column2" id="2"/>
    <tableColumn name="Column3" id="3"/>
  </tableColumns>
  <tableStyleInfo name="Specs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0:H10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pecs-style 5" showColumnStripes="0" showFirstColumn="1" showLastColumn="1" showRowStripes="1"/>
</table>
</file>

<file path=xl/tables/table6.xml><?xml version="1.0" encoding="utf-8"?>
<table xmlns="http://schemas.openxmlformats.org/spreadsheetml/2006/main" headerRowCount="0" ref="I10:K10" displayName="Table_6" name="Table_6" id="6">
  <tableColumns count="3">
    <tableColumn name="Column1" id="1"/>
    <tableColumn name="Column2" id="2"/>
    <tableColumn name="Column3" id="3"/>
  </tableColumns>
  <tableStyleInfo name="Spec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30T09:09:47.00" personId="{fc604cb0-c890-46e9-8294-ec5931a4f887}" id="{846df763-772a-46eb-9ee7-f9c994100ad4}" done="0">
    <x18tc:text xml:space="preserve">Import giá Final từ file Quotation Tool (sau khi AM đã hiệu chỉnh giá)</x18tc:text>
  </x18tc:threadedComment>
  <x18tc:threadedComment ref="A4" dT="2026-03-24T08:19:39.00" personId="{fc604cb0-c890-46e9-8294-ec5931a4f887}" id="{f031bb3a-80f4-41d7-8eb5-def78c91c5ea}" done="0">
    <x18tc:text xml:space="preserve">Chạy được 1G/10G</x18tc:text>
  </x18tc:threadedComment>
  <x18tc:threadedComment ref="V3" dT="2026-04-03T09:21:04.00" personId="{8fe0d8be-2469-4129-ae10-4c4a74d96920}" id="{aef4340a-fd38-48dd-9cb4-cd38286a1f8d}" done="0">
    <x18tc:text xml:space="preserve">Dùng chung cổng 10G</x18tc:text>
  </x18tc:threadedComment>
  <x18tc:threadedComment ref="A1" dT="2026-04-03T09:20:54.00" personId="{8fe0d8be-2469-4129-ae10-4c4a74d96920}" id="{1af7dc55-21c0-4e58-b8cb-9238a7688239}" done="0">
    <x18tc:text xml:space="preserve">Dùng chung cổng 10G</x18tc:text>
  </x18tc:threadedComment>
  <x18tc:threadedComment ref="U3" dT="2026-04-03T09:20:42.00" personId="{8fe0d8be-2469-4129-ae10-4c4a74d96920}" id="{272df399-1a58-4ce9-b248-db6b3ed50f89}" done="0">
    <x18tc:text xml:space="preserve">Dùng chung cổng 10G</x18tc:text>
  </x18tc:threadedComment>
  <x18tc:threadedComment ref="A1" dT="2026-03-30T09:23:14.00" personId="{fc604cb0-c890-46e9-8294-ec5931a4f887}" id="{616184fa-0604-4544-892e-c4a04f5e88ce}" done="0">
    <x18tc:text xml:space="preserve">Import toàn bộ giá List từ file Unit List Prices</x18tc:text>
  </x18tc:threadedComment>
  <x18tc:threadedComment ref="A1" dT="2026-03-30T09:29:35.00" personId="{fc604cb0-c890-46e9-8294-ec5931a4f887}" id="{0cee2ef9-457b-464c-9202-79872b161538}" done="0">
    <x18tc:text xml:space="preserve">Import toàn bộ Final Price để tính toán (sau khi AM đã hiệu chỉnh giá)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5" dT="2026-04-29T03:54:13.00" personId="{fc604cb0-c890-46e9-8294-ec5931a4f887}" id="{9608ed10-7bfb-4270-9bfc-9ba61a2098af}" done="0">
    <x18tc:text xml:space="preserve">SUP-1 only</x18tc:text>
  </x18tc:threadedComment>
  <x18tc:threadedComment ref="G2" dT="2026-04-17T01:15:03.00" personId="{fc604cb0-c890-46e9-8294-ec5931a4f887}" id="{8fa62a30-6097-47c3-aa17-59be8c2460e2}" done="0">
    <x18tc:text xml:space="preserve">SUP1: 1.2Tbps ; SUP2: 3.2Tbps; 4 Slot</x18tc:text>
  </x18tc:threadedComment>
  <x18tc:threadedComment ref="O5" dT="2026-04-29T03:54:19.00" personId="{fc604cb0-c890-46e9-8294-ec5931a4f887}" id="{383c874e-c0d2-4fc8-b02f-47e706b17d53}" done="0">
    <x18tc:text xml:space="preserve">SUP-1 only</x18tc:text>
  </x18tc:threadedComment>
  <x18tc:threadedComment ref="E2" dT="2026-04-16T14:33:54.00" personId="{fc604cb0-c890-46e9-8294-ec5931a4f887}" id="{d5cbd84a-ebfb-465c-b589-d8c3c1b06886}" done="0">
    <x18tc:text xml:space="preserve">5 Slots ; 480Gbps/Slot</x18tc:text>
  </x18tc:threadedComment>
  <x18tc:threadedComment ref="G5" dT="2026-04-17T01:23:15.00" personId="{fc604cb0-c890-46e9-8294-ec5931a4f887}" id="{ed1eb2de-bbb3-473c-b1d6-f95dd1e4d24e}" done="0">
    <x18tc:text xml:space="preserve">SUP1 only</x18tc:text>
  </x18tc:threadedComment>
  <x18tc:threadedComment ref="D2" dT="2026-04-16T14:33:44.00" personId="{fc604cb0-c890-46e9-8294-ec5931a4f887}" id="{3cbc38f1-6243-45f4-b52c-9ee183e93f4a}" done="0">
    <x18tc:text xml:space="preserve">2 Slots ; 480Gbps/Slot</x18tc:text>
  </x18tc:threadedComment>
  <x18tc:threadedComment ref="F2" dT="2026-04-16T14:34:13.00" personId="{fc604cb0-c890-46e9-8294-ec5931a4f887}" id="{2ffedc12-1b96-48b3-80fb-df43db7cd4f4}" done="0">
    <x18tc:text xml:space="preserve">8 Slots ; 480Gbps/Slot</x18tc:text>
  </x18tc:threadedComment>
  <x18tc:threadedComment ref="D9" dT="2026-04-16T14:31:49.00" personId="{fc604cb0-c890-46e9-8294-ec5931a4f887}" id="{7f14b00f-2e4e-41b1-8a90-5f3e937bedfb}" done="0">
    <x18tc:text xml:space="preserve">StackWise Virtual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1" dT="2026-04-19T09:21:11.00" personId="{fc604cb0-c890-46e9-8294-ec5931a4f887}" id="{07b07a35-2803-4c96-8114-fd2c7e1f44be}" done="0">
    <x18tc:text xml:space="preserve">Lookup theo P/N 100GQSFP-LR4-4=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8T05:33:27.00" personId="{fc604cb0-c890-46e9-8294-ec5931a4f887}" id="{0f2c60ab-3737-4972-bea9-c4060c066b29}" done="0">
    <x18tc:text xml:space="preserve">Sheet này để kiểm tra toàn bộ các thiết bị có Specs đã được cập nhật giá List chưa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30T12:53:03.00" personId="{fc604cb0-c890-46e9-8294-ec5931a4f887}" id="{9b6d1430-33b0-4bfe-82ab-08b341f5a291}" done="0">
    <x18tc:text xml:space="preserve">Ghép toàn bộ List Price của tất cả các Vedor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5.88"/>
    <col customWidth="1" min="3" max="42" width="16.75"/>
  </cols>
  <sheetData>
    <row r="1">
      <c r="A1" s="1" t="str">
        <f>Specs!B1</f>
        <v>Router</v>
      </c>
      <c r="B1" s="2" t="s">
        <v>0</v>
      </c>
      <c r="C1" s="3" t="str">
        <f t="array" ref="C1">INDEX(D1:AP1, MATCH(1, D16:AP16, 0))</f>
        <v>C8500-12X</v>
      </c>
      <c r="D1" s="4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>
      <c r="A2" s="8" t="str">
        <f>Specs!B2</f>
        <v>Throughput (Mbps)</v>
      </c>
      <c r="B2" s="9">
        <f>IFERROR(__xludf.DUMMYFUNCTION("IMPORTRANGE(""https://docs.google.com/spreadsheets/d/18TjePryHG687L54fIGU6Od12DGyT3mPoblPemZTZRY4"",""Router!B3:B10"")"),5000.0)</f>
        <v>5000</v>
      </c>
      <c r="C2" s="10">
        <f>hlookup($C$1,$D$1:$AP$10,2,0)</f>
        <v>51000</v>
      </c>
      <c r="D2" s="11">
        <v>1889.0</v>
      </c>
      <c r="E2" s="12">
        <v>1889.0</v>
      </c>
      <c r="F2" s="12">
        <v>1889.0</v>
      </c>
      <c r="G2" s="12">
        <v>1889.0</v>
      </c>
      <c r="H2" s="12">
        <v>1426.0</v>
      </c>
      <c r="I2" s="12">
        <v>1889.0</v>
      </c>
      <c r="J2" s="12">
        <v>1889.0</v>
      </c>
      <c r="K2" s="12">
        <v>1889.0</v>
      </c>
      <c r="L2" s="12">
        <v>1889.0</v>
      </c>
      <c r="M2" s="12">
        <v>1889.0</v>
      </c>
      <c r="N2" s="12">
        <v>1169.0</v>
      </c>
      <c r="O2" s="12">
        <v>500.0</v>
      </c>
      <c r="P2" s="12">
        <v>1000.0</v>
      </c>
      <c r="Q2" s="12">
        <v>2000.0</v>
      </c>
      <c r="R2" s="12">
        <v>2000.0</v>
      </c>
      <c r="S2" s="12">
        <v>17000.0</v>
      </c>
      <c r="T2" s="12">
        <v>18800.0</v>
      </c>
      <c r="U2" s="12">
        <v>19000.0</v>
      </c>
      <c r="V2" s="12">
        <v>51000.0</v>
      </c>
      <c r="W2" s="12">
        <v>96000.0</v>
      </c>
      <c r="X2" s="12">
        <v>350000.0</v>
      </c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>
      <c r="A3" s="8" t="str">
        <f>Specs!B3</f>
        <v>Số lượng cổng WAN 1GE</v>
      </c>
      <c r="B3" s="9"/>
      <c r="C3" s="10">
        <f>hlookup($C$1,$D$1:$AP$10,3,0)</f>
        <v>12</v>
      </c>
      <c r="D3" s="11">
        <v>2.0</v>
      </c>
      <c r="E3" s="12">
        <v>2.0</v>
      </c>
      <c r="F3" s="12">
        <v>2.0</v>
      </c>
      <c r="G3" s="12">
        <v>2.0</v>
      </c>
      <c r="H3" s="12">
        <v>2.0</v>
      </c>
      <c r="I3" s="12">
        <v>2.0</v>
      </c>
      <c r="J3" s="12">
        <v>1.0</v>
      </c>
      <c r="K3" s="12">
        <v>1.0</v>
      </c>
      <c r="L3" s="12">
        <v>1.0</v>
      </c>
      <c r="M3" s="12">
        <v>1.0</v>
      </c>
      <c r="N3" s="12">
        <v>1.0</v>
      </c>
      <c r="O3" s="12">
        <v>4.0</v>
      </c>
      <c r="P3" s="12">
        <v>4.0</v>
      </c>
      <c r="Q3" s="12">
        <v>6.0</v>
      </c>
      <c r="R3" s="12">
        <v>6.0</v>
      </c>
      <c r="S3" s="12">
        <v>4.0</v>
      </c>
      <c r="T3" s="12">
        <v>4.0</v>
      </c>
      <c r="U3" s="12">
        <v>8.0</v>
      </c>
      <c r="V3" s="12">
        <v>12.0</v>
      </c>
      <c r="W3" s="12">
        <v>12.0</v>
      </c>
      <c r="X3" s="12">
        <v>20.0</v>
      </c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>
      <c r="A4" s="8" t="str">
        <f>Specs!B4</f>
        <v>Số lượng cổng WAN 10GE</v>
      </c>
      <c r="B4" s="9"/>
      <c r="C4" s="10">
        <f>hlookup($C$1,$D$1:$AP$10,4,0)</f>
        <v>12</v>
      </c>
      <c r="D4" s="11">
        <v>0.0</v>
      </c>
      <c r="E4" s="12">
        <v>0.0</v>
      </c>
      <c r="F4" s="12">
        <v>0.0</v>
      </c>
      <c r="G4" s="12">
        <v>0.0</v>
      </c>
      <c r="H4" s="12">
        <v>0.0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4"/>
      <c r="P4" s="14"/>
      <c r="Q4" s="14"/>
      <c r="R4" s="14"/>
      <c r="S4" s="12">
        <v>2.0</v>
      </c>
      <c r="T4" s="12">
        <v>2.0</v>
      </c>
      <c r="U4" s="12">
        <v>4.0</v>
      </c>
      <c r="V4" s="12">
        <v>12.0</v>
      </c>
      <c r="W4" s="12">
        <v>12.0</v>
      </c>
      <c r="X4" s="12">
        <v>20.0</v>
      </c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</row>
    <row r="5">
      <c r="A5" s="8" t="str">
        <f>Specs!B5</f>
        <v>Số lượng cổng LAN 1GE</v>
      </c>
      <c r="B5" s="9"/>
      <c r="C5" s="10" t="str">
        <f>hlookup($C$1,$D$1:$AP$10,5,0)</f>
        <v/>
      </c>
      <c r="D5" s="11">
        <v>8.0</v>
      </c>
      <c r="E5" s="12">
        <v>8.0</v>
      </c>
      <c r="F5" s="12">
        <v>8.0</v>
      </c>
      <c r="G5" s="12">
        <v>8.0</v>
      </c>
      <c r="H5" s="12">
        <v>4.0</v>
      </c>
      <c r="I5" s="12">
        <v>8.0</v>
      </c>
      <c r="J5" s="12">
        <v>8.0</v>
      </c>
      <c r="K5" s="12">
        <v>4.0</v>
      </c>
      <c r="L5" s="12">
        <v>4.0</v>
      </c>
      <c r="M5" s="12">
        <v>8.0</v>
      </c>
      <c r="N5" s="12">
        <v>4.0</v>
      </c>
      <c r="O5" s="12">
        <v>8.0</v>
      </c>
      <c r="P5" s="12">
        <v>8.0</v>
      </c>
      <c r="Q5" s="12">
        <v>8.0</v>
      </c>
      <c r="R5" s="12">
        <v>16.0</v>
      </c>
      <c r="S5" s="12">
        <v>8.0</v>
      </c>
      <c r="T5" s="12">
        <v>16.0</v>
      </c>
      <c r="U5" s="14"/>
      <c r="V5" s="14"/>
      <c r="W5" s="14"/>
      <c r="X5" s="14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>
      <c r="A6" s="8" t="str">
        <f>Specs!B6</f>
        <v/>
      </c>
      <c r="B6" s="16"/>
      <c r="C6" s="10" t="str">
        <f>hlookup($C$1,$D$1:$AP$10,6,0)</f>
        <v/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>
      <c r="A7" s="8" t="str">
        <f>Specs!B7</f>
        <v/>
      </c>
      <c r="B7" s="16"/>
      <c r="C7" s="10" t="str">
        <f>hlookup($C$1,$D$1:$AP$10,7,0)</f>
        <v/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>
      <c r="A8" s="8" t="str">
        <f>Specs!B8</f>
        <v/>
      </c>
      <c r="B8" s="16"/>
      <c r="C8" s="10" t="str">
        <f>hlookup($C$1,$D$1:$AP$10,8,0)</f>
        <v/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>
      <c r="A9" s="8" t="str">
        <f>Specs!B9</f>
        <v/>
      </c>
      <c r="B9" s="16"/>
      <c r="C9" s="10" t="str">
        <f>hlookup($C$1,$D$1:$AP$10,9,0)</f>
        <v/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>
      <c r="A10" s="8" t="str">
        <f>Specs!B10</f>
        <v/>
      </c>
      <c r="B10" s="16"/>
      <c r="C10" s="10" t="str">
        <f>hlookup($C$1,$D$1:$AP$10,10,0)</f>
        <v/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>
      <c r="A11" s="17" t="s">
        <v>22</v>
      </c>
      <c r="B11" s="18"/>
      <c r="C11" s="19" t="str">
        <f>hlookup($C$1,$D$1:$AP$11,11,0)</f>
        <v>High End</v>
      </c>
      <c r="D11" s="20" t="s">
        <v>23</v>
      </c>
      <c r="E11" s="20" t="s">
        <v>23</v>
      </c>
      <c r="F11" s="20" t="s">
        <v>23</v>
      </c>
      <c r="G11" s="20" t="s">
        <v>23</v>
      </c>
      <c r="H11" s="20" t="s">
        <v>23</v>
      </c>
      <c r="I11" s="20" t="s">
        <v>23</v>
      </c>
      <c r="J11" s="20" t="s">
        <v>23</v>
      </c>
      <c r="K11" s="20" t="s">
        <v>23</v>
      </c>
      <c r="L11" s="20" t="s">
        <v>23</v>
      </c>
      <c r="M11" s="20" t="s">
        <v>23</v>
      </c>
      <c r="N11" s="20" t="s">
        <v>23</v>
      </c>
      <c r="O11" s="20" t="s">
        <v>24</v>
      </c>
      <c r="P11" s="20" t="s">
        <v>24</v>
      </c>
      <c r="Q11" s="20" t="s">
        <v>24</v>
      </c>
      <c r="R11" s="20" t="s">
        <v>24</v>
      </c>
      <c r="S11" s="20" t="s">
        <v>24</v>
      </c>
      <c r="T11" s="20" t="s">
        <v>24</v>
      </c>
      <c r="U11" s="20" t="s">
        <v>25</v>
      </c>
      <c r="V11" s="20" t="s">
        <v>25</v>
      </c>
      <c r="W11" s="20" t="s">
        <v>25</v>
      </c>
      <c r="X11" s="20" t="s">
        <v>25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</row>
    <row r="12">
      <c r="A12" s="22"/>
      <c r="B12" s="18"/>
      <c r="C12" s="2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</row>
    <row r="13">
      <c r="A13" s="22" t="s">
        <v>26</v>
      </c>
      <c r="B13" s="18"/>
      <c r="C13" s="23">
        <f t="shared" ref="C13:X13" si="1">sum(1*(C2&gt;=$B$2)+1*(C3&gt;=$B$3)+1*(C4&gt;=$B$4)+1*(C5&gt;=$B$5))</f>
        <v>4</v>
      </c>
      <c r="D13" s="21">
        <f t="shared" si="1"/>
        <v>3</v>
      </c>
      <c r="E13" s="21">
        <f t="shared" si="1"/>
        <v>3</v>
      </c>
      <c r="F13" s="21">
        <f t="shared" si="1"/>
        <v>3</v>
      </c>
      <c r="G13" s="21">
        <f t="shared" si="1"/>
        <v>3</v>
      </c>
      <c r="H13" s="21">
        <f t="shared" si="1"/>
        <v>3</v>
      </c>
      <c r="I13" s="21">
        <f t="shared" si="1"/>
        <v>3</v>
      </c>
      <c r="J13" s="21">
        <f t="shared" si="1"/>
        <v>3</v>
      </c>
      <c r="K13" s="21">
        <f t="shared" si="1"/>
        <v>3</v>
      </c>
      <c r="L13" s="21">
        <f t="shared" si="1"/>
        <v>3</v>
      </c>
      <c r="M13" s="21">
        <f t="shared" si="1"/>
        <v>3</v>
      </c>
      <c r="N13" s="21">
        <f t="shared" si="1"/>
        <v>3</v>
      </c>
      <c r="O13" s="21">
        <f t="shared" si="1"/>
        <v>3</v>
      </c>
      <c r="P13" s="21">
        <f t="shared" si="1"/>
        <v>3</v>
      </c>
      <c r="Q13" s="21">
        <f t="shared" si="1"/>
        <v>3</v>
      </c>
      <c r="R13" s="21">
        <f t="shared" si="1"/>
        <v>3</v>
      </c>
      <c r="S13" s="21">
        <f t="shared" si="1"/>
        <v>4</v>
      </c>
      <c r="T13" s="21">
        <f t="shared" si="1"/>
        <v>4</v>
      </c>
      <c r="U13" s="21">
        <f t="shared" si="1"/>
        <v>4</v>
      </c>
      <c r="V13" s="21">
        <f t="shared" si="1"/>
        <v>4</v>
      </c>
      <c r="W13" s="21">
        <f t="shared" si="1"/>
        <v>4</v>
      </c>
      <c r="X13" s="21">
        <f t="shared" si="1"/>
        <v>4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</row>
    <row r="14">
      <c r="A14" s="22" t="s">
        <v>27</v>
      </c>
      <c r="B14" s="18"/>
      <c r="C14" s="24">
        <f>iferror(vlookup(C1,Cisco!$A$2:$D$1000,4,0),0)</f>
        <v>1000</v>
      </c>
      <c r="D14" s="25">
        <f>iferror(vlookup(D1,Cisco!$A$2:$D$1000,4,0),0)</f>
        <v>9713.63</v>
      </c>
      <c r="E14" s="25">
        <f>iferror(vlookup(E1,Cisco!$A$2:$D$1000,4,0),0)</f>
        <v>10265.06</v>
      </c>
      <c r="F14" s="25">
        <f>iferror(vlookup(F1,Cisco!$A$2:$D$1000,4,0),0)</f>
        <v>8922.97</v>
      </c>
      <c r="G14" s="25">
        <f>iferror(vlookup(G1,Cisco!$A$2:$D$1000,4,0),0)</f>
        <v>9142.75</v>
      </c>
      <c r="H14" s="25">
        <f>iferror(vlookup(H1,Cisco!$A$2:$D$1000,4,0),0)</f>
        <v>8003.55</v>
      </c>
      <c r="I14" s="25">
        <f>iferror(vlookup(I1,Cisco!$A$2:$D$1000,4,0),0)</f>
        <v>8311.31</v>
      </c>
      <c r="J14" s="25">
        <f>iferror(vlookup(J1,Cisco!$A$2:$D$1000,4,0),0)</f>
        <v>8935.48</v>
      </c>
      <c r="K14" s="25">
        <f>iferror(vlookup(K1,Cisco!$A$2:$D$1000,4,0),0)</f>
        <v>8519.2</v>
      </c>
      <c r="L14" s="25">
        <f>iferror(vlookup(L1,Cisco!$A$2:$D$1000,4,0),0)</f>
        <v>8519.2</v>
      </c>
      <c r="M14" s="25">
        <f>iferror(vlookup(M1,Cisco!$A$2:$D$1000,4,0),0)</f>
        <v>9556.94</v>
      </c>
      <c r="N14" s="25">
        <f>iferror(vlookup(N1,Cisco!$A$2:$D$1000,4,0),0)</f>
        <v>9070.11</v>
      </c>
      <c r="O14" s="25">
        <f>iferror(vlookup(O1,Cisco!$A$2:$D$1000,4,0),0)</f>
        <v>18000</v>
      </c>
      <c r="P14" s="25">
        <f>iferror(vlookup(P1,Cisco!$A$2:$D$1000,4,0),0)</f>
        <v>15000</v>
      </c>
      <c r="Q14" s="25">
        <f>iferror(vlookup(Q1,Cisco!$A$2:$D$1000,4,0),0)</f>
        <v>41045.93</v>
      </c>
      <c r="R14" s="25">
        <f>iferror(vlookup(R1,Cisco!$A$2:$D$1000,4,0),0)</f>
        <v>50264.61</v>
      </c>
      <c r="S14" s="25">
        <f>iferror(vlookup(S1,Cisco!$A$2:$D$1000,4,0),0)</f>
        <v>75749.61</v>
      </c>
      <c r="T14" s="25">
        <f>iferror(vlookup(T1,Cisco!$A$2:$D$1000,4,0),0)</f>
        <v>91782.43</v>
      </c>
      <c r="U14" s="25">
        <f>iferror(vlookup(U1,Cisco!$A$2:$D$1000,4,0),0)</f>
        <v>97005.56</v>
      </c>
      <c r="V14" s="25">
        <f>iferror(vlookup(V1,Cisco!$A$2:$D$1000,4,0),0)</f>
        <v>1000</v>
      </c>
      <c r="W14" s="25">
        <f>iferror(vlookup(W1,Cisco!$A$2:$D$1000,4,0),0)</f>
        <v>297234.95</v>
      </c>
      <c r="X14" s="25">
        <f>iferror(vlookup(X1,Cisco!$A$2:$D$1000,4,0),0)</f>
        <v>553572.06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</row>
    <row r="15">
      <c r="A15" s="22" t="s">
        <v>28</v>
      </c>
      <c r="B15" s="18"/>
      <c r="C15" s="23">
        <f t="shared" ref="C15:X15" si="2">1*(C13=max($D$13:$AP$13))</f>
        <v>1</v>
      </c>
      <c r="D15" s="21">
        <f t="shared" si="2"/>
        <v>0</v>
      </c>
      <c r="E15" s="21">
        <f t="shared" si="2"/>
        <v>0</v>
      </c>
      <c r="F15" s="21">
        <f t="shared" si="2"/>
        <v>0</v>
      </c>
      <c r="G15" s="21">
        <f t="shared" si="2"/>
        <v>0</v>
      </c>
      <c r="H15" s="21">
        <f t="shared" si="2"/>
        <v>0</v>
      </c>
      <c r="I15" s="21">
        <f t="shared" si="2"/>
        <v>0</v>
      </c>
      <c r="J15" s="21">
        <f t="shared" si="2"/>
        <v>0</v>
      </c>
      <c r="K15" s="21">
        <f t="shared" si="2"/>
        <v>0</v>
      </c>
      <c r="L15" s="21">
        <f t="shared" si="2"/>
        <v>0</v>
      </c>
      <c r="M15" s="21">
        <f t="shared" si="2"/>
        <v>0</v>
      </c>
      <c r="N15" s="21">
        <f t="shared" si="2"/>
        <v>0</v>
      </c>
      <c r="O15" s="21">
        <f t="shared" si="2"/>
        <v>0</v>
      </c>
      <c r="P15" s="21">
        <f t="shared" si="2"/>
        <v>0</v>
      </c>
      <c r="Q15" s="21">
        <f t="shared" si="2"/>
        <v>0</v>
      </c>
      <c r="R15" s="21">
        <f t="shared" si="2"/>
        <v>0</v>
      </c>
      <c r="S15" s="21">
        <f t="shared" si="2"/>
        <v>1</v>
      </c>
      <c r="T15" s="21">
        <f t="shared" si="2"/>
        <v>1</v>
      </c>
      <c r="U15" s="21">
        <f t="shared" si="2"/>
        <v>1</v>
      </c>
      <c r="V15" s="21">
        <f t="shared" si="2"/>
        <v>1</v>
      </c>
      <c r="W15" s="21">
        <f t="shared" si="2"/>
        <v>1</v>
      </c>
      <c r="X15" s="21">
        <f t="shared" si="2"/>
        <v>1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</row>
    <row r="16">
      <c r="A16" s="22" t="s">
        <v>29</v>
      </c>
      <c r="B16" s="18"/>
      <c r="C16" s="23">
        <f t="shared" ref="C16:X16" si="3">C15*(C14=minifs($D$14:$AP$14,$D$15:$AP$15,1))</f>
        <v>1</v>
      </c>
      <c r="D16" s="21">
        <f t="shared" si="3"/>
        <v>0</v>
      </c>
      <c r="E16" s="21">
        <f t="shared" si="3"/>
        <v>0</v>
      </c>
      <c r="F16" s="21">
        <f t="shared" si="3"/>
        <v>0</v>
      </c>
      <c r="G16" s="21">
        <f t="shared" si="3"/>
        <v>0</v>
      </c>
      <c r="H16" s="21">
        <f t="shared" si="3"/>
        <v>0</v>
      </c>
      <c r="I16" s="21">
        <f t="shared" si="3"/>
        <v>0</v>
      </c>
      <c r="J16" s="21">
        <f t="shared" si="3"/>
        <v>0</v>
      </c>
      <c r="K16" s="21">
        <f t="shared" si="3"/>
        <v>0</v>
      </c>
      <c r="L16" s="21">
        <f t="shared" si="3"/>
        <v>0</v>
      </c>
      <c r="M16" s="21">
        <f t="shared" si="3"/>
        <v>0</v>
      </c>
      <c r="N16" s="21">
        <f t="shared" si="3"/>
        <v>0</v>
      </c>
      <c r="O16" s="21">
        <f t="shared" si="3"/>
        <v>0</v>
      </c>
      <c r="P16" s="21">
        <f t="shared" si="3"/>
        <v>0</v>
      </c>
      <c r="Q16" s="21">
        <f t="shared" si="3"/>
        <v>0</v>
      </c>
      <c r="R16" s="21">
        <f t="shared" si="3"/>
        <v>0</v>
      </c>
      <c r="S16" s="21">
        <f t="shared" si="3"/>
        <v>0</v>
      </c>
      <c r="T16" s="21">
        <f t="shared" si="3"/>
        <v>0</v>
      </c>
      <c r="U16" s="21">
        <f t="shared" si="3"/>
        <v>0</v>
      </c>
      <c r="V16" s="21">
        <f t="shared" si="3"/>
        <v>1</v>
      </c>
      <c r="W16" s="21">
        <f t="shared" si="3"/>
        <v>0</v>
      </c>
      <c r="X16" s="21">
        <f t="shared" si="3"/>
        <v>0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</row>
    <row r="17">
      <c r="A17" s="22" t="s">
        <v>30</v>
      </c>
      <c r="B17" s="18"/>
      <c r="C17" s="23">
        <f t="shared" ref="C17:X17" si="4">(1-($C$1=C1))*(C15=1)</f>
        <v>0</v>
      </c>
      <c r="D17" s="21">
        <f t="shared" si="4"/>
        <v>0</v>
      </c>
      <c r="E17" s="21">
        <f t="shared" si="4"/>
        <v>0</v>
      </c>
      <c r="F17" s="21">
        <f t="shared" si="4"/>
        <v>0</v>
      </c>
      <c r="G17" s="21">
        <f t="shared" si="4"/>
        <v>0</v>
      </c>
      <c r="H17" s="21">
        <f t="shared" si="4"/>
        <v>0</v>
      </c>
      <c r="I17" s="21">
        <f t="shared" si="4"/>
        <v>0</v>
      </c>
      <c r="J17" s="21">
        <f t="shared" si="4"/>
        <v>0</v>
      </c>
      <c r="K17" s="21">
        <f t="shared" si="4"/>
        <v>0</v>
      </c>
      <c r="L17" s="21">
        <f t="shared" si="4"/>
        <v>0</v>
      </c>
      <c r="M17" s="21">
        <f t="shared" si="4"/>
        <v>0</v>
      </c>
      <c r="N17" s="21">
        <f t="shared" si="4"/>
        <v>0</v>
      </c>
      <c r="O17" s="21">
        <f t="shared" si="4"/>
        <v>0</v>
      </c>
      <c r="P17" s="21">
        <f t="shared" si="4"/>
        <v>0</v>
      </c>
      <c r="Q17" s="21">
        <f t="shared" si="4"/>
        <v>0</v>
      </c>
      <c r="R17" s="21">
        <f t="shared" si="4"/>
        <v>0</v>
      </c>
      <c r="S17" s="21">
        <f t="shared" si="4"/>
        <v>1</v>
      </c>
      <c r="T17" s="21">
        <f t="shared" si="4"/>
        <v>1</v>
      </c>
      <c r="U17" s="21">
        <f t="shared" si="4"/>
        <v>1</v>
      </c>
      <c r="V17" s="21">
        <f t="shared" si="4"/>
        <v>0</v>
      </c>
      <c r="W17" s="21">
        <f t="shared" si="4"/>
        <v>1</v>
      </c>
      <c r="X17" s="21">
        <f t="shared" si="4"/>
        <v>1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</row>
    <row r="18">
      <c r="B18" s="18"/>
      <c r="C18" s="2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</row>
    <row r="19">
      <c r="A19" s="17" t="s">
        <v>31</v>
      </c>
      <c r="B19" s="26"/>
      <c r="C19" s="27" t="str">
        <f>IFERROR(__xludf.DUMMYFUNCTION("iferror(filter(D1:AP1,$D$17:$AP$17=1),"""")"),"C8300-1N1S-4T2X")</f>
        <v>C8300-1N1S-4T2X</v>
      </c>
      <c r="D19" s="28" t="str">
        <f>IFERROR(__xludf.DUMMYFUNCTION("""COMPUTED_VALUE"""),"C8300-2N2S-4T2X")</f>
        <v>C8300-2N2S-4T2X</v>
      </c>
      <c r="E19" s="28" t="str">
        <f>IFERROR(__xludf.DUMMYFUNCTION("""COMPUTED_VALUE"""),"C8500L-8S4X")</f>
        <v>C8500L-8S4X</v>
      </c>
      <c r="F19" s="28" t="str">
        <f>IFERROR(__xludf.DUMMYFUNCTION("""COMPUTED_VALUE"""),"C8500-12X4QC")</f>
        <v>C8500-12X4QC</v>
      </c>
      <c r="G19" s="28" t="str">
        <f>IFERROR(__xludf.DUMMYFUNCTION("""COMPUTED_VALUE"""),"C8500-20X6C")</f>
        <v>C8500-20X6C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>
      <c r="A20" s="29" t="str">
        <f t="shared" ref="A20:A23" si="5">A2</f>
        <v>Throughput (Mbps)</v>
      </c>
      <c r="B20" s="18"/>
      <c r="C20" s="23">
        <f>IFERROR(__xludf.DUMMYFUNCTION("iferror(filter(D2:AP2,$D$17:$AP$17=1),"""")"),17000.0)</f>
        <v>17000</v>
      </c>
      <c r="D20" s="20">
        <f>IFERROR(__xludf.DUMMYFUNCTION("""COMPUTED_VALUE"""),18800.0)</f>
        <v>18800</v>
      </c>
      <c r="E20" s="20">
        <f>IFERROR(__xludf.DUMMYFUNCTION("""COMPUTED_VALUE"""),19000.0)</f>
        <v>19000</v>
      </c>
      <c r="F20" s="20">
        <f>IFERROR(__xludf.DUMMYFUNCTION("""COMPUTED_VALUE"""),96000.0)</f>
        <v>96000</v>
      </c>
      <c r="G20" s="20">
        <f>IFERROR(__xludf.DUMMYFUNCTION("""COMPUTED_VALUE"""),350000.0)</f>
        <v>350000</v>
      </c>
      <c r="H20" s="20"/>
      <c r="I20" s="20"/>
      <c r="J20" s="20"/>
      <c r="K20" s="20"/>
      <c r="L20" s="20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</row>
    <row r="21">
      <c r="A21" s="29" t="str">
        <f t="shared" si="5"/>
        <v>Số lượng cổng WAN 1GE</v>
      </c>
      <c r="B21" s="18"/>
      <c r="C21" s="23">
        <f>IFERROR(__xludf.DUMMYFUNCTION("iferror(filter(D3:AP3,$D$17:$AP$17=1),"""")"),4.0)</f>
        <v>4</v>
      </c>
      <c r="D21" s="20">
        <f>IFERROR(__xludf.DUMMYFUNCTION("""COMPUTED_VALUE"""),4.0)</f>
        <v>4</v>
      </c>
      <c r="E21" s="20">
        <f>IFERROR(__xludf.DUMMYFUNCTION("""COMPUTED_VALUE"""),8.0)</f>
        <v>8</v>
      </c>
      <c r="F21" s="20">
        <f>IFERROR(__xludf.DUMMYFUNCTION("""COMPUTED_VALUE"""),12.0)</f>
        <v>12</v>
      </c>
      <c r="G21" s="20">
        <f>IFERROR(__xludf.DUMMYFUNCTION("""COMPUTED_VALUE"""),20.0)</f>
        <v>20</v>
      </c>
      <c r="H21" s="20"/>
      <c r="I21" s="20"/>
      <c r="J21" s="20"/>
      <c r="K21" s="20"/>
      <c r="L21" s="20"/>
      <c r="M21" s="20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</row>
    <row r="22">
      <c r="A22" s="29" t="str">
        <f t="shared" si="5"/>
        <v>Số lượng cổng WAN 10GE</v>
      </c>
      <c r="B22" s="18"/>
      <c r="C22" s="23">
        <f>IFERROR(__xludf.DUMMYFUNCTION("iferror(filter(D4:AP4,$D$17:$AP$17=1),"""")"),2.0)</f>
        <v>2</v>
      </c>
      <c r="D22" s="20">
        <f>IFERROR(__xludf.DUMMYFUNCTION("""COMPUTED_VALUE"""),2.0)</f>
        <v>2</v>
      </c>
      <c r="E22" s="20">
        <f>IFERROR(__xludf.DUMMYFUNCTION("""COMPUTED_VALUE"""),4.0)</f>
        <v>4</v>
      </c>
      <c r="F22" s="20">
        <f>IFERROR(__xludf.DUMMYFUNCTION("""COMPUTED_VALUE"""),12.0)</f>
        <v>12</v>
      </c>
      <c r="G22" s="20">
        <f>IFERROR(__xludf.DUMMYFUNCTION("""COMPUTED_VALUE"""),20.0)</f>
        <v>20</v>
      </c>
      <c r="H22" s="20"/>
      <c r="I22" s="20"/>
      <c r="J22" s="20"/>
      <c r="K22" s="20"/>
      <c r="L22" s="20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</row>
    <row r="23">
      <c r="A23" s="29" t="str">
        <f t="shared" si="5"/>
        <v>Số lượng cổng LAN 1GE</v>
      </c>
      <c r="B23" s="18"/>
      <c r="C23" s="23">
        <f>IFERROR(__xludf.DUMMYFUNCTION("iferror(filter(D5:AP5,$D$17:$AP$17=1),"""")"),8.0)</f>
        <v>8</v>
      </c>
      <c r="D23" s="20">
        <f>IFERROR(__xludf.DUMMYFUNCTION("""COMPUTED_VALUE"""),16.0)</f>
        <v>16</v>
      </c>
      <c r="E23" s="20"/>
      <c r="F23" s="20"/>
      <c r="G23" s="20"/>
      <c r="H23" s="20"/>
      <c r="I23" s="20"/>
      <c r="J23" s="20"/>
      <c r="K23" s="20"/>
      <c r="L23" s="20"/>
      <c r="M23" s="20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</row>
    <row r="24">
      <c r="A24" s="22" t="s">
        <v>22</v>
      </c>
      <c r="B24" s="18"/>
      <c r="C24" s="23" t="str">
        <f>IFERROR(__xludf.DUMMYFUNCTION("iferror(filter(D11:AP11,$D$17:$AP$17=1),"""")"),"Mid Range")</f>
        <v>Mid Range</v>
      </c>
      <c r="D24" s="21" t="str">
        <f>IFERROR(__xludf.DUMMYFUNCTION("""COMPUTED_VALUE"""),"Mid Range")</f>
        <v>Mid Range</v>
      </c>
      <c r="E24" s="21" t="str">
        <f>IFERROR(__xludf.DUMMYFUNCTION("""COMPUTED_VALUE"""),"High End")</f>
        <v>High End</v>
      </c>
      <c r="F24" s="21" t="str">
        <f>IFERROR(__xludf.DUMMYFUNCTION("""COMPUTED_VALUE"""),"High End")</f>
        <v>High End</v>
      </c>
      <c r="G24" s="21" t="str">
        <f>IFERROR(__xludf.DUMMYFUNCTION("""COMPUTED_VALUE"""),"High End")</f>
        <v>High End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</row>
    <row r="25">
      <c r="B25" s="18"/>
      <c r="C25" s="2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</row>
    <row r="26">
      <c r="B26" s="18"/>
      <c r="C26" s="2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</row>
    <row r="27">
      <c r="B27" s="18"/>
      <c r="C27" s="2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</row>
    <row r="28">
      <c r="B28" s="18"/>
      <c r="C28" s="2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</row>
    <row r="29">
      <c r="B29" s="18"/>
      <c r="C29" s="2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</row>
    <row r="30">
      <c r="B30" s="18"/>
      <c r="C30" s="2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</row>
    <row r="31">
      <c r="B31" s="18"/>
      <c r="C31" s="2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</row>
    <row r="32">
      <c r="B32" s="18"/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</row>
    <row r="33">
      <c r="B33" s="18"/>
      <c r="C33" s="2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</row>
    <row r="34">
      <c r="B34" s="18"/>
      <c r="C34" s="2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</row>
    <row r="35">
      <c r="B35" s="18"/>
      <c r="C35" s="2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</row>
    <row r="36">
      <c r="B36" s="18"/>
      <c r="C36" s="2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</row>
    <row r="37">
      <c r="B37" s="18"/>
      <c r="C37" s="2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</row>
    <row r="38">
      <c r="B38" s="18"/>
      <c r="C38" s="2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</row>
    <row r="39">
      <c r="B39" s="18"/>
      <c r="C39" s="2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</row>
    <row r="40">
      <c r="B40" s="18"/>
      <c r="C40" s="2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</row>
    <row r="41">
      <c r="B41" s="18"/>
      <c r="C41" s="2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</row>
    <row r="42">
      <c r="B42" s="18"/>
      <c r="C42" s="2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</row>
    <row r="43">
      <c r="B43" s="18"/>
      <c r="C43" s="2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</row>
    <row r="44">
      <c r="B44" s="18"/>
      <c r="C44" s="2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</row>
    <row r="45">
      <c r="B45" s="18"/>
      <c r="C45" s="2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</row>
    <row r="46">
      <c r="B46" s="18"/>
      <c r="C46" s="2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</row>
    <row r="47">
      <c r="B47" s="18"/>
      <c r="C47" s="2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</row>
    <row r="48">
      <c r="B48" s="18"/>
      <c r="C48" s="2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</row>
    <row r="49">
      <c r="B49" s="18"/>
      <c r="C49" s="2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</row>
    <row r="50">
      <c r="B50" s="18"/>
      <c r="C50" s="2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</row>
    <row r="51">
      <c r="B51" s="18"/>
      <c r="C51" s="2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</row>
    <row r="52">
      <c r="B52" s="18"/>
      <c r="C52" s="2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</row>
    <row r="53">
      <c r="B53" s="18"/>
      <c r="C53" s="2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</row>
    <row r="54">
      <c r="B54" s="18"/>
      <c r="C54" s="2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</row>
    <row r="55">
      <c r="B55" s="18"/>
      <c r="C55" s="2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</row>
    <row r="56">
      <c r="B56" s="18"/>
      <c r="C56" s="2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</row>
    <row r="57">
      <c r="B57" s="18"/>
      <c r="C57" s="2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</row>
    <row r="58">
      <c r="B58" s="18"/>
      <c r="C58" s="2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</row>
    <row r="59">
      <c r="B59" s="18"/>
      <c r="C59" s="2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</row>
    <row r="60">
      <c r="B60" s="18"/>
      <c r="C60" s="2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</row>
    <row r="61">
      <c r="B61" s="18"/>
      <c r="C61" s="2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</row>
    <row r="62">
      <c r="B62" s="18"/>
      <c r="C62" s="2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</row>
    <row r="63">
      <c r="B63" s="18"/>
      <c r="C63" s="2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</row>
    <row r="64">
      <c r="B64" s="18"/>
      <c r="C64" s="2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</row>
    <row r="65">
      <c r="B65" s="18"/>
      <c r="C65" s="2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</row>
    <row r="66">
      <c r="B66" s="18"/>
      <c r="C66" s="2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</row>
    <row r="67">
      <c r="B67" s="18"/>
      <c r="C67" s="2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</row>
    <row r="68">
      <c r="B68" s="18"/>
      <c r="C68" s="2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</row>
    <row r="69">
      <c r="B69" s="18"/>
      <c r="C69" s="2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</row>
    <row r="70">
      <c r="B70" s="18"/>
      <c r="C70" s="2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</row>
    <row r="71">
      <c r="B71" s="18"/>
      <c r="C71" s="2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</row>
    <row r="72">
      <c r="B72" s="18"/>
      <c r="C72" s="2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</row>
    <row r="73">
      <c r="B73" s="18"/>
      <c r="C73" s="2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</row>
    <row r="74">
      <c r="B74" s="18"/>
      <c r="C74" s="2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</row>
    <row r="75">
      <c r="B75" s="18"/>
      <c r="C75" s="2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</row>
    <row r="76">
      <c r="B76" s="18"/>
      <c r="C76" s="2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</row>
    <row r="77">
      <c r="B77" s="18"/>
      <c r="C77" s="2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</row>
    <row r="78">
      <c r="B78" s="18"/>
      <c r="C78" s="2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</row>
    <row r="79">
      <c r="B79" s="18"/>
      <c r="C79" s="2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</row>
    <row r="80">
      <c r="B80" s="18"/>
      <c r="C80" s="2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</row>
    <row r="81">
      <c r="B81" s="18"/>
      <c r="C81" s="2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</row>
    <row r="82">
      <c r="B82" s="18"/>
      <c r="C82" s="2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</row>
    <row r="83">
      <c r="B83" s="18"/>
      <c r="C83" s="2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</row>
    <row r="84">
      <c r="B84" s="18"/>
      <c r="C84" s="2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</row>
    <row r="85">
      <c r="B85" s="18"/>
      <c r="C85" s="2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</row>
    <row r="86">
      <c r="B86" s="18"/>
      <c r="C86" s="2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</row>
    <row r="87">
      <c r="B87" s="18"/>
      <c r="C87" s="2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</row>
    <row r="88">
      <c r="B88" s="18"/>
      <c r="C88" s="2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</row>
    <row r="89">
      <c r="B89" s="18"/>
      <c r="C89" s="2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</row>
    <row r="90">
      <c r="B90" s="18"/>
      <c r="C90" s="2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</row>
    <row r="91">
      <c r="B91" s="18"/>
      <c r="C91" s="2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</row>
    <row r="92">
      <c r="B92" s="18"/>
      <c r="C92" s="2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</row>
    <row r="93">
      <c r="B93" s="18"/>
      <c r="C93" s="2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</row>
    <row r="94">
      <c r="B94" s="18"/>
      <c r="C94" s="2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</row>
    <row r="95">
      <c r="B95" s="18"/>
      <c r="C95" s="2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</row>
    <row r="96">
      <c r="B96" s="18"/>
      <c r="C96" s="2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</row>
    <row r="97">
      <c r="B97" s="18"/>
      <c r="C97" s="2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</row>
    <row r="98">
      <c r="B98" s="18"/>
      <c r="C98" s="2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</row>
    <row r="99">
      <c r="B99" s="18"/>
      <c r="C99" s="2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</row>
    <row r="100">
      <c r="B100" s="18"/>
      <c r="C100" s="2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</row>
    <row r="101">
      <c r="B101" s="18"/>
      <c r="C101" s="2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</row>
    <row r="102">
      <c r="B102" s="18"/>
      <c r="C102" s="2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</row>
    <row r="103">
      <c r="B103" s="18"/>
      <c r="C103" s="2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</row>
    <row r="104">
      <c r="B104" s="18"/>
      <c r="C104" s="2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</row>
    <row r="105">
      <c r="B105" s="18"/>
      <c r="C105" s="2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</row>
    <row r="106">
      <c r="B106" s="18"/>
      <c r="C106" s="2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</row>
    <row r="107">
      <c r="B107" s="18"/>
      <c r="C107" s="2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</row>
    <row r="108">
      <c r="B108" s="18"/>
      <c r="C108" s="2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</row>
    <row r="109">
      <c r="B109" s="18"/>
      <c r="C109" s="2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</row>
    <row r="110">
      <c r="B110" s="18"/>
      <c r="C110" s="2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</row>
    <row r="111">
      <c r="B111" s="18"/>
      <c r="C111" s="2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</row>
    <row r="112">
      <c r="B112" s="18"/>
      <c r="C112" s="2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</row>
    <row r="113">
      <c r="B113" s="18"/>
      <c r="C113" s="2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</row>
    <row r="114">
      <c r="B114" s="18"/>
      <c r="C114" s="2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</row>
    <row r="115">
      <c r="B115" s="18"/>
      <c r="C115" s="2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</row>
    <row r="116">
      <c r="B116" s="18"/>
      <c r="C116" s="2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</row>
    <row r="117">
      <c r="B117" s="18"/>
      <c r="C117" s="2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</row>
    <row r="118">
      <c r="B118" s="18"/>
      <c r="C118" s="2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</row>
    <row r="119">
      <c r="B119" s="18"/>
      <c r="C119" s="2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</row>
    <row r="120">
      <c r="B120" s="18"/>
      <c r="C120" s="2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</row>
    <row r="121">
      <c r="B121" s="18"/>
      <c r="C121" s="2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</row>
    <row r="122">
      <c r="B122" s="18"/>
      <c r="C122" s="2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</row>
    <row r="123">
      <c r="B123" s="18"/>
      <c r="C123" s="2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</row>
    <row r="124">
      <c r="B124" s="18"/>
      <c r="C124" s="2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</row>
    <row r="125">
      <c r="B125" s="18"/>
      <c r="C125" s="2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</row>
    <row r="126">
      <c r="B126" s="18"/>
      <c r="C126" s="2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</row>
    <row r="127">
      <c r="B127" s="18"/>
      <c r="C127" s="2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</row>
    <row r="128">
      <c r="B128" s="18"/>
      <c r="C128" s="2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</row>
    <row r="129">
      <c r="B129" s="18"/>
      <c r="C129" s="2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</row>
    <row r="130">
      <c r="B130" s="18"/>
      <c r="C130" s="2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</row>
    <row r="131">
      <c r="B131" s="18"/>
      <c r="C131" s="2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</row>
    <row r="132">
      <c r="B132" s="18"/>
      <c r="C132" s="2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</row>
    <row r="133">
      <c r="B133" s="18"/>
      <c r="C133" s="2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</row>
    <row r="134">
      <c r="B134" s="18"/>
      <c r="C134" s="2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</row>
    <row r="135">
      <c r="B135" s="18"/>
      <c r="C135" s="2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</row>
    <row r="136">
      <c r="B136" s="18"/>
      <c r="C136" s="2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</row>
    <row r="137">
      <c r="B137" s="18"/>
      <c r="C137" s="2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</row>
    <row r="138">
      <c r="B138" s="18"/>
      <c r="C138" s="2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</row>
    <row r="139">
      <c r="B139" s="18"/>
      <c r="C139" s="2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</row>
    <row r="140">
      <c r="B140" s="18"/>
      <c r="C140" s="2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</row>
    <row r="141">
      <c r="B141" s="18"/>
      <c r="C141" s="2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</row>
    <row r="142">
      <c r="B142" s="18"/>
      <c r="C142" s="2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</row>
    <row r="143">
      <c r="B143" s="18"/>
      <c r="C143" s="2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</row>
    <row r="144">
      <c r="B144" s="18"/>
      <c r="C144" s="2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</row>
    <row r="145">
      <c r="B145" s="18"/>
      <c r="C145" s="2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</row>
    <row r="146">
      <c r="B146" s="18"/>
      <c r="C146" s="2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</row>
    <row r="147">
      <c r="B147" s="18"/>
      <c r="C147" s="2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</row>
    <row r="148">
      <c r="B148" s="18"/>
      <c r="C148" s="2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</row>
    <row r="149">
      <c r="B149" s="18"/>
      <c r="C149" s="2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</row>
    <row r="150">
      <c r="B150" s="18"/>
      <c r="C150" s="2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</row>
    <row r="151">
      <c r="B151" s="18"/>
      <c r="C151" s="2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</row>
    <row r="152">
      <c r="B152" s="18"/>
      <c r="C152" s="2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</row>
    <row r="153">
      <c r="B153" s="18"/>
      <c r="C153" s="2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</row>
    <row r="154">
      <c r="B154" s="18"/>
      <c r="C154" s="2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</row>
    <row r="155">
      <c r="B155" s="18"/>
      <c r="C155" s="2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</row>
    <row r="156">
      <c r="B156" s="18"/>
      <c r="C156" s="2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</row>
    <row r="157">
      <c r="B157" s="18"/>
      <c r="C157" s="2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</row>
    <row r="158">
      <c r="B158" s="18"/>
      <c r="C158" s="2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</row>
    <row r="159">
      <c r="B159" s="18"/>
      <c r="C159" s="2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</row>
    <row r="160">
      <c r="B160" s="18"/>
      <c r="C160" s="2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</row>
    <row r="161">
      <c r="B161" s="18"/>
      <c r="C161" s="2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</row>
    <row r="162">
      <c r="B162" s="18"/>
      <c r="C162" s="2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</row>
    <row r="163">
      <c r="B163" s="18"/>
      <c r="C163" s="2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</row>
    <row r="164">
      <c r="B164" s="18"/>
      <c r="C164" s="2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</row>
    <row r="165">
      <c r="B165" s="18"/>
      <c r="C165" s="2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</row>
    <row r="166">
      <c r="B166" s="18"/>
      <c r="C166" s="2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</row>
    <row r="167">
      <c r="B167" s="18"/>
      <c r="C167" s="2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</row>
    <row r="168">
      <c r="B168" s="18"/>
      <c r="C168" s="2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</row>
    <row r="169">
      <c r="B169" s="18"/>
      <c r="C169" s="2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</row>
    <row r="170">
      <c r="B170" s="18"/>
      <c r="C170" s="2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</row>
    <row r="171">
      <c r="B171" s="18"/>
      <c r="C171" s="2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</row>
    <row r="172">
      <c r="B172" s="18"/>
      <c r="C172" s="2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</row>
    <row r="173">
      <c r="B173" s="18"/>
      <c r="C173" s="2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</row>
    <row r="174">
      <c r="B174" s="18"/>
      <c r="C174" s="2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</row>
    <row r="175">
      <c r="B175" s="18"/>
      <c r="C175" s="2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</row>
    <row r="176">
      <c r="B176" s="18"/>
      <c r="C176" s="2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</row>
    <row r="177">
      <c r="B177" s="18"/>
      <c r="C177" s="2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</row>
    <row r="178">
      <c r="B178" s="18"/>
      <c r="C178" s="2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</row>
    <row r="179">
      <c r="B179" s="18"/>
      <c r="C179" s="2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</row>
    <row r="180">
      <c r="B180" s="18"/>
      <c r="C180" s="2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</row>
    <row r="181">
      <c r="B181" s="18"/>
      <c r="C181" s="2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</row>
    <row r="182">
      <c r="B182" s="18"/>
      <c r="C182" s="2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</row>
    <row r="183">
      <c r="B183" s="18"/>
      <c r="C183" s="2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</row>
    <row r="184">
      <c r="B184" s="18"/>
      <c r="C184" s="2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</row>
    <row r="185">
      <c r="B185" s="18"/>
      <c r="C185" s="2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</row>
    <row r="186">
      <c r="B186" s="18"/>
      <c r="C186" s="2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</row>
    <row r="187">
      <c r="B187" s="18"/>
      <c r="C187" s="2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</row>
    <row r="188">
      <c r="B188" s="18"/>
      <c r="C188" s="2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</row>
    <row r="189">
      <c r="B189" s="18"/>
      <c r="C189" s="2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</row>
    <row r="190">
      <c r="B190" s="18"/>
      <c r="C190" s="2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</row>
    <row r="191">
      <c r="B191" s="18"/>
      <c r="C191" s="2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</row>
    <row r="192">
      <c r="B192" s="18"/>
      <c r="C192" s="2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</row>
    <row r="193">
      <c r="B193" s="18"/>
      <c r="C193" s="2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</row>
    <row r="194">
      <c r="B194" s="18"/>
      <c r="C194" s="2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</row>
    <row r="195">
      <c r="B195" s="18"/>
      <c r="C195" s="2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</row>
    <row r="196">
      <c r="B196" s="18"/>
      <c r="C196" s="2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</row>
    <row r="197">
      <c r="B197" s="18"/>
      <c r="C197" s="2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</row>
    <row r="198">
      <c r="B198" s="18"/>
      <c r="C198" s="2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</row>
    <row r="199">
      <c r="B199" s="18"/>
      <c r="C199" s="2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</row>
    <row r="200">
      <c r="B200" s="18"/>
      <c r="C200" s="2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</row>
    <row r="201">
      <c r="B201" s="18"/>
      <c r="C201" s="2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</row>
    <row r="202">
      <c r="B202" s="18"/>
      <c r="C202" s="2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</row>
    <row r="203">
      <c r="B203" s="18"/>
      <c r="C203" s="2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</row>
    <row r="204">
      <c r="B204" s="18"/>
      <c r="C204" s="2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</row>
    <row r="205">
      <c r="B205" s="18"/>
      <c r="C205" s="2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</row>
    <row r="206">
      <c r="B206" s="18"/>
      <c r="C206" s="2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</row>
    <row r="207">
      <c r="B207" s="18"/>
      <c r="C207" s="2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</row>
    <row r="208">
      <c r="B208" s="18"/>
      <c r="C208" s="2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</row>
    <row r="209">
      <c r="B209" s="18"/>
      <c r="C209" s="2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</row>
    <row r="210">
      <c r="B210" s="18"/>
      <c r="C210" s="2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</row>
    <row r="211">
      <c r="B211" s="18"/>
      <c r="C211" s="2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</row>
    <row r="212">
      <c r="B212" s="18"/>
      <c r="C212" s="2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</row>
    <row r="213">
      <c r="B213" s="18"/>
      <c r="C213" s="2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</row>
    <row r="214">
      <c r="B214" s="18"/>
      <c r="C214" s="2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</row>
    <row r="215">
      <c r="B215" s="18"/>
      <c r="C215" s="2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</row>
    <row r="216">
      <c r="B216" s="18"/>
      <c r="C216" s="2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</row>
    <row r="217">
      <c r="B217" s="18"/>
      <c r="C217" s="2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</row>
    <row r="218">
      <c r="B218" s="18"/>
      <c r="C218" s="2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</row>
    <row r="219">
      <c r="B219" s="18"/>
      <c r="C219" s="2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</row>
    <row r="220">
      <c r="B220" s="18"/>
      <c r="C220" s="2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</row>
    <row r="221">
      <c r="B221" s="18"/>
      <c r="C221" s="2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</row>
    <row r="222">
      <c r="B222" s="18"/>
      <c r="C222" s="2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</row>
    <row r="223">
      <c r="B223" s="18"/>
      <c r="C223" s="2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</row>
    <row r="224">
      <c r="B224" s="18"/>
      <c r="C224" s="2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</row>
    <row r="225">
      <c r="B225" s="18"/>
      <c r="C225" s="2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</row>
    <row r="226">
      <c r="B226" s="18"/>
      <c r="C226" s="2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</row>
    <row r="227">
      <c r="B227" s="18"/>
      <c r="C227" s="2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</row>
    <row r="228">
      <c r="B228" s="18"/>
      <c r="C228" s="2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</row>
    <row r="229">
      <c r="B229" s="18"/>
      <c r="C229" s="2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</row>
    <row r="230">
      <c r="B230" s="18"/>
      <c r="C230" s="2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</row>
    <row r="231">
      <c r="B231" s="18"/>
      <c r="C231" s="2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</row>
    <row r="232">
      <c r="B232" s="18"/>
      <c r="C232" s="2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</row>
    <row r="233">
      <c r="B233" s="18"/>
      <c r="C233" s="2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</row>
    <row r="234">
      <c r="B234" s="18"/>
      <c r="C234" s="2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</row>
    <row r="235">
      <c r="B235" s="18"/>
      <c r="C235" s="2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</row>
    <row r="236">
      <c r="B236" s="18"/>
      <c r="C236" s="2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</row>
    <row r="237">
      <c r="B237" s="18"/>
      <c r="C237" s="2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</row>
    <row r="238">
      <c r="B238" s="18"/>
      <c r="C238" s="2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</row>
    <row r="239">
      <c r="B239" s="18"/>
      <c r="C239" s="2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</row>
    <row r="240">
      <c r="B240" s="18"/>
      <c r="C240" s="2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</row>
    <row r="241">
      <c r="B241" s="18"/>
      <c r="C241" s="2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</row>
    <row r="242">
      <c r="B242" s="18"/>
      <c r="C242" s="2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</row>
    <row r="243">
      <c r="B243" s="18"/>
      <c r="C243" s="2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</row>
    <row r="244">
      <c r="B244" s="18"/>
      <c r="C244" s="2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</row>
    <row r="245">
      <c r="B245" s="18"/>
      <c r="C245" s="2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</row>
    <row r="246">
      <c r="B246" s="18"/>
      <c r="C246" s="2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</row>
    <row r="247">
      <c r="B247" s="18"/>
      <c r="C247" s="2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</row>
    <row r="248">
      <c r="B248" s="18"/>
      <c r="C248" s="2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</row>
    <row r="249">
      <c r="B249" s="18"/>
      <c r="C249" s="2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</row>
    <row r="250">
      <c r="B250" s="18"/>
      <c r="C250" s="2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</row>
    <row r="251">
      <c r="B251" s="18"/>
      <c r="C251" s="2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</row>
    <row r="252">
      <c r="B252" s="18"/>
      <c r="C252" s="2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</row>
    <row r="253">
      <c r="B253" s="18"/>
      <c r="C253" s="2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</row>
    <row r="254">
      <c r="B254" s="18"/>
      <c r="C254" s="2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</row>
    <row r="255">
      <c r="B255" s="18"/>
      <c r="C255" s="2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</row>
    <row r="256">
      <c r="B256" s="18"/>
      <c r="C256" s="2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</row>
    <row r="257">
      <c r="B257" s="18"/>
      <c r="C257" s="2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</row>
    <row r="258">
      <c r="B258" s="18"/>
      <c r="C258" s="23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</row>
    <row r="259">
      <c r="B259" s="18"/>
      <c r="C259" s="23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</row>
    <row r="260">
      <c r="B260" s="18"/>
      <c r="C260" s="23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</row>
    <row r="261">
      <c r="B261" s="18"/>
      <c r="C261" s="23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</row>
    <row r="262">
      <c r="B262" s="18"/>
      <c r="C262" s="23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</row>
    <row r="263">
      <c r="B263" s="18"/>
      <c r="C263" s="23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</row>
    <row r="264">
      <c r="B264" s="18"/>
      <c r="C264" s="23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</row>
    <row r="265">
      <c r="B265" s="18"/>
      <c r="C265" s="23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</row>
    <row r="266">
      <c r="B266" s="18"/>
      <c r="C266" s="23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</row>
    <row r="267">
      <c r="B267" s="18"/>
      <c r="C267" s="23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</row>
    <row r="268">
      <c r="B268" s="18"/>
      <c r="C268" s="23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</row>
    <row r="269">
      <c r="B269" s="18"/>
      <c r="C269" s="23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</row>
    <row r="270">
      <c r="B270" s="18"/>
      <c r="C270" s="23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</row>
    <row r="271">
      <c r="B271" s="18"/>
      <c r="C271" s="23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</row>
    <row r="272">
      <c r="B272" s="18"/>
      <c r="C272" s="23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</row>
    <row r="273">
      <c r="B273" s="18"/>
      <c r="C273" s="23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</row>
    <row r="274">
      <c r="B274" s="18"/>
      <c r="C274" s="23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</row>
    <row r="275">
      <c r="B275" s="18"/>
      <c r="C275" s="23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</row>
    <row r="276">
      <c r="B276" s="18"/>
      <c r="C276" s="23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</row>
    <row r="277">
      <c r="B277" s="18"/>
      <c r="C277" s="23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</row>
    <row r="278">
      <c r="B278" s="18"/>
      <c r="C278" s="23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</row>
    <row r="279">
      <c r="B279" s="18"/>
      <c r="C279" s="23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</row>
    <row r="280">
      <c r="B280" s="18"/>
      <c r="C280" s="23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</row>
    <row r="281">
      <c r="B281" s="18"/>
      <c r="C281" s="23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</row>
    <row r="282">
      <c r="B282" s="18"/>
      <c r="C282" s="23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</row>
    <row r="283">
      <c r="B283" s="18"/>
      <c r="C283" s="23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</row>
    <row r="284">
      <c r="B284" s="18"/>
      <c r="C284" s="23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</row>
    <row r="285">
      <c r="B285" s="18"/>
      <c r="C285" s="23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</row>
    <row r="286">
      <c r="B286" s="18"/>
      <c r="C286" s="23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</row>
    <row r="287">
      <c r="B287" s="18"/>
      <c r="C287" s="23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</row>
    <row r="288">
      <c r="B288" s="18"/>
      <c r="C288" s="23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</row>
    <row r="289">
      <c r="B289" s="18"/>
      <c r="C289" s="23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</row>
    <row r="290">
      <c r="B290" s="18"/>
      <c r="C290" s="23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</row>
    <row r="291">
      <c r="B291" s="18"/>
      <c r="C291" s="23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</row>
    <row r="292">
      <c r="B292" s="18"/>
      <c r="C292" s="23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</row>
    <row r="293">
      <c r="B293" s="18"/>
      <c r="C293" s="23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</row>
    <row r="294">
      <c r="B294" s="18"/>
      <c r="C294" s="23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</row>
    <row r="295">
      <c r="B295" s="18"/>
      <c r="C295" s="23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</row>
    <row r="296">
      <c r="B296" s="18"/>
      <c r="C296" s="23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</row>
    <row r="297">
      <c r="B297" s="18"/>
      <c r="C297" s="23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</row>
    <row r="298">
      <c r="B298" s="18"/>
      <c r="C298" s="23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</row>
    <row r="299">
      <c r="B299" s="18"/>
      <c r="C299" s="23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</row>
    <row r="300">
      <c r="B300" s="18"/>
      <c r="C300" s="23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</row>
    <row r="301">
      <c r="B301" s="18"/>
      <c r="C301" s="23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</row>
    <row r="302">
      <c r="B302" s="18"/>
      <c r="C302" s="23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</row>
    <row r="303">
      <c r="B303" s="18"/>
      <c r="C303" s="23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</row>
    <row r="304">
      <c r="B304" s="18"/>
      <c r="C304" s="23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</row>
    <row r="305">
      <c r="B305" s="18"/>
      <c r="C305" s="23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</row>
    <row r="306">
      <c r="B306" s="18"/>
      <c r="C306" s="23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</row>
    <row r="307">
      <c r="B307" s="18"/>
      <c r="C307" s="23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</row>
    <row r="308">
      <c r="B308" s="18"/>
      <c r="C308" s="23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</row>
    <row r="309">
      <c r="B309" s="18"/>
      <c r="C309" s="23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</row>
    <row r="310">
      <c r="B310" s="18"/>
      <c r="C310" s="23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</row>
    <row r="311">
      <c r="B311" s="18"/>
      <c r="C311" s="23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</row>
    <row r="312">
      <c r="B312" s="18"/>
      <c r="C312" s="23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</row>
    <row r="313">
      <c r="B313" s="18"/>
      <c r="C313" s="23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</row>
    <row r="314">
      <c r="B314" s="18"/>
      <c r="C314" s="23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</row>
    <row r="315">
      <c r="B315" s="18"/>
      <c r="C315" s="23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</row>
    <row r="316">
      <c r="B316" s="18"/>
      <c r="C316" s="23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</row>
    <row r="317">
      <c r="B317" s="18"/>
      <c r="C317" s="23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</row>
    <row r="318">
      <c r="B318" s="18"/>
      <c r="C318" s="23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</row>
    <row r="319">
      <c r="B319" s="18"/>
      <c r="C319" s="23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</row>
    <row r="320">
      <c r="B320" s="18"/>
      <c r="C320" s="23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</row>
    <row r="321">
      <c r="B321" s="18"/>
      <c r="C321" s="23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</row>
    <row r="322">
      <c r="B322" s="18"/>
      <c r="C322" s="23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</row>
    <row r="323">
      <c r="B323" s="18"/>
      <c r="C323" s="23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</row>
    <row r="324">
      <c r="B324" s="18"/>
      <c r="C324" s="23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</row>
    <row r="325">
      <c r="B325" s="18"/>
      <c r="C325" s="23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</row>
    <row r="326">
      <c r="B326" s="18"/>
      <c r="C326" s="23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</row>
    <row r="327">
      <c r="B327" s="18"/>
      <c r="C327" s="23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</row>
    <row r="328">
      <c r="B328" s="18"/>
      <c r="C328" s="23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</row>
    <row r="329">
      <c r="B329" s="18"/>
      <c r="C329" s="23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</row>
    <row r="330">
      <c r="B330" s="18"/>
      <c r="C330" s="23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</row>
    <row r="331">
      <c r="B331" s="18"/>
      <c r="C331" s="23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</row>
    <row r="332">
      <c r="B332" s="18"/>
      <c r="C332" s="23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</row>
    <row r="333">
      <c r="B333" s="18"/>
      <c r="C333" s="23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</row>
    <row r="334">
      <c r="B334" s="18"/>
      <c r="C334" s="23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</row>
    <row r="335">
      <c r="B335" s="18"/>
      <c r="C335" s="23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</row>
    <row r="336">
      <c r="B336" s="18"/>
      <c r="C336" s="23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</row>
    <row r="337">
      <c r="B337" s="18"/>
      <c r="C337" s="23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</row>
    <row r="338">
      <c r="B338" s="18"/>
      <c r="C338" s="23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</row>
    <row r="339">
      <c r="B339" s="18"/>
      <c r="C339" s="23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</row>
    <row r="340">
      <c r="B340" s="18"/>
      <c r="C340" s="23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</row>
    <row r="341">
      <c r="B341" s="18"/>
      <c r="C341" s="23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</row>
    <row r="342">
      <c r="B342" s="18"/>
      <c r="C342" s="23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</row>
    <row r="343">
      <c r="B343" s="18"/>
      <c r="C343" s="23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</row>
    <row r="344">
      <c r="B344" s="18"/>
      <c r="C344" s="23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</row>
    <row r="345">
      <c r="B345" s="18"/>
      <c r="C345" s="23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</row>
    <row r="346">
      <c r="B346" s="18"/>
      <c r="C346" s="23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</row>
    <row r="347">
      <c r="B347" s="18"/>
      <c r="C347" s="23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</row>
    <row r="348">
      <c r="B348" s="18"/>
      <c r="C348" s="23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</row>
    <row r="349">
      <c r="B349" s="18"/>
      <c r="C349" s="23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</row>
    <row r="350">
      <c r="B350" s="18"/>
      <c r="C350" s="23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</row>
    <row r="351">
      <c r="B351" s="18"/>
      <c r="C351" s="23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</row>
    <row r="352">
      <c r="B352" s="18"/>
      <c r="C352" s="23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</row>
    <row r="353">
      <c r="B353" s="18"/>
      <c r="C353" s="23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</row>
    <row r="354">
      <c r="B354" s="18"/>
      <c r="C354" s="23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</row>
    <row r="355">
      <c r="B355" s="18"/>
      <c r="C355" s="23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</row>
    <row r="356">
      <c r="B356" s="18"/>
      <c r="C356" s="23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</row>
    <row r="357">
      <c r="B357" s="18"/>
      <c r="C357" s="23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</row>
    <row r="358">
      <c r="B358" s="18"/>
      <c r="C358" s="23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</row>
    <row r="359">
      <c r="B359" s="18"/>
      <c r="C359" s="23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</row>
    <row r="360">
      <c r="B360" s="18"/>
      <c r="C360" s="23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</row>
    <row r="361">
      <c r="B361" s="18"/>
      <c r="C361" s="23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</row>
    <row r="362">
      <c r="B362" s="18"/>
      <c r="C362" s="23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</row>
    <row r="363">
      <c r="B363" s="18"/>
      <c r="C363" s="23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</row>
    <row r="364">
      <c r="B364" s="18"/>
      <c r="C364" s="23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</row>
    <row r="365">
      <c r="B365" s="18"/>
      <c r="C365" s="23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</row>
    <row r="366">
      <c r="B366" s="18"/>
      <c r="C366" s="23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</row>
    <row r="367">
      <c r="B367" s="18"/>
      <c r="C367" s="23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</row>
    <row r="368">
      <c r="B368" s="18"/>
      <c r="C368" s="23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</row>
    <row r="369">
      <c r="B369" s="18"/>
      <c r="C369" s="23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</row>
    <row r="370">
      <c r="B370" s="18"/>
      <c r="C370" s="23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</row>
    <row r="371">
      <c r="B371" s="18"/>
      <c r="C371" s="23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</row>
    <row r="372">
      <c r="B372" s="18"/>
      <c r="C372" s="23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</row>
    <row r="373">
      <c r="B373" s="18"/>
      <c r="C373" s="23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</row>
    <row r="374">
      <c r="B374" s="18"/>
      <c r="C374" s="23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</row>
    <row r="375">
      <c r="B375" s="18"/>
      <c r="C375" s="23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</row>
    <row r="376">
      <c r="B376" s="18"/>
      <c r="C376" s="23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</row>
    <row r="377">
      <c r="B377" s="18"/>
      <c r="C377" s="23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</row>
    <row r="378">
      <c r="B378" s="18"/>
      <c r="C378" s="23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</row>
    <row r="379">
      <c r="B379" s="18"/>
      <c r="C379" s="23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</row>
    <row r="380">
      <c r="B380" s="18"/>
      <c r="C380" s="23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</row>
    <row r="381">
      <c r="B381" s="18"/>
      <c r="C381" s="23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</row>
    <row r="382">
      <c r="B382" s="18"/>
      <c r="C382" s="23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</row>
    <row r="383">
      <c r="B383" s="18"/>
      <c r="C383" s="23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</row>
    <row r="384">
      <c r="B384" s="18"/>
      <c r="C384" s="23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</row>
    <row r="385">
      <c r="B385" s="18"/>
      <c r="C385" s="23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</row>
    <row r="386">
      <c r="B386" s="18"/>
      <c r="C386" s="23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</row>
    <row r="387">
      <c r="B387" s="18"/>
      <c r="C387" s="23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</row>
    <row r="388">
      <c r="B388" s="18"/>
      <c r="C388" s="23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</row>
    <row r="389">
      <c r="B389" s="18"/>
      <c r="C389" s="23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</row>
    <row r="390">
      <c r="B390" s="18"/>
      <c r="C390" s="23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</row>
    <row r="391">
      <c r="B391" s="18"/>
      <c r="C391" s="23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</row>
    <row r="392">
      <c r="B392" s="18"/>
      <c r="C392" s="23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</row>
    <row r="393">
      <c r="B393" s="18"/>
      <c r="C393" s="23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</row>
    <row r="394">
      <c r="B394" s="18"/>
      <c r="C394" s="23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</row>
    <row r="395">
      <c r="B395" s="18"/>
      <c r="C395" s="23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</row>
    <row r="396">
      <c r="B396" s="18"/>
      <c r="C396" s="23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</row>
    <row r="397">
      <c r="B397" s="18"/>
      <c r="C397" s="23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</row>
    <row r="398">
      <c r="B398" s="18"/>
      <c r="C398" s="23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</row>
    <row r="399">
      <c r="B399" s="18"/>
      <c r="C399" s="23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</row>
    <row r="400">
      <c r="B400" s="18"/>
      <c r="C400" s="23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</row>
    <row r="401">
      <c r="B401" s="18"/>
      <c r="C401" s="23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</row>
    <row r="402">
      <c r="B402" s="18"/>
      <c r="C402" s="23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</row>
    <row r="403">
      <c r="B403" s="18"/>
      <c r="C403" s="23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</row>
    <row r="404">
      <c r="B404" s="18"/>
      <c r="C404" s="23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</row>
    <row r="405">
      <c r="B405" s="18"/>
      <c r="C405" s="23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</row>
    <row r="406">
      <c r="B406" s="18"/>
      <c r="C406" s="23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</row>
    <row r="407">
      <c r="B407" s="18"/>
      <c r="C407" s="23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</row>
    <row r="408">
      <c r="B408" s="18"/>
      <c r="C408" s="23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</row>
    <row r="409">
      <c r="B409" s="18"/>
      <c r="C409" s="23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</row>
    <row r="410">
      <c r="B410" s="18"/>
      <c r="C410" s="23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</row>
    <row r="411">
      <c r="B411" s="18"/>
      <c r="C411" s="23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</row>
    <row r="412">
      <c r="B412" s="18"/>
      <c r="C412" s="23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</row>
    <row r="413">
      <c r="B413" s="18"/>
      <c r="C413" s="23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</row>
    <row r="414">
      <c r="B414" s="18"/>
      <c r="C414" s="23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</row>
    <row r="415">
      <c r="B415" s="18"/>
      <c r="C415" s="23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</row>
    <row r="416">
      <c r="B416" s="18"/>
      <c r="C416" s="23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</row>
    <row r="417">
      <c r="B417" s="18"/>
      <c r="C417" s="23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</row>
    <row r="418">
      <c r="B418" s="18"/>
      <c r="C418" s="23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</row>
    <row r="419">
      <c r="B419" s="18"/>
      <c r="C419" s="23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</row>
    <row r="420">
      <c r="B420" s="18"/>
      <c r="C420" s="23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</row>
    <row r="421">
      <c r="B421" s="18"/>
      <c r="C421" s="23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</row>
    <row r="422">
      <c r="B422" s="18"/>
      <c r="C422" s="23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</row>
    <row r="423">
      <c r="B423" s="18"/>
      <c r="C423" s="23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</row>
    <row r="424">
      <c r="B424" s="18"/>
      <c r="C424" s="23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</row>
    <row r="425">
      <c r="B425" s="18"/>
      <c r="C425" s="23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</row>
    <row r="426">
      <c r="B426" s="18"/>
      <c r="C426" s="23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</row>
    <row r="427">
      <c r="B427" s="18"/>
      <c r="C427" s="23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</row>
    <row r="428">
      <c r="B428" s="18"/>
      <c r="C428" s="23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</row>
    <row r="429">
      <c r="B429" s="18"/>
      <c r="C429" s="23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</row>
    <row r="430">
      <c r="B430" s="18"/>
      <c r="C430" s="23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</row>
    <row r="431">
      <c r="B431" s="18"/>
      <c r="C431" s="23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</row>
    <row r="432">
      <c r="B432" s="18"/>
      <c r="C432" s="23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</row>
    <row r="433">
      <c r="B433" s="18"/>
      <c r="C433" s="23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</row>
    <row r="434">
      <c r="B434" s="18"/>
      <c r="C434" s="23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</row>
    <row r="435">
      <c r="B435" s="18"/>
      <c r="C435" s="23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</row>
    <row r="436">
      <c r="B436" s="18"/>
      <c r="C436" s="23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</row>
    <row r="437">
      <c r="B437" s="18"/>
      <c r="C437" s="23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</row>
    <row r="438">
      <c r="B438" s="18"/>
      <c r="C438" s="23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</row>
    <row r="439">
      <c r="B439" s="18"/>
      <c r="C439" s="23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</row>
    <row r="440">
      <c r="B440" s="18"/>
      <c r="C440" s="23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</row>
    <row r="441">
      <c r="B441" s="18"/>
      <c r="C441" s="23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</row>
    <row r="442">
      <c r="B442" s="18"/>
      <c r="C442" s="23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</row>
    <row r="443">
      <c r="B443" s="18"/>
      <c r="C443" s="23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</row>
    <row r="444">
      <c r="B444" s="18"/>
      <c r="C444" s="23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</row>
    <row r="445">
      <c r="B445" s="18"/>
      <c r="C445" s="23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</row>
    <row r="446">
      <c r="B446" s="18"/>
      <c r="C446" s="23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</row>
    <row r="447">
      <c r="B447" s="18"/>
      <c r="C447" s="23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</row>
    <row r="448">
      <c r="B448" s="18"/>
      <c r="C448" s="23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</row>
    <row r="449">
      <c r="B449" s="18"/>
      <c r="C449" s="23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</row>
    <row r="450">
      <c r="B450" s="18"/>
      <c r="C450" s="23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</row>
    <row r="451">
      <c r="B451" s="18"/>
      <c r="C451" s="23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</row>
    <row r="452">
      <c r="B452" s="18"/>
      <c r="C452" s="23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</row>
    <row r="453">
      <c r="B453" s="18"/>
      <c r="C453" s="23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</row>
    <row r="454">
      <c r="B454" s="18"/>
      <c r="C454" s="23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</row>
    <row r="455">
      <c r="B455" s="18"/>
      <c r="C455" s="23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</row>
    <row r="456">
      <c r="B456" s="18"/>
      <c r="C456" s="23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</row>
    <row r="457">
      <c r="B457" s="18"/>
      <c r="C457" s="23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</row>
    <row r="458">
      <c r="B458" s="18"/>
      <c r="C458" s="23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</row>
    <row r="459">
      <c r="B459" s="18"/>
      <c r="C459" s="23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</row>
    <row r="460">
      <c r="B460" s="18"/>
      <c r="C460" s="23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</row>
    <row r="461">
      <c r="B461" s="18"/>
      <c r="C461" s="23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</row>
    <row r="462">
      <c r="B462" s="18"/>
      <c r="C462" s="23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</row>
    <row r="463">
      <c r="B463" s="18"/>
      <c r="C463" s="23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</row>
    <row r="464">
      <c r="B464" s="18"/>
      <c r="C464" s="23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</row>
    <row r="465">
      <c r="B465" s="18"/>
      <c r="C465" s="23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</row>
    <row r="466">
      <c r="B466" s="18"/>
      <c r="C466" s="23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</row>
    <row r="467">
      <c r="B467" s="18"/>
      <c r="C467" s="23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</row>
    <row r="468">
      <c r="B468" s="18"/>
      <c r="C468" s="23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</row>
    <row r="469">
      <c r="B469" s="18"/>
      <c r="C469" s="23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</row>
    <row r="470">
      <c r="B470" s="18"/>
      <c r="C470" s="23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</row>
    <row r="471">
      <c r="B471" s="18"/>
      <c r="C471" s="23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</row>
    <row r="472">
      <c r="B472" s="18"/>
      <c r="C472" s="23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</row>
    <row r="473">
      <c r="B473" s="18"/>
      <c r="C473" s="23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</row>
    <row r="474">
      <c r="B474" s="18"/>
      <c r="C474" s="23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</row>
    <row r="475">
      <c r="B475" s="18"/>
      <c r="C475" s="23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</row>
    <row r="476">
      <c r="B476" s="18"/>
      <c r="C476" s="23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</row>
    <row r="477">
      <c r="B477" s="18"/>
      <c r="C477" s="23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</row>
    <row r="478">
      <c r="B478" s="18"/>
      <c r="C478" s="23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</row>
    <row r="479">
      <c r="B479" s="18"/>
      <c r="C479" s="23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</row>
    <row r="480">
      <c r="B480" s="18"/>
      <c r="C480" s="23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</row>
    <row r="481">
      <c r="B481" s="18"/>
      <c r="C481" s="23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</row>
    <row r="482">
      <c r="B482" s="18"/>
      <c r="C482" s="23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</row>
    <row r="483">
      <c r="B483" s="18"/>
      <c r="C483" s="23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</row>
    <row r="484">
      <c r="B484" s="18"/>
      <c r="C484" s="23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</row>
    <row r="485">
      <c r="B485" s="18"/>
      <c r="C485" s="23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</row>
    <row r="486">
      <c r="B486" s="18"/>
      <c r="C486" s="23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</row>
    <row r="487">
      <c r="B487" s="18"/>
      <c r="C487" s="23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</row>
    <row r="488">
      <c r="B488" s="18"/>
      <c r="C488" s="23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</row>
    <row r="489">
      <c r="B489" s="18"/>
      <c r="C489" s="23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</row>
    <row r="490">
      <c r="B490" s="18"/>
      <c r="C490" s="23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</row>
    <row r="491">
      <c r="B491" s="18"/>
      <c r="C491" s="23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</row>
    <row r="492">
      <c r="B492" s="18"/>
      <c r="C492" s="23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</row>
    <row r="493">
      <c r="B493" s="18"/>
      <c r="C493" s="23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</row>
    <row r="494">
      <c r="B494" s="18"/>
      <c r="C494" s="23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</row>
    <row r="495">
      <c r="B495" s="18"/>
      <c r="C495" s="23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</row>
    <row r="496">
      <c r="B496" s="18"/>
      <c r="C496" s="23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</row>
    <row r="497">
      <c r="B497" s="18"/>
      <c r="C497" s="23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</row>
    <row r="498">
      <c r="B498" s="18"/>
      <c r="C498" s="23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</row>
    <row r="499">
      <c r="B499" s="18"/>
      <c r="C499" s="23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</row>
    <row r="500">
      <c r="B500" s="18"/>
      <c r="C500" s="23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</row>
    <row r="501">
      <c r="B501" s="18"/>
      <c r="C501" s="23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</row>
    <row r="502">
      <c r="B502" s="18"/>
      <c r="C502" s="23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</row>
    <row r="503">
      <c r="B503" s="18"/>
      <c r="C503" s="23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</row>
    <row r="504">
      <c r="B504" s="18"/>
      <c r="C504" s="23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</row>
    <row r="505">
      <c r="B505" s="18"/>
      <c r="C505" s="23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</row>
    <row r="506">
      <c r="B506" s="18"/>
      <c r="C506" s="23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</row>
    <row r="507">
      <c r="B507" s="18"/>
      <c r="C507" s="23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</row>
    <row r="508">
      <c r="B508" s="18"/>
      <c r="C508" s="23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</row>
    <row r="509">
      <c r="B509" s="18"/>
      <c r="C509" s="23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</row>
    <row r="510">
      <c r="B510" s="18"/>
      <c r="C510" s="23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</row>
    <row r="511">
      <c r="B511" s="18"/>
      <c r="C511" s="23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</row>
    <row r="512">
      <c r="B512" s="18"/>
      <c r="C512" s="23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</row>
    <row r="513">
      <c r="B513" s="18"/>
      <c r="C513" s="23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</row>
    <row r="514">
      <c r="B514" s="18"/>
      <c r="C514" s="23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</row>
    <row r="515">
      <c r="B515" s="18"/>
      <c r="C515" s="23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</row>
    <row r="516">
      <c r="B516" s="18"/>
      <c r="C516" s="23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</row>
    <row r="517">
      <c r="B517" s="18"/>
      <c r="C517" s="23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</row>
    <row r="518">
      <c r="B518" s="18"/>
      <c r="C518" s="23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</row>
    <row r="519">
      <c r="B519" s="18"/>
      <c r="C519" s="23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</row>
    <row r="520">
      <c r="B520" s="18"/>
      <c r="C520" s="23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</row>
    <row r="521">
      <c r="B521" s="18"/>
      <c r="C521" s="23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</row>
    <row r="522">
      <c r="B522" s="18"/>
      <c r="C522" s="23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</row>
    <row r="523">
      <c r="B523" s="18"/>
      <c r="C523" s="23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</row>
    <row r="524">
      <c r="B524" s="18"/>
      <c r="C524" s="23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</row>
    <row r="525">
      <c r="B525" s="18"/>
      <c r="C525" s="23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</row>
    <row r="526">
      <c r="B526" s="18"/>
      <c r="C526" s="23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</row>
    <row r="527">
      <c r="B527" s="18"/>
      <c r="C527" s="23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</row>
    <row r="528">
      <c r="B528" s="18"/>
      <c r="C528" s="23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</row>
    <row r="529">
      <c r="B529" s="18"/>
      <c r="C529" s="23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</row>
    <row r="530">
      <c r="B530" s="18"/>
      <c r="C530" s="23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</row>
    <row r="531">
      <c r="B531" s="18"/>
      <c r="C531" s="23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</row>
    <row r="532">
      <c r="B532" s="18"/>
      <c r="C532" s="23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</row>
    <row r="533">
      <c r="B533" s="18"/>
      <c r="C533" s="23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</row>
    <row r="534">
      <c r="B534" s="18"/>
      <c r="C534" s="23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</row>
    <row r="535">
      <c r="B535" s="18"/>
      <c r="C535" s="23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</row>
    <row r="536">
      <c r="B536" s="18"/>
      <c r="C536" s="23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</row>
    <row r="537">
      <c r="B537" s="18"/>
      <c r="C537" s="23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</row>
    <row r="538">
      <c r="B538" s="18"/>
      <c r="C538" s="23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</row>
    <row r="539">
      <c r="B539" s="18"/>
      <c r="C539" s="23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</row>
    <row r="540">
      <c r="B540" s="18"/>
      <c r="C540" s="23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</row>
    <row r="541">
      <c r="B541" s="18"/>
      <c r="C541" s="23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</row>
    <row r="542">
      <c r="B542" s="18"/>
      <c r="C542" s="23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</row>
    <row r="543">
      <c r="B543" s="18"/>
      <c r="C543" s="23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</row>
    <row r="544">
      <c r="B544" s="18"/>
      <c r="C544" s="23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</row>
    <row r="545">
      <c r="B545" s="18"/>
      <c r="C545" s="23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</row>
    <row r="546">
      <c r="B546" s="18"/>
      <c r="C546" s="23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</row>
    <row r="547">
      <c r="B547" s="18"/>
      <c r="C547" s="23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</row>
    <row r="548">
      <c r="B548" s="18"/>
      <c r="C548" s="23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</row>
    <row r="549">
      <c r="B549" s="18"/>
      <c r="C549" s="23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</row>
    <row r="550">
      <c r="B550" s="18"/>
      <c r="C550" s="23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</row>
    <row r="551">
      <c r="B551" s="18"/>
      <c r="C551" s="23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</row>
    <row r="552">
      <c r="B552" s="18"/>
      <c r="C552" s="23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</row>
    <row r="553">
      <c r="B553" s="18"/>
      <c r="C553" s="23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</row>
    <row r="554">
      <c r="B554" s="18"/>
      <c r="C554" s="23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</row>
    <row r="555">
      <c r="B555" s="18"/>
      <c r="C555" s="23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</row>
    <row r="556">
      <c r="B556" s="18"/>
      <c r="C556" s="23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</row>
    <row r="557">
      <c r="B557" s="18"/>
      <c r="C557" s="23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</row>
    <row r="558">
      <c r="B558" s="18"/>
      <c r="C558" s="23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</row>
    <row r="559">
      <c r="B559" s="18"/>
      <c r="C559" s="23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</row>
    <row r="560">
      <c r="B560" s="18"/>
      <c r="C560" s="23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</row>
    <row r="561">
      <c r="B561" s="18"/>
      <c r="C561" s="23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</row>
    <row r="562">
      <c r="B562" s="18"/>
      <c r="C562" s="23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</row>
    <row r="563">
      <c r="B563" s="18"/>
      <c r="C563" s="23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</row>
    <row r="564">
      <c r="B564" s="18"/>
      <c r="C564" s="23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</row>
    <row r="565">
      <c r="B565" s="18"/>
      <c r="C565" s="23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</row>
    <row r="566">
      <c r="B566" s="18"/>
      <c r="C566" s="23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</row>
    <row r="567">
      <c r="B567" s="18"/>
      <c r="C567" s="23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</row>
    <row r="568">
      <c r="B568" s="18"/>
      <c r="C568" s="23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</row>
    <row r="569">
      <c r="B569" s="18"/>
      <c r="C569" s="23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</row>
    <row r="570">
      <c r="B570" s="18"/>
      <c r="C570" s="23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</row>
    <row r="571">
      <c r="B571" s="18"/>
      <c r="C571" s="23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</row>
    <row r="572">
      <c r="B572" s="18"/>
      <c r="C572" s="23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</row>
    <row r="573">
      <c r="B573" s="18"/>
      <c r="C573" s="23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</row>
    <row r="574">
      <c r="B574" s="18"/>
      <c r="C574" s="23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</row>
    <row r="575">
      <c r="B575" s="18"/>
      <c r="C575" s="23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</row>
    <row r="576">
      <c r="B576" s="18"/>
      <c r="C576" s="23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</row>
    <row r="577">
      <c r="B577" s="18"/>
      <c r="C577" s="23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</row>
    <row r="578">
      <c r="B578" s="18"/>
      <c r="C578" s="23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</row>
    <row r="579">
      <c r="B579" s="18"/>
      <c r="C579" s="23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</row>
    <row r="580">
      <c r="B580" s="18"/>
      <c r="C580" s="23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</row>
    <row r="581">
      <c r="B581" s="18"/>
      <c r="C581" s="23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</row>
    <row r="582">
      <c r="B582" s="18"/>
      <c r="C582" s="23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</row>
    <row r="583">
      <c r="B583" s="18"/>
      <c r="C583" s="23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</row>
    <row r="584">
      <c r="B584" s="18"/>
      <c r="C584" s="23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</row>
    <row r="585">
      <c r="B585" s="18"/>
      <c r="C585" s="23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</row>
    <row r="586">
      <c r="B586" s="18"/>
      <c r="C586" s="23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</row>
    <row r="587">
      <c r="B587" s="18"/>
      <c r="C587" s="23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</row>
    <row r="588">
      <c r="B588" s="18"/>
      <c r="C588" s="23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</row>
    <row r="589">
      <c r="B589" s="18"/>
      <c r="C589" s="23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</row>
    <row r="590">
      <c r="B590" s="18"/>
      <c r="C590" s="23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</row>
    <row r="591">
      <c r="B591" s="18"/>
      <c r="C591" s="23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</row>
    <row r="592">
      <c r="B592" s="18"/>
      <c r="C592" s="23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</row>
    <row r="593">
      <c r="B593" s="18"/>
      <c r="C593" s="23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</row>
    <row r="594">
      <c r="B594" s="18"/>
      <c r="C594" s="23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</row>
    <row r="595">
      <c r="B595" s="18"/>
      <c r="C595" s="23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</row>
    <row r="596">
      <c r="B596" s="18"/>
      <c r="C596" s="23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</row>
    <row r="597">
      <c r="B597" s="18"/>
      <c r="C597" s="23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</row>
    <row r="598">
      <c r="B598" s="18"/>
      <c r="C598" s="23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</row>
    <row r="599">
      <c r="B599" s="18"/>
      <c r="C599" s="23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</row>
    <row r="600">
      <c r="B600" s="18"/>
      <c r="C600" s="23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</row>
    <row r="601">
      <c r="B601" s="18"/>
      <c r="C601" s="23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</row>
    <row r="602">
      <c r="B602" s="18"/>
      <c r="C602" s="23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</row>
    <row r="603">
      <c r="B603" s="18"/>
      <c r="C603" s="23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</row>
    <row r="604">
      <c r="B604" s="18"/>
      <c r="C604" s="23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</row>
    <row r="605">
      <c r="B605" s="18"/>
      <c r="C605" s="23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</row>
    <row r="606">
      <c r="B606" s="18"/>
      <c r="C606" s="23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</row>
    <row r="607">
      <c r="B607" s="18"/>
      <c r="C607" s="23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</row>
    <row r="608">
      <c r="B608" s="18"/>
      <c r="C608" s="23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</row>
    <row r="609">
      <c r="B609" s="18"/>
      <c r="C609" s="23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</row>
    <row r="610">
      <c r="B610" s="18"/>
      <c r="C610" s="23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</row>
    <row r="611">
      <c r="B611" s="18"/>
      <c r="C611" s="23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</row>
    <row r="612">
      <c r="B612" s="18"/>
      <c r="C612" s="23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</row>
    <row r="613">
      <c r="B613" s="18"/>
      <c r="C613" s="23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</row>
    <row r="614">
      <c r="B614" s="18"/>
      <c r="C614" s="23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</row>
    <row r="615">
      <c r="B615" s="18"/>
      <c r="C615" s="23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</row>
    <row r="616">
      <c r="B616" s="18"/>
      <c r="C616" s="23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</row>
    <row r="617">
      <c r="B617" s="18"/>
      <c r="C617" s="23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</row>
    <row r="618">
      <c r="B618" s="18"/>
      <c r="C618" s="23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</row>
    <row r="619">
      <c r="B619" s="18"/>
      <c r="C619" s="23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</row>
    <row r="620">
      <c r="B620" s="18"/>
      <c r="C620" s="23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</row>
    <row r="621">
      <c r="B621" s="18"/>
      <c r="C621" s="23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</row>
    <row r="622">
      <c r="B622" s="18"/>
      <c r="C622" s="23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</row>
    <row r="623">
      <c r="B623" s="18"/>
      <c r="C623" s="23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</row>
    <row r="624">
      <c r="B624" s="18"/>
      <c r="C624" s="23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</row>
    <row r="625">
      <c r="B625" s="18"/>
      <c r="C625" s="23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</row>
    <row r="626">
      <c r="B626" s="18"/>
      <c r="C626" s="23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</row>
    <row r="627">
      <c r="B627" s="18"/>
      <c r="C627" s="23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</row>
    <row r="628">
      <c r="B628" s="18"/>
      <c r="C628" s="23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</row>
    <row r="629">
      <c r="B629" s="18"/>
      <c r="C629" s="23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</row>
    <row r="630">
      <c r="B630" s="18"/>
      <c r="C630" s="23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</row>
    <row r="631">
      <c r="B631" s="18"/>
      <c r="C631" s="23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</row>
    <row r="632">
      <c r="B632" s="18"/>
      <c r="C632" s="23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</row>
    <row r="633">
      <c r="B633" s="18"/>
      <c r="C633" s="23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</row>
    <row r="634">
      <c r="B634" s="18"/>
      <c r="C634" s="23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</row>
    <row r="635">
      <c r="B635" s="18"/>
      <c r="C635" s="23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</row>
    <row r="636">
      <c r="B636" s="18"/>
      <c r="C636" s="23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</row>
    <row r="637">
      <c r="B637" s="18"/>
      <c r="C637" s="23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</row>
    <row r="638">
      <c r="B638" s="18"/>
      <c r="C638" s="23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</row>
    <row r="639">
      <c r="B639" s="18"/>
      <c r="C639" s="23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</row>
    <row r="640">
      <c r="B640" s="18"/>
      <c r="C640" s="23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</row>
    <row r="641">
      <c r="B641" s="18"/>
      <c r="C641" s="23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</row>
    <row r="642">
      <c r="B642" s="18"/>
      <c r="C642" s="23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</row>
    <row r="643">
      <c r="B643" s="18"/>
      <c r="C643" s="23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</row>
    <row r="644">
      <c r="B644" s="18"/>
      <c r="C644" s="23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</row>
    <row r="645">
      <c r="B645" s="18"/>
      <c r="C645" s="23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</row>
    <row r="646">
      <c r="B646" s="18"/>
      <c r="C646" s="23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</row>
    <row r="647">
      <c r="B647" s="18"/>
      <c r="C647" s="23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</row>
    <row r="648">
      <c r="B648" s="18"/>
      <c r="C648" s="23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</row>
    <row r="649">
      <c r="B649" s="18"/>
      <c r="C649" s="23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</row>
    <row r="650">
      <c r="B650" s="18"/>
      <c r="C650" s="23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</row>
    <row r="651">
      <c r="B651" s="18"/>
      <c r="C651" s="23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</row>
    <row r="652">
      <c r="B652" s="18"/>
      <c r="C652" s="23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</row>
    <row r="653">
      <c r="B653" s="18"/>
      <c r="C653" s="23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</row>
    <row r="654">
      <c r="B654" s="18"/>
      <c r="C654" s="23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</row>
    <row r="655">
      <c r="B655" s="18"/>
      <c r="C655" s="23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</row>
    <row r="656">
      <c r="B656" s="18"/>
      <c r="C656" s="23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</row>
    <row r="657">
      <c r="B657" s="18"/>
      <c r="C657" s="23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</row>
    <row r="658">
      <c r="B658" s="18"/>
      <c r="C658" s="23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</row>
    <row r="659">
      <c r="B659" s="18"/>
      <c r="C659" s="23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</row>
    <row r="660">
      <c r="B660" s="18"/>
      <c r="C660" s="23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</row>
    <row r="661">
      <c r="B661" s="18"/>
      <c r="C661" s="23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</row>
    <row r="662">
      <c r="B662" s="18"/>
      <c r="C662" s="23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</row>
    <row r="663">
      <c r="B663" s="18"/>
      <c r="C663" s="23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</row>
    <row r="664">
      <c r="B664" s="18"/>
      <c r="C664" s="23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</row>
    <row r="665">
      <c r="B665" s="18"/>
      <c r="C665" s="23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</row>
    <row r="666">
      <c r="B666" s="18"/>
      <c r="C666" s="23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</row>
    <row r="667">
      <c r="B667" s="18"/>
      <c r="C667" s="23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</row>
    <row r="668">
      <c r="B668" s="18"/>
      <c r="C668" s="23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</row>
    <row r="669">
      <c r="B669" s="18"/>
      <c r="C669" s="23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</row>
    <row r="670">
      <c r="B670" s="18"/>
      <c r="C670" s="23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</row>
    <row r="671">
      <c r="B671" s="18"/>
      <c r="C671" s="23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</row>
    <row r="672">
      <c r="B672" s="18"/>
      <c r="C672" s="23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</row>
    <row r="673">
      <c r="B673" s="18"/>
      <c r="C673" s="23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</row>
    <row r="674">
      <c r="B674" s="18"/>
      <c r="C674" s="23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</row>
    <row r="675">
      <c r="B675" s="18"/>
      <c r="C675" s="23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</row>
    <row r="676">
      <c r="B676" s="18"/>
      <c r="C676" s="23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</row>
    <row r="677">
      <c r="B677" s="18"/>
      <c r="C677" s="23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</row>
    <row r="678">
      <c r="B678" s="18"/>
      <c r="C678" s="23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</row>
    <row r="679">
      <c r="B679" s="18"/>
      <c r="C679" s="23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</row>
    <row r="680">
      <c r="B680" s="18"/>
      <c r="C680" s="23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</row>
    <row r="681">
      <c r="B681" s="18"/>
      <c r="C681" s="23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</row>
    <row r="682">
      <c r="B682" s="18"/>
      <c r="C682" s="23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</row>
    <row r="683">
      <c r="B683" s="18"/>
      <c r="C683" s="23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</row>
    <row r="684">
      <c r="B684" s="18"/>
      <c r="C684" s="23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</row>
    <row r="685">
      <c r="B685" s="18"/>
      <c r="C685" s="23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</row>
    <row r="686">
      <c r="B686" s="18"/>
      <c r="C686" s="23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</row>
    <row r="687">
      <c r="B687" s="18"/>
      <c r="C687" s="23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</row>
    <row r="688">
      <c r="B688" s="18"/>
      <c r="C688" s="23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</row>
    <row r="689">
      <c r="B689" s="18"/>
      <c r="C689" s="23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</row>
    <row r="690">
      <c r="B690" s="18"/>
      <c r="C690" s="23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</row>
    <row r="691">
      <c r="B691" s="18"/>
      <c r="C691" s="23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</row>
    <row r="692">
      <c r="B692" s="18"/>
      <c r="C692" s="23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</row>
    <row r="693">
      <c r="B693" s="18"/>
      <c r="C693" s="23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</row>
    <row r="694">
      <c r="B694" s="18"/>
      <c r="C694" s="23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</row>
    <row r="695">
      <c r="B695" s="18"/>
      <c r="C695" s="23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</row>
    <row r="696">
      <c r="B696" s="18"/>
      <c r="C696" s="23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</row>
    <row r="697">
      <c r="B697" s="18"/>
      <c r="C697" s="23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</row>
    <row r="698">
      <c r="B698" s="18"/>
      <c r="C698" s="23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</row>
    <row r="699">
      <c r="B699" s="18"/>
      <c r="C699" s="23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</row>
    <row r="700">
      <c r="B700" s="18"/>
      <c r="C700" s="23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</row>
    <row r="701">
      <c r="B701" s="18"/>
      <c r="C701" s="23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</row>
    <row r="702">
      <c r="B702" s="18"/>
      <c r="C702" s="23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</row>
    <row r="703">
      <c r="B703" s="18"/>
      <c r="C703" s="23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</row>
    <row r="704">
      <c r="B704" s="18"/>
      <c r="C704" s="23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</row>
    <row r="705">
      <c r="B705" s="18"/>
      <c r="C705" s="23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</row>
    <row r="706">
      <c r="B706" s="18"/>
      <c r="C706" s="23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</row>
    <row r="707">
      <c r="B707" s="18"/>
      <c r="C707" s="23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</row>
    <row r="708">
      <c r="B708" s="18"/>
      <c r="C708" s="23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</row>
    <row r="709">
      <c r="B709" s="18"/>
      <c r="C709" s="23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</row>
    <row r="710">
      <c r="B710" s="18"/>
      <c r="C710" s="23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</row>
    <row r="711">
      <c r="B711" s="18"/>
      <c r="C711" s="23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</row>
    <row r="712">
      <c r="B712" s="18"/>
      <c r="C712" s="23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</row>
    <row r="713">
      <c r="B713" s="18"/>
      <c r="C713" s="23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</row>
    <row r="714">
      <c r="B714" s="18"/>
      <c r="C714" s="23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</row>
    <row r="715">
      <c r="B715" s="18"/>
      <c r="C715" s="23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</row>
    <row r="716">
      <c r="B716" s="18"/>
      <c r="C716" s="23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</row>
    <row r="717">
      <c r="B717" s="18"/>
      <c r="C717" s="23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</row>
    <row r="718">
      <c r="B718" s="18"/>
      <c r="C718" s="23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</row>
    <row r="719">
      <c r="B719" s="18"/>
      <c r="C719" s="23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</row>
    <row r="720">
      <c r="B720" s="18"/>
      <c r="C720" s="23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</row>
    <row r="721">
      <c r="B721" s="18"/>
      <c r="C721" s="23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</row>
    <row r="722">
      <c r="B722" s="18"/>
      <c r="C722" s="23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</row>
    <row r="723">
      <c r="B723" s="18"/>
      <c r="C723" s="23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</row>
    <row r="724">
      <c r="B724" s="18"/>
      <c r="C724" s="23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</row>
    <row r="725">
      <c r="B725" s="18"/>
      <c r="C725" s="23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</row>
    <row r="726">
      <c r="B726" s="18"/>
      <c r="C726" s="23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</row>
    <row r="727">
      <c r="B727" s="18"/>
      <c r="C727" s="23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</row>
    <row r="728">
      <c r="B728" s="18"/>
      <c r="C728" s="23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</row>
    <row r="729">
      <c r="B729" s="18"/>
      <c r="C729" s="23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</row>
    <row r="730">
      <c r="B730" s="18"/>
      <c r="C730" s="23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</row>
    <row r="731">
      <c r="B731" s="18"/>
      <c r="C731" s="23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</row>
    <row r="732">
      <c r="B732" s="18"/>
      <c r="C732" s="23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</row>
    <row r="733">
      <c r="B733" s="18"/>
      <c r="C733" s="23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</row>
    <row r="734">
      <c r="B734" s="18"/>
      <c r="C734" s="23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</row>
    <row r="735">
      <c r="B735" s="18"/>
      <c r="C735" s="23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</row>
    <row r="736">
      <c r="B736" s="18"/>
      <c r="C736" s="23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</row>
    <row r="737">
      <c r="B737" s="18"/>
      <c r="C737" s="23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</row>
    <row r="738">
      <c r="B738" s="18"/>
      <c r="C738" s="23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</row>
    <row r="739">
      <c r="B739" s="18"/>
      <c r="C739" s="23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</row>
    <row r="740">
      <c r="B740" s="18"/>
      <c r="C740" s="23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</row>
    <row r="741">
      <c r="B741" s="18"/>
      <c r="C741" s="23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</row>
    <row r="742">
      <c r="B742" s="18"/>
      <c r="C742" s="23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</row>
    <row r="743">
      <c r="B743" s="18"/>
      <c r="C743" s="23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</row>
    <row r="744">
      <c r="B744" s="18"/>
      <c r="C744" s="23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</row>
    <row r="745">
      <c r="B745" s="18"/>
      <c r="C745" s="23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</row>
    <row r="746">
      <c r="B746" s="18"/>
      <c r="C746" s="23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</row>
    <row r="747">
      <c r="B747" s="18"/>
      <c r="C747" s="23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</row>
    <row r="748">
      <c r="B748" s="18"/>
      <c r="C748" s="23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</row>
    <row r="749">
      <c r="B749" s="18"/>
      <c r="C749" s="23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</row>
    <row r="750">
      <c r="B750" s="18"/>
      <c r="C750" s="23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</row>
    <row r="751">
      <c r="B751" s="18"/>
      <c r="C751" s="23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</row>
    <row r="752">
      <c r="B752" s="18"/>
      <c r="C752" s="23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</row>
    <row r="753">
      <c r="B753" s="18"/>
      <c r="C753" s="23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</row>
    <row r="754">
      <c r="B754" s="18"/>
      <c r="C754" s="23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</row>
    <row r="755">
      <c r="B755" s="18"/>
      <c r="C755" s="23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</row>
    <row r="756">
      <c r="B756" s="18"/>
      <c r="C756" s="23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</row>
    <row r="757">
      <c r="B757" s="18"/>
      <c r="C757" s="23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</row>
    <row r="758">
      <c r="B758" s="18"/>
      <c r="C758" s="23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</row>
    <row r="759">
      <c r="B759" s="18"/>
      <c r="C759" s="23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</row>
    <row r="760">
      <c r="B760" s="18"/>
      <c r="C760" s="23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</row>
    <row r="761">
      <c r="B761" s="18"/>
      <c r="C761" s="23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</row>
    <row r="762">
      <c r="B762" s="18"/>
      <c r="C762" s="23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</row>
    <row r="763">
      <c r="B763" s="18"/>
      <c r="C763" s="23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</row>
    <row r="764">
      <c r="B764" s="18"/>
      <c r="C764" s="23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</row>
    <row r="765">
      <c r="B765" s="18"/>
      <c r="C765" s="23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</row>
    <row r="766">
      <c r="B766" s="18"/>
      <c r="C766" s="23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</row>
    <row r="767">
      <c r="B767" s="18"/>
      <c r="C767" s="23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</row>
    <row r="768">
      <c r="B768" s="18"/>
      <c r="C768" s="23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</row>
    <row r="769">
      <c r="B769" s="18"/>
      <c r="C769" s="23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</row>
    <row r="770">
      <c r="B770" s="18"/>
      <c r="C770" s="23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</row>
    <row r="771">
      <c r="B771" s="18"/>
      <c r="C771" s="23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</row>
    <row r="772">
      <c r="B772" s="18"/>
      <c r="C772" s="23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</row>
    <row r="773">
      <c r="B773" s="18"/>
      <c r="C773" s="23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</row>
    <row r="774">
      <c r="B774" s="18"/>
      <c r="C774" s="23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</row>
    <row r="775">
      <c r="B775" s="18"/>
      <c r="C775" s="23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</row>
    <row r="776">
      <c r="B776" s="18"/>
      <c r="C776" s="23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</row>
    <row r="777">
      <c r="B777" s="18"/>
      <c r="C777" s="23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</row>
    <row r="778">
      <c r="B778" s="18"/>
      <c r="C778" s="23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</row>
    <row r="779">
      <c r="B779" s="18"/>
      <c r="C779" s="23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</row>
    <row r="780">
      <c r="B780" s="18"/>
      <c r="C780" s="23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</row>
    <row r="781">
      <c r="B781" s="18"/>
      <c r="C781" s="23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</row>
    <row r="782">
      <c r="B782" s="18"/>
      <c r="C782" s="23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</row>
    <row r="783">
      <c r="B783" s="18"/>
      <c r="C783" s="23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</row>
    <row r="784">
      <c r="B784" s="18"/>
      <c r="C784" s="23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</row>
    <row r="785">
      <c r="B785" s="18"/>
      <c r="C785" s="23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</row>
    <row r="786">
      <c r="B786" s="18"/>
      <c r="C786" s="23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</row>
    <row r="787">
      <c r="B787" s="18"/>
      <c r="C787" s="23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</row>
    <row r="788">
      <c r="B788" s="18"/>
      <c r="C788" s="23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</row>
    <row r="789">
      <c r="B789" s="18"/>
      <c r="C789" s="23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</row>
    <row r="790">
      <c r="B790" s="18"/>
      <c r="C790" s="23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</row>
    <row r="791">
      <c r="B791" s="18"/>
      <c r="C791" s="23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</row>
    <row r="792">
      <c r="B792" s="18"/>
      <c r="C792" s="23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</row>
    <row r="793">
      <c r="B793" s="18"/>
      <c r="C793" s="23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</row>
    <row r="794">
      <c r="B794" s="18"/>
      <c r="C794" s="23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</row>
    <row r="795">
      <c r="B795" s="18"/>
      <c r="C795" s="23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</row>
    <row r="796">
      <c r="B796" s="18"/>
      <c r="C796" s="23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</row>
    <row r="797">
      <c r="B797" s="18"/>
      <c r="C797" s="23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</row>
    <row r="798">
      <c r="B798" s="18"/>
      <c r="C798" s="23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</row>
    <row r="799">
      <c r="B799" s="18"/>
      <c r="C799" s="23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</row>
    <row r="800">
      <c r="B800" s="18"/>
      <c r="C800" s="23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</row>
    <row r="801">
      <c r="B801" s="18"/>
      <c r="C801" s="23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</row>
    <row r="802">
      <c r="B802" s="18"/>
      <c r="C802" s="23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</row>
    <row r="803">
      <c r="B803" s="18"/>
      <c r="C803" s="23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</row>
    <row r="804">
      <c r="B804" s="18"/>
      <c r="C804" s="23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</row>
    <row r="805">
      <c r="B805" s="18"/>
      <c r="C805" s="23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</row>
    <row r="806">
      <c r="B806" s="18"/>
      <c r="C806" s="23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</row>
    <row r="807">
      <c r="B807" s="18"/>
      <c r="C807" s="23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</row>
    <row r="808">
      <c r="B808" s="18"/>
      <c r="C808" s="23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</row>
    <row r="809">
      <c r="B809" s="18"/>
      <c r="C809" s="23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</row>
    <row r="810">
      <c r="B810" s="18"/>
      <c r="C810" s="23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</row>
    <row r="811">
      <c r="B811" s="18"/>
      <c r="C811" s="23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</row>
    <row r="812">
      <c r="B812" s="18"/>
      <c r="C812" s="23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</row>
    <row r="813">
      <c r="B813" s="18"/>
      <c r="C813" s="23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</row>
    <row r="814">
      <c r="B814" s="18"/>
      <c r="C814" s="23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</row>
    <row r="815">
      <c r="B815" s="18"/>
      <c r="C815" s="23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</row>
    <row r="816">
      <c r="B816" s="18"/>
      <c r="C816" s="23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</row>
    <row r="817">
      <c r="B817" s="18"/>
      <c r="C817" s="23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</row>
    <row r="818">
      <c r="B818" s="18"/>
      <c r="C818" s="23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</row>
    <row r="819">
      <c r="B819" s="18"/>
      <c r="C819" s="23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</row>
    <row r="820">
      <c r="B820" s="18"/>
      <c r="C820" s="23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</row>
    <row r="821">
      <c r="B821" s="18"/>
      <c r="C821" s="23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</row>
    <row r="822">
      <c r="B822" s="18"/>
      <c r="C822" s="23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</row>
    <row r="823">
      <c r="B823" s="18"/>
      <c r="C823" s="23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</row>
    <row r="824">
      <c r="B824" s="18"/>
      <c r="C824" s="23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</row>
    <row r="825">
      <c r="B825" s="18"/>
      <c r="C825" s="23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</row>
    <row r="826">
      <c r="B826" s="18"/>
      <c r="C826" s="23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</row>
    <row r="827">
      <c r="B827" s="18"/>
      <c r="C827" s="23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</row>
    <row r="828">
      <c r="B828" s="18"/>
      <c r="C828" s="23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</row>
    <row r="829">
      <c r="B829" s="18"/>
      <c r="C829" s="23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</row>
    <row r="830">
      <c r="B830" s="18"/>
      <c r="C830" s="23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</row>
    <row r="831">
      <c r="B831" s="18"/>
      <c r="C831" s="23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</row>
    <row r="832">
      <c r="B832" s="18"/>
      <c r="C832" s="23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</row>
    <row r="833">
      <c r="B833" s="18"/>
      <c r="C833" s="23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</row>
    <row r="834">
      <c r="B834" s="18"/>
      <c r="C834" s="23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</row>
    <row r="835">
      <c r="B835" s="18"/>
      <c r="C835" s="23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</row>
    <row r="836">
      <c r="B836" s="18"/>
      <c r="C836" s="23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</row>
    <row r="837">
      <c r="B837" s="18"/>
      <c r="C837" s="23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</row>
    <row r="838">
      <c r="B838" s="18"/>
      <c r="C838" s="23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</row>
    <row r="839">
      <c r="B839" s="18"/>
      <c r="C839" s="23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</row>
    <row r="840">
      <c r="B840" s="18"/>
      <c r="C840" s="23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</row>
    <row r="841">
      <c r="B841" s="18"/>
      <c r="C841" s="23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</row>
    <row r="842">
      <c r="B842" s="18"/>
      <c r="C842" s="23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</row>
    <row r="843">
      <c r="B843" s="18"/>
      <c r="C843" s="23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</row>
    <row r="844">
      <c r="B844" s="18"/>
      <c r="C844" s="23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</row>
    <row r="845">
      <c r="B845" s="18"/>
      <c r="C845" s="23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</row>
    <row r="846">
      <c r="B846" s="18"/>
      <c r="C846" s="23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</row>
    <row r="847">
      <c r="B847" s="18"/>
      <c r="C847" s="23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</row>
    <row r="848">
      <c r="B848" s="18"/>
      <c r="C848" s="23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</row>
    <row r="849">
      <c r="B849" s="18"/>
      <c r="C849" s="23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</row>
    <row r="850">
      <c r="B850" s="18"/>
      <c r="C850" s="23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</row>
    <row r="851">
      <c r="B851" s="18"/>
      <c r="C851" s="23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</row>
    <row r="852">
      <c r="B852" s="18"/>
      <c r="C852" s="23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</row>
    <row r="853">
      <c r="B853" s="18"/>
      <c r="C853" s="23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</row>
    <row r="854">
      <c r="B854" s="18"/>
      <c r="C854" s="23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</row>
    <row r="855">
      <c r="B855" s="18"/>
      <c r="C855" s="23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</row>
    <row r="856">
      <c r="B856" s="18"/>
      <c r="C856" s="23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</row>
    <row r="857">
      <c r="B857" s="18"/>
      <c r="C857" s="23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</row>
    <row r="858">
      <c r="B858" s="18"/>
      <c r="C858" s="23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</row>
    <row r="859">
      <c r="B859" s="18"/>
      <c r="C859" s="23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</row>
    <row r="860">
      <c r="B860" s="18"/>
      <c r="C860" s="23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</row>
    <row r="861">
      <c r="B861" s="18"/>
      <c r="C861" s="23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</row>
    <row r="862">
      <c r="B862" s="18"/>
      <c r="C862" s="23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</row>
    <row r="863">
      <c r="B863" s="18"/>
      <c r="C863" s="23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</row>
    <row r="864">
      <c r="B864" s="18"/>
      <c r="C864" s="23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</row>
    <row r="865">
      <c r="B865" s="18"/>
      <c r="C865" s="23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</row>
    <row r="866">
      <c r="B866" s="18"/>
      <c r="C866" s="23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</row>
    <row r="867">
      <c r="B867" s="18"/>
      <c r="C867" s="23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</row>
    <row r="868">
      <c r="B868" s="18"/>
      <c r="C868" s="23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</row>
    <row r="869">
      <c r="B869" s="18"/>
      <c r="C869" s="23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</row>
    <row r="870">
      <c r="B870" s="18"/>
      <c r="C870" s="23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</row>
    <row r="871">
      <c r="B871" s="18"/>
      <c r="C871" s="23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</row>
    <row r="872">
      <c r="B872" s="18"/>
      <c r="C872" s="23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</row>
    <row r="873">
      <c r="B873" s="18"/>
      <c r="C873" s="23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</row>
    <row r="874">
      <c r="B874" s="18"/>
      <c r="C874" s="23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</row>
    <row r="875">
      <c r="B875" s="18"/>
      <c r="C875" s="23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</row>
    <row r="876">
      <c r="B876" s="18"/>
      <c r="C876" s="23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</row>
    <row r="877">
      <c r="B877" s="18"/>
      <c r="C877" s="23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</row>
    <row r="878">
      <c r="B878" s="18"/>
      <c r="C878" s="23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</row>
    <row r="879">
      <c r="B879" s="18"/>
      <c r="C879" s="23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</row>
    <row r="880">
      <c r="B880" s="18"/>
      <c r="C880" s="23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</row>
    <row r="881">
      <c r="B881" s="18"/>
      <c r="C881" s="23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</row>
    <row r="882">
      <c r="B882" s="18"/>
      <c r="C882" s="23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</row>
    <row r="883">
      <c r="B883" s="18"/>
      <c r="C883" s="23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</row>
    <row r="884">
      <c r="B884" s="18"/>
      <c r="C884" s="23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</row>
    <row r="885">
      <c r="B885" s="18"/>
      <c r="C885" s="23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</row>
    <row r="886">
      <c r="B886" s="18"/>
      <c r="C886" s="23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</row>
    <row r="887">
      <c r="B887" s="18"/>
      <c r="C887" s="23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</row>
    <row r="888">
      <c r="B888" s="18"/>
      <c r="C888" s="23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</row>
    <row r="889">
      <c r="B889" s="18"/>
      <c r="C889" s="23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</row>
    <row r="890">
      <c r="B890" s="18"/>
      <c r="C890" s="23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</row>
    <row r="891">
      <c r="B891" s="18"/>
      <c r="C891" s="23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</row>
    <row r="892">
      <c r="B892" s="18"/>
      <c r="C892" s="23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</row>
    <row r="893">
      <c r="B893" s="18"/>
      <c r="C893" s="23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</row>
    <row r="894">
      <c r="B894" s="18"/>
      <c r="C894" s="23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</row>
    <row r="895">
      <c r="B895" s="18"/>
      <c r="C895" s="23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</row>
    <row r="896">
      <c r="B896" s="18"/>
      <c r="C896" s="23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</row>
    <row r="897">
      <c r="B897" s="18"/>
      <c r="C897" s="23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</row>
    <row r="898">
      <c r="B898" s="18"/>
      <c r="C898" s="23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</row>
    <row r="899">
      <c r="B899" s="18"/>
      <c r="C899" s="23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</row>
    <row r="900">
      <c r="B900" s="18"/>
      <c r="C900" s="23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</row>
    <row r="901">
      <c r="B901" s="18"/>
      <c r="C901" s="23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</row>
    <row r="902">
      <c r="B902" s="18"/>
      <c r="C902" s="23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</row>
    <row r="903">
      <c r="B903" s="18"/>
      <c r="C903" s="23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</row>
    <row r="904">
      <c r="B904" s="18"/>
      <c r="C904" s="23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</row>
    <row r="905">
      <c r="B905" s="18"/>
      <c r="C905" s="23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</row>
    <row r="906">
      <c r="B906" s="18"/>
      <c r="C906" s="23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</row>
    <row r="907">
      <c r="B907" s="18"/>
      <c r="C907" s="23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</row>
    <row r="908">
      <c r="B908" s="18"/>
      <c r="C908" s="23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</row>
    <row r="909">
      <c r="B909" s="18"/>
      <c r="C909" s="23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</row>
    <row r="910">
      <c r="B910" s="18"/>
      <c r="C910" s="23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</row>
    <row r="911">
      <c r="B911" s="18"/>
      <c r="C911" s="23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</row>
    <row r="912">
      <c r="B912" s="18"/>
      <c r="C912" s="23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</row>
    <row r="913">
      <c r="B913" s="18"/>
      <c r="C913" s="23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</row>
    <row r="914">
      <c r="B914" s="18"/>
      <c r="C914" s="23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</row>
    <row r="915">
      <c r="B915" s="18"/>
      <c r="C915" s="23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</row>
    <row r="916">
      <c r="B916" s="18"/>
      <c r="C916" s="23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</row>
    <row r="917">
      <c r="B917" s="18"/>
      <c r="C917" s="23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</row>
    <row r="918">
      <c r="B918" s="18"/>
      <c r="C918" s="23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</row>
    <row r="919">
      <c r="B919" s="18"/>
      <c r="C919" s="23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</row>
    <row r="920">
      <c r="B920" s="18"/>
      <c r="C920" s="23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</row>
    <row r="921">
      <c r="B921" s="18"/>
      <c r="C921" s="23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</row>
    <row r="922">
      <c r="B922" s="18"/>
      <c r="C922" s="23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</row>
    <row r="923">
      <c r="B923" s="18"/>
      <c r="C923" s="23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</row>
    <row r="924">
      <c r="B924" s="18"/>
      <c r="C924" s="23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</row>
    <row r="925">
      <c r="B925" s="18"/>
      <c r="C925" s="23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</row>
    <row r="926">
      <c r="B926" s="18"/>
      <c r="C926" s="23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</row>
    <row r="927">
      <c r="B927" s="18"/>
      <c r="C927" s="23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</row>
    <row r="928">
      <c r="B928" s="18"/>
      <c r="C928" s="23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</row>
    <row r="929">
      <c r="B929" s="18"/>
      <c r="C929" s="23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</row>
    <row r="930">
      <c r="B930" s="18"/>
      <c r="C930" s="23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</row>
    <row r="931">
      <c r="B931" s="18"/>
      <c r="C931" s="23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</row>
    <row r="932">
      <c r="B932" s="18"/>
      <c r="C932" s="23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</row>
    <row r="933">
      <c r="B933" s="18"/>
      <c r="C933" s="23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</row>
    <row r="934">
      <c r="B934" s="18"/>
      <c r="C934" s="23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</row>
    <row r="935">
      <c r="B935" s="18"/>
      <c r="C935" s="23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</row>
    <row r="936">
      <c r="B936" s="18"/>
      <c r="C936" s="23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</row>
    <row r="937">
      <c r="B937" s="18"/>
      <c r="C937" s="23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</row>
    <row r="938">
      <c r="B938" s="18"/>
      <c r="C938" s="23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</row>
    <row r="939">
      <c r="B939" s="18"/>
      <c r="C939" s="23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</row>
    <row r="940">
      <c r="B940" s="18"/>
      <c r="C940" s="23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</row>
    <row r="941">
      <c r="B941" s="18"/>
      <c r="C941" s="23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</row>
    <row r="942">
      <c r="B942" s="18"/>
      <c r="C942" s="23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</row>
    <row r="943">
      <c r="B943" s="18"/>
      <c r="C943" s="23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</row>
    <row r="944">
      <c r="B944" s="18"/>
      <c r="C944" s="23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</row>
    <row r="945">
      <c r="B945" s="18"/>
      <c r="C945" s="23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</row>
    <row r="946">
      <c r="B946" s="18"/>
      <c r="C946" s="23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</row>
    <row r="947">
      <c r="B947" s="18"/>
      <c r="C947" s="23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</row>
    <row r="948">
      <c r="B948" s="18"/>
      <c r="C948" s="23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</row>
    <row r="949">
      <c r="B949" s="18"/>
      <c r="C949" s="23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</row>
    <row r="950">
      <c r="B950" s="18"/>
      <c r="C950" s="23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</row>
    <row r="951">
      <c r="B951" s="18"/>
      <c r="C951" s="23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</row>
    <row r="952">
      <c r="B952" s="18"/>
      <c r="C952" s="23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</row>
    <row r="953">
      <c r="B953" s="18"/>
      <c r="C953" s="23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</row>
    <row r="954">
      <c r="B954" s="18"/>
      <c r="C954" s="23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</row>
    <row r="955">
      <c r="B955" s="18"/>
      <c r="C955" s="23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</row>
    <row r="956">
      <c r="B956" s="18"/>
      <c r="C956" s="23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</row>
    <row r="957">
      <c r="B957" s="18"/>
      <c r="C957" s="23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</row>
    <row r="958">
      <c r="B958" s="18"/>
      <c r="C958" s="23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</row>
    <row r="959">
      <c r="B959" s="18"/>
      <c r="C959" s="23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</row>
    <row r="960">
      <c r="B960" s="18"/>
      <c r="C960" s="23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</row>
    <row r="961">
      <c r="B961" s="18"/>
      <c r="C961" s="23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</row>
    <row r="962">
      <c r="B962" s="18"/>
      <c r="C962" s="23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</row>
    <row r="963">
      <c r="B963" s="18"/>
      <c r="C963" s="23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</row>
    <row r="964">
      <c r="B964" s="18"/>
      <c r="C964" s="23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</row>
    <row r="965">
      <c r="B965" s="18"/>
      <c r="C965" s="23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</row>
    <row r="966">
      <c r="B966" s="18"/>
      <c r="C966" s="23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</row>
    <row r="967">
      <c r="B967" s="18"/>
      <c r="C967" s="23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</row>
    <row r="968">
      <c r="B968" s="18"/>
      <c r="C968" s="23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</row>
    <row r="969">
      <c r="B969" s="18"/>
      <c r="C969" s="23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</row>
    <row r="970">
      <c r="B970" s="18"/>
      <c r="C970" s="23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</row>
    <row r="971">
      <c r="B971" s="18"/>
      <c r="C971" s="23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</row>
    <row r="972">
      <c r="B972" s="18"/>
      <c r="C972" s="23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</row>
    <row r="973">
      <c r="B973" s="18"/>
      <c r="C973" s="23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</row>
    <row r="974">
      <c r="B974" s="18"/>
      <c r="C974" s="23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</row>
    <row r="975">
      <c r="B975" s="18"/>
      <c r="C975" s="23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</row>
    <row r="976">
      <c r="B976" s="18"/>
      <c r="C976" s="23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</row>
    <row r="977">
      <c r="B977" s="18"/>
      <c r="C977" s="23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</row>
    <row r="978">
      <c r="B978" s="18"/>
      <c r="C978" s="23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</row>
    <row r="979">
      <c r="B979" s="18"/>
      <c r="C979" s="23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</row>
    <row r="980">
      <c r="B980" s="18"/>
      <c r="C980" s="23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</row>
    <row r="981">
      <c r="B981" s="18"/>
      <c r="C981" s="23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</row>
    <row r="982">
      <c r="B982" s="18"/>
      <c r="C982" s="23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</row>
    <row r="983">
      <c r="B983" s="18"/>
      <c r="C983" s="23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</row>
    <row r="984">
      <c r="B984" s="18"/>
      <c r="C984" s="23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</row>
    <row r="985">
      <c r="B985" s="18"/>
      <c r="C985" s="23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</row>
    <row r="986">
      <c r="B986" s="18"/>
      <c r="C986" s="23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</row>
    <row r="987">
      <c r="B987" s="18"/>
      <c r="C987" s="23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</row>
    <row r="988">
      <c r="B988" s="18"/>
      <c r="C988" s="23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</row>
    <row r="989">
      <c r="B989" s="18"/>
      <c r="C989" s="23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</row>
    <row r="990">
      <c r="B990" s="18"/>
      <c r="C990" s="23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</row>
    <row r="991">
      <c r="B991" s="18"/>
      <c r="C991" s="23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</row>
    <row r="992">
      <c r="B992" s="18"/>
      <c r="C992" s="23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</row>
    <row r="993">
      <c r="B993" s="18"/>
      <c r="C993" s="23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</row>
    <row r="994">
      <c r="B994" s="18"/>
      <c r="C994" s="23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</row>
    <row r="995">
      <c r="B995" s="18"/>
      <c r="C995" s="23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</row>
    <row r="996">
      <c r="B996" s="18"/>
      <c r="C996" s="23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</row>
    <row r="997">
      <c r="B997" s="18"/>
      <c r="C997" s="23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</row>
    <row r="998">
      <c r="B998" s="18"/>
      <c r="C998" s="23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</row>
    <row r="999">
      <c r="B999" s="18"/>
      <c r="C999" s="23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</row>
    <row r="1000">
      <c r="B1000" s="18"/>
      <c r="C1000" s="23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</row>
    <row r="1001">
      <c r="B1001" s="18"/>
      <c r="C1001" s="23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</row>
    <row r="1002">
      <c r="B1002" s="18"/>
      <c r="C1002" s="23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</row>
    <row r="1003">
      <c r="B1003" s="18"/>
      <c r="C1003" s="23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9.13"/>
    <col customWidth="1" min="3" max="103" width="16.75"/>
  </cols>
  <sheetData>
    <row r="1">
      <c r="A1" s="1" t="str">
        <f>Specs!C1</f>
        <v>SwitchCampus</v>
      </c>
      <c r="B1" s="2" t="s">
        <v>0</v>
      </c>
      <c r="C1" s="3" t="str">
        <f t="array" ref="C1">INDEX(D1:CY1, MATCH(1, D16:CY16, 0))</f>
        <v>C9500-48Y4C</v>
      </c>
      <c r="D1" s="30" t="s">
        <v>32</v>
      </c>
      <c r="E1" s="30" t="s">
        <v>33</v>
      </c>
      <c r="F1" s="30" t="s">
        <v>34</v>
      </c>
      <c r="G1" s="30" t="s">
        <v>35</v>
      </c>
      <c r="H1" s="30" t="s">
        <v>36</v>
      </c>
      <c r="I1" s="30" t="s">
        <v>37</v>
      </c>
      <c r="J1" s="30" t="s">
        <v>38</v>
      </c>
      <c r="K1" s="30" t="s">
        <v>39</v>
      </c>
      <c r="L1" s="30" t="s">
        <v>40</v>
      </c>
      <c r="M1" s="30" t="s">
        <v>41</v>
      </c>
      <c r="N1" s="30" t="s">
        <v>42</v>
      </c>
      <c r="O1" s="30" t="s">
        <v>43</v>
      </c>
      <c r="P1" s="30" t="s">
        <v>44</v>
      </c>
      <c r="Q1" s="30" t="s">
        <v>45</v>
      </c>
      <c r="R1" s="30" t="s">
        <v>46</v>
      </c>
      <c r="S1" s="30" t="s">
        <v>47</v>
      </c>
      <c r="T1" s="30" t="s">
        <v>48</v>
      </c>
      <c r="U1" s="30" t="s">
        <v>49</v>
      </c>
      <c r="V1" s="30" t="s">
        <v>50</v>
      </c>
      <c r="W1" s="30" t="s">
        <v>51</v>
      </c>
      <c r="X1" s="30" t="s">
        <v>52</v>
      </c>
      <c r="Y1" s="30" t="s">
        <v>53</v>
      </c>
      <c r="Z1" s="30" t="s">
        <v>54</v>
      </c>
      <c r="AA1" s="30" t="s">
        <v>55</v>
      </c>
      <c r="AB1" s="30" t="s">
        <v>56</v>
      </c>
      <c r="AC1" s="30" t="s">
        <v>57</v>
      </c>
      <c r="AD1" s="30" t="s">
        <v>58</v>
      </c>
      <c r="AE1" s="30" t="s">
        <v>59</v>
      </c>
      <c r="AF1" s="30" t="s">
        <v>60</v>
      </c>
      <c r="AG1" s="30" t="s">
        <v>61</v>
      </c>
      <c r="AH1" s="30" t="s">
        <v>62</v>
      </c>
      <c r="AI1" s="30" t="s">
        <v>63</v>
      </c>
      <c r="AJ1" s="30" t="s">
        <v>64</v>
      </c>
      <c r="AK1" s="30" t="s">
        <v>65</v>
      </c>
      <c r="AL1" s="30" t="s">
        <v>66</v>
      </c>
      <c r="AM1" s="30" t="s">
        <v>67</v>
      </c>
      <c r="AN1" s="30" t="s">
        <v>68</v>
      </c>
      <c r="AO1" s="30" t="s">
        <v>69</v>
      </c>
      <c r="AP1" s="30" t="s">
        <v>70</v>
      </c>
      <c r="AQ1" s="30" t="s">
        <v>71</v>
      </c>
      <c r="AR1" s="30" t="s">
        <v>72</v>
      </c>
      <c r="AS1" s="30" t="s">
        <v>73</v>
      </c>
      <c r="AT1" s="30" t="s">
        <v>74</v>
      </c>
      <c r="AU1" s="30" t="s">
        <v>75</v>
      </c>
      <c r="AV1" s="30" t="s">
        <v>76</v>
      </c>
      <c r="AW1" s="30" t="s">
        <v>77</v>
      </c>
      <c r="AX1" s="30" t="s">
        <v>78</v>
      </c>
      <c r="AY1" s="30" t="s">
        <v>79</v>
      </c>
      <c r="AZ1" s="30" t="s">
        <v>80</v>
      </c>
      <c r="BA1" s="30" t="s">
        <v>81</v>
      </c>
      <c r="BB1" s="30" t="s">
        <v>82</v>
      </c>
      <c r="BC1" s="30" t="s">
        <v>83</v>
      </c>
      <c r="BD1" s="30" t="s">
        <v>84</v>
      </c>
      <c r="BE1" s="30" t="s">
        <v>85</v>
      </c>
      <c r="BF1" s="30" t="s">
        <v>86</v>
      </c>
      <c r="BG1" s="30" t="s">
        <v>87</v>
      </c>
      <c r="BH1" s="30" t="s">
        <v>88</v>
      </c>
      <c r="BI1" s="30" t="s">
        <v>89</v>
      </c>
      <c r="BJ1" s="30" t="s">
        <v>90</v>
      </c>
      <c r="BK1" s="30" t="s">
        <v>91</v>
      </c>
      <c r="BL1" s="30" t="s">
        <v>92</v>
      </c>
      <c r="BM1" s="30" t="s">
        <v>93</v>
      </c>
      <c r="BN1" s="30" t="s">
        <v>94</v>
      </c>
      <c r="BO1" s="30" t="s">
        <v>95</v>
      </c>
      <c r="BP1" s="30" t="s">
        <v>96</v>
      </c>
      <c r="BQ1" s="30" t="s">
        <v>97</v>
      </c>
      <c r="BR1" s="30" t="s">
        <v>98</v>
      </c>
      <c r="BS1" s="31" t="s">
        <v>99</v>
      </c>
      <c r="BT1" s="31" t="s">
        <v>100</v>
      </c>
      <c r="BU1" s="31" t="s">
        <v>101</v>
      </c>
      <c r="BV1" s="31" t="s">
        <v>102</v>
      </c>
      <c r="BW1" s="31" t="s">
        <v>103</v>
      </c>
      <c r="BX1" s="31" t="s">
        <v>104</v>
      </c>
      <c r="BY1" s="31" t="s">
        <v>105</v>
      </c>
      <c r="BZ1" s="31" t="s">
        <v>106</v>
      </c>
      <c r="CA1" s="31" t="s">
        <v>107</v>
      </c>
      <c r="CB1" s="32" t="s">
        <v>108</v>
      </c>
      <c r="CC1" s="32" t="s">
        <v>109</v>
      </c>
      <c r="CD1" s="32" t="s">
        <v>110</v>
      </c>
      <c r="CE1" s="32" t="s">
        <v>111</v>
      </c>
      <c r="CF1" s="32" t="s">
        <v>112</v>
      </c>
      <c r="CG1" s="32" t="s">
        <v>113</v>
      </c>
      <c r="CH1" s="32" t="s">
        <v>114</v>
      </c>
      <c r="CI1" s="32" t="s">
        <v>115</v>
      </c>
      <c r="CJ1" s="32" t="s">
        <v>116</v>
      </c>
      <c r="CK1" s="32" t="s">
        <v>117</v>
      </c>
      <c r="CL1" s="32" t="s">
        <v>118</v>
      </c>
      <c r="CM1" s="32" t="s">
        <v>119</v>
      </c>
      <c r="CN1" s="32" t="s">
        <v>120</v>
      </c>
      <c r="CO1" s="32" t="s">
        <v>121</v>
      </c>
      <c r="CP1" s="32" t="s">
        <v>122</v>
      </c>
      <c r="CQ1" s="32" t="s">
        <v>123</v>
      </c>
      <c r="CR1" s="6" t="s">
        <v>124</v>
      </c>
      <c r="CS1" s="6" t="s">
        <v>125</v>
      </c>
      <c r="CT1" s="6" t="s">
        <v>126</v>
      </c>
      <c r="CU1" s="6"/>
      <c r="CV1" s="6"/>
      <c r="CW1" s="6"/>
      <c r="CX1" s="6"/>
      <c r="CY1" s="6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</row>
    <row r="2">
      <c r="A2" s="8" t="str">
        <f>Specs!C2</f>
        <v>Switching Bandwidth - Full Duplex (Gbps)</v>
      </c>
      <c r="B2" s="9" t="str">
        <f>IFERROR(__xludf.DUMMYFUNCTION("IMPORTRANGE(""https://docs.google.com/spreadsheets/d/18TjePryHG687L54fIGU6Od12DGyT3mPoblPemZTZRY4"",""SwitchCampus!B3:B10"")"),"")</f>
        <v/>
      </c>
      <c r="C2" s="33">
        <f>hlookup($C$1,$D$1:$CY$10,2,0)</f>
        <v>3200</v>
      </c>
      <c r="D2" s="34">
        <v>20.0</v>
      </c>
      <c r="E2" s="34">
        <v>20.0</v>
      </c>
      <c r="F2" s="34">
        <v>20.0</v>
      </c>
      <c r="G2" s="34">
        <v>36.0</v>
      </c>
      <c r="H2" s="34">
        <v>36.0</v>
      </c>
      <c r="I2" s="34">
        <v>36.0</v>
      </c>
      <c r="J2" s="34">
        <v>56.0</v>
      </c>
      <c r="K2" s="34">
        <v>56.0</v>
      </c>
      <c r="L2" s="34">
        <v>56.0</v>
      </c>
      <c r="M2" s="34">
        <v>104.0</v>
      </c>
      <c r="N2" s="34">
        <v>104.0</v>
      </c>
      <c r="O2" s="34">
        <v>104.0</v>
      </c>
      <c r="P2" s="34">
        <v>112.0</v>
      </c>
      <c r="Q2" s="34">
        <v>128.0</v>
      </c>
      <c r="R2" s="34">
        <v>128.0</v>
      </c>
      <c r="S2" s="34">
        <v>128.0</v>
      </c>
      <c r="T2" s="34">
        <v>176.0</v>
      </c>
      <c r="U2" s="34">
        <v>176.0</v>
      </c>
      <c r="V2" s="34">
        <v>176.0</v>
      </c>
      <c r="W2" s="34">
        <v>280.0</v>
      </c>
      <c r="X2" s="34">
        <v>240.0</v>
      </c>
      <c r="Y2" s="34">
        <v>320.0</v>
      </c>
      <c r="Z2" s="34">
        <v>480.0</v>
      </c>
      <c r="AA2" s="34">
        <v>480.0</v>
      </c>
      <c r="AB2" s="34">
        <v>480.0</v>
      </c>
      <c r="AC2" s="34">
        <v>128.0</v>
      </c>
      <c r="AD2" s="34">
        <v>176.0</v>
      </c>
      <c r="AE2" s="34">
        <v>128.0</v>
      </c>
      <c r="AF2" s="34">
        <v>176.0</v>
      </c>
      <c r="AG2" s="34">
        <v>128.0</v>
      </c>
      <c r="AH2" s="34">
        <v>128.0</v>
      </c>
      <c r="AI2" s="34">
        <v>176.0</v>
      </c>
      <c r="AJ2" s="34">
        <v>176.0</v>
      </c>
      <c r="AK2" s="34">
        <v>56.0</v>
      </c>
      <c r="AL2" s="34">
        <v>56.0</v>
      </c>
      <c r="AM2" s="34">
        <v>104.0</v>
      </c>
      <c r="AN2" s="34">
        <v>104.0</v>
      </c>
      <c r="AO2" s="34">
        <v>128.0</v>
      </c>
      <c r="AP2" s="34">
        <v>128.0</v>
      </c>
      <c r="AQ2" s="34">
        <v>176.0</v>
      </c>
      <c r="AR2" s="34">
        <v>176.0</v>
      </c>
      <c r="AS2" s="34">
        <v>60.0</v>
      </c>
      <c r="AT2" s="34">
        <v>70.0</v>
      </c>
      <c r="AU2" s="34">
        <v>68.0</v>
      </c>
      <c r="AV2" s="34" t="s">
        <v>127</v>
      </c>
      <c r="AW2" s="34" t="s">
        <v>127</v>
      </c>
      <c r="AX2" s="34">
        <v>960.0</v>
      </c>
      <c r="AY2" s="34">
        <v>800.0</v>
      </c>
      <c r="AZ2" s="34">
        <v>1.0</v>
      </c>
      <c r="BA2" s="34">
        <v>2.0</v>
      </c>
      <c r="BB2" s="34">
        <v>56.0</v>
      </c>
      <c r="BC2" s="34">
        <v>56.0</v>
      </c>
      <c r="BD2" s="34">
        <v>128.0</v>
      </c>
      <c r="BE2" s="34">
        <v>128.0</v>
      </c>
      <c r="BF2" s="34">
        <v>104.0</v>
      </c>
      <c r="BG2" s="34">
        <v>104.0</v>
      </c>
      <c r="BH2" s="34">
        <v>176.0</v>
      </c>
      <c r="BI2" s="34">
        <v>176.0</v>
      </c>
      <c r="BJ2" s="34">
        <v>208.0</v>
      </c>
      <c r="BK2" s="34">
        <v>208.0</v>
      </c>
      <c r="BL2" s="34">
        <v>208.0</v>
      </c>
      <c r="BM2" s="34">
        <v>208.0</v>
      </c>
      <c r="BN2" s="34">
        <v>208.0</v>
      </c>
      <c r="BO2" s="34">
        <v>208.0</v>
      </c>
      <c r="BP2" s="34">
        <v>256.0</v>
      </c>
      <c r="BQ2" s="34">
        <v>256.0</v>
      </c>
      <c r="BR2" s="34">
        <v>256.0</v>
      </c>
      <c r="BS2" s="35">
        <v>256.0</v>
      </c>
      <c r="BT2" s="35">
        <v>256.0</v>
      </c>
      <c r="BU2" s="35">
        <v>256.0</v>
      </c>
      <c r="BV2" s="36">
        <v>6400.0</v>
      </c>
      <c r="BW2" s="36">
        <v>3200.0</v>
      </c>
      <c r="BX2" s="36">
        <v>3200.0</v>
      </c>
      <c r="BY2" s="36">
        <v>2000.0</v>
      </c>
      <c r="BZ2" s="36">
        <v>12000.0</v>
      </c>
      <c r="CA2" s="36">
        <v>9200.0</v>
      </c>
      <c r="CB2" s="37">
        <v>16.0</v>
      </c>
      <c r="CC2" s="34">
        <v>20.0</v>
      </c>
      <c r="CD2" s="34">
        <v>20.0</v>
      </c>
      <c r="CE2" s="34">
        <v>20.0</v>
      </c>
      <c r="CF2" s="37">
        <v>36.0</v>
      </c>
      <c r="CG2" s="37">
        <v>36.0</v>
      </c>
      <c r="CH2" s="34">
        <v>56.0</v>
      </c>
      <c r="CI2" s="34">
        <v>56.0</v>
      </c>
      <c r="CJ2" s="34">
        <v>56.0</v>
      </c>
      <c r="CK2" s="37">
        <v>104.0</v>
      </c>
      <c r="CL2" s="37">
        <v>104.0</v>
      </c>
      <c r="CM2" s="37">
        <v>128.0</v>
      </c>
      <c r="CN2" s="37">
        <v>128.0</v>
      </c>
      <c r="CO2" s="37">
        <v>128.0</v>
      </c>
      <c r="CP2" s="37">
        <v>176.0</v>
      </c>
      <c r="CQ2" s="37">
        <v>176.0</v>
      </c>
      <c r="CR2" s="13"/>
      <c r="CS2" s="13"/>
      <c r="CT2" s="13"/>
      <c r="CU2" s="13"/>
      <c r="CV2" s="13"/>
      <c r="CW2" s="13"/>
      <c r="CX2" s="13"/>
      <c r="CY2" s="13"/>
    </row>
    <row r="3">
      <c r="A3" s="8" t="str">
        <f>Specs!C3</f>
        <v>Forwarding Capacity (Mpps)</v>
      </c>
      <c r="B3" s="9"/>
      <c r="C3" s="33">
        <f>hlookup($C$1,$D$1:$CY$10,3,0)</f>
        <v>1000</v>
      </c>
      <c r="D3" s="34">
        <v>14.88</v>
      </c>
      <c r="E3" s="34">
        <v>14.88</v>
      </c>
      <c r="F3" s="34">
        <v>14.88</v>
      </c>
      <c r="G3" s="34">
        <v>26.78</v>
      </c>
      <c r="H3" s="34">
        <v>26.78</v>
      </c>
      <c r="I3" s="34">
        <v>26.78</v>
      </c>
      <c r="J3" s="34">
        <v>41.66</v>
      </c>
      <c r="K3" s="34">
        <v>41.66</v>
      </c>
      <c r="L3" s="34">
        <v>41.66</v>
      </c>
      <c r="M3" s="34">
        <v>77.38</v>
      </c>
      <c r="N3" s="34">
        <v>77.38</v>
      </c>
      <c r="O3" s="34">
        <v>77.38</v>
      </c>
      <c r="P3" s="34">
        <v>83.32</v>
      </c>
      <c r="Q3" s="34">
        <v>95.23</v>
      </c>
      <c r="R3" s="34">
        <v>95.23</v>
      </c>
      <c r="S3" s="34">
        <v>95.23</v>
      </c>
      <c r="T3" s="34">
        <v>130.94</v>
      </c>
      <c r="U3" s="34">
        <v>130.94</v>
      </c>
      <c r="V3" s="34">
        <v>130.94</v>
      </c>
      <c r="W3" s="34">
        <v>208.33</v>
      </c>
      <c r="X3" s="34">
        <v>178.57</v>
      </c>
      <c r="Y3" s="34">
        <v>238.1</v>
      </c>
      <c r="Z3" s="34">
        <v>357.14</v>
      </c>
      <c r="AA3" s="34">
        <v>357.14</v>
      </c>
      <c r="AB3" s="34">
        <v>357.12</v>
      </c>
      <c r="AC3" s="34">
        <v>95.23</v>
      </c>
      <c r="AD3" s="34">
        <v>130.95</v>
      </c>
      <c r="AE3" s="34">
        <v>95.23</v>
      </c>
      <c r="AF3" s="34">
        <v>130.95</v>
      </c>
      <c r="AG3" s="34">
        <v>95.23</v>
      </c>
      <c r="AH3" s="34">
        <v>95.23</v>
      </c>
      <c r="AI3" s="34">
        <v>130.95</v>
      </c>
      <c r="AJ3" s="34">
        <v>130.95</v>
      </c>
      <c r="AK3" s="34">
        <v>41.67</v>
      </c>
      <c r="AL3" s="34">
        <v>41.67</v>
      </c>
      <c r="AM3" s="34">
        <v>77.38</v>
      </c>
      <c r="AN3" s="34">
        <v>77.38</v>
      </c>
      <c r="AO3" s="34">
        <v>95.23</v>
      </c>
      <c r="AP3" s="34">
        <v>95.23</v>
      </c>
      <c r="AQ3" s="34">
        <v>130.95</v>
      </c>
      <c r="AR3" s="34">
        <v>130.95</v>
      </c>
      <c r="AS3" s="34">
        <v>44.64</v>
      </c>
      <c r="AT3" s="34">
        <v>52.08</v>
      </c>
      <c r="AU3" s="34">
        <v>50.59</v>
      </c>
      <c r="AV3" s="34">
        <v>1309.0</v>
      </c>
      <c r="AW3" s="34">
        <v>1309.0</v>
      </c>
      <c r="AX3" s="34">
        <v>714.24</v>
      </c>
      <c r="AY3" s="34">
        <v>654.72</v>
      </c>
      <c r="AZ3" s="34">
        <v>744.04</v>
      </c>
      <c r="BA3" s="34">
        <v>1488.0</v>
      </c>
      <c r="BB3" s="34">
        <v>41.66</v>
      </c>
      <c r="BC3" s="34">
        <v>41.66</v>
      </c>
      <c r="BD3" s="34">
        <v>95.23</v>
      </c>
      <c r="BE3" s="34">
        <v>95.23</v>
      </c>
      <c r="BF3" s="34">
        <v>77.38</v>
      </c>
      <c r="BG3" s="34">
        <v>77.38</v>
      </c>
      <c r="BH3" s="34">
        <v>130.95</v>
      </c>
      <c r="BI3" s="34">
        <v>130.95</v>
      </c>
      <c r="BJ3" s="34">
        <v>154.76</v>
      </c>
      <c r="BK3" s="34">
        <v>154.76</v>
      </c>
      <c r="BL3" s="34">
        <v>154.76</v>
      </c>
      <c r="BM3" s="34">
        <v>154.76</v>
      </c>
      <c r="BN3" s="34">
        <v>154.76</v>
      </c>
      <c r="BO3" s="34">
        <v>154.76</v>
      </c>
      <c r="BP3" s="34">
        <v>190.47</v>
      </c>
      <c r="BQ3" s="34">
        <v>190.47</v>
      </c>
      <c r="BR3" s="34">
        <v>190.48</v>
      </c>
      <c r="BS3" s="35">
        <v>190.48</v>
      </c>
      <c r="BT3" s="35">
        <v>190.47</v>
      </c>
      <c r="BU3" s="35">
        <v>190.48</v>
      </c>
      <c r="BV3" s="36">
        <v>2000.0</v>
      </c>
      <c r="BW3" s="36">
        <v>1000.0</v>
      </c>
      <c r="BX3" s="36">
        <v>1000.0</v>
      </c>
      <c r="BY3" s="36">
        <v>1000.0</v>
      </c>
      <c r="BZ3" s="36">
        <v>8000.0</v>
      </c>
      <c r="CA3" s="36">
        <v>8000.0</v>
      </c>
      <c r="CB3" s="37">
        <v>11.9</v>
      </c>
      <c r="CC3" s="34">
        <v>14.88</v>
      </c>
      <c r="CD3" s="34">
        <v>14.88</v>
      </c>
      <c r="CE3" s="34">
        <v>14.88</v>
      </c>
      <c r="CF3" s="37">
        <v>26.78</v>
      </c>
      <c r="CG3" s="37">
        <v>26.78</v>
      </c>
      <c r="CH3" s="37">
        <v>41.66</v>
      </c>
      <c r="CI3" s="37">
        <v>41.66</v>
      </c>
      <c r="CJ3" s="37">
        <v>41.66</v>
      </c>
      <c r="CK3" s="37">
        <v>77.38</v>
      </c>
      <c r="CL3" s="37">
        <v>77.38</v>
      </c>
      <c r="CM3" s="37">
        <v>95.23</v>
      </c>
      <c r="CN3" s="37">
        <v>95.23</v>
      </c>
      <c r="CO3" s="37">
        <v>95.23</v>
      </c>
      <c r="CP3" s="37">
        <v>130.94</v>
      </c>
      <c r="CQ3" s="37">
        <v>130.94</v>
      </c>
      <c r="CR3" s="13"/>
      <c r="CS3" s="13"/>
      <c r="CT3" s="13"/>
      <c r="CU3" s="13"/>
      <c r="CV3" s="13"/>
      <c r="CW3" s="13"/>
      <c r="CX3" s="13"/>
      <c r="CY3" s="13"/>
    </row>
    <row r="4">
      <c r="A4" s="8" t="str">
        <f>Specs!C4</f>
        <v>Số lượng cổng 1GE đồng</v>
      </c>
      <c r="B4" s="9"/>
      <c r="C4" s="10" t="str">
        <f>hlookup($C$1,$D$1:$CY$10,4,0)</f>
        <v/>
      </c>
      <c r="D4" s="34">
        <v>10.0</v>
      </c>
      <c r="E4" s="34">
        <v>10.0</v>
      </c>
      <c r="F4" s="34">
        <v>10.0</v>
      </c>
      <c r="G4" s="34">
        <v>16.0</v>
      </c>
      <c r="H4" s="34">
        <v>16.0</v>
      </c>
      <c r="I4" s="34">
        <v>16.0</v>
      </c>
      <c r="J4" s="34">
        <v>24.0</v>
      </c>
      <c r="K4" s="34">
        <v>24.0</v>
      </c>
      <c r="L4" s="34">
        <v>24.0</v>
      </c>
      <c r="M4" s="34">
        <v>48.0</v>
      </c>
      <c r="N4" s="34">
        <v>48.0</v>
      </c>
      <c r="O4" s="34">
        <v>48.0</v>
      </c>
      <c r="P4" s="34">
        <v>16.0</v>
      </c>
      <c r="Q4" s="34">
        <v>24.0</v>
      </c>
      <c r="R4" s="34">
        <v>24.0</v>
      </c>
      <c r="S4" s="34">
        <v>24.0</v>
      </c>
      <c r="T4" s="34">
        <v>48.0</v>
      </c>
      <c r="U4" s="34">
        <v>48.0</v>
      </c>
      <c r="V4" s="34">
        <v>48.0</v>
      </c>
      <c r="W4" s="38"/>
      <c r="X4" s="38"/>
      <c r="Y4" s="38"/>
      <c r="Z4" s="38"/>
      <c r="AA4" s="38"/>
      <c r="AB4" s="38"/>
      <c r="AC4" s="34">
        <v>24.0</v>
      </c>
      <c r="AD4" s="34">
        <v>48.0</v>
      </c>
      <c r="AE4" s="34">
        <v>24.0</v>
      </c>
      <c r="AF4" s="34">
        <v>48.0</v>
      </c>
      <c r="AG4" s="34">
        <v>24.0</v>
      </c>
      <c r="AH4" s="34">
        <v>24.0</v>
      </c>
      <c r="AI4" s="34">
        <v>48.0</v>
      </c>
      <c r="AJ4" s="34">
        <v>48.0</v>
      </c>
      <c r="AK4" s="34">
        <v>24.0</v>
      </c>
      <c r="AL4" s="34">
        <v>24.0</v>
      </c>
      <c r="AM4" s="34">
        <v>48.0</v>
      </c>
      <c r="AN4" s="34">
        <v>48.0</v>
      </c>
      <c r="AO4" s="34">
        <v>24.0</v>
      </c>
      <c r="AP4" s="34">
        <v>24.0</v>
      </c>
      <c r="AQ4" s="34">
        <v>48.0</v>
      </c>
      <c r="AR4" s="34">
        <v>48.0</v>
      </c>
      <c r="AS4" s="34">
        <v>8.0</v>
      </c>
      <c r="AT4" s="34">
        <v>12.0</v>
      </c>
      <c r="AU4" s="34">
        <v>12.0</v>
      </c>
      <c r="AV4" s="34">
        <v>48.0</v>
      </c>
      <c r="AW4" s="34">
        <v>48.0</v>
      </c>
      <c r="AX4" s="34">
        <v>48.0</v>
      </c>
      <c r="AY4" s="34">
        <v>24.0</v>
      </c>
      <c r="AZ4" s="34">
        <v>8.0</v>
      </c>
      <c r="BA4" s="34">
        <v>8.0</v>
      </c>
      <c r="BB4" s="34">
        <v>24.0</v>
      </c>
      <c r="BC4" s="34">
        <v>24.0</v>
      </c>
      <c r="BD4" s="34">
        <v>24.0</v>
      </c>
      <c r="BE4" s="34">
        <v>24.0</v>
      </c>
      <c r="BF4" s="34">
        <v>48.0</v>
      </c>
      <c r="BG4" s="34">
        <v>48.0</v>
      </c>
      <c r="BH4" s="34">
        <v>48.0</v>
      </c>
      <c r="BI4" s="34">
        <v>48.0</v>
      </c>
      <c r="BJ4" s="34">
        <v>24.0</v>
      </c>
      <c r="BK4" s="34">
        <v>24.0</v>
      </c>
      <c r="BL4" s="34">
        <v>24.0</v>
      </c>
      <c r="BM4" s="34">
        <v>24.0</v>
      </c>
      <c r="BN4" s="38"/>
      <c r="BO4" s="34">
        <v>24.0</v>
      </c>
      <c r="BP4" s="34">
        <v>48.0</v>
      </c>
      <c r="BQ4" s="34">
        <v>48.0</v>
      </c>
      <c r="BR4" s="34">
        <v>48.0</v>
      </c>
      <c r="BS4" s="35">
        <v>48.0</v>
      </c>
      <c r="BT4" s="39"/>
      <c r="BU4" s="35">
        <v>48.0</v>
      </c>
      <c r="BV4" s="39"/>
      <c r="BW4" s="39"/>
      <c r="BX4" s="39"/>
      <c r="BY4" s="39"/>
      <c r="BZ4" s="39"/>
      <c r="CA4" s="39"/>
      <c r="CB4" s="37">
        <v>8.0</v>
      </c>
      <c r="CC4" s="37">
        <v>8.0</v>
      </c>
      <c r="CD4" s="37">
        <v>8.0</v>
      </c>
      <c r="CE4" s="37">
        <v>8.0</v>
      </c>
      <c r="CF4" s="37">
        <v>16.0</v>
      </c>
      <c r="CG4" s="37">
        <v>16.0</v>
      </c>
      <c r="CH4" s="37">
        <v>24.0</v>
      </c>
      <c r="CI4" s="37">
        <v>24.0</v>
      </c>
      <c r="CJ4" s="37">
        <v>24.0</v>
      </c>
      <c r="CK4" s="37">
        <v>48.0</v>
      </c>
      <c r="CL4" s="37">
        <v>48.0</v>
      </c>
      <c r="CM4" s="37">
        <v>24.0</v>
      </c>
      <c r="CN4" s="37">
        <v>24.0</v>
      </c>
      <c r="CO4" s="37">
        <v>24.0</v>
      </c>
      <c r="CP4" s="37">
        <v>48.0</v>
      </c>
      <c r="CQ4" s="37">
        <v>48.0</v>
      </c>
      <c r="CR4" s="13"/>
      <c r="CS4" s="13"/>
      <c r="CT4" s="13"/>
      <c r="CU4" s="13"/>
      <c r="CV4" s="13"/>
      <c r="CW4" s="13"/>
      <c r="CX4" s="13"/>
      <c r="CY4" s="13"/>
    </row>
    <row r="5">
      <c r="A5" s="8" t="str">
        <f>Specs!C5</f>
        <v>Số lượng cổng 1GE SFP</v>
      </c>
      <c r="B5" s="9"/>
      <c r="C5" s="10">
        <f>hlookup($C$1,$D$1:$CY$10,5,0)</f>
        <v>48</v>
      </c>
      <c r="D5" s="34">
        <v>2.0</v>
      </c>
      <c r="E5" s="34">
        <v>2.0</v>
      </c>
      <c r="F5" s="34">
        <v>2.0</v>
      </c>
      <c r="G5" s="34">
        <v>2.0</v>
      </c>
      <c r="H5" s="34">
        <v>2.0</v>
      </c>
      <c r="I5" s="34">
        <v>2.0</v>
      </c>
      <c r="J5" s="34">
        <v>4.0</v>
      </c>
      <c r="K5" s="34">
        <v>4.0</v>
      </c>
      <c r="L5" s="34">
        <v>4.0</v>
      </c>
      <c r="M5" s="34">
        <v>4.0</v>
      </c>
      <c r="N5" s="34">
        <v>4.0</v>
      </c>
      <c r="O5" s="34">
        <v>4.0</v>
      </c>
      <c r="P5" s="40"/>
      <c r="Q5" s="40"/>
      <c r="R5" s="40"/>
      <c r="S5" s="40"/>
      <c r="T5" s="40"/>
      <c r="U5" s="40"/>
      <c r="V5" s="40"/>
      <c r="W5" s="34">
        <v>2.0</v>
      </c>
      <c r="X5" s="34">
        <v>12.0</v>
      </c>
      <c r="Y5" s="34">
        <v>8.0</v>
      </c>
      <c r="Z5" s="34">
        <v>24.0</v>
      </c>
      <c r="AA5" s="40"/>
      <c r="AB5" s="34">
        <v>12.0</v>
      </c>
      <c r="AC5" s="34">
        <v>4.0</v>
      </c>
      <c r="AD5" s="34">
        <v>4.0</v>
      </c>
      <c r="AE5" s="34">
        <v>4.0</v>
      </c>
      <c r="AF5" s="34">
        <v>4.0</v>
      </c>
      <c r="AG5" s="34">
        <v>4.0</v>
      </c>
      <c r="AH5" s="34">
        <v>4.0</v>
      </c>
      <c r="AI5" s="34">
        <v>4.0</v>
      </c>
      <c r="AJ5" s="34">
        <v>4.0</v>
      </c>
      <c r="AK5" s="34">
        <v>4.0</v>
      </c>
      <c r="AL5" s="34">
        <v>4.0</v>
      </c>
      <c r="AM5" s="34">
        <v>4.0</v>
      </c>
      <c r="AN5" s="34">
        <v>4.0</v>
      </c>
      <c r="AO5" s="38"/>
      <c r="AP5" s="38"/>
      <c r="AQ5" s="40"/>
      <c r="AR5" s="38"/>
      <c r="AS5" s="38"/>
      <c r="AT5" s="40"/>
      <c r="AU5" s="40"/>
      <c r="AV5" s="34">
        <v>0.0</v>
      </c>
      <c r="AW5" s="34">
        <v>0.0</v>
      </c>
      <c r="AX5" s="34">
        <v>0.0</v>
      </c>
      <c r="AY5" s="34">
        <v>0.0</v>
      </c>
      <c r="AZ5" s="34">
        <v>12.0</v>
      </c>
      <c r="BA5" s="34">
        <v>24.0</v>
      </c>
      <c r="BB5" s="34">
        <v>4.0</v>
      </c>
      <c r="BC5" s="34">
        <v>4.0</v>
      </c>
      <c r="BD5" s="34">
        <v>4.0</v>
      </c>
      <c r="BE5" s="34">
        <v>4.0</v>
      </c>
      <c r="BF5" s="34">
        <v>4.0</v>
      </c>
      <c r="BG5" s="34">
        <v>4.0</v>
      </c>
      <c r="BH5" s="34">
        <v>4.0</v>
      </c>
      <c r="BI5" s="34">
        <v>4.0</v>
      </c>
      <c r="BJ5" s="34">
        <v>8.0</v>
      </c>
      <c r="BK5" s="34">
        <v>8.0</v>
      </c>
      <c r="BL5" s="34">
        <v>8.0</v>
      </c>
      <c r="BM5" s="34">
        <v>8.0</v>
      </c>
      <c r="BN5" s="34">
        <v>32.0</v>
      </c>
      <c r="BO5" s="34">
        <v>8.0</v>
      </c>
      <c r="BP5" s="34">
        <v>8.0</v>
      </c>
      <c r="BQ5" s="34">
        <v>8.0</v>
      </c>
      <c r="BR5" s="34">
        <v>8.0</v>
      </c>
      <c r="BS5" s="35">
        <v>8.0</v>
      </c>
      <c r="BT5" s="35">
        <v>56.0</v>
      </c>
      <c r="BU5" s="35">
        <v>8.0</v>
      </c>
      <c r="BV5" s="39"/>
      <c r="BW5" s="39"/>
      <c r="BX5" s="35">
        <v>48.0</v>
      </c>
      <c r="BY5" s="35">
        <v>24.0</v>
      </c>
      <c r="BZ5" s="39"/>
      <c r="CA5" s="39"/>
      <c r="CB5" s="41"/>
      <c r="CC5" s="37">
        <v>2.0</v>
      </c>
      <c r="CD5" s="37">
        <v>2.0</v>
      </c>
      <c r="CE5" s="37">
        <v>2.0</v>
      </c>
      <c r="CF5" s="37">
        <v>2.0</v>
      </c>
      <c r="CG5" s="37">
        <v>2.0</v>
      </c>
      <c r="CH5" s="37">
        <v>4.0</v>
      </c>
      <c r="CI5" s="37">
        <v>4.0</v>
      </c>
      <c r="CJ5" s="37">
        <v>4.0</v>
      </c>
      <c r="CK5" s="37">
        <v>4.0</v>
      </c>
      <c r="CL5" s="37">
        <v>4.0</v>
      </c>
      <c r="CM5" s="42"/>
      <c r="CN5" s="42"/>
      <c r="CO5" s="42"/>
      <c r="CP5" s="42"/>
      <c r="CQ5" s="42"/>
      <c r="CR5" s="13"/>
      <c r="CS5" s="13"/>
      <c r="CT5" s="13"/>
      <c r="CU5" s="13"/>
      <c r="CV5" s="13"/>
      <c r="CW5" s="13"/>
      <c r="CX5" s="13"/>
      <c r="CY5" s="15"/>
    </row>
    <row r="6">
      <c r="A6" s="8" t="str">
        <f>Specs!C6</f>
        <v>Số lượng cổng 10GE đồng</v>
      </c>
      <c r="B6" s="16"/>
      <c r="C6" s="10" t="str">
        <f>hlookup($C$1,$D$1:$CY$10,6,0)</f>
        <v/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34">
        <v>12.0</v>
      </c>
      <c r="X6" s="34">
        <v>2.0</v>
      </c>
      <c r="Y6" s="34">
        <v>8.0</v>
      </c>
      <c r="Z6" s="34">
        <v>4.0</v>
      </c>
      <c r="AA6" s="34">
        <v>24.0</v>
      </c>
      <c r="AB6" s="34">
        <v>12.0</v>
      </c>
      <c r="AC6" s="40"/>
      <c r="AD6" s="40"/>
      <c r="AE6" s="40"/>
      <c r="AF6" s="40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40"/>
      <c r="AS6" s="40"/>
      <c r="AT6" s="38"/>
      <c r="AU6" s="40"/>
      <c r="AV6" s="34">
        <v>48.0</v>
      </c>
      <c r="AW6" s="34">
        <v>48.0</v>
      </c>
      <c r="AX6" s="34">
        <v>16.0</v>
      </c>
      <c r="AY6" s="34">
        <v>24.0</v>
      </c>
      <c r="AZ6" s="34">
        <v>8.0</v>
      </c>
      <c r="BA6" s="34">
        <v>8.0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3"/>
      <c r="BT6" s="43"/>
      <c r="BU6" s="43"/>
      <c r="BV6" s="43"/>
      <c r="BW6" s="43"/>
      <c r="BX6" s="43"/>
      <c r="BY6" s="43"/>
      <c r="BZ6" s="43"/>
      <c r="CA6" s="43"/>
      <c r="CB6" s="44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13"/>
      <c r="CS6" s="13"/>
      <c r="CT6" s="13"/>
      <c r="CU6" s="13"/>
      <c r="CV6" s="13"/>
      <c r="CW6" s="13"/>
      <c r="CX6" s="13"/>
      <c r="CY6" s="15"/>
    </row>
    <row r="7">
      <c r="A7" s="8" t="str">
        <f>Specs!C7</f>
        <v>Số lượng cổng 10GE quang</v>
      </c>
      <c r="B7" s="16">
        <f>IFERROR(__xludf.DUMMYFUNCTION("""COMPUTED_VALUE"""),48.0)</f>
        <v>48</v>
      </c>
      <c r="C7" s="10">
        <f>hlookup($C$1,$D$1:$CY$10,7,0)</f>
        <v>48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34">
        <v>4.0</v>
      </c>
      <c r="Q7" s="34">
        <v>4.0</v>
      </c>
      <c r="R7" s="34">
        <v>4.0</v>
      </c>
      <c r="S7" s="34">
        <v>4.0</v>
      </c>
      <c r="T7" s="34">
        <v>4.0</v>
      </c>
      <c r="U7" s="34">
        <v>4.0</v>
      </c>
      <c r="V7" s="34">
        <v>4.0</v>
      </c>
      <c r="W7" s="34">
        <v>2.0</v>
      </c>
      <c r="X7" s="34">
        <v>12.0</v>
      </c>
      <c r="Y7" s="34">
        <v>8.0</v>
      </c>
      <c r="Z7" s="34">
        <v>24.0</v>
      </c>
      <c r="AA7" s="34">
        <v>4.0</v>
      </c>
      <c r="AB7" s="34">
        <v>12.0</v>
      </c>
      <c r="AC7" s="34">
        <v>4.0</v>
      </c>
      <c r="AD7" s="34">
        <v>4.0</v>
      </c>
      <c r="AE7" s="34">
        <v>4.0</v>
      </c>
      <c r="AF7" s="34">
        <v>4.0</v>
      </c>
      <c r="AG7" s="34">
        <v>4.0</v>
      </c>
      <c r="AH7" s="34">
        <v>4.0</v>
      </c>
      <c r="AI7" s="34">
        <v>4.0</v>
      </c>
      <c r="AJ7" s="34">
        <v>4.0</v>
      </c>
      <c r="AK7" s="40"/>
      <c r="AL7" s="40"/>
      <c r="AM7" s="40"/>
      <c r="AN7" s="40"/>
      <c r="AO7" s="34">
        <v>4.0</v>
      </c>
      <c r="AP7" s="34">
        <v>4.0</v>
      </c>
      <c r="AQ7" s="34">
        <v>4.0</v>
      </c>
      <c r="AR7" s="34">
        <v>4.0</v>
      </c>
      <c r="AS7" s="34">
        <v>2.0</v>
      </c>
      <c r="AT7" s="34">
        <v>2.0</v>
      </c>
      <c r="AU7" s="34">
        <v>2.0</v>
      </c>
      <c r="AV7" s="34">
        <v>0.0</v>
      </c>
      <c r="AW7" s="34">
        <v>0.0</v>
      </c>
      <c r="AX7" s="34">
        <v>0.0</v>
      </c>
      <c r="AY7" s="34">
        <v>0.0</v>
      </c>
      <c r="AZ7" s="34">
        <v>12.0</v>
      </c>
      <c r="BA7" s="34">
        <v>24.0</v>
      </c>
      <c r="BB7" s="40"/>
      <c r="BC7" s="40"/>
      <c r="BD7" s="34">
        <v>4.0</v>
      </c>
      <c r="BE7" s="34">
        <v>4.0</v>
      </c>
      <c r="BF7" s="40"/>
      <c r="BG7" s="40"/>
      <c r="BH7" s="34">
        <v>4.0</v>
      </c>
      <c r="BI7" s="34">
        <v>4.0</v>
      </c>
      <c r="BJ7" s="34">
        <v>8.0</v>
      </c>
      <c r="BK7" s="34">
        <v>8.0</v>
      </c>
      <c r="BL7" s="34">
        <v>8.0</v>
      </c>
      <c r="BM7" s="34">
        <v>8.0</v>
      </c>
      <c r="BN7" s="34">
        <v>8.0</v>
      </c>
      <c r="BO7" s="34">
        <v>8.0</v>
      </c>
      <c r="BP7" s="34">
        <v>8.0</v>
      </c>
      <c r="BQ7" s="34">
        <v>8.0</v>
      </c>
      <c r="BR7" s="34">
        <v>8.0</v>
      </c>
      <c r="BS7" s="35">
        <v>8.0</v>
      </c>
      <c r="BT7" s="35">
        <v>8.0</v>
      </c>
      <c r="BU7" s="35">
        <v>8.0</v>
      </c>
      <c r="BV7" s="39"/>
      <c r="BW7" s="39"/>
      <c r="BX7" s="35">
        <v>48.0</v>
      </c>
      <c r="BY7" s="35">
        <v>24.0</v>
      </c>
      <c r="BZ7" s="39"/>
      <c r="CA7" s="35">
        <v>60.0</v>
      </c>
      <c r="CB7" s="41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37">
        <v>4.0</v>
      </c>
      <c r="CN7" s="37">
        <v>4.0</v>
      </c>
      <c r="CO7" s="37">
        <v>4.0</v>
      </c>
      <c r="CP7" s="37">
        <v>4.0</v>
      </c>
      <c r="CQ7" s="37">
        <v>4.0</v>
      </c>
      <c r="CR7" s="13"/>
      <c r="CS7" s="13"/>
      <c r="CT7" s="13"/>
      <c r="CU7" s="13"/>
      <c r="CV7" s="13"/>
      <c r="CW7" s="13"/>
      <c r="CX7" s="13"/>
      <c r="CY7" s="15"/>
    </row>
    <row r="8">
      <c r="A8" s="8" t="str">
        <f>Specs!C8</f>
        <v>Số lượng cổng 100GE</v>
      </c>
      <c r="B8" s="16"/>
      <c r="C8" s="10">
        <f>hlookup($C$1,$D$1:$CY$10,8,0)</f>
        <v>4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6">
        <v>2.0</v>
      </c>
      <c r="AW8" s="46">
        <v>2.0</v>
      </c>
      <c r="AX8" s="46">
        <v>2.0</v>
      </c>
      <c r="AY8" s="46">
        <v>2.0</v>
      </c>
      <c r="AZ8" s="46">
        <v>2.0</v>
      </c>
      <c r="BA8" s="46">
        <v>2.0</v>
      </c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3"/>
      <c r="BT8" s="43"/>
      <c r="BU8" s="43"/>
      <c r="BV8" s="47">
        <v>32.0</v>
      </c>
      <c r="BW8" s="47">
        <v>16.0</v>
      </c>
      <c r="BX8" s="47">
        <v>4.0</v>
      </c>
      <c r="BY8" s="47">
        <v>4.0</v>
      </c>
      <c r="BZ8" s="47">
        <v>36.0</v>
      </c>
      <c r="CA8" s="47">
        <v>4.0</v>
      </c>
      <c r="CB8" s="44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15"/>
      <c r="CS8" s="15"/>
      <c r="CT8" s="15"/>
      <c r="CU8" s="15"/>
      <c r="CV8" s="15"/>
      <c r="CW8" s="15"/>
      <c r="CX8" s="15"/>
      <c r="CY8" s="15"/>
    </row>
    <row r="9">
      <c r="A9" s="8" t="str">
        <f>Specs!C9</f>
        <v>Stacking (Y/N)</v>
      </c>
      <c r="B9" s="16"/>
      <c r="C9" s="10" t="str">
        <f>hlookup($C$1,$D$1:$CY$10,9,0)</f>
        <v>Y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34" t="s">
        <v>128</v>
      </c>
      <c r="Q9" s="34" t="s">
        <v>128</v>
      </c>
      <c r="R9" s="34" t="s">
        <v>128</v>
      </c>
      <c r="S9" s="34" t="s">
        <v>128</v>
      </c>
      <c r="T9" s="34" t="s">
        <v>128</v>
      </c>
      <c r="U9" s="34" t="s">
        <v>128</v>
      </c>
      <c r="V9" s="34" t="s">
        <v>128</v>
      </c>
      <c r="W9" s="34" t="s">
        <v>128</v>
      </c>
      <c r="X9" s="34" t="s">
        <v>128</v>
      </c>
      <c r="Y9" s="34" t="s">
        <v>128</v>
      </c>
      <c r="Z9" s="34" t="s">
        <v>128</v>
      </c>
      <c r="AA9" s="34" t="s">
        <v>128</v>
      </c>
      <c r="AB9" s="34" t="s">
        <v>128</v>
      </c>
      <c r="AC9" s="34" t="s">
        <v>128</v>
      </c>
      <c r="AD9" s="34" t="s">
        <v>128</v>
      </c>
      <c r="AE9" s="34" t="s">
        <v>128</v>
      </c>
      <c r="AF9" s="34" t="s">
        <v>128</v>
      </c>
      <c r="AG9" s="34" t="s">
        <v>128</v>
      </c>
      <c r="AH9" s="34" t="s">
        <v>128</v>
      </c>
      <c r="AI9" s="34" t="s">
        <v>128</v>
      </c>
      <c r="AJ9" s="34" t="s">
        <v>128</v>
      </c>
      <c r="AK9" s="34" t="s">
        <v>128</v>
      </c>
      <c r="AL9" s="34" t="s">
        <v>128</v>
      </c>
      <c r="AM9" s="34" t="s">
        <v>128</v>
      </c>
      <c r="AN9" s="34" t="s">
        <v>128</v>
      </c>
      <c r="AO9" s="34" t="s">
        <v>128</v>
      </c>
      <c r="AP9" s="34" t="s">
        <v>128</v>
      </c>
      <c r="AQ9" s="34" t="s">
        <v>128</v>
      </c>
      <c r="AR9" s="34" t="s">
        <v>128</v>
      </c>
      <c r="AS9" s="40"/>
      <c r="AT9" s="40"/>
      <c r="AU9" s="40"/>
      <c r="AV9" s="34" t="s">
        <v>128</v>
      </c>
      <c r="AW9" s="34" t="s">
        <v>128</v>
      </c>
      <c r="AX9" s="34" t="s">
        <v>128</v>
      </c>
      <c r="AY9" s="34" t="s">
        <v>128</v>
      </c>
      <c r="AZ9" s="34" t="s">
        <v>128</v>
      </c>
      <c r="BA9" s="34" t="s">
        <v>128</v>
      </c>
      <c r="BB9" s="34" t="s">
        <v>128</v>
      </c>
      <c r="BC9" s="34" t="s">
        <v>128</v>
      </c>
      <c r="BD9" s="34" t="s">
        <v>128</v>
      </c>
      <c r="BE9" s="34" t="s">
        <v>128</v>
      </c>
      <c r="BF9" s="34" t="s">
        <v>128</v>
      </c>
      <c r="BG9" s="34" t="s">
        <v>128</v>
      </c>
      <c r="BH9" s="34" t="s">
        <v>128</v>
      </c>
      <c r="BI9" s="34" t="s">
        <v>128</v>
      </c>
      <c r="BJ9" s="34" t="s">
        <v>128</v>
      </c>
      <c r="BK9" s="34" t="s">
        <v>128</v>
      </c>
      <c r="BL9" s="34" t="s">
        <v>128</v>
      </c>
      <c r="BM9" s="34" t="s">
        <v>128</v>
      </c>
      <c r="BN9" s="34" t="s">
        <v>128</v>
      </c>
      <c r="BO9" s="34" t="s">
        <v>128</v>
      </c>
      <c r="BP9" s="34" t="s">
        <v>128</v>
      </c>
      <c r="BQ9" s="34" t="s">
        <v>128</v>
      </c>
      <c r="BR9" s="34" t="s">
        <v>128</v>
      </c>
      <c r="BS9" s="35" t="s">
        <v>128</v>
      </c>
      <c r="BT9" s="35" t="s">
        <v>128</v>
      </c>
      <c r="BU9" s="35" t="s">
        <v>128</v>
      </c>
      <c r="BV9" s="35" t="s">
        <v>128</v>
      </c>
      <c r="BW9" s="35" t="s">
        <v>128</v>
      </c>
      <c r="BX9" s="35" t="s">
        <v>128</v>
      </c>
      <c r="BY9" s="35" t="s">
        <v>128</v>
      </c>
      <c r="BZ9" s="35" t="s">
        <v>128</v>
      </c>
      <c r="CA9" s="35" t="s">
        <v>128</v>
      </c>
      <c r="CB9" s="37" t="s">
        <v>129</v>
      </c>
      <c r="CC9" s="37" t="s">
        <v>129</v>
      </c>
      <c r="CD9" s="37" t="s">
        <v>129</v>
      </c>
      <c r="CE9" s="37" t="s">
        <v>129</v>
      </c>
      <c r="CF9" s="37" t="s">
        <v>129</v>
      </c>
      <c r="CG9" s="37" t="s">
        <v>129</v>
      </c>
      <c r="CH9" s="37" t="s">
        <v>129</v>
      </c>
      <c r="CI9" s="37" t="s">
        <v>129</v>
      </c>
      <c r="CJ9" s="37" t="s">
        <v>129</v>
      </c>
      <c r="CK9" s="37" t="s">
        <v>129</v>
      </c>
      <c r="CL9" s="37" t="s">
        <v>129</v>
      </c>
      <c r="CM9" s="37" t="s">
        <v>129</v>
      </c>
      <c r="CN9" s="37" t="s">
        <v>129</v>
      </c>
      <c r="CO9" s="37" t="s">
        <v>129</v>
      </c>
      <c r="CP9" s="37" t="s">
        <v>129</v>
      </c>
      <c r="CQ9" s="37" t="s">
        <v>129</v>
      </c>
      <c r="CR9" s="15"/>
      <c r="CS9" s="15"/>
      <c r="CT9" s="15"/>
      <c r="CU9" s="15"/>
      <c r="CV9" s="15"/>
      <c r="CW9" s="15"/>
      <c r="CX9" s="15"/>
      <c r="CY9" s="15"/>
    </row>
    <row r="10">
      <c r="A10" s="8" t="str">
        <f>Specs!C10</f>
        <v>PoE (Y/N)</v>
      </c>
      <c r="B10" s="16"/>
      <c r="C10" s="10" t="str">
        <f>hlookup($C$1,$D$1:$CY$10,10,0)</f>
        <v/>
      </c>
      <c r="D10" s="40"/>
      <c r="E10" s="34" t="s">
        <v>128</v>
      </c>
      <c r="F10" s="34" t="s">
        <v>128</v>
      </c>
      <c r="G10" s="40"/>
      <c r="H10" s="34" t="s">
        <v>128</v>
      </c>
      <c r="I10" s="34" t="s">
        <v>128</v>
      </c>
      <c r="J10" s="40"/>
      <c r="K10" s="34" t="s">
        <v>128</v>
      </c>
      <c r="L10" s="34" t="s">
        <v>128</v>
      </c>
      <c r="M10" s="40"/>
      <c r="N10" s="34" t="s">
        <v>128</v>
      </c>
      <c r="O10" s="34" t="s">
        <v>128</v>
      </c>
      <c r="P10" s="34" t="s">
        <v>128</v>
      </c>
      <c r="Q10" s="40"/>
      <c r="R10" s="34" t="s">
        <v>128</v>
      </c>
      <c r="S10" s="34" t="s">
        <v>128</v>
      </c>
      <c r="T10" s="40"/>
      <c r="U10" s="34" t="s">
        <v>128</v>
      </c>
      <c r="V10" s="34" t="s">
        <v>128</v>
      </c>
      <c r="W10" s="40"/>
      <c r="X10" s="40"/>
      <c r="Y10" s="40"/>
      <c r="Z10" s="40"/>
      <c r="AA10" s="40"/>
      <c r="AB10" s="40"/>
      <c r="AC10" s="40"/>
      <c r="AD10" s="40"/>
      <c r="AE10" s="34" t="s">
        <v>128</v>
      </c>
      <c r="AF10" s="34" t="s">
        <v>128</v>
      </c>
      <c r="AG10" s="40"/>
      <c r="AH10" s="34" t="s">
        <v>128</v>
      </c>
      <c r="AI10" s="40"/>
      <c r="AJ10" s="34" t="s">
        <v>128</v>
      </c>
      <c r="AK10" s="40"/>
      <c r="AL10" s="34" t="s">
        <v>128</v>
      </c>
      <c r="AM10" s="40"/>
      <c r="AN10" s="34" t="s">
        <v>128</v>
      </c>
      <c r="AO10" s="40"/>
      <c r="AP10" s="34" t="s">
        <v>128</v>
      </c>
      <c r="AQ10" s="40"/>
      <c r="AR10" s="34" t="s">
        <v>128</v>
      </c>
      <c r="AS10" s="34" t="s">
        <v>128</v>
      </c>
      <c r="AT10" s="40"/>
      <c r="AU10" s="34" t="s">
        <v>128</v>
      </c>
      <c r="AV10" s="34" t="s">
        <v>128</v>
      </c>
      <c r="AW10" s="34" t="s">
        <v>129</v>
      </c>
      <c r="AX10" s="34" t="s">
        <v>128</v>
      </c>
      <c r="AY10" s="34" t="s">
        <v>128</v>
      </c>
      <c r="AZ10" s="34" t="s">
        <v>129</v>
      </c>
      <c r="BA10" s="34" t="s">
        <v>129</v>
      </c>
      <c r="BB10" s="40"/>
      <c r="BC10" s="34" t="s">
        <v>128</v>
      </c>
      <c r="BD10" s="40"/>
      <c r="BE10" s="34" t="s">
        <v>128</v>
      </c>
      <c r="BF10" s="40"/>
      <c r="BG10" s="34" t="s">
        <v>128</v>
      </c>
      <c r="BH10" s="40"/>
      <c r="BI10" s="34" t="s">
        <v>128</v>
      </c>
      <c r="BJ10" s="40"/>
      <c r="BK10" s="34" t="s">
        <v>128</v>
      </c>
      <c r="BL10" s="34" t="s">
        <v>128</v>
      </c>
      <c r="BM10" s="34" t="s">
        <v>128</v>
      </c>
      <c r="BN10" s="40"/>
      <c r="BO10" s="34" t="s">
        <v>128</v>
      </c>
      <c r="BP10" s="40"/>
      <c r="BQ10" s="34" t="s">
        <v>128</v>
      </c>
      <c r="BR10" s="34" t="s">
        <v>128</v>
      </c>
      <c r="BS10" s="35" t="s">
        <v>128</v>
      </c>
      <c r="BT10" s="39"/>
      <c r="BU10" s="35" t="s">
        <v>128</v>
      </c>
      <c r="BV10" s="39"/>
      <c r="BW10" s="39"/>
      <c r="BX10" s="39"/>
      <c r="BY10" s="39"/>
      <c r="BZ10" s="39"/>
      <c r="CA10" s="39"/>
      <c r="CB10" s="37" t="s">
        <v>129</v>
      </c>
      <c r="CC10" s="37" t="s">
        <v>129</v>
      </c>
      <c r="CD10" s="37" t="s">
        <v>128</v>
      </c>
      <c r="CE10" s="37" t="s">
        <v>128</v>
      </c>
      <c r="CF10" s="37" t="s">
        <v>129</v>
      </c>
      <c r="CG10" s="37" t="s">
        <v>128</v>
      </c>
      <c r="CH10" s="37" t="s">
        <v>129</v>
      </c>
      <c r="CI10" s="37" t="s">
        <v>128</v>
      </c>
      <c r="CJ10" s="37" t="s">
        <v>128</v>
      </c>
      <c r="CK10" s="37" t="s">
        <v>129</v>
      </c>
      <c r="CL10" s="37" t="s">
        <v>128</v>
      </c>
      <c r="CM10" s="37" t="s">
        <v>129</v>
      </c>
      <c r="CN10" s="37" t="s">
        <v>128</v>
      </c>
      <c r="CO10" s="37" t="s">
        <v>128</v>
      </c>
      <c r="CP10" s="37" t="s">
        <v>129</v>
      </c>
      <c r="CQ10" s="37" t="s">
        <v>128</v>
      </c>
      <c r="CR10" s="15"/>
      <c r="CS10" s="15"/>
      <c r="CT10" s="15"/>
      <c r="CU10" s="15"/>
      <c r="CV10" s="15"/>
      <c r="CW10" s="15"/>
      <c r="CX10" s="15"/>
      <c r="CY10" s="15"/>
    </row>
    <row r="11">
      <c r="A11" s="17" t="s">
        <v>130</v>
      </c>
      <c r="B11" s="18"/>
      <c r="C11" s="23" t="str">
        <f>hlookup($C$1,$D$1:$CY$11,11,0)</f>
        <v>High End</v>
      </c>
      <c r="D11" s="20" t="s">
        <v>23</v>
      </c>
      <c r="E11" s="20" t="s">
        <v>23</v>
      </c>
      <c r="F11" s="20" t="s">
        <v>23</v>
      </c>
      <c r="G11" s="20" t="s">
        <v>23</v>
      </c>
      <c r="H11" s="20" t="s">
        <v>23</v>
      </c>
      <c r="I11" s="20" t="s">
        <v>23</v>
      </c>
      <c r="J11" s="20" t="s">
        <v>23</v>
      </c>
      <c r="K11" s="20" t="s">
        <v>23</v>
      </c>
      <c r="L11" s="20" t="s">
        <v>23</v>
      </c>
      <c r="M11" s="20" t="s">
        <v>23</v>
      </c>
      <c r="N11" s="20" t="s">
        <v>23</v>
      </c>
      <c r="O11" s="20" t="s">
        <v>23</v>
      </c>
      <c r="P11" s="20" t="s">
        <v>23</v>
      </c>
      <c r="Q11" s="20" t="s">
        <v>23</v>
      </c>
      <c r="R11" s="20" t="s">
        <v>23</v>
      </c>
      <c r="S11" s="20" t="s">
        <v>23</v>
      </c>
      <c r="T11" s="20" t="s">
        <v>23</v>
      </c>
      <c r="U11" s="20" t="s">
        <v>23</v>
      </c>
      <c r="V11" s="20" t="s">
        <v>23</v>
      </c>
      <c r="W11" s="20" t="s">
        <v>23</v>
      </c>
      <c r="X11" s="20" t="s">
        <v>23</v>
      </c>
      <c r="Y11" s="20" t="s">
        <v>23</v>
      </c>
      <c r="Z11" s="20" t="s">
        <v>23</v>
      </c>
      <c r="AA11" s="20" t="s">
        <v>23</v>
      </c>
      <c r="AB11" s="20" t="s">
        <v>23</v>
      </c>
      <c r="AC11" s="20" t="s">
        <v>23</v>
      </c>
      <c r="AD11" s="20" t="s">
        <v>23</v>
      </c>
      <c r="AE11" s="20" t="s">
        <v>23</v>
      </c>
      <c r="AF11" s="20" t="s">
        <v>23</v>
      </c>
      <c r="AG11" s="20" t="s">
        <v>24</v>
      </c>
      <c r="AH11" s="20" t="s">
        <v>24</v>
      </c>
      <c r="AI11" s="20" t="s">
        <v>24</v>
      </c>
      <c r="AJ11" s="20" t="s">
        <v>24</v>
      </c>
      <c r="AK11" s="20" t="s">
        <v>24</v>
      </c>
      <c r="AL11" s="20" t="s">
        <v>24</v>
      </c>
      <c r="AM11" s="20" t="s">
        <v>24</v>
      </c>
      <c r="AN11" s="20" t="s">
        <v>24</v>
      </c>
      <c r="AO11" s="20" t="s">
        <v>24</v>
      </c>
      <c r="AP11" s="20" t="s">
        <v>24</v>
      </c>
      <c r="AQ11" s="20" t="s">
        <v>24</v>
      </c>
      <c r="AR11" s="20" t="s">
        <v>24</v>
      </c>
      <c r="AS11" s="20" t="s">
        <v>24</v>
      </c>
      <c r="AT11" s="20" t="s">
        <v>24</v>
      </c>
      <c r="AU11" s="20" t="s">
        <v>24</v>
      </c>
      <c r="AV11" s="20" t="s">
        <v>25</v>
      </c>
      <c r="AW11" s="20" t="s">
        <v>25</v>
      </c>
      <c r="AX11" s="20" t="s">
        <v>25</v>
      </c>
      <c r="AY11" s="20" t="s">
        <v>25</v>
      </c>
      <c r="AZ11" s="20" t="s">
        <v>25</v>
      </c>
      <c r="BA11" s="20" t="s">
        <v>25</v>
      </c>
      <c r="BB11" s="20" t="s">
        <v>25</v>
      </c>
      <c r="BC11" s="20" t="s">
        <v>25</v>
      </c>
      <c r="BD11" s="20" t="s">
        <v>25</v>
      </c>
      <c r="BE11" s="20" t="s">
        <v>25</v>
      </c>
      <c r="BF11" s="20" t="s">
        <v>25</v>
      </c>
      <c r="BG11" s="20" t="s">
        <v>25</v>
      </c>
      <c r="BH11" s="20" t="s">
        <v>25</v>
      </c>
      <c r="BI11" s="20" t="s">
        <v>25</v>
      </c>
      <c r="BJ11" s="20" t="s">
        <v>25</v>
      </c>
      <c r="BK11" s="20" t="s">
        <v>25</v>
      </c>
      <c r="BL11" s="20" t="s">
        <v>25</v>
      </c>
      <c r="BM11" s="20" t="s">
        <v>25</v>
      </c>
      <c r="BN11" s="20" t="s">
        <v>25</v>
      </c>
      <c r="BO11" s="20" t="s">
        <v>25</v>
      </c>
      <c r="BP11" s="20" t="s">
        <v>25</v>
      </c>
      <c r="BQ11" s="20" t="s">
        <v>25</v>
      </c>
      <c r="BR11" s="20" t="s">
        <v>25</v>
      </c>
      <c r="BS11" s="48" t="s">
        <v>25</v>
      </c>
      <c r="BT11" s="48" t="s">
        <v>25</v>
      </c>
      <c r="BU11" s="48" t="s">
        <v>25</v>
      </c>
      <c r="BV11" s="48" t="s">
        <v>25</v>
      </c>
      <c r="BW11" s="48" t="s">
        <v>25</v>
      </c>
      <c r="BX11" s="48" t="s">
        <v>25</v>
      </c>
      <c r="BY11" s="48" t="s">
        <v>25</v>
      </c>
      <c r="BZ11" s="48" t="s">
        <v>25</v>
      </c>
      <c r="CA11" s="48" t="s">
        <v>25</v>
      </c>
      <c r="CB11" s="49" t="s">
        <v>23</v>
      </c>
      <c r="CC11" s="49" t="s">
        <v>23</v>
      </c>
      <c r="CD11" s="49" t="s">
        <v>23</v>
      </c>
      <c r="CE11" s="49" t="s">
        <v>23</v>
      </c>
      <c r="CF11" s="49" t="s">
        <v>23</v>
      </c>
      <c r="CG11" s="49" t="s">
        <v>23</v>
      </c>
      <c r="CH11" s="49" t="s">
        <v>23</v>
      </c>
      <c r="CI11" s="49" t="s">
        <v>23</v>
      </c>
      <c r="CJ11" s="49" t="s">
        <v>23</v>
      </c>
      <c r="CK11" s="49" t="s">
        <v>23</v>
      </c>
      <c r="CL11" s="49" t="s">
        <v>23</v>
      </c>
      <c r="CM11" s="49" t="s">
        <v>23</v>
      </c>
      <c r="CN11" s="49" t="s">
        <v>23</v>
      </c>
      <c r="CO11" s="49" t="s">
        <v>23</v>
      </c>
      <c r="CP11" s="49" t="s">
        <v>23</v>
      </c>
      <c r="CQ11" s="49" t="s">
        <v>23</v>
      </c>
      <c r="CR11" s="20" t="s">
        <v>24</v>
      </c>
      <c r="CS11" s="20" t="s">
        <v>24</v>
      </c>
      <c r="CT11" s="20" t="s">
        <v>25</v>
      </c>
      <c r="CU11" s="20"/>
      <c r="CV11" s="20"/>
      <c r="CW11" s="20"/>
      <c r="CX11" s="20"/>
      <c r="CY11" s="21"/>
    </row>
    <row r="12">
      <c r="A12" s="22"/>
      <c r="B12" s="18"/>
      <c r="C12" s="2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50"/>
      <c r="BT12" s="50"/>
      <c r="BU12" s="50"/>
      <c r="BV12" s="50"/>
      <c r="BW12" s="50"/>
      <c r="BX12" s="50"/>
      <c r="BY12" s="50"/>
      <c r="BZ12" s="50"/>
      <c r="CA12" s="50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</row>
    <row r="13">
      <c r="A13" s="22" t="s">
        <v>26</v>
      </c>
      <c r="B13" s="18"/>
      <c r="C13" s="23">
        <f t="shared" ref="C13:CY13" si="1">sum(1*(C2&gt;=$B$2)+1*(C3&gt;=$B$3)+1*(C4&gt;=$B$4)+1*(C5&gt;=$B$5)+1*(C6&gt;=$B$6)+1*(C7&gt;=$B$7)+1*(C8&gt;=$B$8)+1*or(C9="Y",$B$9="N",$B$9="")+1*or(C10="Y",$B$10="N",$B$10=""))</f>
        <v>9</v>
      </c>
      <c r="D13" s="21">
        <f t="shared" si="1"/>
        <v>8</v>
      </c>
      <c r="E13" s="21">
        <f t="shared" si="1"/>
        <v>8</v>
      </c>
      <c r="F13" s="21">
        <f t="shared" si="1"/>
        <v>8</v>
      </c>
      <c r="G13" s="21">
        <f t="shared" si="1"/>
        <v>8</v>
      </c>
      <c r="H13" s="21">
        <f t="shared" si="1"/>
        <v>8</v>
      </c>
      <c r="I13" s="21">
        <f t="shared" si="1"/>
        <v>8</v>
      </c>
      <c r="J13" s="21">
        <f t="shared" si="1"/>
        <v>8</v>
      </c>
      <c r="K13" s="21">
        <f t="shared" si="1"/>
        <v>8</v>
      </c>
      <c r="L13" s="21">
        <f t="shared" si="1"/>
        <v>8</v>
      </c>
      <c r="M13" s="21">
        <f t="shared" si="1"/>
        <v>8</v>
      </c>
      <c r="N13" s="21">
        <f t="shared" si="1"/>
        <v>8</v>
      </c>
      <c r="O13" s="21">
        <f t="shared" si="1"/>
        <v>8</v>
      </c>
      <c r="P13" s="21">
        <f t="shared" si="1"/>
        <v>8</v>
      </c>
      <c r="Q13" s="21">
        <f t="shared" si="1"/>
        <v>8</v>
      </c>
      <c r="R13" s="21">
        <f t="shared" si="1"/>
        <v>8</v>
      </c>
      <c r="S13" s="21">
        <f t="shared" si="1"/>
        <v>8</v>
      </c>
      <c r="T13" s="21">
        <f t="shared" si="1"/>
        <v>8</v>
      </c>
      <c r="U13" s="21">
        <f t="shared" si="1"/>
        <v>8</v>
      </c>
      <c r="V13" s="21">
        <f t="shared" si="1"/>
        <v>8</v>
      </c>
      <c r="W13" s="21">
        <f t="shared" si="1"/>
        <v>8</v>
      </c>
      <c r="X13" s="21">
        <f t="shared" si="1"/>
        <v>8</v>
      </c>
      <c r="Y13" s="21">
        <f t="shared" si="1"/>
        <v>8</v>
      </c>
      <c r="Z13" s="21">
        <f t="shared" si="1"/>
        <v>8</v>
      </c>
      <c r="AA13" s="21">
        <f t="shared" si="1"/>
        <v>8</v>
      </c>
      <c r="AB13" s="21">
        <f t="shared" si="1"/>
        <v>8</v>
      </c>
      <c r="AC13" s="21">
        <f t="shared" si="1"/>
        <v>8</v>
      </c>
      <c r="AD13" s="21">
        <f t="shared" si="1"/>
        <v>8</v>
      </c>
      <c r="AE13" s="21">
        <f t="shared" si="1"/>
        <v>8</v>
      </c>
      <c r="AF13" s="21">
        <f t="shared" si="1"/>
        <v>8</v>
      </c>
      <c r="AG13" s="21">
        <f t="shared" si="1"/>
        <v>8</v>
      </c>
      <c r="AH13" s="21">
        <f t="shared" si="1"/>
        <v>8</v>
      </c>
      <c r="AI13" s="21">
        <f t="shared" si="1"/>
        <v>8</v>
      </c>
      <c r="AJ13" s="21">
        <f t="shared" si="1"/>
        <v>8</v>
      </c>
      <c r="AK13" s="21">
        <f t="shared" si="1"/>
        <v>8</v>
      </c>
      <c r="AL13" s="21">
        <f t="shared" si="1"/>
        <v>8</v>
      </c>
      <c r="AM13" s="21">
        <f t="shared" si="1"/>
        <v>8</v>
      </c>
      <c r="AN13" s="21">
        <f t="shared" si="1"/>
        <v>8</v>
      </c>
      <c r="AO13" s="21">
        <f t="shared" si="1"/>
        <v>8</v>
      </c>
      <c r="AP13" s="21">
        <f t="shared" si="1"/>
        <v>8</v>
      </c>
      <c r="AQ13" s="21">
        <f t="shared" si="1"/>
        <v>8</v>
      </c>
      <c r="AR13" s="21">
        <f t="shared" si="1"/>
        <v>8</v>
      </c>
      <c r="AS13" s="21">
        <f t="shared" si="1"/>
        <v>8</v>
      </c>
      <c r="AT13" s="21">
        <f t="shared" si="1"/>
        <v>8</v>
      </c>
      <c r="AU13" s="21">
        <f t="shared" si="1"/>
        <v>8</v>
      </c>
      <c r="AV13" s="21">
        <f t="shared" si="1"/>
        <v>8</v>
      </c>
      <c r="AW13" s="21">
        <f t="shared" si="1"/>
        <v>8</v>
      </c>
      <c r="AX13" s="21">
        <f t="shared" si="1"/>
        <v>8</v>
      </c>
      <c r="AY13" s="21">
        <f t="shared" si="1"/>
        <v>8</v>
      </c>
      <c r="AZ13" s="21">
        <f t="shared" si="1"/>
        <v>8</v>
      </c>
      <c r="BA13" s="21">
        <f t="shared" si="1"/>
        <v>8</v>
      </c>
      <c r="BB13" s="21">
        <f t="shared" si="1"/>
        <v>8</v>
      </c>
      <c r="BC13" s="21">
        <f t="shared" si="1"/>
        <v>8</v>
      </c>
      <c r="BD13" s="21">
        <f t="shared" si="1"/>
        <v>8</v>
      </c>
      <c r="BE13" s="21">
        <f t="shared" si="1"/>
        <v>8</v>
      </c>
      <c r="BF13" s="21">
        <f t="shared" si="1"/>
        <v>8</v>
      </c>
      <c r="BG13" s="21">
        <f t="shared" si="1"/>
        <v>8</v>
      </c>
      <c r="BH13" s="21">
        <f t="shared" si="1"/>
        <v>8</v>
      </c>
      <c r="BI13" s="21">
        <f t="shared" si="1"/>
        <v>8</v>
      </c>
      <c r="BJ13" s="21">
        <f t="shared" si="1"/>
        <v>8</v>
      </c>
      <c r="BK13" s="21">
        <f t="shared" si="1"/>
        <v>8</v>
      </c>
      <c r="BL13" s="21">
        <f t="shared" si="1"/>
        <v>8</v>
      </c>
      <c r="BM13" s="21">
        <f t="shared" si="1"/>
        <v>8</v>
      </c>
      <c r="BN13" s="21">
        <f t="shared" si="1"/>
        <v>8</v>
      </c>
      <c r="BO13" s="21">
        <f t="shared" si="1"/>
        <v>8</v>
      </c>
      <c r="BP13" s="21">
        <f t="shared" si="1"/>
        <v>8</v>
      </c>
      <c r="BQ13" s="21">
        <f t="shared" si="1"/>
        <v>8</v>
      </c>
      <c r="BR13" s="21">
        <f t="shared" si="1"/>
        <v>8</v>
      </c>
      <c r="BS13" s="51">
        <f t="shared" si="1"/>
        <v>8</v>
      </c>
      <c r="BT13" s="51">
        <f t="shared" si="1"/>
        <v>8</v>
      </c>
      <c r="BU13" s="51">
        <f t="shared" si="1"/>
        <v>8</v>
      </c>
      <c r="BV13" s="51">
        <f t="shared" si="1"/>
        <v>8</v>
      </c>
      <c r="BW13" s="51">
        <f t="shared" si="1"/>
        <v>8</v>
      </c>
      <c r="BX13" s="51">
        <f t="shared" si="1"/>
        <v>9</v>
      </c>
      <c r="BY13" s="51">
        <f t="shared" si="1"/>
        <v>8</v>
      </c>
      <c r="BZ13" s="51">
        <f t="shared" si="1"/>
        <v>8</v>
      </c>
      <c r="CA13" s="51">
        <f t="shared" si="1"/>
        <v>9</v>
      </c>
      <c r="CB13" s="51">
        <f t="shared" si="1"/>
        <v>8</v>
      </c>
      <c r="CC13" s="51">
        <f t="shared" si="1"/>
        <v>8</v>
      </c>
      <c r="CD13" s="51">
        <f t="shared" si="1"/>
        <v>8</v>
      </c>
      <c r="CE13" s="51">
        <f t="shared" si="1"/>
        <v>8</v>
      </c>
      <c r="CF13" s="51">
        <f t="shared" si="1"/>
        <v>8</v>
      </c>
      <c r="CG13" s="51">
        <f t="shared" si="1"/>
        <v>8</v>
      </c>
      <c r="CH13" s="51">
        <f t="shared" si="1"/>
        <v>8</v>
      </c>
      <c r="CI13" s="51">
        <f t="shared" si="1"/>
        <v>8</v>
      </c>
      <c r="CJ13" s="51">
        <f t="shared" si="1"/>
        <v>8</v>
      </c>
      <c r="CK13" s="51">
        <f t="shared" si="1"/>
        <v>8</v>
      </c>
      <c r="CL13" s="51">
        <f t="shared" si="1"/>
        <v>8</v>
      </c>
      <c r="CM13" s="51">
        <f t="shared" si="1"/>
        <v>8</v>
      </c>
      <c r="CN13" s="51">
        <f t="shared" si="1"/>
        <v>8</v>
      </c>
      <c r="CO13" s="51">
        <f t="shared" si="1"/>
        <v>8</v>
      </c>
      <c r="CP13" s="51">
        <f t="shared" si="1"/>
        <v>8</v>
      </c>
      <c r="CQ13" s="51">
        <f t="shared" si="1"/>
        <v>8</v>
      </c>
      <c r="CR13" s="51">
        <f t="shared" si="1"/>
        <v>8</v>
      </c>
      <c r="CS13" s="51">
        <f t="shared" si="1"/>
        <v>8</v>
      </c>
      <c r="CT13" s="51">
        <f t="shared" si="1"/>
        <v>8</v>
      </c>
      <c r="CU13" s="51">
        <f t="shared" si="1"/>
        <v>8</v>
      </c>
      <c r="CV13" s="51">
        <f t="shared" si="1"/>
        <v>8</v>
      </c>
      <c r="CW13" s="51">
        <f t="shared" si="1"/>
        <v>8</v>
      </c>
      <c r="CX13" s="51">
        <f t="shared" si="1"/>
        <v>8</v>
      </c>
      <c r="CY13" s="21">
        <f t="shared" si="1"/>
        <v>8</v>
      </c>
    </row>
    <row r="14">
      <c r="A14" s="22" t="s">
        <v>27</v>
      </c>
      <c r="B14" s="18"/>
      <c r="C14" s="24">
        <f>iferror(vlookup(C1,AllListPrice!$A$2:$D$1000,4,0),0)</f>
        <v>66036.97</v>
      </c>
      <c r="D14" s="25">
        <f>iferror(vlookup(D1,AllListPrice!$A$2:$D$1000,4,0),0)</f>
        <v>463.29</v>
      </c>
      <c r="E14" s="25">
        <f>iferror(vlookup(E1,AllListPrice!$A$2:$D$1000,4,0),0)</f>
        <v>570.56</v>
      </c>
      <c r="F14" s="25">
        <f>iferror(vlookup(F1,AllListPrice!$A$2:$D$1000,4,0),0)</f>
        <v>757.69</v>
      </c>
      <c r="G14" s="25">
        <f>iferror(vlookup(G1,AllListPrice!$A$2:$D$1000,4,0),0)</f>
        <v>655.57</v>
      </c>
      <c r="H14" s="25">
        <f>iferror(vlookup(H1,AllListPrice!$A$2:$D$1000,4,0),0)</f>
        <v>952.7</v>
      </c>
      <c r="I14" s="25">
        <f>iferror(vlookup(I1,AllListPrice!$A$2:$D$1000,4,0),0)</f>
        <v>1350.49</v>
      </c>
      <c r="J14" s="25">
        <f>iferror(vlookup(J1,AllListPrice!$A$2:$D$1000,4,0),0)</f>
        <v>913.34</v>
      </c>
      <c r="K14" s="25">
        <f>iferror(vlookup(K1,AllListPrice!$A$2:$D$1000,4,0),0)</f>
        <v>1300.65</v>
      </c>
      <c r="L14" s="25">
        <f>iferror(vlookup(L1,AllListPrice!$A$2:$D$1000,4,0),0)</f>
        <v>1770.54</v>
      </c>
      <c r="M14" s="25">
        <f>iferror(vlookup(M1,AllListPrice!$A$2:$D$1000,4,0),0)</f>
        <v>1434.22</v>
      </c>
      <c r="N14" s="25">
        <f>iferror(vlookup(N1,AllListPrice!$A$2:$D$1000,4,0),0)</f>
        <v>2368.53</v>
      </c>
      <c r="O14" s="25">
        <f>iferror(vlookup(O1,AllListPrice!$A$2:$D$1000,4,0),0)</f>
        <v>2962.61</v>
      </c>
      <c r="P14" s="25">
        <f>iferror(vlookup(P1,AllListPrice!$A$2:$D$1000,4,0),0)</f>
        <v>1019.52</v>
      </c>
      <c r="Q14" s="25">
        <f>iferror(vlookup(Q1,AllListPrice!$A$2:$D$1000,4,0),0)</f>
        <v>1315.75</v>
      </c>
      <c r="R14" s="25">
        <f>iferror(vlookup(R1,AllListPrice!$A$2:$D$1000,4,0),0)</f>
        <v>1567.48</v>
      </c>
      <c r="S14" s="25">
        <f>iferror(vlookup(S1,AllListPrice!$A$2:$D$1000,4,0),0)</f>
        <v>2131.86</v>
      </c>
      <c r="T14" s="25">
        <f>iferror(vlookup(T1,AllListPrice!$A$2:$D$1000,4,0),0)</f>
        <v>2062.75</v>
      </c>
      <c r="U14" s="25">
        <f>iferror(vlookup(U1,AllListPrice!$A$2:$D$1000,4,0),0)</f>
        <v>2557.45</v>
      </c>
      <c r="V14" s="25">
        <f>iferror(vlookup(V1,AllListPrice!$A$2:$D$1000,4,0),0)</f>
        <v>3302.25</v>
      </c>
      <c r="W14" s="25">
        <f>iferror(vlookup(W1,AllListPrice!$A$2:$D$1000,4,0),0)</f>
        <v>2264.01</v>
      </c>
      <c r="X14" s="25">
        <f>iferror(vlookup(X1,AllListPrice!$A$2:$D$1000,4,0),0)</f>
        <v>2306.8</v>
      </c>
      <c r="Y14" s="25">
        <f>iferror(vlookup(Y1,AllListPrice!$A$2:$D$1000,4,0),0)</f>
        <v>3602.8</v>
      </c>
      <c r="Z14" s="25">
        <f>iferror(vlookup(Z1,AllListPrice!$A$2:$D$1000,4,0),0)</f>
        <v>3725.66</v>
      </c>
      <c r="AA14" s="25">
        <f>iferror(vlookup(AA1,AllListPrice!$A$2:$D$1000,4,0),0)</f>
        <v>4790.18</v>
      </c>
      <c r="AB14" s="25">
        <f>iferror(vlookup(AB1,AllListPrice!$A$2:$D$1000,4,0),0)</f>
        <v>4622.36</v>
      </c>
      <c r="AC14" s="25">
        <f>iferror(vlookup(AC1,AllListPrice!$A$2:$D$1000,4,0),0)</f>
        <v>1379.74</v>
      </c>
      <c r="AD14" s="25">
        <f>iferror(vlookup(AD1,AllListPrice!$A$2:$D$1000,4,0),0)</f>
        <v>2116.76</v>
      </c>
      <c r="AE14" s="25">
        <f>iferror(vlookup(AE1,AllListPrice!$A$2:$D$1000,4,0),0)</f>
        <v>2238.02</v>
      </c>
      <c r="AF14" s="25">
        <f>iferror(vlookup(AF1,AllListPrice!$A$2:$D$1000,4,0),0)</f>
        <v>3466.95</v>
      </c>
      <c r="AG14" s="25">
        <f>iferror(vlookup(AG1,AllListPrice!$A$2:$D$1000,4,0),0)</f>
        <v>9916.42</v>
      </c>
      <c r="AH14" s="25">
        <f>iferror(vlookup(AH1,AllListPrice!$A$2:$D$1000,4,0),0)</f>
        <v>11052.8</v>
      </c>
      <c r="AI14" s="25">
        <f>iferror(vlookup(AI1,AllListPrice!$A$2:$D$1000,4,0),0)</f>
        <v>15602.18</v>
      </c>
      <c r="AJ14" s="25">
        <f>iferror(vlookup(AJ1,AllListPrice!$A$2:$D$1000,4,0),0)</f>
        <v>19860.05</v>
      </c>
      <c r="AK14" s="25">
        <f>iferror(vlookup(AK1,AllListPrice!$A$2:$D$1000,4,0),0)</f>
        <v>6063.41</v>
      </c>
      <c r="AL14" s="25">
        <f>iferror(vlookup(AL1,AllListPrice!$A$2:$D$1000,4,0),0)</f>
        <v>7529.2</v>
      </c>
      <c r="AM14" s="25">
        <f>iferror(vlookup(AM1,AllListPrice!$A$2:$D$1000,4,0),0)</f>
        <v>10867.95</v>
      </c>
      <c r="AN14" s="25">
        <f>iferror(vlookup(AN1,AllListPrice!$A$2:$D$1000,4,0),0)</f>
        <v>15269.17</v>
      </c>
      <c r="AO14" s="25">
        <f>iferror(vlookup(AO1,AllListPrice!$A$2:$D$1000,4,0),0)</f>
        <v>8631.47</v>
      </c>
      <c r="AP14" s="25">
        <f>iferror(vlookup(AP1,AllListPrice!$A$2:$D$1000,4,0),0)</f>
        <v>10097.26</v>
      </c>
      <c r="AQ14" s="25">
        <f>iferror(vlookup(AQ1,AllListPrice!$A$2:$D$1000,4,0),0)</f>
        <v>13436.01</v>
      </c>
      <c r="AR14" s="25">
        <f>iferror(vlookup(AR1,AllListPrice!$A$2:$D$1000,4,0),0)</f>
        <v>17837.21</v>
      </c>
      <c r="AS14" s="25">
        <f>iferror(vlookup(AS1,AllListPrice!$A$2:$D$1000,4,0),0)</f>
        <v>5197.72</v>
      </c>
      <c r="AT14" s="25">
        <f>iferror(vlookup(AT1,AllListPrice!$A$2:$D$1000,4,0),0)</f>
        <v>4748.49</v>
      </c>
      <c r="AU14" s="25">
        <f>iferror(vlookup(AU1,AllListPrice!$A$2:$D$1000,4,0),0)</f>
        <v>5672.87</v>
      </c>
      <c r="AV14" s="25">
        <f>iferror(vlookup(AV1,AllListPrice!$A$2:$D$1000,4,0),0)</f>
        <v>41947.75</v>
      </c>
      <c r="AW14" s="25">
        <f>iferror(vlookup(AW1,AllListPrice!$A$2:$D$1000,4,0),0)</f>
        <v>39313.41</v>
      </c>
      <c r="AX14" s="25">
        <f>iferror(vlookup(AX1,AllListPrice!$A$2:$D$1000,4,0),0)</f>
        <v>39313.41</v>
      </c>
      <c r="AY14" s="25">
        <f>iferror(vlookup(AY1,AllListPrice!$A$2:$D$1000,4,0),0)</f>
        <v>35493.67</v>
      </c>
      <c r="AZ14" s="25">
        <f>iferror(vlookup(AZ1,AllListPrice!$A$2:$D$1000,4,0),0)</f>
        <v>43627.07</v>
      </c>
      <c r="BA14" s="25">
        <f>iferror(vlookup(BA1,AllListPrice!$A$2:$D$1000,4,0),0)</f>
        <v>59751.4</v>
      </c>
      <c r="BB14" s="25">
        <f>iferror(vlookup(BB1,AllListPrice!$A$2:$D$1000,4,0),0)</f>
        <v>13699.63</v>
      </c>
      <c r="BC14" s="25">
        <f>iferror(vlookup(BC1,AllListPrice!$A$2:$D$1000,4,0),0)</f>
        <v>14671.04</v>
      </c>
      <c r="BD14" s="25">
        <f>iferror(vlookup(BD1,AllListPrice!$A$2:$D$1000,4,0),0)</f>
        <v>16613.85</v>
      </c>
      <c r="BE14" s="25">
        <f>iferror(vlookup(BE1,AllListPrice!$A$2:$D$1000,4,0),0)</f>
        <v>17585.24</v>
      </c>
      <c r="BF14" s="25">
        <f>iferror(vlookup(BF1,AllListPrice!$A$2:$D$1000,4,0),0)</f>
        <v>19825.33</v>
      </c>
      <c r="BG14" s="25">
        <f>iferror(vlookup(BG1,AllListPrice!$A$2:$D$1000,4,0),0)</f>
        <v>22545.48</v>
      </c>
      <c r="BH14" s="25">
        <f>iferror(vlookup(BH1,AllListPrice!$A$2:$D$1000,4,0),0)</f>
        <v>22736.79</v>
      </c>
      <c r="BI14" s="25">
        <f>iferror(vlookup(BI1,AllListPrice!$A$2:$D$1000,4,0),0)</f>
        <v>25455.65</v>
      </c>
      <c r="BJ14" s="25">
        <f>iferror(vlookup(BJ1,AllListPrice!$A$2:$D$1000,4,0),0)</f>
        <v>18011.91</v>
      </c>
      <c r="BK14" s="25">
        <f>iferror(vlookup(BK1,AllListPrice!$A$2:$D$1000,4,0),0)</f>
        <v>19547.88</v>
      </c>
      <c r="BL14" s="25">
        <f>iferror(vlookup(BL1,AllListPrice!$A$2:$D$1000,4,0),0)</f>
        <v>20505.61</v>
      </c>
      <c r="BM14" s="25">
        <f>iferror(vlookup(BM1,AllListPrice!$A$2:$D$1000,4,0),0)</f>
        <v>21073.06</v>
      </c>
      <c r="BN14" s="25">
        <f>iferror(vlookup(BN1,AllListPrice!$A$2:$D$1000,4,0),0)</f>
        <v>50184.37</v>
      </c>
      <c r="BO14" s="25">
        <f>iferror(vlookup(BO1,AllListPrice!$A$2:$D$1000,4,0),0)</f>
        <v>25086.8</v>
      </c>
      <c r="BP14" s="25">
        <f>iferror(vlookup(BP1,AllListPrice!$A$2:$D$1000,4,0),0)</f>
        <v>26361.21</v>
      </c>
      <c r="BQ14" s="25">
        <f>iferror(vlookup(BQ1,AllListPrice!$A$2:$D$1000,4,0),0)</f>
        <v>29374.16</v>
      </c>
      <c r="BR14" s="25">
        <f>iferror(vlookup(BR1,AllListPrice!$A$2:$D$1000,4,0),0)</f>
        <v>31290.78</v>
      </c>
      <c r="BS14" s="52">
        <f>iferror(vlookup(BS1,AllListPrice!$A$2:$D$1000,4,0),0)</f>
        <v>32286.54</v>
      </c>
      <c r="BT14" s="52">
        <f>iferror(vlookup(BT1,AllListPrice!$A$2:$D$1000,4,0),0)</f>
        <v>57322.71</v>
      </c>
      <c r="BU14" s="52">
        <f>iferror(vlookup(BU1,AllListPrice!$A$2:$D$1000,4,0),0)</f>
        <v>37491.48</v>
      </c>
      <c r="BV14" s="52">
        <f>iferror(vlookup(BV1,AllListPrice!$A$2:$D$1000,4,0),0)</f>
        <v>86779.49</v>
      </c>
      <c r="BW14" s="52">
        <f>iferror(vlookup(BW1,AllListPrice!$A$2:$D$1000,4,0),0)</f>
        <v>78332.98</v>
      </c>
      <c r="BX14" s="52">
        <f>iferror(vlookup(BX1,AllListPrice!$A$2:$D$1000,4,0),0)</f>
        <v>66036.97</v>
      </c>
      <c r="BY14" s="52">
        <f>iferror(vlookup(BY1,AllListPrice!$A$2:$D$1000,4,0),0)</f>
        <v>55686.03</v>
      </c>
      <c r="BZ14" s="52">
        <f>iferror(vlookup(BZ1,AllListPrice!$A$2:$D$1000,4,0),0)</f>
        <v>170302.47</v>
      </c>
      <c r="CA14" s="52">
        <f>iferror(vlookup(CA1,AllListPrice!$A$2:$D$1000,4,0),0)</f>
        <v>130669.25</v>
      </c>
      <c r="CB14" s="52">
        <f>iferror(vlookup(CB1,AllListPrice!$A$2:$D$1000,4,0),0)</f>
        <v>247.3</v>
      </c>
      <c r="CC14" s="52">
        <f>iferror(vlookup(CC1,AllListPrice!$A$2:$D$1000,4,0),0)</f>
        <v>337.64</v>
      </c>
      <c r="CD14" s="52">
        <f>iferror(vlookup(CD1,AllListPrice!$A$2:$D$1000,4,0),0)</f>
        <v>454.11</v>
      </c>
      <c r="CE14" s="52">
        <f>iferror(vlookup(CE1,AllListPrice!$A$2:$D$1000,4,0),0)</f>
        <v>482.81</v>
      </c>
      <c r="CF14" s="52">
        <f>iferror(vlookup(CF1,AllListPrice!$A$2:$D$1000,4,0),0)</f>
        <v>454.11</v>
      </c>
      <c r="CG14" s="52">
        <f>iferror(vlookup(CG1,AllListPrice!$A$2:$D$1000,4,0),0)</f>
        <v>710.58</v>
      </c>
      <c r="CH14" s="52">
        <f>iferror(vlookup(CH1,AllListPrice!$A$2:$D$1000,4,0),0)</f>
        <v>494.58</v>
      </c>
      <c r="CI14" s="52">
        <f>iferror(vlookup(CI1,AllListPrice!$A$2:$D$1000,4,0),0)</f>
        <v>884.63</v>
      </c>
      <c r="CJ14" s="52">
        <f>iferror(vlookup(CJ1,AllListPrice!$A$2:$D$1000,4,0),0)</f>
        <v>1322.91</v>
      </c>
      <c r="CK14" s="52">
        <f>iferror(vlookup(CK1,AllListPrice!$A$2:$D$1000,4,0),0)</f>
        <v>947.38</v>
      </c>
      <c r="CL14" s="52">
        <f>iferror(vlookup(CL1,AllListPrice!$A$2:$D$1000,4,0),0)</f>
        <v>1474.24</v>
      </c>
      <c r="CM14" s="52">
        <f>iferror(vlookup(CM1,AllListPrice!$A$2:$D$1000,4,0),0)</f>
        <v>824.79</v>
      </c>
      <c r="CN14" s="52">
        <f>iferror(vlookup(CN1,AllListPrice!$A$2:$D$1000,4,0),0)</f>
        <v>989.01</v>
      </c>
      <c r="CO14" s="52">
        <f>iferror(vlookup(CO1,AllListPrice!$A$2:$D$1000,4,0),0)</f>
        <v>1404.36</v>
      </c>
      <c r="CP14" s="52">
        <f>iferror(vlookup(CP1,AllListPrice!$A$2:$D$1000,4,0),0)</f>
        <v>1292.59</v>
      </c>
      <c r="CQ14" s="52">
        <f>iferror(vlookup(CQ1,AllListPrice!$A$2:$D$1000,4,0),0)</f>
        <v>1598.11</v>
      </c>
      <c r="CR14" s="52">
        <f>iferror(vlookup(CR1,AllListPrice!$A$2:$D$1000,4,0),0)</f>
        <v>26500</v>
      </c>
      <c r="CS14" s="52">
        <f>iferror(vlookup(CS1,AllListPrice!$A$2:$D$1000,4,0),0)</f>
        <v>32500</v>
      </c>
      <c r="CT14" s="52">
        <f>iferror(vlookup(CT1,AllListPrice!$A$2:$D$1000,4,0),0)</f>
        <v>192000</v>
      </c>
      <c r="CU14" s="52">
        <f>iferror(vlookup(CU1,AllListPrice!$A$2:$D$1000,4,0),0)</f>
        <v>0</v>
      </c>
      <c r="CV14" s="52">
        <f>iferror(vlookup(CV1,AllListPrice!$A$2:$D$1000,4,0),0)</f>
        <v>0</v>
      </c>
      <c r="CW14" s="52">
        <f>iferror(vlookup(CW1,AllListPrice!$A$2:$D$1000,4,0),0)</f>
        <v>0</v>
      </c>
      <c r="CX14" s="52">
        <f>iferror(vlookup(CX1,AllListPrice!$A$2:$D$1000,4,0),0)</f>
        <v>0</v>
      </c>
      <c r="CY14" s="25">
        <f>iferror(vlookup(CY1,Cisco!$A$2:$D$1000,4,0),0)</f>
        <v>0</v>
      </c>
    </row>
    <row r="15">
      <c r="A15" s="22" t="s">
        <v>28</v>
      </c>
      <c r="B15" s="18"/>
      <c r="C15" s="23">
        <f t="shared" ref="C15:BR15" si="2">1*(C13=max($D$13:$CY$13))</f>
        <v>1</v>
      </c>
      <c r="D15" s="21">
        <f t="shared" si="2"/>
        <v>0</v>
      </c>
      <c r="E15" s="21">
        <f t="shared" si="2"/>
        <v>0</v>
      </c>
      <c r="F15" s="21">
        <f t="shared" si="2"/>
        <v>0</v>
      </c>
      <c r="G15" s="21">
        <f t="shared" si="2"/>
        <v>0</v>
      </c>
      <c r="H15" s="21">
        <f t="shared" si="2"/>
        <v>0</v>
      </c>
      <c r="I15" s="21">
        <f t="shared" si="2"/>
        <v>0</v>
      </c>
      <c r="J15" s="21">
        <f t="shared" si="2"/>
        <v>0</v>
      </c>
      <c r="K15" s="21">
        <f t="shared" si="2"/>
        <v>0</v>
      </c>
      <c r="L15" s="21">
        <f t="shared" si="2"/>
        <v>0</v>
      </c>
      <c r="M15" s="21">
        <f t="shared" si="2"/>
        <v>0</v>
      </c>
      <c r="N15" s="21">
        <f t="shared" si="2"/>
        <v>0</v>
      </c>
      <c r="O15" s="21">
        <f t="shared" si="2"/>
        <v>0</v>
      </c>
      <c r="P15" s="21">
        <f t="shared" si="2"/>
        <v>0</v>
      </c>
      <c r="Q15" s="21">
        <f t="shared" si="2"/>
        <v>0</v>
      </c>
      <c r="R15" s="21">
        <f t="shared" si="2"/>
        <v>0</v>
      </c>
      <c r="S15" s="21">
        <f t="shared" si="2"/>
        <v>0</v>
      </c>
      <c r="T15" s="21">
        <f t="shared" si="2"/>
        <v>0</v>
      </c>
      <c r="U15" s="21">
        <f t="shared" si="2"/>
        <v>0</v>
      </c>
      <c r="V15" s="21">
        <f t="shared" si="2"/>
        <v>0</v>
      </c>
      <c r="W15" s="21">
        <f t="shared" si="2"/>
        <v>0</v>
      </c>
      <c r="X15" s="21">
        <f t="shared" si="2"/>
        <v>0</v>
      </c>
      <c r="Y15" s="21">
        <f t="shared" si="2"/>
        <v>0</v>
      </c>
      <c r="Z15" s="21">
        <f t="shared" si="2"/>
        <v>0</v>
      </c>
      <c r="AA15" s="21">
        <f t="shared" si="2"/>
        <v>0</v>
      </c>
      <c r="AB15" s="21">
        <f t="shared" si="2"/>
        <v>0</v>
      </c>
      <c r="AC15" s="21">
        <f t="shared" si="2"/>
        <v>0</v>
      </c>
      <c r="AD15" s="21">
        <f t="shared" si="2"/>
        <v>0</v>
      </c>
      <c r="AE15" s="21">
        <f t="shared" si="2"/>
        <v>0</v>
      </c>
      <c r="AF15" s="21">
        <f t="shared" si="2"/>
        <v>0</v>
      </c>
      <c r="AG15" s="21">
        <f t="shared" si="2"/>
        <v>0</v>
      </c>
      <c r="AH15" s="21">
        <f t="shared" si="2"/>
        <v>0</v>
      </c>
      <c r="AI15" s="21">
        <f t="shared" si="2"/>
        <v>0</v>
      </c>
      <c r="AJ15" s="21">
        <f t="shared" si="2"/>
        <v>0</v>
      </c>
      <c r="AK15" s="21">
        <f t="shared" si="2"/>
        <v>0</v>
      </c>
      <c r="AL15" s="21">
        <f t="shared" si="2"/>
        <v>0</v>
      </c>
      <c r="AM15" s="21">
        <f t="shared" si="2"/>
        <v>0</v>
      </c>
      <c r="AN15" s="21">
        <f t="shared" si="2"/>
        <v>0</v>
      </c>
      <c r="AO15" s="21">
        <f t="shared" si="2"/>
        <v>0</v>
      </c>
      <c r="AP15" s="21">
        <f t="shared" si="2"/>
        <v>0</v>
      </c>
      <c r="AQ15" s="21">
        <f t="shared" si="2"/>
        <v>0</v>
      </c>
      <c r="AR15" s="21">
        <f t="shared" si="2"/>
        <v>0</v>
      </c>
      <c r="AS15" s="21">
        <f t="shared" si="2"/>
        <v>0</v>
      </c>
      <c r="AT15" s="21">
        <f t="shared" si="2"/>
        <v>0</v>
      </c>
      <c r="AU15" s="21">
        <f t="shared" si="2"/>
        <v>0</v>
      </c>
      <c r="AV15" s="21">
        <f t="shared" si="2"/>
        <v>0</v>
      </c>
      <c r="AW15" s="21">
        <f t="shared" si="2"/>
        <v>0</v>
      </c>
      <c r="AX15" s="21">
        <f t="shared" si="2"/>
        <v>0</v>
      </c>
      <c r="AY15" s="21">
        <f t="shared" si="2"/>
        <v>0</v>
      </c>
      <c r="AZ15" s="21">
        <f t="shared" si="2"/>
        <v>0</v>
      </c>
      <c r="BA15" s="21">
        <f t="shared" si="2"/>
        <v>0</v>
      </c>
      <c r="BB15" s="21">
        <f t="shared" si="2"/>
        <v>0</v>
      </c>
      <c r="BC15" s="21">
        <f t="shared" si="2"/>
        <v>0</v>
      </c>
      <c r="BD15" s="21">
        <f t="shared" si="2"/>
        <v>0</v>
      </c>
      <c r="BE15" s="21">
        <f t="shared" si="2"/>
        <v>0</v>
      </c>
      <c r="BF15" s="21">
        <f t="shared" si="2"/>
        <v>0</v>
      </c>
      <c r="BG15" s="21">
        <f t="shared" si="2"/>
        <v>0</v>
      </c>
      <c r="BH15" s="21">
        <f t="shared" si="2"/>
        <v>0</v>
      </c>
      <c r="BI15" s="21">
        <f t="shared" si="2"/>
        <v>0</v>
      </c>
      <c r="BJ15" s="21">
        <f t="shared" si="2"/>
        <v>0</v>
      </c>
      <c r="BK15" s="21">
        <f t="shared" si="2"/>
        <v>0</v>
      </c>
      <c r="BL15" s="21">
        <f t="shared" si="2"/>
        <v>0</v>
      </c>
      <c r="BM15" s="21">
        <f t="shared" si="2"/>
        <v>0</v>
      </c>
      <c r="BN15" s="21">
        <f t="shared" si="2"/>
        <v>0</v>
      </c>
      <c r="BO15" s="21">
        <f t="shared" si="2"/>
        <v>0</v>
      </c>
      <c r="BP15" s="21">
        <f t="shared" si="2"/>
        <v>0</v>
      </c>
      <c r="BQ15" s="21">
        <f t="shared" si="2"/>
        <v>0</v>
      </c>
      <c r="BR15" s="21">
        <f t="shared" si="2"/>
        <v>0</v>
      </c>
      <c r="BS15" s="51">
        <f t="shared" ref="BS15:CX15" si="3">1*(BS13=max($D$13:$CQ$13))</f>
        <v>0</v>
      </c>
      <c r="BT15" s="51">
        <f t="shared" si="3"/>
        <v>0</v>
      </c>
      <c r="BU15" s="51">
        <f t="shared" si="3"/>
        <v>0</v>
      </c>
      <c r="BV15" s="51">
        <f t="shared" si="3"/>
        <v>0</v>
      </c>
      <c r="BW15" s="51">
        <f t="shared" si="3"/>
        <v>0</v>
      </c>
      <c r="BX15" s="51">
        <f t="shared" si="3"/>
        <v>1</v>
      </c>
      <c r="BY15" s="51">
        <f t="shared" si="3"/>
        <v>0</v>
      </c>
      <c r="BZ15" s="51">
        <f t="shared" si="3"/>
        <v>0</v>
      </c>
      <c r="CA15" s="51">
        <f t="shared" si="3"/>
        <v>1</v>
      </c>
      <c r="CB15" s="51">
        <f t="shared" si="3"/>
        <v>0</v>
      </c>
      <c r="CC15" s="51">
        <f t="shared" si="3"/>
        <v>0</v>
      </c>
      <c r="CD15" s="51">
        <f t="shared" si="3"/>
        <v>0</v>
      </c>
      <c r="CE15" s="51">
        <f t="shared" si="3"/>
        <v>0</v>
      </c>
      <c r="CF15" s="51">
        <f t="shared" si="3"/>
        <v>0</v>
      </c>
      <c r="CG15" s="51">
        <f t="shared" si="3"/>
        <v>0</v>
      </c>
      <c r="CH15" s="51">
        <f t="shared" si="3"/>
        <v>0</v>
      </c>
      <c r="CI15" s="51">
        <f t="shared" si="3"/>
        <v>0</v>
      </c>
      <c r="CJ15" s="51">
        <f t="shared" si="3"/>
        <v>0</v>
      </c>
      <c r="CK15" s="51">
        <f t="shared" si="3"/>
        <v>0</v>
      </c>
      <c r="CL15" s="51">
        <f t="shared" si="3"/>
        <v>0</v>
      </c>
      <c r="CM15" s="51">
        <f t="shared" si="3"/>
        <v>0</v>
      </c>
      <c r="CN15" s="51">
        <f t="shared" si="3"/>
        <v>0</v>
      </c>
      <c r="CO15" s="51">
        <f t="shared" si="3"/>
        <v>0</v>
      </c>
      <c r="CP15" s="51">
        <f t="shared" si="3"/>
        <v>0</v>
      </c>
      <c r="CQ15" s="51">
        <f t="shared" si="3"/>
        <v>0</v>
      </c>
      <c r="CR15" s="51">
        <f t="shared" si="3"/>
        <v>0</v>
      </c>
      <c r="CS15" s="51">
        <f t="shared" si="3"/>
        <v>0</v>
      </c>
      <c r="CT15" s="51">
        <f t="shared" si="3"/>
        <v>0</v>
      </c>
      <c r="CU15" s="51">
        <f t="shared" si="3"/>
        <v>0</v>
      </c>
      <c r="CV15" s="51">
        <f t="shared" si="3"/>
        <v>0</v>
      </c>
      <c r="CW15" s="51">
        <f t="shared" si="3"/>
        <v>0</v>
      </c>
      <c r="CX15" s="51">
        <f t="shared" si="3"/>
        <v>0</v>
      </c>
      <c r="CY15" s="21">
        <f>1*(CY13=max($D$13:$CY$13))</f>
        <v>0</v>
      </c>
    </row>
    <row r="16">
      <c r="A16" s="22" t="s">
        <v>29</v>
      </c>
      <c r="B16" s="18"/>
      <c r="C16" s="23">
        <f t="shared" ref="C16:BR16" si="4">C15*(C14=minifs($D$14:$CY$14,$D$15:$CY$15,1))</f>
        <v>1</v>
      </c>
      <c r="D16" s="21">
        <f t="shared" si="4"/>
        <v>0</v>
      </c>
      <c r="E16" s="21">
        <f t="shared" si="4"/>
        <v>0</v>
      </c>
      <c r="F16" s="21">
        <f t="shared" si="4"/>
        <v>0</v>
      </c>
      <c r="G16" s="21">
        <f t="shared" si="4"/>
        <v>0</v>
      </c>
      <c r="H16" s="21">
        <f t="shared" si="4"/>
        <v>0</v>
      </c>
      <c r="I16" s="21">
        <f t="shared" si="4"/>
        <v>0</v>
      </c>
      <c r="J16" s="21">
        <f t="shared" si="4"/>
        <v>0</v>
      </c>
      <c r="K16" s="21">
        <f t="shared" si="4"/>
        <v>0</v>
      </c>
      <c r="L16" s="21">
        <f t="shared" si="4"/>
        <v>0</v>
      </c>
      <c r="M16" s="21">
        <f t="shared" si="4"/>
        <v>0</v>
      </c>
      <c r="N16" s="21">
        <f t="shared" si="4"/>
        <v>0</v>
      </c>
      <c r="O16" s="21">
        <f t="shared" si="4"/>
        <v>0</v>
      </c>
      <c r="P16" s="21">
        <f t="shared" si="4"/>
        <v>0</v>
      </c>
      <c r="Q16" s="21">
        <f t="shared" si="4"/>
        <v>0</v>
      </c>
      <c r="R16" s="21">
        <f t="shared" si="4"/>
        <v>0</v>
      </c>
      <c r="S16" s="21">
        <f t="shared" si="4"/>
        <v>0</v>
      </c>
      <c r="T16" s="21">
        <f t="shared" si="4"/>
        <v>0</v>
      </c>
      <c r="U16" s="21">
        <f t="shared" si="4"/>
        <v>0</v>
      </c>
      <c r="V16" s="21">
        <f t="shared" si="4"/>
        <v>0</v>
      </c>
      <c r="W16" s="21">
        <f t="shared" si="4"/>
        <v>0</v>
      </c>
      <c r="X16" s="21">
        <f t="shared" si="4"/>
        <v>0</v>
      </c>
      <c r="Y16" s="21">
        <f t="shared" si="4"/>
        <v>0</v>
      </c>
      <c r="Z16" s="21">
        <f t="shared" si="4"/>
        <v>0</v>
      </c>
      <c r="AA16" s="21">
        <f t="shared" si="4"/>
        <v>0</v>
      </c>
      <c r="AB16" s="21">
        <f t="shared" si="4"/>
        <v>0</v>
      </c>
      <c r="AC16" s="21">
        <f t="shared" si="4"/>
        <v>0</v>
      </c>
      <c r="AD16" s="21">
        <f t="shared" si="4"/>
        <v>0</v>
      </c>
      <c r="AE16" s="21">
        <f t="shared" si="4"/>
        <v>0</v>
      </c>
      <c r="AF16" s="21">
        <f t="shared" si="4"/>
        <v>0</v>
      </c>
      <c r="AG16" s="21">
        <f t="shared" si="4"/>
        <v>0</v>
      </c>
      <c r="AH16" s="21">
        <f t="shared" si="4"/>
        <v>0</v>
      </c>
      <c r="AI16" s="21">
        <f t="shared" si="4"/>
        <v>0</v>
      </c>
      <c r="AJ16" s="21">
        <f t="shared" si="4"/>
        <v>0</v>
      </c>
      <c r="AK16" s="21">
        <f t="shared" si="4"/>
        <v>0</v>
      </c>
      <c r="AL16" s="21">
        <f t="shared" si="4"/>
        <v>0</v>
      </c>
      <c r="AM16" s="21">
        <f t="shared" si="4"/>
        <v>0</v>
      </c>
      <c r="AN16" s="21">
        <f t="shared" si="4"/>
        <v>0</v>
      </c>
      <c r="AO16" s="21">
        <f t="shared" si="4"/>
        <v>0</v>
      </c>
      <c r="AP16" s="21">
        <f t="shared" si="4"/>
        <v>0</v>
      </c>
      <c r="AQ16" s="21">
        <f t="shared" si="4"/>
        <v>0</v>
      </c>
      <c r="AR16" s="21">
        <f t="shared" si="4"/>
        <v>0</v>
      </c>
      <c r="AS16" s="21">
        <f t="shared" si="4"/>
        <v>0</v>
      </c>
      <c r="AT16" s="21">
        <f t="shared" si="4"/>
        <v>0</v>
      </c>
      <c r="AU16" s="21">
        <f t="shared" si="4"/>
        <v>0</v>
      </c>
      <c r="AV16" s="21">
        <f t="shared" si="4"/>
        <v>0</v>
      </c>
      <c r="AW16" s="21">
        <f t="shared" si="4"/>
        <v>0</v>
      </c>
      <c r="AX16" s="21">
        <f t="shared" si="4"/>
        <v>0</v>
      </c>
      <c r="AY16" s="21">
        <f t="shared" si="4"/>
        <v>0</v>
      </c>
      <c r="AZ16" s="21">
        <f t="shared" si="4"/>
        <v>0</v>
      </c>
      <c r="BA16" s="21">
        <f t="shared" si="4"/>
        <v>0</v>
      </c>
      <c r="BB16" s="21">
        <f t="shared" si="4"/>
        <v>0</v>
      </c>
      <c r="BC16" s="21">
        <f t="shared" si="4"/>
        <v>0</v>
      </c>
      <c r="BD16" s="21">
        <f t="shared" si="4"/>
        <v>0</v>
      </c>
      <c r="BE16" s="21">
        <f t="shared" si="4"/>
        <v>0</v>
      </c>
      <c r="BF16" s="21">
        <f t="shared" si="4"/>
        <v>0</v>
      </c>
      <c r="BG16" s="21">
        <f t="shared" si="4"/>
        <v>0</v>
      </c>
      <c r="BH16" s="21">
        <f t="shared" si="4"/>
        <v>0</v>
      </c>
      <c r="BI16" s="21">
        <f t="shared" si="4"/>
        <v>0</v>
      </c>
      <c r="BJ16" s="21">
        <f t="shared" si="4"/>
        <v>0</v>
      </c>
      <c r="BK16" s="21">
        <f t="shared" si="4"/>
        <v>0</v>
      </c>
      <c r="BL16" s="21">
        <f t="shared" si="4"/>
        <v>0</v>
      </c>
      <c r="BM16" s="21">
        <f t="shared" si="4"/>
        <v>0</v>
      </c>
      <c r="BN16" s="21">
        <f t="shared" si="4"/>
        <v>0</v>
      </c>
      <c r="BO16" s="21">
        <f t="shared" si="4"/>
        <v>0</v>
      </c>
      <c r="BP16" s="21">
        <f t="shared" si="4"/>
        <v>0</v>
      </c>
      <c r="BQ16" s="21">
        <f t="shared" si="4"/>
        <v>0</v>
      </c>
      <c r="BR16" s="21">
        <f t="shared" si="4"/>
        <v>0</v>
      </c>
      <c r="BS16" s="51">
        <f t="shared" ref="BS16:CX16" si="5">BS15*(BS14=minifs($D$14:$CQ$14,$D$15:$CQ$15,1))</f>
        <v>0</v>
      </c>
      <c r="BT16" s="51">
        <f t="shared" si="5"/>
        <v>0</v>
      </c>
      <c r="BU16" s="51">
        <f t="shared" si="5"/>
        <v>0</v>
      </c>
      <c r="BV16" s="51">
        <f t="shared" si="5"/>
        <v>0</v>
      </c>
      <c r="BW16" s="51">
        <f t="shared" si="5"/>
        <v>0</v>
      </c>
      <c r="BX16" s="51">
        <f t="shared" si="5"/>
        <v>1</v>
      </c>
      <c r="BY16" s="51">
        <f t="shared" si="5"/>
        <v>0</v>
      </c>
      <c r="BZ16" s="51">
        <f t="shared" si="5"/>
        <v>0</v>
      </c>
      <c r="CA16" s="51">
        <f t="shared" si="5"/>
        <v>0</v>
      </c>
      <c r="CB16" s="51">
        <f t="shared" si="5"/>
        <v>0</v>
      </c>
      <c r="CC16" s="51">
        <f t="shared" si="5"/>
        <v>0</v>
      </c>
      <c r="CD16" s="51">
        <f t="shared" si="5"/>
        <v>0</v>
      </c>
      <c r="CE16" s="51">
        <f t="shared" si="5"/>
        <v>0</v>
      </c>
      <c r="CF16" s="51">
        <f t="shared" si="5"/>
        <v>0</v>
      </c>
      <c r="CG16" s="51">
        <f t="shared" si="5"/>
        <v>0</v>
      </c>
      <c r="CH16" s="51">
        <f t="shared" si="5"/>
        <v>0</v>
      </c>
      <c r="CI16" s="51">
        <f t="shared" si="5"/>
        <v>0</v>
      </c>
      <c r="CJ16" s="51">
        <f t="shared" si="5"/>
        <v>0</v>
      </c>
      <c r="CK16" s="51">
        <f t="shared" si="5"/>
        <v>0</v>
      </c>
      <c r="CL16" s="51">
        <f t="shared" si="5"/>
        <v>0</v>
      </c>
      <c r="CM16" s="51">
        <f t="shared" si="5"/>
        <v>0</v>
      </c>
      <c r="CN16" s="51">
        <f t="shared" si="5"/>
        <v>0</v>
      </c>
      <c r="CO16" s="51">
        <f t="shared" si="5"/>
        <v>0</v>
      </c>
      <c r="CP16" s="51">
        <f t="shared" si="5"/>
        <v>0</v>
      </c>
      <c r="CQ16" s="51">
        <f t="shared" si="5"/>
        <v>0</v>
      </c>
      <c r="CR16" s="51">
        <f t="shared" si="5"/>
        <v>0</v>
      </c>
      <c r="CS16" s="51">
        <f t="shared" si="5"/>
        <v>0</v>
      </c>
      <c r="CT16" s="51">
        <f t="shared" si="5"/>
        <v>0</v>
      </c>
      <c r="CU16" s="51">
        <f t="shared" si="5"/>
        <v>0</v>
      </c>
      <c r="CV16" s="51">
        <f t="shared" si="5"/>
        <v>0</v>
      </c>
      <c r="CW16" s="51">
        <f t="shared" si="5"/>
        <v>0</v>
      </c>
      <c r="CX16" s="51">
        <f t="shared" si="5"/>
        <v>0</v>
      </c>
      <c r="CY16" s="21">
        <f>CY15*(CY14=minifs($D$14:$CY$14,$D$15:$CY$15,1))</f>
        <v>0</v>
      </c>
    </row>
    <row r="17">
      <c r="A17" s="22" t="s">
        <v>30</v>
      </c>
      <c r="B17" s="18"/>
      <c r="C17" s="23">
        <f t="shared" ref="C17:CY17" si="6">(1-($C$1=C1))*(C15=1)</f>
        <v>0</v>
      </c>
      <c r="D17" s="21">
        <f t="shared" si="6"/>
        <v>0</v>
      </c>
      <c r="E17" s="21">
        <f t="shared" si="6"/>
        <v>0</v>
      </c>
      <c r="F17" s="21">
        <f t="shared" si="6"/>
        <v>0</v>
      </c>
      <c r="G17" s="21">
        <f t="shared" si="6"/>
        <v>0</v>
      </c>
      <c r="H17" s="21">
        <f t="shared" si="6"/>
        <v>0</v>
      </c>
      <c r="I17" s="21">
        <f t="shared" si="6"/>
        <v>0</v>
      </c>
      <c r="J17" s="21">
        <f t="shared" si="6"/>
        <v>0</v>
      </c>
      <c r="K17" s="21">
        <f t="shared" si="6"/>
        <v>0</v>
      </c>
      <c r="L17" s="21">
        <f t="shared" si="6"/>
        <v>0</v>
      </c>
      <c r="M17" s="21">
        <f t="shared" si="6"/>
        <v>0</v>
      </c>
      <c r="N17" s="21">
        <f t="shared" si="6"/>
        <v>0</v>
      </c>
      <c r="O17" s="21">
        <f t="shared" si="6"/>
        <v>0</v>
      </c>
      <c r="P17" s="21">
        <f t="shared" si="6"/>
        <v>0</v>
      </c>
      <c r="Q17" s="21">
        <f t="shared" si="6"/>
        <v>0</v>
      </c>
      <c r="R17" s="21">
        <f t="shared" si="6"/>
        <v>0</v>
      </c>
      <c r="S17" s="21">
        <f t="shared" si="6"/>
        <v>0</v>
      </c>
      <c r="T17" s="21">
        <f t="shared" si="6"/>
        <v>0</v>
      </c>
      <c r="U17" s="21">
        <f t="shared" si="6"/>
        <v>0</v>
      </c>
      <c r="V17" s="21">
        <f t="shared" si="6"/>
        <v>0</v>
      </c>
      <c r="W17" s="21">
        <f t="shared" si="6"/>
        <v>0</v>
      </c>
      <c r="X17" s="21">
        <f t="shared" si="6"/>
        <v>0</v>
      </c>
      <c r="Y17" s="21">
        <f t="shared" si="6"/>
        <v>0</v>
      </c>
      <c r="Z17" s="21">
        <f t="shared" si="6"/>
        <v>0</v>
      </c>
      <c r="AA17" s="21">
        <f t="shared" si="6"/>
        <v>0</v>
      </c>
      <c r="AB17" s="21">
        <f t="shared" si="6"/>
        <v>0</v>
      </c>
      <c r="AC17" s="21">
        <f t="shared" si="6"/>
        <v>0</v>
      </c>
      <c r="AD17" s="21">
        <f t="shared" si="6"/>
        <v>0</v>
      </c>
      <c r="AE17" s="21">
        <f t="shared" si="6"/>
        <v>0</v>
      </c>
      <c r="AF17" s="21">
        <f t="shared" si="6"/>
        <v>0</v>
      </c>
      <c r="AG17" s="21">
        <f t="shared" si="6"/>
        <v>0</v>
      </c>
      <c r="AH17" s="21">
        <f t="shared" si="6"/>
        <v>0</v>
      </c>
      <c r="AI17" s="21">
        <f t="shared" si="6"/>
        <v>0</v>
      </c>
      <c r="AJ17" s="21">
        <f t="shared" si="6"/>
        <v>0</v>
      </c>
      <c r="AK17" s="21">
        <f t="shared" si="6"/>
        <v>0</v>
      </c>
      <c r="AL17" s="21">
        <f t="shared" si="6"/>
        <v>0</v>
      </c>
      <c r="AM17" s="21">
        <f t="shared" si="6"/>
        <v>0</v>
      </c>
      <c r="AN17" s="21">
        <f t="shared" si="6"/>
        <v>0</v>
      </c>
      <c r="AO17" s="21">
        <f t="shared" si="6"/>
        <v>0</v>
      </c>
      <c r="AP17" s="21">
        <f t="shared" si="6"/>
        <v>0</v>
      </c>
      <c r="AQ17" s="21">
        <f t="shared" si="6"/>
        <v>0</v>
      </c>
      <c r="AR17" s="21">
        <f t="shared" si="6"/>
        <v>0</v>
      </c>
      <c r="AS17" s="21">
        <f t="shared" si="6"/>
        <v>0</v>
      </c>
      <c r="AT17" s="21">
        <f t="shared" si="6"/>
        <v>0</v>
      </c>
      <c r="AU17" s="21">
        <f t="shared" si="6"/>
        <v>0</v>
      </c>
      <c r="AV17" s="21">
        <f t="shared" si="6"/>
        <v>0</v>
      </c>
      <c r="AW17" s="21">
        <f t="shared" si="6"/>
        <v>0</v>
      </c>
      <c r="AX17" s="21">
        <f t="shared" si="6"/>
        <v>0</v>
      </c>
      <c r="AY17" s="21">
        <f t="shared" si="6"/>
        <v>0</v>
      </c>
      <c r="AZ17" s="21">
        <f t="shared" si="6"/>
        <v>0</v>
      </c>
      <c r="BA17" s="21">
        <f t="shared" si="6"/>
        <v>0</v>
      </c>
      <c r="BB17" s="21">
        <f t="shared" si="6"/>
        <v>0</v>
      </c>
      <c r="BC17" s="21">
        <f t="shared" si="6"/>
        <v>0</v>
      </c>
      <c r="BD17" s="21">
        <f t="shared" si="6"/>
        <v>0</v>
      </c>
      <c r="BE17" s="21">
        <f t="shared" si="6"/>
        <v>0</v>
      </c>
      <c r="BF17" s="21">
        <f t="shared" si="6"/>
        <v>0</v>
      </c>
      <c r="BG17" s="21">
        <f t="shared" si="6"/>
        <v>0</v>
      </c>
      <c r="BH17" s="21">
        <f t="shared" si="6"/>
        <v>0</v>
      </c>
      <c r="BI17" s="21">
        <f t="shared" si="6"/>
        <v>0</v>
      </c>
      <c r="BJ17" s="21">
        <f t="shared" si="6"/>
        <v>0</v>
      </c>
      <c r="BK17" s="21">
        <f t="shared" si="6"/>
        <v>0</v>
      </c>
      <c r="BL17" s="21">
        <f t="shared" si="6"/>
        <v>0</v>
      </c>
      <c r="BM17" s="21">
        <f t="shared" si="6"/>
        <v>0</v>
      </c>
      <c r="BN17" s="21">
        <f t="shared" si="6"/>
        <v>0</v>
      </c>
      <c r="BO17" s="21">
        <f t="shared" si="6"/>
        <v>0</v>
      </c>
      <c r="BP17" s="21">
        <f t="shared" si="6"/>
        <v>0</v>
      </c>
      <c r="BQ17" s="21">
        <f t="shared" si="6"/>
        <v>0</v>
      </c>
      <c r="BR17" s="21">
        <f t="shared" si="6"/>
        <v>0</v>
      </c>
      <c r="BS17" s="51">
        <f t="shared" si="6"/>
        <v>0</v>
      </c>
      <c r="BT17" s="51">
        <f t="shared" si="6"/>
        <v>0</v>
      </c>
      <c r="BU17" s="51">
        <f t="shared" si="6"/>
        <v>0</v>
      </c>
      <c r="BV17" s="51">
        <f t="shared" si="6"/>
        <v>0</v>
      </c>
      <c r="BW17" s="51">
        <f t="shared" si="6"/>
        <v>0</v>
      </c>
      <c r="BX17" s="51">
        <f t="shared" si="6"/>
        <v>0</v>
      </c>
      <c r="BY17" s="51">
        <f t="shared" si="6"/>
        <v>0</v>
      </c>
      <c r="BZ17" s="51">
        <f t="shared" si="6"/>
        <v>0</v>
      </c>
      <c r="CA17" s="51">
        <f t="shared" si="6"/>
        <v>1</v>
      </c>
      <c r="CB17" s="51">
        <f t="shared" si="6"/>
        <v>0</v>
      </c>
      <c r="CC17" s="51">
        <f t="shared" si="6"/>
        <v>0</v>
      </c>
      <c r="CD17" s="51">
        <f t="shared" si="6"/>
        <v>0</v>
      </c>
      <c r="CE17" s="51">
        <f t="shared" si="6"/>
        <v>0</v>
      </c>
      <c r="CF17" s="51">
        <f t="shared" si="6"/>
        <v>0</v>
      </c>
      <c r="CG17" s="51">
        <f t="shared" si="6"/>
        <v>0</v>
      </c>
      <c r="CH17" s="51">
        <f t="shared" si="6"/>
        <v>0</v>
      </c>
      <c r="CI17" s="51">
        <f t="shared" si="6"/>
        <v>0</v>
      </c>
      <c r="CJ17" s="51">
        <f t="shared" si="6"/>
        <v>0</v>
      </c>
      <c r="CK17" s="51">
        <f t="shared" si="6"/>
        <v>0</v>
      </c>
      <c r="CL17" s="51">
        <f t="shared" si="6"/>
        <v>0</v>
      </c>
      <c r="CM17" s="51">
        <f t="shared" si="6"/>
        <v>0</v>
      </c>
      <c r="CN17" s="51">
        <f t="shared" si="6"/>
        <v>0</v>
      </c>
      <c r="CO17" s="51">
        <f t="shared" si="6"/>
        <v>0</v>
      </c>
      <c r="CP17" s="51">
        <f t="shared" si="6"/>
        <v>0</v>
      </c>
      <c r="CQ17" s="51">
        <f t="shared" si="6"/>
        <v>0</v>
      </c>
      <c r="CR17" s="51">
        <f t="shared" si="6"/>
        <v>0</v>
      </c>
      <c r="CS17" s="51">
        <f t="shared" si="6"/>
        <v>0</v>
      </c>
      <c r="CT17" s="51">
        <f t="shared" si="6"/>
        <v>0</v>
      </c>
      <c r="CU17" s="51">
        <f t="shared" si="6"/>
        <v>0</v>
      </c>
      <c r="CV17" s="51">
        <f t="shared" si="6"/>
        <v>0</v>
      </c>
      <c r="CW17" s="51">
        <f t="shared" si="6"/>
        <v>0</v>
      </c>
      <c r="CX17" s="51">
        <f t="shared" si="6"/>
        <v>0</v>
      </c>
      <c r="CY17" s="21">
        <f t="shared" si="6"/>
        <v>0</v>
      </c>
    </row>
    <row r="18">
      <c r="B18" s="18"/>
      <c r="C18" s="2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21"/>
    </row>
    <row r="19">
      <c r="A19" s="17" t="s">
        <v>31</v>
      </c>
      <c r="B19" s="26"/>
      <c r="C19" s="27" t="str">
        <f>IFERROR(__xludf.DUMMYFUNCTION("iferror(filter(D1:CY1,$D$17:$CY$17=1),"""")"),"C9500X-60L4D")</f>
        <v>C9500X-60L4D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28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</row>
    <row r="20">
      <c r="A20" s="29" t="str">
        <f t="shared" ref="A20:B20" si="7">A2</f>
        <v>Switching Bandwidth - Full Duplex (Gbps)</v>
      </c>
      <c r="B20" s="18" t="str">
        <f t="shared" si="7"/>
        <v/>
      </c>
      <c r="C20" s="23">
        <f>IFERROR(__xludf.DUMMYFUNCTION("iferror(filter(D2:CY2,$D$17:$CY$17=1),"""")"),9200.0)</f>
        <v>9200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21"/>
    </row>
    <row r="21">
      <c r="A21" s="29" t="str">
        <f t="shared" ref="A21:B21" si="8">A3</f>
        <v>Forwarding Capacity (Mpps)</v>
      </c>
      <c r="B21" s="18" t="str">
        <f t="shared" si="8"/>
        <v/>
      </c>
      <c r="C21" s="23">
        <f>IFERROR(__xludf.DUMMYFUNCTION("iferror(filter(D3:CY3,$D$17:$CY$17=1),"""")"),8000.0)</f>
        <v>8000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21"/>
    </row>
    <row r="22">
      <c r="A22" s="29" t="str">
        <f t="shared" ref="A22:B22" si="9">A4</f>
        <v>Số lượng cổng 1GE đồng</v>
      </c>
      <c r="B22" s="18" t="str">
        <f t="shared" si="9"/>
        <v/>
      </c>
      <c r="C22" s="23" t="str">
        <f>IFERROR(__xludf.DUMMYFUNCTION("iferror(filter(D4:CY4,$D$17:$CY$17=1),"""")"),"")</f>
        <v/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21"/>
    </row>
    <row r="23">
      <c r="A23" s="29" t="str">
        <f t="shared" ref="A23:B23" si="10">A5</f>
        <v>Số lượng cổng 1GE SFP</v>
      </c>
      <c r="B23" s="18" t="str">
        <f t="shared" si="10"/>
        <v/>
      </c>
      <c r="C23" s="23" t="str">
        <f>IFERROR(__xludf.DUMMYFUNCTION("iferror(filter(D5:CY5,$D$17:$CY$17=1),"""")"),"")</f>
        <v/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21"/>
    </row>
    <row r="24">
      <c r="A24" s="29" t="str">
        <f t="shared" ref="A24:B24" si="11">A6</f>
        <v>Số lượng cổng 10GE đồng</v>
      </c>
      <c r="B24" s="18" t="str">
        <f t="shared" si="11"/>
        <v/>
      </c>
      <c r="C24" s="23" t="str">
        <f>IFERROR(__xludf.DUMMYFUNCTION("iferror(filter(D6:CY6,$D$17:$CY$17=1),"""")"),"")</f>
        <v/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21"/>
    </row>
    <row r="25">
      <c r="A25" s="29" t="str">
        <f t="shared" ref="A25:B25" si="12">A7</f>
        <v>Số lượng cổng 10GE quang</v>
      </c>
      <c r="B25" s="18">
        <f t="shared" si="12"/>
        <v>48</v>
      </c>
      <c r="C25" s="23">
        <f>IFERROR(__xludf.DUMMYFUNCTION("iferror(filter(D7:CY7,$D$17:$CY$17=1),"""")"),60.0)</f>
        <v>60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21"/>
    </row>
    <row r="26">
      <c r="A26" s="29" t="str">
        <f t="shared" ref="A26:B26" si="13">A8</f>
        <v>Số lượng cổng 100GE</v>
      </c>
      <c r="B26" s="18" t="str">
        <f t="shared" si="13"/>
        <v/>
      </c>
      <c r="C26" s="23">
        <f>IFERROR(__xludf.DUMMYFUNCTION("iferror(filter(D8:CY8,$D$17:$CY$17=1),"""")"),4.0)</f>
        <v>4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21"/>
    </row>
    <row r="27">
      <c r="A27" s="29" t="str">
        <f t="shared" ref="A27:B27" si="14">A9</f>
        <v>Stacking (Y/N)</v>
      </c>
      <c r="B27" s="18" t="str">
        <f t="shared" si="14"/>
        <v/>
      </c>
      <c r="C27" s="23" t="str">
        <f>IFERROR(__xludf.DUMMYFUNCTION("iferror(filter(D9:CY9,$D$17:$CY$17=1),"""")"),"Y")</f>
        <v>Y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21"/>
    </row>
    <row r="28">
      <c r="A28" s="29" t="str">
        <f>A10</f>
        <v>PoE (Y/N)</v>
      </c>
      <c r="B28" s="18"/>
      <c r="C28" s="23" t="str">
        <f>IFERROR(__xludf.DUMMYFUNCTION("iferror(filter(D10:AQ10,$D$17:$AQ$17=1),"""")"),"")</f>
        <v/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21"/>
    </row>
    <row r="29">
      <c r="B29" s="18"/>
      <c r="C29" s="2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21"/>
    </row>
    <row r="30">
      <c r="B30" s="18"/>
      <c r="C30" s="2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50"/>
      <c r="BT30" s="50"/>
      <c r="BU30" s="50"/>
      <c r="BV30" s="50"/>
      <c r="BW30" s="50"/>
      <c r="BX30" s="50"/>
      <c r="BY30" s="50"/>
      <c r="BZ30" s="50"/>
      <c r="CA30" s="50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</row>
    <row r="31">
      <c r="B31" s="18"/>
      <c r="C31" s="2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50"/>
      <c r="BT31" s="50"/>
      <c r="BU31" s="50"/>
      <c r="BV31" s="50"/>
      <c r="BW31" s="50"/>
      <c r="BX31" s="50"/>
      <c r="BY31" s="50"/>
      <c r="BZ31" s="50"/>
      <c r="CA31" s="50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</row>
    <row r="32">
      <c r="B32" s="18"/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50"/>
      <c r="BT32" s="50"/>
      <c r="BU32" s="50"/>
      <c r="BV32" s="50"/>
      <c r="BW32" s="50"/>
      <c r="BX32" s="50"/>
      <c r="BY32" s="50"/>
      <c r="BZ32" s="50"/>
      <c r="CA32" s="50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</row>
    <row r="33">
      <c r="B33" s="18"/>
      <c r="C33" s="2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50"/>
      <c r="BT33" s="50"/>
      <c r="BU33" s="50"/>
      <c r="BV33" s="50"/>
      <c r="BW33" s="50"/>
      <c r="BX33" s="50"/>
      <c r="BY33" s="50"/>
      <c r="BZ33" s="50"/>
      <c r="CA33" s="50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</row>
    <row r="34">
      <c r="B34" s="18"/>
      <c r="C34" s="2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50"/>
      <c r="BT34" s="50"/>
      <c r="BU34" s="50"/>
      <c r="BV34" s="50"/>
      <c r="BW34" s="50"/>
      <c r="BX34" s="50"/>
      <c r="BY34" s="50"/>
      <c r="BZ34" s="50"/>
      <c r="CA34" s="50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</row>
    <row r="35">
      <c r="B35" s="18"/>
      <c r="C35" s="2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50"/>
      <c r="BT35" s="50"/>
      <c r="BU35" s="50"/>
      <c r="BV35" s="50"/>
      <c r="BW35" s="50"/>
      <c r="BX35" s="50"/>
      <c r="BY35" s="50"/>
      <c r="BZ35" s="50"/>
      <c r="CA35" s="50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</row>
    <row r="36">
      <c r="B36" s="18"/>
      <c r="C36" s="2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50"/>
      <c r="BT36" s="50"/>
      <c r="BU36" s="50"/>
      <c r="BV36" s="50"/>
      <c r="BW36" s="50"/>
      <c r="BX36" s="50"/>
      <c r="BY36" s="50"/>
      <c r="BZ36" s="50"/>
      <c r="CA36" s="50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</row>
    <row r="37">
      <c r="B37" s="18"/>
      <c r="C37" s="2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50"/>
      <c r="BT37" s="50"/>
      <c r="BU37" s="50"/>
      <c r="BV37" s="50"/>
      <c r="BW37" s="50"/>
      <c r="BX37" s="50"/>
      <c r="BY37" s="50"/>
      <c r="BZ37" s="50"/>
      <c r="CA37" s="50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</row>
    <row r="38">
      <c r="B38" s="18"/>
      <c r="C38" s="2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50"/>
      <c r="BT38" s="50"/>
      <c r="BU38" s="50"/>
      <c r="BV38" s="50"/>
      <c r="BW38" s="50"/>
      <c r="BX38" s="50"/>
      <c r="BY38" s="50"/>
      <c r="BZ38" s="50"/>
      <c r="CA38" s="50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</row>
    <row r="39">
      <c r="B39" s="18"/>
      <c r="C39" s="2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50"/>
      <c r="BT39" s="50"/>
      <c r="BU39" s="50"/>
      <c r="BV39" s="50"/>
      <c r="BW39" s="50"/>
      <c r="BX39" s="50"/>
      <c r="BY39" s="50"/>
      <c r="BZ39" s="50"/>
      <c r="CA39" s="50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</row>
    <row r="40">
      <c r="B40" s="18"/>
      <c r="C40" s="2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50"/>
      <c r="BT40" s="50"/>
      <c r="BU40" s="50"/>
      <c r="BV40" s="50"/>
      <c r="BW40" s="50"/>
      <c r="BX40" s="50"/>
      <c r="BY40" s="50"/>
      <c r="BZ40" s="50"/>
      <c r="CA40" s="50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</row>
    <row r="41">
      <c r="B41" s="18"/>
      <c r="C41" s="2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50"/>
      <c r="BT41" s="50"/>
      <c r="BU41" s="50"/>
      <c r="BV41" s="50"/>
      <c r="BW41" s="50"/>
      <c r="BX41" s="50"/>
      <c r="BY41" s="50"/>
      <c r="BZ41" s="50"/>
      <c r="CA41" s="50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</row>
    <row r="42">
      <c r="B42" s="18"/>
      <c r="C42" s="2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50"/>
      <c r="BT42" s="50"/>
      <c r="BU42" s="50"/>
      <c r="BV42" s="50"/>
      <c r="BW42" s="50"/>
      <c r="BX42" s="50"/>
      <c r="BY42" s="50"/>
      <c r="BZ42" s="50"/>
      <c r="CA42" s="50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</row>
    <row r="43">
      <c r="B43" s="18"/>
      <c r="C43" s="2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50"/>
      <c r="BT43" s="50"/>
      <c r="BU43" s="50"/>
      <c r="BV43" s="50"/>
      <c r="BW43" s="50"/>
      <c r="BX43" s="50"/>
      <c r="BY43" s="50"/>
      <c r="BZ43" s="50"/>
      <c r="CA43" s="50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</row>
    <row r="44">
      <c r="B44" s="18"/>
      <c r="C44" s="2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50"/>
      <c r="BT44" s="50"/>
      <c r="BU44" s="50"/>
      <c r="BV44" s="50"/>
      <c r="BW44" s="50"/>
      <c r="BX44" s="50"/>
      <c r="BY44" s="50"/>
      <c r="BZ44" s="50"/>
      <c r="CA44" s="50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</row>
    <row r="45">
      <c r="B45" s="18"/>
      <c r="C45" s="2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50"/>
      <c r="BT45" s="50"/>
      <c r="BU45" s="50"/>
      <c r="BV45" s="50"/>
      <c r="BW45" s="50"/>
      <c r="BX45" s="50"/>
      <c r="BY45" s="50"/>
      <c r="BZ45" s="50"/>
      <c r="CA45" s="50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</row>
    <row r="46">
      <c r="B46" s="18"/>
      <c r="C46" s="2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50"/>
      <c r="BT46" s="50"/>
      <c r="BU46" s="50"/>
      <c r="BV46" s="50"/>
      <c r="BW46" s="50"/>
      <c r="BX46" s="50"/>
      <c r="BY46" s="50"/>
      <c r="BZ46" s="50"/>
      <c r="CA46" s="50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</row>
    <row r="47">
      <c r="B47" s="18"/>
      <c r="C47" s="2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50"/>
      <c r="BT47" s="50"/>
      <c r="BU47" s="50"/>
      <c r="BV47" s="50"/>
      <c r="BW47" s="50"/>
      <c r="BX47" s="50"/>
      <c r="BY47" s="50"/>
      <c r="BZ47" s="50"/>
      <c r="CA47" s="50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</row>
    <row r="48">
      <c r="B48" s="18"/>
      <c r="C48" s="2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50"/>
      <c r="BT48" s="50"/>
      <c r="BU48" s="50"/>
      <c r="BV48" s="50"/>
      <c r="BW48" s="50"/>
      <c r="BX48" s="50"/>
      <c r="BY48" s="50"/>
      <c r="BZ48" s="50"/>
      <c r="CA48" s="50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</row>
    <row r="49">
      <c r="B49" s="18"/>
      <c r="C49" s="2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50"/>
      <c r="BT49" s="50"/>
      <c r="BU49" s="50"/>
      <c r="BV49" s="50"/>
      <c r="BW49" s="50"/>
      <c r="BX49" s="50"/>
      <c r="BY49" s="50"/>
      <c r="BZ49" s="50"/>
      <c r="CA49" s="50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</row>
    <row r="50">
      <c r="B50" s="18"/>
      <c r="C50" s="2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50"/>
      <c r="BT50" s="50"/>
      <c r="BU50" s="50"/>
      <c r="BV50" s="50"/>
      <c r="BW50" s="50"/>
      <c r="BX50" s="50"/>
      <c r="BY50" s="50"/>
      <c r="BZ50" s="50"/>
      <c r="CA50" s="50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</row>
    <row r="51">
      <c r="B51" s="18"/>
      <c r="C51" s="2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50"/>
      <c r="BT51" s="50"/>
      <c r="BU51" s="50"/>
      <c r="BV51" s="50"/>
      <c r="BW51" s="50"/>
      <c r="BX51" s="50"/>
      <c r="BY51" s="50"/>
      <c r="BZ51" s="50"/>
      <c r="CA51" s="50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</row>
    <row r="52">
      <c r="B52" s="18"/>
      <c r="C52" s="2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50"/>
      <c r="BT52" s="50"/>
      <c r="BU52" s="50"/>
      <c r="BV52" s="50"/>
      <c r="BW52" s="50"/>
      <c r="BX52" s="50"/>
      <c r="BY52" s="50"/>
      <c r="BZ52" s="50"/>
      <c r="CA52" s="50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</row>
    <row r="53">
      <c r="B53" s="18"/>
      <c r="C53" s="2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50"/>
      <c r="BT53" s="50"/>
      <c r="BU53" s="50"/>
      <c r="BV53" s="50"/>
      <c r="BW53" s="50"/>
      <c r="BX53" s="50"/>
      <c r="BY53" s="50"/>
      <c r="BZ53" s="50"/>
      <c r="CA53" s="50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</row>
    <row r="54">
      <c r="B54" s="18"/>
      <c r="C54" s="2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50"/>
      <c r="BT54" s="50"/>
      <c r="BU54" s="50"/>
      <c r="BV54" s="50"/>
      <c r="BW54" s="50"/>
      <c r="BX54" s="50"/>
      <c r="BY54" s="50"/>
      <c r="BZ54" s="50"/>
      <c r="CA54" s="50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</row>
    <row r="55">
      <c r="B55" s="18"/>
      <c r="C55" s="2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50"/>
      <c r="BT55" s="50"/>
      <c r="BU55" s="50"/>
      <c r="BV55" s="50"/>
      <c r="BW55" s="50"/>
      <c r="BX55" s="50"/>
      <c r="BY55" s="50"/>
      <c r="BZ55" s="50"/>
      <c r="CA55" s="50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</row>
    <row r="56">
      <c r="B56" s="18"/>
      <c r="C56" s="2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50"/>
      <c r="BT56" s="50"/>
      <c r="BU56" s="50"/>
      <c r="BV56" s="50"/>
      <c r="BW56" s="50"/>
      <c r="BX56" s="50"/>
      <c r="BY56" s="50"/>
      <c r="BZ56" s="50"/>
      <c r="CA56" s="50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</row>
    <row r="57">
      <c r="B57" s="18"/>
      <c r="C57" s="2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50"/>
      <c r="BT57" s="50"/>
      <c r="BU57" s="50"/>
      <c r="BV57" s="50"/>
      <c r="BW57" s="50"/>
      <c r="BX57" s="50"/>
      <c r="BY57" s="50"/>
      <c r="BZ57" s="50"/>
      <c r="CA57" s="50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</row>
    <row r="58">
      <c r="B58" s="18"/>
      <c r="C58" s="2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50"/>
      <c r="BT58" s="50"/>
      <c r="BU58" s="50"/>
      <c r="BV58" s="50"/>
      <c r="BW58" s="50"/>
      <c r="BX58" s="50"/>
      <c r="BY58" s="50"/>
      <c r="BZ58" s="50"/>
      <c r="CA58" s="50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</row>
    <row r="59">
      <c r="B59" s="18"/>
      <c r="C59" s="2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50"/>
      <c r="BT59" s="50"/>
      <c r="BU59" s="50"/>
      <c r="BV59" s="50"/>
      <c r="BW59" s="50"/>
      <c r="BX59" s="50"/>
      <c r="BY59" s="50"/>
      <c r="BZ59" s="50"/>
      <c r="CA59" s="50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</row>
    <row r="60">
      <c r="B60" s="18"/>
      <c r="C60" s="2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50"/>
      <c r="BT60" s="50"/>
      <c r="BU60" s="50"/>
      <c r="BV60" s="50"/>
      <c r="BW60" s="50"/>
      <c r="BX60" s="50"/>
      <c r="BY60" s="50"/>
      <c r="BZ60" s="50"/>
      <c r="CA60" s="50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</row>
    <row r="61">
      <c r="B61" s="18"/>
      <c r="C61" s="2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50"/>
      <c r="BT61" s="50"/>
      <c r="BU61" s="50"/>
      <c r="BV61" s="50"/>
      <c r="BW61" s="50"/>
      <c r="BX61" s="50"/>
      <c r="BY61" s="50"/>
      <c r="BZ61" s="50"/>
      <c r="CA61" s="50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</row>
    <row r="62">
      <c r="B62" s="18"/>
      <c r="C62" s="2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50"/>
      <c r="BT62" s="50"/>
      <c r="BU62" s="50"/>
      <c r="BV62" s="50"/>
      <c r="BW62" s="50"/>
      <c r="BX62" s="50"/>
      <c r="BY62" s="50"/>
      <c r="BZ62" s="50"/>
      <c r="CA62" s="50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</row>
    <row r="63">
      <c r="B63" s="18"/>
      <c r="C63" s="2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50"/>
      <c r="BT63" s="50"/>
      <c r="BU63" s="50"/>
      <c r="BV63" s="50"/>
      <c r="BW63" s="50"/>
      <c r="BX63" s="50"/>
      <c r="BY63" s="50"/>
      <c r="BZ63" s="50"/>
      <c r="CA63" s="50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</row>
    <row r="64">
      <c r="B64" s="18"/>
      <c r="C64" s="2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50"/>
      <c r="BT64" s="50"/>
      <c r="BU64" s="50"/>
      <c r="BV64" s="50"/>
      <c r="BW64" s="50"/>
      <c r="BX64" s="50"/>
      <c r="BY64" s="50"/>
      <c r="BZ64" s="50"/>
      <c r="CA64" s="50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</row>
    <row r="65">
      <c r="B65" s="18"/>
      <c r="C65" s="2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50"/>
      <c r="BT65" s="50"/>
      <c r="BU65" s="50"/>
      <c r="BV65" s="50"/>
      <c r="BW65" s="50"/>
      <c r="BX65" s="50"/>
      <c r="BY65" s="50"/>
      <c r="BZ65" s="50"/>
      <c r="CA65" s="50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</row>
    <row r="66">
      <c r="B66" s="18"/>
      <c r="C66" s="2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50"/>
      <c r="BT66" s="50"/>
      <c r="BU66" s="50"/>
      <c r="BV66" s="50"/>
      <c r="BW66" s="50"/>
      <c r="BX66" s="50"/>
      <c r="BY66" s="50"/>
      <c r="BZ66" s="50"/>
      <c r="CA66" s="50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</row>
    <row r="67">
      <c r="B67" s="18"/>
      <c r="C67" s="2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50"/>
      <c r="BT67" s="50"/>
      <c r="BU67" s="50"/>
      <c r="BV67" s="50"/>
      <c r="BW67" s="50"/>
      <c r="BX67" s="50"/>
      <c r="BY67" s="50"/>
      <c r="BZ67" s="50"/>
      <c r="CA67" s="50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</row>
    <row r="68">
      <c r="B68" s="18"/>
      <c r="C68" s="2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50"/>
      <c r="BT68" s="50"/>
      <c r="BU68" s="50"/>
      <c r="BV68" s="50"/>
      <c r="BW68" s="50"/>
      <c r="BX68" s="50"/>
      <c r="BY68" s="50"/>
      <c r="BZ68" s="50"/>
      <c r="CA68" s="50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</row>
    <row r="69">
      <c r="B69" s="18"/>
      <c r="C69" s="2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50"/>
      <c r="BT69" s="50"/>
      <c r="BU69" s="50"/>
      <c r="BV69" s="50"/>
      <c r="BW69" s="50"/>
      <c r="BX69" s="50"/>
      <c r="BY69" s="50"/>
      <c r="BZ69" s="50"/>
      <c r="CA69" s="50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</row>
    <row r="70">
      <c r="B70" s="18"/>
      <c r="C70" s="2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50"/>
      <c r="BT70" s="50"/>
      <c r="BU70" s="50"/>
      <c r="BV70" s="50"/>
      <c r="BW70" s="50"/>
      <c r="BX70" s="50"/>
      <c r="BY70" s="50"/>
      <c r="BZ70" s="50"/>
      <c r="CA70" s="50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</row>
    <row r="71">
      <c r="B71" s="18"/>
      <c r="C71" s="2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50"/>
      <c r="BT71" s="50"/>
      <c r="BU71" s="50"/>
      <c r="BV71" s="50"/>
      <c r="BW71" s="50"/>
      <c r="BX71" s="50"/>
      <c r="BY71" s="50"/>
      <c r="BZ71" s="50"/>
      <c r="CA71" s="50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</row>
    <row r="72">
      <c r="B72" s="18"/>
      <c r="C72" s="2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50"/>
      <c r="BT72" s="50"/>
      <c r="BU72" s="50"/>
      <c r="BV72" s="50"/>
      <c r="BW72" s="50"/>
      <c r="BX72" s="50"/>
      <c r="BY72" s="50"/>
      <c r="BZ72" s="50"/>
      <c r="CA72" s="50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</row>
    <row r="73">
      <c r="B73" s="18"/>
      <c r="C73" s="2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50"/>
      <c r="BT73" s="50"/>
      <c r="BU73" s="50"/>
      <c r="BV73" s="50"/>
      <c r="BW73" s="50"/>
      <c r="BX73" s="50"/>
      <c r="BY73" s="50"/>
      <c r="BZ73" s="50"/>
      <c r="CA73" s="50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</row>
    <row r="74">
      <c r="B74" s="18"/>
      <c r="C74" s="2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50"/>
      <c r="BT74" s="50"/>
      <c r="BU74" s="50"/>
      <c r="BV74" s="50"/>
      <c r="BW74" s="50"/>
      <c r="BX74" s="50"/>
      <c r="BY74" s="50"/>
      <c r="BZ74" s="50"/>
      <c r="CA74" s="50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</row>
    <row r="75">
      <c r="B75" s="18"/>
      <c r="C75" s="2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50"/>
      <c r="BT75" s="50"/>
      <c r="BU75" s="50"/>
      <c r="BV75" s="50"/>
      <c r="BW75" s="50"/>
      <c r="BX75" s="50"/>
      <c r="BY75" s="50"/>
      <c r="BZ75" s="50"/>
      <c r="CA75" s="50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</row>
    <row r="76">
      <c r="B76" s="18"/>
      <c r="C76" s="2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50"/>
      <c r="BT76" s="50"/>
      <c r="BU76" s="50"/>
      <c r="BV76" s="50"/>
      <c r="BW76" s="50"/>
      <c r="BX76" s="50"/>
      <c r="BY76" s="50"/>
      <c r="BZ76" s="50"/>
      <c r="CA76" s="50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</row>
    <row r="77">
      <c r="B77" s="18"/>
      <c r="C77" s="2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50"/>
      <c r="BT77" s="50"/>
      <c r="BU77" s="50"/>
      <c r="BV77" s="50"/>
      <c r="BW77" s="50"/>
      <c r="BX77" s="50"/>
      <c r="BY77" s="50"/>
      <c r="BZ77" s="50"/>
      <c r="CA77" s="50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</row>
    <row r="78">
      <c r="B78" s="18"/>
      <c r="C78" s="2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50"/>
      <c r="BT78" s="50"/>
      <c r="BU78" s="50"/>
      <c r="BV78" s="50"/>
      <c r="BW78" s="50"/>
      <c r="BX78" s="50"/>
      <c r="BY78" s="50"/>
      <c r="BZ78" s="50"/>
      <c r="CA78" s="50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</row>
    <row r="79">
      <c r="B79" s="18"/>
      <c r="C79" s="2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50"/>
      <c r="BT79" s="50"/>
      <c r="BU79" s="50"/>
      <c r="BV79" s="50"/>
      <c r="BW79" s="50"/>
      <c r="BX79" s="50"/>
      <c r="BY79" s="50"/>
      <c r="BZ79" s="50"/>
      <c r="CA79" s="50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</row>
    <row r="80">
      <c r="B80" s="18"/>
      <c r="C80" s="2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50"/>
      <c r="BT80" s="50"/>
      <c r="BU80" s="50"/>
      <c r="BV80" s="50"/>
      <c r="BW80" s="50"/>
      <c r="BX80" s="50"/>
      <c r="BY80" s="50"/>
      <c r="BZ80" s="50"/>
      <c r="CA80" s="50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</row>
    <row r="81">
      <c r="B81" s="18"/>
      <c r="C81" s="2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50"/>
      <c r="BT81" s="50"/>
      <c r="BU81" s="50"/>
      <c r="BV81" s="50"/>
      <c r="BW81" s="50"/>
      <c r="BX81" s="50"/>
      <c r="BY81" s="50"/>
      <c r="BZ81" s="50"/>
      <c r="CA81" s="50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</row>
    <row r="82">
      <c r="B82" s="18"/>
      <c r="C82" s="2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50"/>
      <c r="BT82" s="50"/>
      <c r="BU82" s="50"/>
      <c r="BV82" s="50"/>
      <c r="BW82" s="50"/>
      <c r="BX82" s="50"/>
      <c r="BY82" s="50"/>
      <c r="BZ82" s="50"/>
      <c r="CA82" s="50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</row>
    <row r="83">
      <c r="B83" s="18"/>
      <c r="C83" s="2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50"/>
      <c r="BT83" s="50"/>
      <c r="BU83" s="50"/>
      <c r="BV83" s="50"/>
      <c r="BW83" s="50"/>
      <c r="BX83" s="50"/>
      <c r="BY83" s="50"/>
      <c r="BZ83" s="50"/>
      <c r="CA83" s="50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</row>
    <row r="84">
      <c r="B84" s="18"/>
      <c r="C84" s="2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50"/>
      <c r="BT84" s="50"/>
      <c r="BU84" s="50"/>
      <c r="BV84" s="50"/>
      <c r="BW84" s="50"/>
      <c r="BX84" s="50"/>
      <c r="BY84" s="50"/>
      <c r="BZ84" s="50"/>
      <c r="CA84" s="50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</row>
    <row r="85">
      <c r="B85" s="18"/>
      <c r="C85" s="2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50"/>
      <c r="BT85" s="50"/>
      <c r="BU85" s="50"/>
      <c r="BV85" s="50"/>
      <c r="BW85" s="50"/>
      <c r="BX85" s="50"/>
      <c r="BY85" s="50"/>
      <c r="BZ85" s="50"/>
      <c r="CA85" s="50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</row>
    <row r="86">
      <c r="B86" s="18"/>
      <c r="C86" s="2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50"/>
      <c r="BT86" s="50"/>
      <c r="BU86" s="50"/>
      <c r="BV86" s="50"/>
      <c r="BW86" s="50"/>
      <c r="BX86" s="50"/>
      <c r="BY86" s="50"/>
      <c r="BZ86" s="50"/>
      <c r="CA86" s="50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</row>
    <row r="87">
      <c r="B87" s="18"/>
      <c r="C87" s="2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50"/>
      <c r="BT87" s="50"/>
      <c r="BU87" s="50"/>
      <c r="BV87" s="50"/>
      <c r="BW87" s="50"/>
      <c r="BX87" s="50"/>
      <c r="BY87" s="50"/>
      <c r="BZ87" s="50"/>
      <c r="CA87" s="50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</row>
    <row r="88">
      <c r="B88" s="18"/>
      <c r="C88" s="2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50"/>
      <c r="BT88" s="50"/>
      <c r="BU88" s="50"/>
      <c r="BV88" s="50"/>
      <c r="BW88" s="50"/>
      <c r="BX88" s="50"/>
      <c r="BY88" s="50"/>
      <c r="BZ88" s="50"/>
      <c r="CA88" s="50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</row>
    <row r="89">
      <c r="B89" s="18"/>
      <c r="C89" s="2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50"/>
      <c r="BT89" s="50"/>
      <c r="BU89" s="50"/>
      <c r="BV89" s="50"/>
      <c r="BW89" s="50"/>
      <c r="BX89" s="50"/>
      <c r="BY89" s="50"/>
      <c r="BZ89" s="50"/>
      <c r="CA89" s="50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</row>
    <row r="90">
      <c r="B90" s="18"/>
      <c r="C90" s="2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50"/>
      <c r="BT90" s="50"/>
      <c r="BU90" s="50"/>
      <c r="BV90" s="50"/>
      <c r="BW90" s="50"/>
      <c r="BX90" s="50"/>
      <c r="BY90" s="50"/>
      <c r="BZ90" s="50"/>
      <c r="CA90" s="50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</row>
    <row r="91">
      <c r="B91" s="18"/>
      <c r="C91" s="2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50"/>
      <c r="BT91" s="50"/>
      <c r="BU91" s="50"/>
      <c r="BV91" s="50"/>
      <c r="BW91" s="50"/>
      <c r="BX91" s="50"/>
      <c r="BY91" s="50"/>
      <c r="BZ91" s="50"/>
      <c r="CA91" s="50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</row>
    <row r="92">
      <c r="B92" s="18"/>
      <c r="C92" s="2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50"/>
      <c r="BT92" s="50"/>
      <c r="BU92" s="50"/>
      <c r="BV92" s="50"/>
      <c r="BW92" s="50"/>
      <c r="BX92" s="50"/>
      <c r="BY92" s="50"/>
      <c r="BZ92" s="50"/>
      <c r="CA92" s="50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</row>
    <row r="93">
      <c r="B93" s="18"/>
      <c r="C93" s="2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50"/>
      <c r="BT93" s="50"/>
      <c r="BU93" s="50"/>
      <c r="BV93" s="50"/>
      <c r="BW93" s="50"/>
      <c r="BX93" s="50"/>
      <c r="BY93" s="50"/>
      <c r="BZ93" s="50"/>
      <c r="CA93" s="50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</row>
    <row r="94">
      <c r="B94" s="18"/>
      <c r="C94" s="2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50"/>
      <c r="BT94" s="50"/>
      <c r="BU94" s="50"/>
      <c r="BV94" s="50"/>
      <c r="BW94" s="50"/>
      <c r="BX94" s="50"/>
      <c r="BY94" s="50"/>
      <c r="BZ94" s="50"/>
      <c r="CA94" s="50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</row>
    <row r="95">
      <c r="B95" s="18"/>
      <c r="C95" s="2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50"/>
      <c r="BT95" s="50"/>
      <c r="BU95" s="50"/>
      <c r="BV95" s="50"/>
      <c r="BW95" s="50"/>
      <c r="BX95" s="50"/>
      <c r="BY95" s="50"/>
      <c r="BZ95" s="50"/>
      <c r="CA95" s="50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</row>
    <row r="96">
      <c r="B96" s="18"/>
      <c r="C96" s="2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50"/>
      <c r="BT96" s="50"/>
      <c r="BU96" s="50"/>
      <c r="BV96" s="50"/>
      <c r="BW96" s="50"/>
      <c r="BX96" s="50"/>
      <c r="BY96" s="50"/>
      <c r="BZ96" s="50"/>
      <c r="CA96" s="50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</row>
    <row r="97">
      <c r="B97" s="18"/>
      <c r="C97" s="2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50"/>
      <c r="BT97" s="50"/>
      <c r="BU97" s="50"/>
      <c r="BV97" s="50"/>
      <c r="BW97" s="50"/>
      <c r="BX97" s="50"/>
      <c r="BY97" s="50"/>
      <c r="BZ97" s="50"/>
      <c r="CA97" s="50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</row>
    <row r="98">
      <c r="B98" s="18"/>
      <c r="C98" s="2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50"/>
      <c r="BT98" s="50"/>
      <c r="BU98" s="50"/>
      <c r="BV98" s="50"/>
      <c r="BW98" s="50"/>
      <c r="BX98" s="50"/>
      <c r="BY98" s="50"/>
      <c r="BZ98" s="50"/>
      <c r="CA98" s="50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</row>
    <row r="99">
      <c r="B99" s="18"/>
      <c r="C99" s="2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50"/>
      <c r="BT99" s="50"/>
      <c r="BU99" s="50"/>
      <c r="BV99" s="50"/>
      <c r="BW99" s="50"/>
      <c r="BX99" s="50"/>
      <c r="BY99" s="50"/>
      <c r="BZ99" s="50"/>
      <c r="CA99" s="50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</row>
    <row r="100">
      <c r="B100" s="18"/>
      <c r="C100" s="2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50"/>
      <c r="BT100" s="50"/>
      <c r="BU100" s="50"/>
      <c r="BV100" s="50"/>
      <c r="BW100" s="50"/>
      <c r="BX100" s="50"/>
      <c r="BY100" s="50"/>
      <c r="BZ100" s="50"/>
      <c r="CA100" s="50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</row>
    <row r="101">
      <c r="B101" s="18"/>
      <c r="C101" s="2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50"/>
      <c r="BT101" s="50"/>
      <c r="BU101" s="50"/>
      <c r="BV101" s="50"/>
      <c r="BW101" s="50"/>
      <c r="BX101" s="50"/>
      <c r="BY101" s="50"/>
      <c r="BZ101" s="50"/>
      <c r="CA101" s="50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</row>
    <row r="102">
      <c r="B102" s="18"/>
      <c r="C102" s="2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50"/>
      <c r="BT102" s="50"/>
      <c r="BU102" s="50"/>
      <c r="BV102" s="50"/>
      <c r="BW102" s="50"/>
      <c r="BX102" s="50"/>
      <c r="BY102" s="50"/>
      <c r="BZ102" s="50"/>
      <c r="CA102" s="50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</row>
    <row r="103">
      <c r="B103" s="18"/>
      <c r="C103" s="2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50"/>
      <c r="BT103" s="50"/>
      <c r="BU103" s="50"/>
      <c r="BV103" s="50"/>
      <c r="BW103" s="50"/>
      <c r="BX103" s="50"/>
      <c r="BY103" s="50"/>
      <c r="BZ103" s="50"/>
      <c r="CA103" s="50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</row>
    <row r="104">
      <c r="B104" s="18"/>
      <c r="C104" s="2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50"/>
      <c r="BT104" s="50"/>
      <c r="BU104" s="50"/>
      <c r="BV104" s="50"/>
      <c r="BW104" s="50"/>
      <c r="BX104" s="50"/>
      <c r="BY104" s="50"/>
      <c r="BZ104" s="50"/>
      <c r="CA104" s="50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</row>
    <row r="105">
      <c r="B105" s="18"/>
      <c r="C105" s="2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50"/>
      <c r="BT105" s="50"/>
      <c r="BU105" s="50"/>
      <c r="BV105" s="50"/>
      <c r="BW105" s="50"/>
      <c r="BX105" s="50"/>
      <c r="BY105" s="50"/>
      <c r="BZ105" s="50"/>
      <c r="CA105" s="50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</row>
    <row r="106">
      <c r="B106" s="18"/>
      <c r="C106" s="2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50"/>
      <c r="BT106" s="50"/>
      <c r="BU106" s="50"/>
      <c r="BV106" s="50"/>
      <c r="BW106" s="50"/>
      <c r="BX106" s="50"/>
      <c r="BY106" s="50"/>
      <c r="BZ106" s="50"/>
      <c r="CA106" s="50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</row>
    <row r="107">
      <c r="B107" s="18"/>
      <c r="C107" s="2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50"/>
      <c r="BT107" s="50"/>
      <c r="BU107" s="50"/>
      <c r="BV107" s="50"/>
      <c r="BW107" s="50"/>
      <c r="BX107" s="50"/>
      <c r="BY107" s="50"/>
      <c r="BZ107" s="50"/>
      <c r="CA107" s="50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</row>
    <row r="108">
      <c r="B108" s="18"/>
      <c r="C108" s="2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50"/>
      <c r="BT108" s="50"/>
      <c r="BU108" s="50"/>
      <c r="BV108" s="50"/>
      <c r="BW108" s="50"/>
      <c r="BX108" s="50"/>
      <c r="BY108" s="50"/>
      <c r="BZ108" s="50"/>
      <c r="CA108" s="50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</row>
    <row r="109">
      <c r="B109" s="18"/>
      <c r="C109" s="2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50"/>
      <c r="BT109" s="50"/>
      <c r="BU109" s="50"/>
      <c r="BV109" s="50"/>
      <c r="BW109" s="50"/>
      <c r="BX109" s="50"/>
      <c r="BY109" s="50"/>
      <c r="BZ109" s="50"/>
      <c r="CA109" s="50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</row>
    <row r="110">
      <c r="B110" s="18"/>
      <c r="C110" s="2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50"/>
      <c r="BT110" s="50"/>
      <c r="BU110" s="50"/>
      <c r="BV110" s="50"/>
      <c r="BW110" s="50"/>
      <c r="BX110" s="50"/>
      <c r="BY110" s="50"/>
      <c r="BZ110" s="50"/>
      <c r="CA110" s="50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</row>
    <row r="111">
      <c r="B111" s="18"/>
      <c r="C111" s="2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50"/>
      <c r="BT111" s="50"/>
      <c r="BU111" s="50"/>
      <c r="BV111" s="50"/>
      <c r="BW111" s="50"/>
      <c r="BX111" s="50"/>
      <c r="BY111" s="50"/>
      <c r="BZ111" s="50"/>
      <c r="CA111" s="50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</row>
    <row r="112">
      <c r="B112" s="18"/>
      <c r="C112" s="2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50"/>
      <c r="BT112" s="50"/>
      <c r="BU112" s="50"/>
      <c r="BV112" s="50"/>
      <c r="BW112" s="50"/>
      <c r="BX112" s="50"/>
      <c r="BY112" s="50"/>
      <c r="BZ112" s="50"/>
      <c r="CA112" s="50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</row>
    <row r="113">
      <c r="B113" s="18"/>
      <c r="C113" s="2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50"/>
      <c r="BT113" s="50"/>
      <c r="BU113" s="50"/>
      <c r="BV113" s="50"/>
      <c r="BW113" s="50"/>
      <c r="BX113" s="50"/>
      <c r="BY113" s="50"/>
      <c r="BZ113" s="50"/>
      <c r="CA113" s="50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</row>
    <row r="114">
      <c r="B114" s="18"/>
      <c r="C114" s="2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50"/>
      <c r="BT114" s="50"/>
      <c r="BU114" s="50"/>
      <c r="BV114" s="50"/>
      <c r="BW114" s="50"/>
      <c r="BX114" s="50"/>
      <c r="BY114" s="50"/>
      <c r="BZ114" s="50"/>
      <c r="CA114" s="50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</row>
    <row r="115">
      <c r="B115" s="18"/>
      <c r="C115" s="2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50"/>
      <c r="BT115" s="50"/>
      <c r="BU115" s="50"/>
      <c r="BV115" s="50"/>
      <c r="BW115" s="50"/>
      <c r="BX115" s="50"/>
      <c r="BY115" s="50"/>
      <c r="BZ115" s="50"/>
      <c r="CA115" s="50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</row>
    <row r="116">
      <c r="B116" s="18"/>
      <c r="C116" s="2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50"/>
      <c r="BT116" s="50"/>
      <c r="BU116" s="50"/>
      <c r="BV116" s="50"/>
      <c r="BW116" s="50"/>
      <c r="BX116" s="50"/>
      <c r="BY116" s="50"/>
      <c r="BZ116" s="50"/>
      <c r="CA116" s="50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</row>
    <row r="117">
      <c r="B117" s="18"/>
      <c r="C117" s="2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50"/>
      <c r="BT117" s="50"/>
      <c r="BU117" s="50"/>
      <c r="BV117" s="50"/>
      <c r="BW117" s="50"/>
      <c r="BX117" s="50"/>
      <c r="BY117" s="50"/>
      <c r="BZ117" s="50"/>
      <c r="CA117" s="50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</row>
    <row r="118">
      <c r="B118" s="18"/>
      <c r="C118" s="2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50"/>
      <c r="BT118" s="50"/>
      <c r="BU118" s="50"/>
      <c r="BV118" s="50"/>
      <c r="BW118" s="50"/>
      <c r="BX118" s="50"/>
      <c r="BY118" s="50"/>
      <c r="BZ118" s="50"/>
      <c r="CA118" s="50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</row>
    <row r="119">
      <c r="B119" s="18"/>
      <c r="C119" s="2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50"/>
      <c r="BT119" s="50"/>
      <c r="BU119" s="50"/>
      <c r="BV119" s="50"/>
      <c r="BW119" s="50"/>
      <c r="BX119" s="50"/>
      <c r="BY119" s="50"/>
      <c r="BZ119" s="50"/>
      <c r="CA119" s="50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</row>
    <row r="120">
      <c r="B120" s="18"/>
      <c r="C120" s="2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50"/>
      <c r="BT120" s="50"/>
      <c r="BU120" s="50"/>
      <c r="BV120" s="50"/>
      <c r="BW120" s="50"/>
      <c r="BX120" s="50"/>
      <c r="BY120" s="50"/>
      <c r="BZ120" s="50"/>
      <c r="CA120" s="50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</row>
    <row r="121">
      <c r="B121" s="18"/>
      <c r="C121" s="2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50"/>
      <c r="BT121" s="50"/>
      <c r="BU121" s="50"/>
      <c r="BV121" s="50"/>
      <c r="BW121" s="50"/>
      <c r="BX121" s="50"/>
      <c r="BY121" s="50"/>
      <c r="BZ121" s="50"/>
      <c r="CA121" s="50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</row>
    <row r="122">
      <c r="B122" s="18"/>
      <c r="C122" s="2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50"/>
      <c r="BT122" s="50"/>
      <c r="BU122" s="50"/>
      <c r="BV122" s="50"/>
      <c r="BW122" s="50"/>
      <c r="BX122" s="50"/>
      <c r="BY122" s="50"/>
      <c r="BZ122" s="50"/>
      <c r="CA122" s="50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</row>
    <row r="123">
      <c r="B123" s="18"/>
      <c r="C123" s="2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50"/>
      <c r="BT123" s="50"/>
      <c r="BU123" s="50"/>
      <c r="BV123" s="50"/>
      <c r="BW123" s="50"/>
      <c r="BX123" s="50"/>
      <c r="BY123" s="50"/>
      <c r="BZ123" s="50"/>
      <c r="CA123" s="50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</row>
    <row r="124">
      <c r="B124" s="18"/>
      <c r="C124" s="2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50"/>
      <c r="BT124" s="50"/>
      <c r="BU124" s="50"/>
      <c r="BV124" s="50"/>
      <c r="BW124" s="50"/>
      <c r="BX124" s="50"/>
      <c r="BY124" s="50"/>
      <c r="BZ124" s="50"/>
      <c r="CA124" s="50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</row>
    <row r="125">
      <c r="B125" s="18"/>
      <c r="C125" s="2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50"/>
      <c r="BT125" s="50"/>
      <c r="BU125" s="50"/>
      <c r="BV125" s="50"/>
      <c r="BW125" s="50"/>
      <c r="BX125" s="50"/>
      <c r="BY125" s="50"/>
      <c r="BZ125" s="50"/>
      <c r="CA125" s="50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</row>
    <row r="126">
      <c r="B126" s="18"/>
      <c r="C126" s="2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50"/>
      <c r="BT126" s="50"/>
      <c r="BU126" s="50"/>
      <c r="BV126" s="50"/>
      <c r="BW126" s="50"/>
      <c r="BX126" s="50"/>
      <c r="BY126" s="50"/>
      <c r="BZ126" s="50"/>
      <c r="CA126" s="50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</row>
    <row r="127">
      <c r="B127" s="18"/>
      <c r="C127" s="2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50"/>
      <c r="BT127" s="50"/>
      <c r="BU127" s="50"/>
      <c r="BV127" s="50"/>
      <c r="BW127" s="50"/>
      <c r="BX127" s="50"/>
      <c r="BY127" s="50"/>
      <c r="BZ127" s="50"/>
      <c r="CA127" s="50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</row>
    <row r="128">
      <c r="B128" s="18"/>
      <c r="C128" s="2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50"/>
      <c r="BT128" s="50"/>
      <c r="BU128" s="50"/>
      <c r="BV128" s="50"/>
      <c r="BW128" s="50"/>
      <c r="BX128" s="50"/>
      <c r="BY128" s="50"/>
      <c r="BZ128" s="50"/>
      <c r="CA128" s="50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</row>
    <row r="129">
      <c r="B129" s="18"/>
      <c r="C129" s="2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50"/>
      <c r="BT129" s="50"/>
      <c r="BU129" s="50"/>
      <c r="BV129" s="50"/>
      <c r="BW129" s="50"/>
      <c r="BX129" s="50"/>
      <c r="BY129" s="50"/>
      <c r="BZ129" s="50"/>
      <c r="CA129" s="50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</row>
    <row r="130">
      <c r="B130" s="18"/>
      <c r="C130" s="2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50"/>
      <c r="BT130" s="50"/>
      <c r="BU130" s="50"/>
      <c r="BV130" s="50"/>
      <c r="BW130" s="50"/>
      <c r="BX130" s="50"/>
      <c r="BY130" s="50"/>
      <c r="BZ130" s="50"/>
      <c r="CA130" s="50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</row>
    <row r="131">
      <c r="B131" s="18"/>
      <c r="C131" s="2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50"/>
      <c r="BT131" s="50"/>
      <c r="BU131" s="50"/>
      <c r="BV131" s="50"/>
      <c r="BW131" s="50"/>
      <c r="BX131" s="50"/>
      <c r="BY131" s="50"/>
      <c r="BZ131" s="50"/>
      <c r="CA131" s="50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</row>
    <row r="132">
      <c r="B132" s="18"/>
      <c r="C132" s="2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50"/>
      <c r="BT132" s="50"/>
      <c r="BU132" s="50"/>
      <c r="BV132" s="50"/>
      <c r="BW132" s="50"/>
      <c r="BX132" s="50"/>
      <c r="BY132" s="50"/>
      <c r="BZ132" s="50"/>
      <c r="CA132" s="50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</row>
    <row r="133">
      <c r="B133" s="18"/>
      <c r="C133" s="2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50"/>
      <c r="BT133" s="50"/>
      <c r="BU133" s="50"/>
      <c r="BV133" s="50"/>
      <c r="BW133" s="50"/>
      <c r="BX133" s="50"/>
      <c r="BY133" s="50"/>
      <c r="BZ133" s="50"/>
      <c r="CA133" s="50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</row>
    <row r="134">
      <c r="B134" s="18"/>
      <c r="C134" s="2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50"/>
      <c r="BT134" s="50"/>
      <c r="BU134" s="50"/>
      <c r="BV134" s="50"/>
      <c r="BW134" s="50"/>
      <c r="BX134" s="50"/>
      <c r="BY134" s="50"/>
      <c r="BZ134" s="50"/>
      <c r="CA134" s="50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</row>
    <row r="135">
      <c r="B135" s="18"/>
      <c r="C135" s="2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50"/>
      <c r="BT135" s="50"/>
      <c r="BU135" s="50"/>
      <c r="BV135" s="50"/>
      <c r="BW135" s="50"/>
      <c r="BX135" s="50"/>
      <c r="BY135" s="50"/>
      <c r="BZ135" s="50"/>
      <c r="CA135" s="50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</row>
    <row r="136">
      <c r="B136" s="18"/>
      <c r="C136" s="2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50"/>
      <c r="BT136" s="50"/>
      <c r="BU136" s="50"/>
      <c r="BV136" s="50"/>
      <c r="BW136" s="50"/>
      <c r="BX136" s="50"/>
      <c r="BY136" s="50"/>
      <c r="BZ136" s="50"/>
      <c r="CA136" s="50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</row>
    <row r="137">
      <c r="B137" s="18"/>
      <c r="C137" s="2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50"/>
      <c r="BT137" s="50"/>
      <c r="BU137" s="50"/>
      <c r="BV137" s="50"/>
      <c r="BW137" s="50"/>
      <c r="BX137" s="50"/>
      <c r="BY137" s="50"/>
      <c r="BZ137" s="50"/>
      <c r="CA137" s="50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</row>
    <row r="138">
      <c r="B138" s="18"/>
      <c r="C138" s="2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50"/>
      <c r="BT138" s="50"/>
      <c r="BU138" s="50"/>
      <c r="BV138" s="50"/>
      <c r="BW138" s="50"/>
      <c r="BX138" s="50"/>
      <c r="BY138" s="50"/>
      <c r="BZ138" s="50"/>
      <c r="CA138" s="50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</row>
    <row r="139">
      <c r="B139" s="18"/>
      <c r="C139" s="2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50"/>
      <c r="BT139" s="50"/>
      <c r="BU139" s="50"/>
      <c r="BV139" s="50"/>
      <c r="BW139" s="50"/>
      <c r="BX139" s="50"/>
      <c r="BY139" s="50"/>
      <c r="BZ139" s="50"/>
      <c r="CA139" s="50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</row>
    <row r="140">
      <c r="B140" s="18"/>
      <c r="C140" s="2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50"/>
      <c r="BT140" s="50"/>
      <c r="BU140" s="50"/>
      <c r="BV140" s="50"/>
      <c r="BW140" s="50"/>
      <c r="BX140" s="50"/>
      <c r="BY140" s="50"/>
      <c r="BZ140" s="50"/>
      <c r="CA140" s="50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</row>
    <row r="141">
      <c r="B141" s="18"/>
      <c r="C141" s="2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50"/>
      <c r="BT141" s="50"/>
      <c r="BU141" s="50"/>
      <c r="BV141" s="50"/>
      <c r="BW141" s="50"/>
      <c r="BX141" s="50"/>
      <c r="BY141" s="50"/>
      <c r="BZ141" s="50"/>
      <c r="CA141" s="50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</row>
    <row r="142">
      <c r="B142" s="18"/>
      <c r="C142" s="2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50"/>
      <c r="BT142" s="50"/>
      <c r="BU142" s="50"/>
      <c r="BV142" s="50"/>
      <c r="BW142" s="50"/>
      <c r="BX142" s="50"/>
      <c r="BY142" s="50"/>
      <c r="BZ142" s="50"/>
      <c r="CA142" s="50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</row>
    <row r="143">
      <c r="B143" s="18"/>
      <c r="C143" s="2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50"/>
      <c r="BT143" s="50"/>
      <c r="BU143" s="50"/>
      <c r="BV143" s="50"/>
      <c r="BW143" s="50"/>
      <c r="BX143" s="50"/>
      <c r="BY143" s="50"/>
      <c r="BZ143" s="50"/>
      <c r="CA143" s="50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</row>
    <row r="144">
      <c r="B144" s="18"/>
      <c r="C144" s="2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50"/>
      <c r="BT144" s="50"/>
      <c r="BU144" s="50"/>
      <c r="BV144" s="50"/>
      <c r="BW144" s="50"/>
      <c r="BX144" s="50"/>
      <c r="BY144" s="50"/>
      <c r="BZ144" s="50"/>
      <c r="CA144" s="50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</row>
    <row r="145">
      <c r="B145" s="18"/>
      <c r="C145" s="2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50"/>
      <c r="BT145" s="50"/>
      <c r="BU145" s="50"/>
      <c r="BV145" s="50"/>
      <c r="BW145" s="50"/>
      <c r="BX145" s="50"/>
      <c r="BY145" s="50"/>
      <c r="BZ145" s="50"/>
      <c r="CA145" s="50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</row>
    <row r="146">
      <c r="B146" s="18"/>
      <c r="C146" s="2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50"/>
      <c r="BT146" s="50"/>
      <c r="BU146" s="50"/>
      <c r="BV146" s="50"/>
      <c r="BW146" s="50"/>
      <c r="BX146" s="50"/>
      <c r="BY146" s="50"/>
      <c r="BZ146" s="50"/>
      <c r="CA146" s="50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</row>
    <row r="147">
      <c r="B147" s="18"/>
      <c r="C147" s="2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50"/>
      <c r="BT147" s="50"/>
      <c r="BU147" s="50"/>
      <c r="BV147" s="50"/>
      <c r="BW147" s="50"/>
      <c r="BX147" s="50"/>
      <c r="BY147" s="50"/>
      <c r="BZ147" s="50"/>
      <c r="CA147" s="50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</row>
    <row r="148">
      <c r="B148" s="18"/>
      <c r="C148" s="2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50"/>
      <c r="BT148" s="50"/>
      <c r="BU148" s="50"/>
      <c r="BV148" s="50"/>
      <c r="BW148" s="50"/>
      <c r="BX148" s="50"/>
      <c r="BY148" s="50"/>
      <c r="BZ148" s="50"/>
      <c r="CA148" s="50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</row>
    <row r="149">
      <c r="B149" s="18"/>
      <c r="C149" s="2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50"/>
      <c r="BT149" s="50"/>
      <c r="BU149" s="50"/>
      <c r="BV149" s="50"/>
      <c r="BW149" s="50"/>
      <c r="BX149" s="50"/>
      <c r="BY149" s="50"/>
      <c r="BZ149" s="50"/>
      <c r="CA149" s="50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</row>
    <row r="150">
      <c r="B150" s="18"/>
      <c r="C150" s="2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50"/>
      <c r="BT150" s="50"/>
      <c r="BU150" s="50"/>
      <c r="BV150" s="50"/>
      <c r="BW150" s="50"/>
      <c r="BX150" s="50"/>
      <c r="BY150" s="50"/>
      <c r="BZ150" s="50"/>
      <c r="CA150" s="50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</row>
    <row r="151">
      <c r="B151" s="18"/>
      <c r="C151" s="2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50"/>
      <c r="BT151" s="50"/>
      <c r="BU151" s="50"/>
      <c r="BV151" s="50"/>
      <c r="BW151" s="50"/>
      <c r="BX151" s="50"/>
      <c r="BY151" s="50"/>
      <c r="BZ151" s="50"/>
      <c r="CA151" s="50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</row>
    <row r="152">
      <c r="B152" s="18"/>
      <c r="C152" s="2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50"/>
      <c r="BT152" s="50"/>
      <c r="BU152" s="50"/>
      <c r="BV152" s="50"/>
      <c r="BW152" s="50"/>
      <c r="BX152" s="50"/>
      <c r="BY152" s="50"/>
      <c r="BZ152" s="50"/>
      <c r="CA152" s="50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</row>
    <row r="153">
      <c r="B153" s="18"/>
      <c r="C153" s="2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50"/>
      <c r="BT153" s="50"/>
      <c r="BU153" s="50"/>
      <c r="BV153" s="50"/>
      <c r="BW153" s="50"/>
      <c r="BX153" s="50"/>
      <c r="BY153" s="50"/>
      <c r="BZ153" s="50"/>
      <c r="CA153" s="50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</row>
    <row r="154">
      <c r="B154" s="18"/>
      <c r="C154" s="2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50"/>
      <c r="BT154" s="50"/>
      <c r="BU154" s="50"/>
      <c r="BV154" s="50"/>
      <c r="BW154" s="50"/>
      <c r="BX154" s="50"/>
      <c r="BY154" s="50"/>
      <c r="BZ154" s="50"/>
      <c r="CA154" s="50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</row>
    <row r="155">
      <c r="B155" s="18"/>
      <c r="C155" s="2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50"/>
      <c r="BT155" s="50"/>
      <c r="BU155" s="50"/>
      <c r="BV155" s="50"/>
      <c r="BW155" s="50"/>
      <c r="BX155" s="50"/>
      <c r="BY155" s="50"/>
      <c r="BZ155" s="50"/>
      <c r="CA155" s="50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</row>
    <row r="156">
      <c r="B156" s="18"/>
      <c r="C156" s="2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50"/>
      <c r="BT156" s="50"/>
      <c r="BU156" s="50"/>
      <c r="BV156" s="50"/>
      <c r="BW156" s="50"/>
      <c r="BX156" s="50"/>
      <c r="BY156" s="50"/>
      <c r="BZ156" s="50"/>
      <c r="CA156" s="50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</row>
    <row r="157">
      <c r="B157" s="18"/>
      <c r="C157" s="2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50"/>
      <c r="BT157" s="50"/>
      <c r="BU157" s="50"/>
      <c r="BV157" s="50"/>
      <c r="BW157" s="50"/>
      <c r="BX157" s="50"/>
      <c r="BY157" s="50"/>
      <c r="BZ157" s="50"/>
      <c r="CA157" s="50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</row>
    <row r="158">
      <c r="B158" s="18"/>
      <c r="C158" s="2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50"/>
      <c r="BT158" s="50"/>
      <c r="BU158" s="50"/>
      <c r="BV158" s="50"/>
      <c r="BW158" s="50"/>
      <c r="BX158" s="50"/>
      <c r="BY158" s="50"/>
      <c r="BZ158" s="50"/>
      <c r="CA158" s="50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</row>
    <row r="159">
      <c r="B159" s="18"/>
      <c r="C159" s="2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50"/>
      <c r="BT159" s="50"/>
      <c r="BU159" s="50"/>
      <c r="BV159" s="50"/>
      <c r="BW159" s="50"/>
      <c r="BX159" s="50"/>
      <c r="BY159" s="50"/>
      <c r="BZ159" s="50"/>
      <c r="CA159" s="50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</row>
    <row r="160">
      <c r="B160" s="18"/>
      <c r="C160" s="2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50"/>
      <c r="BT160" s="50"/>
      <c r="BU160" s="50"/>
      <c r="BV160" s="50"/>
      <c r="BW160" s="50"/>
      <c r="BX160" s="50"/>
      <c r="BY160" s="50"/>
      <c r="BZ160" s="50"/>
      <c r="CA160" s="50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</row>
    <row r="161">
      <c r="B161" s="18"/>
      <c r="C161" s="2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50"/>
      <c r="BT161" s="50"/>
      <c r="BU161" s="50"/>
      <c r="BV161" s="50"/>
      <c r="BW161" s="50"/>
      <c r="BX161" s="50"/>
      <c r="BY161" s="50"/>
      <c r="BZ161" s="50"/>
      <c r="CA161" s="50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</row>
    <row r="162">
      <c r="B162" s="18"/>
      <c r="C162" s="2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50"/>
      <c r="BT162" s="50"/>
      <c r="BU162" s="50"/>
      <c r="BV162" s="50"/>
      <c r="BW162" s="50"/>
      <c r="BX162" s="50"/>
      <c r="BY162" s="50"/>
      <c r="BZ162" s="50"/>
      <c r="CA162" s="50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</row>
    <row r="163">
      <c r="B163" s="18"/>
      <c r="C163" s="2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50"/>
      <c r="BT163" s="50"/>
      <c r="BU163" s="50"/>
      <c r="BV163" s="50"/>
      <c r="BW163" s="50"/>
      <c r="BX163" s="50"/>
      <c r="BY163" s="50"/>
      <c r="BZ163" s="50"/>
      <c r="CA163" s="50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</row>
    <row r="164">
      <c r="B164" s="18"/>
      <c r="C164" s="2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50"/>
      <c r="BT164" s="50"/>
      <c r="BU164" s="50"/>
      <c r="BV164" s="50"/>
      <c r="BW164" s="50"/>
      <c r="BX164" s="50"/>
      <c r="BY164" s="50"/>
      <c r="BZ164" s="50"/>
      <c r="CA164" s="50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</row>
    <row r="165">
      <c r="B165" s="18"/>
      <c r="C165" s="2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50"/>
      <c r="BT165" s="50"/>
      <c r="BU165" s="50"/>
      <c r="BV165" s="50"/>
      <c r="BW165" s="50"/>
      <c r="BX165" s="50"/>
      <c r="BY165" s="50"/>
      <c r="BZ165" s="50"/>
      <c r="CA165" s="50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</row>
    <row r="166">
      <c r="B166" s="18"/>
      <c r="C166" s="2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50"/>
      <c r="BT166" s="50"/>
      <c r="BU166" s="50"/>
      <c r="BV166" s="50"/>
      <c r="BW166" s="50"/>
      <c r="BX166" s="50"/>
      <c r="BY166" s="50"/>
      <c r="BZ166" s="50"/>
      <c r="CA166" s="50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</row>
    <row r="167">
      <c r="B167" s="18"/>
      <c r="C167" s="2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50"/>
      <c r="BT167" s="50"/>
      <c r="BU167" s="50"/>
      <c r="BV167" s="50"/>
      <c r="BW167" s="50"/>
      <c r="BX167" s="50"/>
      <c r="BY167" s="50"/>
      <c r="BZ167" s="50"/>
      <c r="CA167" s="50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</row>
    <row r="168">
      <c r="B168" s="18"/>
      <c r="C168" s="2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50"/>
      <c r="BT168" s="50"/>
      <c r="BU168" s="50"/>
      <c r="BV168" s="50"/>
      <c r="BW168" s="50"/>
      <c r="BX168" s="50"/>
      <c r="BY168" s="50"/>
      <c r="BZ168" s="50"/>
      <c r="CA168" s="50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</row>
    <row r="169">
      <c r="B169" s="18"/>
      <c r="C169" s="2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50"/>
      <c r="BT169" s="50"/>
      <c r="BU169" s="50"/>
      <c r="BV169" s="50"/>
      <c r="BW169" s="50"/>
      <c r="BX169" s="50"/>
      <c r="BY169" s="50"/>
      <c r="BZ169" s="50"/>
      <c r="CA169" s="50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</row>
    <row r="170">
      <c r="B170" s="18"/>
      <c r="C170" s="2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50"/>
      <c r="BT170" s="50"/>
      <c r="BU170" s="50"/>
      <c r="BV170" s="50"/>
      <c r="BW170" s="50"/>
      <c r="BX170" s="50"/>
      <c r="BY170" s="50"/>
      <c r="BZ170" s="50"/>
      <c r="CA170" s="50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</row>
    <row r="171">
      <c r="B171" s="18"/>
      <c r="C171" s="2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50"/>
      <c r="BT171" s="50"/>
      <c r="BU171" s="50"/>
      <c r="BV171" s="50"/>
      <c r="BW171" s="50"/>
      <c r="BX171" s="50"/>
      <c r="BY171" s="50"/>
      <c r="BZ171" s="50"/>
      <c r="CA171" s="50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</row>
    <row r="172">
      <c r="B172" s="18"/>
      <c r="C172" s="2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50"/>
      <c r="BT172" s="50"/>
      <c r="BU172" s="50"/>
      <c r="BV172" s="50"/>
      <c r="BW172" s="50"/>
      <c r="BX172" s="50"/>
      <c r="BY172" s="50"/>
      <c r="BZ172" s="50"/>
      <c r="CA172" s="50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</row>
    <row r="173">
      <c r="B173" s="18"/>
      <c r="C173" s="2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50"/>
      <c r="BT173" s="50"/>
      <c r="BU173" s="50"/>
      <c r="BV173" s="50"/>
      <c r="BW173" s="50"/>
      <c r="BX173" s="50"/>
      <c r="BY173" s="50"/>
      <c r="BZ173" s="50"/>
      <c r="CA173" s="50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</row>
    <row r="174">
      <c r="B174" s="18"/>
      <c r="C174" s="2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50"/>
      <c r="BT174" s="50"/>
      <c r="BU174" s="50"/>
      <c r="BV174" s="50"/>
      <c r="BW174" s="50"/>
      <c r="BX174" s="50"/>
      <c r="BY174" s="50"/>
      <c r="BZ174" s="50"/>
      <c r="CA174" s="50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</row>
    <row r="175">
      <c r="B175" s="18"/>
      <c r="C175" s="2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50"/>
      <c r="BT175" s="50"/>
      <c r="BU175" s="50"/>
      <c r="BV175" s="50"/>
      <c r="BW175" s="50"/>
      <c r="BX175" s="50"/>
      <c r="BY175" s="50"/>
      <c r="BZ175" s="50"/>
      <c r="CA175" s="50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</row>
    <row r="176">
      <c r="B176" s="18"/>
      <c r="C176" s="2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50"/>
      <c r="BT176" s="50"/>
      <c r="BU176" s="50"/>
      <c r="BV176" s="50"/>
      <c r="BW176" s="50"/>
      <c r="BX176" s="50"/>
      <c r="BY176" s="50"/>
      <c r="BZ176" s="50"/>
      <c r="CA176" s="50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</row>
    <row r="177">
      <c r="B177" s="18"/>
      <c r="C177" s="2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50"/>
      <c r="BT177" s="50"/>
      <c r="BU177" s="50"/>
      <c r="BV177" s="50"/>
      <c r="BW177" s="50"/>
      <c r="BX177" s="50"/>
      <c r="BY177" s="50"/>
      <c r="BZ177" s="50"/>
      <c r="CA177" s="50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</row>
    <row r="178">
      <c r="B178" s="18"/>
      <c r="C178" s="2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50"/>
      <c r="BT178" s="50"/>
      <c r="BU178" s="50"/>
      <c r="BV178" s="50"/>
      <c r="BW178" s="50"/>
      <c r="BX178" s="50"/>
      <c r="BY178" s="50"/>
      <c r="BZ178" s="50"/>
      <c r="CA178" s="50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</row>
    <row r="179">
      <c r="B179" s="18"/>
      <c r="C179" s="2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50"/>
      <c r="BT179" s="50"/>
      <c r="BU179" s="50"/>
      <c r="BV179" s="50"/>
      <c r="BW179" s="50"/>
      <c r="BX179" s="50"/>
      <c r="BY179" s="50"/>
      <c r="BZ179" s="50"/>
      <c r="CA179" s="50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</row>
    <row r="180">
      <c r="B180" s="18"/>
      <c r="C180" s="2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50"/>
      <c r="BT180" s="50"/>
      <c r="BU180" s="50"/>
      <c r="BV180" s="50"/>
      <c r="BW180" s="50"/>
      <c r="BX180" s="50"/>
      <c r="BY180" s="50"/>
      <c r="BZ180" s="50"/>
      <c r="CA180" s="50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</row>
    <row r="181">
      <c r="B181" s="18"/>
      <c r="C181" s="2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50"/>
      <c r="BT181" s="50"/>
      <c r="BU181" s="50"/>
      <c r="BV181" s="50"/>
      <c r="BW181" s="50"/>
      <c r="BX181" s="50"/>
      <c r="BY181" s="50"/>
      <c r="BZ181" s="50"/>
      <c r="CA181" s="50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</row>
    <row r="182">
      <c r="B182" s="18"/>
      <c r="C182" s="2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50"/>
      <c r="BT182" s="50"/>
      <c r="BU182" s="50"/>
      <c r="BV182" s="50"/>
      <c r="BW182" s="50"/>
      <c r="BX182" s="50"/>
      <c r="BY182" s="50"/>
      <c r="BZ182" s="50"/>
      <c r="CA182" s="50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</row>
    <row r="183">
      <c r="B183" s="18"/>
      <c r="C183" s="2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50"/>
      <c r="BT183" s="50"/>
      <c r="BU183" s="50"/>
      <c r="BV183" s="50"/>
      <c r="BW183" s="50"/>
      <c r="BX183" s="50"/>
      <c r="BY183" s="50"/>
      <c r="BZ183" s="50"/>
      <c r="CA183" s="50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</row>
    <row r="184">
      <c r="B184" s="18"/>
      <c r="C184" s="2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50"/>
      <c r="BT184" s="50"/>
      <c r="BU184" s="50"/>
      <c r="BV184" s="50"/>
      <c r="BW184" s="50"/>
      <c r="BX184" s="50"/>
      <c r="BY184" s="50"/>
      <c r="BZ184" s="50"/>
      <c r="CA184" s="50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</row>
    <row r="185">
      <c r="B185" s="18"/>
      <c r="C185" s="2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50"/>
      <c r="BT185" s="50"/>
      <c r="BU185" s="50"/>
      <c r="BV185" s="50"/>
      <c r="BW185" s="50"/>
      <c r="BX185" s="50"/>
      <c r="BY185" s="50"/>
      <c r="BZ185" s="50"/>
      <c r="CA185" s="50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</row>
    <row r="186">
      <c r="B186" s="18"/>
      <c r="C186" s="2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50"/>
      <c r="BT186" s="50"/>
      <c r="BU186" s="50"/>
      <c r="BV186" s="50"/>
      <c r="BW186" s="50"/>
      <c r="BX186" s="50"/>
      <c r="BY186" s="50"/>
      <c r="BZ186" s="50"/>
      <c r="CA186" s="50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</row>
    <row r="187">
      <c r="B187" s="18"/>
      <c r="C187" s="2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50"/>
      <c r="BT187" s="50"/>
      <c r="BU187" s="50"/>
      <c r="BV187" s="50"/>
      <c r="BW187" s="50"/>
      <c r="BX187" s="50"/>
      <c r="BY187" s="50"/>
      <c r="BZ187" s="50"/>
      <c r="CA187" s="50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</row>
    <row r="188">
      <c r="B188" s="18"/>
      <c r="C188" s="2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50"/>
      <c r="BT188" s="50"/>
      <c r="BU188" s="50"/>
      <c r="BV188" s="50"/>
      <c r="BW188" s="50"/>
      <c r="BX188" s="50"/>
      <c r="BY188" s="50"/>
      <c r="BZ188" s="50"/>
      <c r="CA188" s="50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</row>
    <row r="189">
      <c r="B189" s="18"/>
      <c r="C189" s="2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50"/>
      <c r="BT189" s="50"/>
      <c r="BU189" s="50"/>
      <c r="BV189" s="50"/>
      <c r="BW189" s="50"/>
      <c r="BX189" s="50"/>
      <c r="BY189" s="50"/>
      <c r="BZ189" s="50"/>
      <c r="CA189" s="50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</row>
    <row r="190">
      <c r="B190" s="18"/>
      <c r="C190" s="2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50"/>
      <c r="BT190" s="50"/>
      <c r="BU190" s="50"/>
      <c r="BV190" s="50"/>
      <c r="BW190" s="50"/>
      <c r="BX190" s="50"/>
      <c r="BY190" s="50"/>
      <c r="BZ190" s="50"/>
      <c r="CA190" s="50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</row>
    <row r="191">
      <c r="B191" s="18"/>
      <c r="C191" s="2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50"/>
      <c r="BT191" s="50"/>
      <c r="BU191" s="50"/>
      <c r="BV191" s="50"/>
      <c r="BW191" s="50"/>
      <c r="BX191" s="50"/>
      <c r="BY191" s="50"/>
      <c r="BZ191" s="50"/>
      <c r="CA191" s="50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</row>
    <row r="192">
      <c r="B192" s="18"/>
      <c r="C192" s="2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50"/>
      <c r="BT192" s="50"/>
      <c r="BU192" s="50"/>
      <c r="BV192" s="50"/>
      <c r="BW192" s="50"/>
      <c r="BX192" s="50"/>
      <c r="BY192" s="50"/>
      <c r="BZ192" s="50"/>
      <c r="CA192" s="50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</row>
    <row r="193">
      <c r="B193" s="18"/>
      <c r="C193" s="2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50"/>
      <c r="BT193" s="50"/>
      <c r="BU193" s="50"/>
      <c r="BV193" s="50"/>
      <c r="BW193" s="50"/>
      <c r="BX193" s="50"/>
      <c r="BY193" s="50"/>
      <c r="BZ193" s="50"/>
      <c r="CA193" s="50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</row>
    <row r="194">
      <c r="B194" s="18"/>
      <c r="C194" s="2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50"/>
      <c r="BT194" s="50"/>
      <c r="BU194" s="50"/>
      <c r="BV194" s="50"/>
      <c r="BW194" s="50"/>
      <c r="BX194" s="50"/>
      <c r="BY194" s="50"/>
      <c r="BZ194" s="50"/>
      <c r="CA194" s="50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</row>
    <row r="195">
      <c r="B195" s="18"/>
      <c r="C195" s="2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50"/>
      <c r="BT195" s="50"/>
      <c r="BU195" s="50"/>
      <c r="BV195" s="50"/>
      <c r="BW195" s="50"/>
      <c r="BX195" s="50"/>
      <c r="BY195" s="50"/>
      <c r="BZ195" s="50"/>
      <c r="CA195" s="50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</row>
    <row r="196">
      <c r="B196" s="18"/>
      <c r="C196" s="2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50"/>
      <c r="BT196" s="50"/>
      <c r="BU196" s="50"/>
      <c r="BV196" s="50"/>
      <c r="BW196" s="50"/>
      <c r="BX196" s="50"/>
      <c r="BY196" s="50"/>
      <c r="BZ196" s="50"/>
      <c r="CA196" s="50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</row>
    <row r="197">
      <c r="B197" s="18"/>
      <c r="C197" s="2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50"/>
      <c r="BT197" s="50"/>
      <c r="BU197" s="50"/>
      <c r="BV197" s="50"/>
      <c r="BW197" s="50"/>
      <c r="BX197" s="50"/>
      <c r="BY197" s="50"/>
      <c r="BZ197" s="50"/>
      <c r="CA197" s="50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</row>
    <row r="198">
      <c r="B198" s="18"/>
      <c r="C198" s="2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50"/>
      <c r="BT198" s="50"/>
      <c r="BU198" s="50"/>
      <c r="BV198" s="50"/>
      <c r="BW198" s="50"/>
      <c r="BX198" s="50"/>
      <c r="BY198" s="50"/>
      <c r="BZ198" s="50"/>
      <c r="CA198" s="50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</row>
    <row r="199">
      <c r="B199" s="18"/>
      <c r="C199" s="2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50"/>
      <c r="BT199" s="50"/>
      <c r="BU199" s="50"/>
      <c r="BV199" s="50"/>
      <c r="BW199" s="50"/>
      <c r="BX199" s="50"/>
      <c r="BY199" s="50"/>
      <c r="BZ199" s="50"/>
      <c r="CA199" s="50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</row>
    <row r="200">
      <c r="B200" s="18"/>
      <c r="C200" s="2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50"/>
      <c r="BT200" s="50"/>
      <c r="BU200" s="50"/>
      <c r="BV200" s="50"/>
      <c r="BW200" s="50"/>
      <c r="BX200" s="50"/>
      <c r="BY200" s="50"/>
      <c r="BZ200" s="50"/>
      <c r="CA200" s="50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</row>
    <row r="201">
      <c r="B201" s="18"/>
      <c r="C201" s="2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50"/>
      <c r="BT201" s="50"/>
      <c r="BU201" s="50"/>
      <c r="BV201" s="50"/>
      <c r="BW201" s="50"/>
      <c r="BX201" s="50"/>
      <c r="BY201" s="50"/>
      <c r="BZ201" s="50"/>
      <c r="CA201" s="50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</row>
    <row r="202">
      <c r="B202" s="18"/>
      <c r="C202" s="2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50"/>
      <c r="BT202" s="50"/>
      <c r="BU202" s="50"/>
      <c r="BV202" s="50"/>
      <c r="BW202" s="50"/>
      <c r="BX202" s="50"/>
      <c r="BY202" s="50"/>
      <c r="BZ202" s="50"/>
      <c r="CA202" s="50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</row>
    <row r="203">
      <c r="B203" s="18"/>
      <c r="C203" s="2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50"/>
      <c r="BT203" s="50"/>
      <c r="BU203" s="50"/>
      <c r="BV203" s="50"/>
      <c r="BW203" s="50"/>
      <c r="BX203" s="50"/>
      <c r="BY203" s="50"/>
      <c r="BZ203" s="50"/>
      <c r="CA203" s="50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</row>
    <row r="204">
      <c r="B204" s="18"/>
      <c r="C204" s="2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50"/>
      <c r="BT204" s="50"/>
      <c r="BU204" s="50"/>
      <c r="BV204" s="50"/>
      <c r="BW204" s="50"/>
      <c r="BX204" s="50"/>
      <c r="BY204" s="50"/>
      <c r="BZ204" s="50"/>
      <c r="CA204" s="50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</row>
    <row r="205">
      <c r="B205" s="18"/>
      <c r="C205" s="2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50"/>
      <c r="BT205" s="50"/>
      <c r="BU205" s="50"/>
      <c r="BV205" s="50"/>
      <c r="BW205" s="50"/>
      <c r="BX205" s="50"/>
      <c r="BY205" s="50"/>
      <c r="BZ205" s="50"/>
      <c r="CA205" s="50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</row>
    <row r="206">
      <c r="B206" s="18"/>
      <c r="C206" s="2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50"/>
      <c r="BT206" s="50"/>
      <c r="BU206" s="50"/>
      <c r="BV206" s="50"/>
      <c r="BW206" s="50"/>
      <c r="BX206" s="50"/>
      <c r="BY206" s="50"/>
      <c r="BZ206" s="50"/>
      <c r="CA206" s="50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</row>
    <row r="207">
      <c r="B207" s="18"/>
      <c r="C207" s="2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50"/>
      <c r="BT207" s="50"/>
      <c r="BU207" s="50"/>
      <c r="BV207" s="50"/>
      <c r="BW207" s="50"/>
      <c r="BX207" s="50"/>
      <c r="BY207" s="50"/>
      <c r="BZ207" s="50"/>
      <c r="CA207" s="50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</row>
    <row r="208">
      <c r="B208" s="18"/>
      <c r="C208" s="2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50"/>
      <c r="BT208" s="50"/>
      <c r="BU208" s="50"/>
      <c r="BV208" s="50"/>
      <c r="BW208" s="50"/>
      <c r="BX208" s="50"/>
      <c r="BY208" s="50"/>
      <c r="BZ208" s="50"/>
      <c r="CA208" s="50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</row>
    <row r="209">
      <c r="B209" s="18"/>
      <c r="C209" s="2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50"/>
      <c r="BT209" s="50"/>
      <c r="BU209" s="50"/>
      <c r="BV209" s="50"/>
      <c r="BW209" s="50"/>
      <c r="BX209" s="50"/>
      <c r="BY209" s="50"/>
      <c r="BZ209" s="50"/>
      <c r="CA209" s="50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</row>
    <row r="210">
      <c r="B210" s="18"/>
      <c r="C210" s="2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50"/>
      <c r="BT210" s="50"/>
      <c r="BU210" s="50"/>
      <c r="BV210" s="50"/>
      <c r="BW210" s="50"/>
      <c r="BX210" s="50"/>
      <c r="BY210" s="50"/>
      <c r="BZ210" s="50"/>
      <c r="CA210" s="50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</row>
    <row r="211">
      <c r="B211" s="18"/>
      <c r="C211" s="2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50"/>
      <c r="BT211" s="50"/>
      <c r="BU211" s="50"/>
      <c r="BV211" s="50"/>
      <c r="BW211" s="50"/>
      <c r="BX211" s="50"/>
      <c r="BY211" s="50"/>
      <c r="BZ211" s="50"/>
      <c r="CA211" s="50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</row>
    <row r="212">
      <c r="B212" s="18"/>
      <c r="C212" s="2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50"/>
      <c r="BT212" s="50"/>
      <c r="BU212" s="50"/>
      <c r="BV212" s="50"/>
      <c r="BW212" s="50"/>
      <c r="BX212" s="50"/>
      <c r="BY212" s="50"/>
      <c r="BZ212" s="50"/>
      <c r="CA212" s="50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</row>
    <row r="213">
      <c r="B213" s="18"/>
      <c r="C213" s="2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50"/>
      <c r="BT213" s="50"/>
      <c r="BU213" s="50"/>
      <c r="BV213" s="50"/>
      <c r="BW213" s="50"/>
      <c r="BX213" s="50"/>
      <c r="BY213" s="50"/>
      <c r="BZ213" s="50"/>
      <c r="CA213" s="50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</row>
    <row r="214">
      <c r="B214" s="18"/>
      <c r="C214" s="2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50"/>
      <c r="BT214" s="50"/>
      <c r="BU214" s="50"/>
      <c r="BV214" s="50"/>
      <c r="BW214" s="50"/>
      <c r="BX214" s="50"/>
      <c r="BY214" s="50"/>
      <c r="BZ214" s="50"/>
      <c r="CA214" s="50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</row>
    <row r="215">
      <c r="B215" s="18"/>
      <c r="C215" s="2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50"/>
      <c r="BT215" s="50"/>
      <c r="BU215" s="50"/>
      <c r="BV215" s="50"/>
      <c r="BW215" s="50"/>
      <c r="BX215" s="50"/>
      <c r="BY215" s="50"/>
      <c r="BZ215" s="50"/>
      <c r="CA215" s="50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</row>
    <row r="216">
      <c r="B216" s="18"/>
      <c r="C216" s="2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50"/>
      <c r="BT216" s="50"/>
      <c r="BU216" s="50"/>
      <c r="BV216" s="50"/>
      <c r="BW216" s="50"/>
      <c r="BX216" s="50"/>
      <c r="BY216" s="50"/>
      <c r="BZ216" s="50"/>
      <c r="CA216" s="50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</row>
    <row r="217">
      <c r="B217" s="18"/>
      <c r="C217" s="2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50"/>
      <c r="BT217" s="50"/>
      <c r="BU217" s="50"/>
      <c r="BV217" s="50"/>
      <c r="BW217" s="50"/>
      <c r="BX217" s="50"/>
      <c r="BY217" s="50"/>
      <c r="BZ217" s="50"/>
      <c r="CA217" s="50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</row>
    <row r="218">
      <c r="B218" s="18"/>
      <c r="C218" s="2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50"/>
      <c r="BT218" s="50"/>
      <c r="BU218" s="50"/>
      <c r="BV218" s="50"/>
      <c r="BW218" s="50"/>
      <c r="BX218" s="50"/>
      <c r="BY218" s="50"/>
      <c r="BZ218" s="50"/>
      <c r="CA218" s="50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</row>
    <row r="219">
      <c r="B219" s="18"/>
      <c r="C219" s="2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50"/>
      <c r="BT219" s="50"/>
      <c r="BU219" s="50"/>
      <c r="BV219" s="50"/>
      <c r="BW219" s="50"/>
      <c r="BX219" s="50"/>
      <c r="BY219" s="50"/>
      <c r="BZ219" s="50"/>
      <c r="CA219" s="50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</row>
    <row r="220">
      <c r="B220" s="18"/>
      <c r="C220" s="2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50"/>
      <c r="BT220" s="50"/>
      <c r="BU220" s="50"/>
      <c r="BV220" s="50"/>
      <c r="BW220" s="50"/>
      <c r="BX220" s="50"/>
      <c r="BY220" s="50"/>
      <c r="BZ220" s="50"/>
      <c r="CA220" s="50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</row>
    <row r="221">
      <c r="B221" s="18"/>
      <c r="C221" s="2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50"/>
      <c r="BT221" s="50"/>
      <c r="BU221" s="50"/>
      <c r="BV221" s="50"/>
      <c r="BW221" s="50"/>
      <c r="BX221" s="50"/>
      <c r="BY221" s="50"/>
      <c r="BZ221" s="50"/>
      <c r="CA221" s="50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</row>
    <row r="222">
      <c r="B222" s="18"/>
      <c r="C222" s="2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50"/>
      <c r="BT222" s="50"/>
      <c r="BU222" s="50"/>
      <c r="BV222" s="50"/>
      <c r="BW222" s="50"/>
      <c r="BX222" s="50"/>
      <c r="BY222" s="50"/>
      <c r="BZ222" s="50"/>
      <c r="CA222" s="50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</row>
    <row r="223">
      <c r="B223" s="18"/>
      <c r="C223" s="2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50"/>
      <c r="BT223" s="50"/>
      <c r="BU223" s="50"/>
      <c r="BV223" s="50"/>
      <c r="BW223" s="50"/>
      <c r="BX223" s="50"/>
      <c r="BY223" s="50"/>
      <c r="BZ223" s="50"/>
      <c r="CA223" s="50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</row>
    <row r="224">
      <c r="B224" s="18"/>
      <c r="C224" s="2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50"/>
      <c r="BT224" s="50"/>
      <c r="BU224" s="50"/>
      <c r="BV224" s="50"/>
      <c r="BW224" s="50"/>
      <c r="BX224" s="50"/>
      <c r="BY224" s="50"/>
      <c r="BZ224" s="50"/>
      <c r="CA224" s="50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</row>
    <row r="225">
      <c r="B225" s="18"/>
      <c r="C225" s="2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50"/>
      <c r="BT225" s="50"/>
      <c r="BU225" s="50"/>
      <c r="BV225" s="50"/>
      <c r="BW225" s="50"/>
      <c r="BX225" s="50"/>
      <c r="BY225" s="50"/>
      <c r="BZ225" s="50"/>
      <c r="CA225" s="50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</row>
    <row r="226">
      <c r="B226" s="18"/>
      <c r="C226" s="2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50"/>
      <c r="BT226" s="50"/>
      <c r="BU226" s="50"/>
      <c r="BV226" s="50"/>
      <c r="BW226" s="50"/>
      <c r="BX226" s="50"/>
      <c r="BY226" s="50"/>
      <c r="BZ226" s="50"/>
      <c r="CA226" s="50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</row>
    <row r="227">
      <c r="B227" s="18"/>
      <c r="C227" s="2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50"/>
      <c r="BT227" s="50"/>
      <c r="BU227" s="50"/>
      <c r="BV227" s="50"/>
      <c r="BW227" s="50"/>
      <c r="BX227" s="50"/>
      <c r="BY227" s="50"/>
      <c r="BZ227" s="50"/>
      <c r="CA227" s="50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</row>
    <row r="228">
      <c r="B228" s="18"/>
      <c r="C228" s="2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50"/>
      <c r="BT228" s="50"/>
      <c r="BU228" s="50"/>
      <c r="BV228" s="50"/>
      <c r="BW228" s="50"/>
      <c r="BX228" s="50"/>
      <c r="BY228" s="50"/>
      <c r="BZ228" s="50"/>
      <c r="CA228" s="50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</row>
    <row r="229">
      <c r="B229" s="18"/>
      <c r="C229" s="2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50"/>
      <c r="BT229" s="50"/>
      <c r="BU229" s="50"/>
      <c r="BV229" s="50"/>
      <c r="BW229" s="50"/>
      <c r="BX229" s="50"/>
      <c r="BY229" s="50"/>
      <c r="BZ229" s="50"/>
      <c r="CA229" s="50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</row>
    <row r="230">
      <c r="B230" s="18"/>
      <c r="C230" s="2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50"/>
      <c r="BT230" s="50"/>
      <c r="BU230" s="50"/>
      <c r="BV230" s="50"/>
      <c r="BW230" s="50"/>
      <c r="BX230" s="50"/>
      <c r="BY230" s="50"/>
      <c r="BZ230" s="50"/>
      <c r="CA230" s="50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</row>
    <row r="231">
      <c r="B231" s="18"/>
      <c r="C231" s="2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50"/>
      <c r="BT231" s="50"/>
      <c r="BU231" s="50"/>
      <c r="BV231" s="50"/>
      <c r="BW231" s="50"/>
      <c r="BX231" s="50"/>
      <c r="BY231" s="50"/>
      <c r="BZ231" s="50"/>
      <c r="CA231" s="50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</row>
    <row r="232">
      <c r="B232" s="18"/>
      <c r="C232" s="2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50"/>
      <c r="BT232" s="50"/>
      <c r="BU232" s="50"/>
      <c r="BV232" s="50"/>
      <c r="BW232" s="50"/>
      <c r="BX232" s="50"/>
      <c r="BY232" s="50"/>
      <c r="BZ232" s="50"/>
      <c r="CA232" s="50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</row>
    <row r="233">
      <c r="B233" s="18"/>
      <c r="C233" s="2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50"/>
      <c r="BT233" s="50"/>
      <c r="BU233" s="50"/>
      <c r="BV233" s="50"/>
      <c r="BW233" s="50"/>
      <c r="BX233" s="50"/>
      <c r="BY233" s="50"/>
      <c r="BZ233" s="50"/>
      <c r="CA233" s="50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</row>
    <row r="234">
      <c r="B234" s="18"/>
      <c r="C234" s="2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50"/>
      <c r="BT234" s="50"/>
      <c r="BU234" s="50"/>
      <c r="BV234" s="50"/>
      <c r="BW234" s="50"/>
      <c r="BX234" s="50"/>
      <c r="BY234" s="50"/>
      <c r="BZ234" s="50"/>
      <c r="CA234" s="50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</row>
    <row r="235">
      <c r="B235" s="18"/>
      <c r="C235" s="2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50"/>
      <c r="BT235" s="50"/>
      <c r="BU235" s="50"/>
      <c r="BV235" s="50"/>
      <c r="BW235" s="50"/>
      <c r="BX235" s="50"/>
      <c r="BY235" s="50"/>
      <c r="BZ235" s="50"/>
      <c r="CA235" s="50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</row>
    <row r="236">
      <c r="B236" s="18"/>
      <c r="C236" s="2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50"/>
      <c r="BT236" s="50"/>
      <c r="BU236" s="50"/>
      <c r="BV236" s="50"/>
      <c r="BW236" s="50"/>
      <c r="BX236" s="50"/>
      <c r="BY236" s="50"/>
      <c r="BZ236" s="50"/>
      <c r="CA236" s="50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</row>
    <row r="237">
      <c r="B237" s="18"/>
      <c r="C237" s="2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50"/>
      <c r="BT237" s="50"/>
      <c r="BU237" s="50"/>
      <c r="BV237" s="50"/>
      <c r="BW237" s="50"/>
      <c r="BX237" s="50"/>
      <c r="BY237" s="50"/>
      <c r="BZ237" s="50"/>
      <c r="CA237" s="50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</row>
    <row r="238">
      <c r="B238" s="18"/>
      <c r="C238" s="2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50"/>
      <c r="BT238" s="50"/>
      <c r="BU238" s="50"/>
      <c r="BV238" s="50"/>
      <c r="BW238" s="50"/>
      <c r="BX238" s="50"/>
      <c r="BY238" s="50"/>
      <c r="BZ238" s="50"/>
      <c r="CA238" s="50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</row>
    <row r="239">
      <c r="B239" s="18"/>
      <c r="C239" s="2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50"/>
      <c r="BT239" s="50"/>
      <c r="BU239" s="50"/>
      <c r="BV239" s="50"/>
      <c r="BW239" s="50"/>
      <c r="BX239" s="50"/>
      <c r="BY239" s="50"/>
      <c r="BZ239" s="50"/>
      <c r="CA239" s="50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</row>
    <row r="240">
      <c r="B240" s="18"/>
      <c r="C240" s="2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50"/>
      <c r="BT240" s="50"/>
      <c r="BU240" s="50"/>
      <c r="BV240" s="50"/>
      <c r="BW240" s="50"/>
      <c r="BX240" s="50"/>
      <c r="BY240" s="50"/>
      <c r="BZ240" s="50"/>
      <c r="CA240" s="50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</row>
    <row r="241">
      <c r="B241" s="18"/>
      <c r="C241" s="2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50"/>
      <c r="BT241" s="50"/>
      <c r="BU241" s="50"/>
      <c r="BV241" s="50"/>
      <c r="BW241" s="50"/>
      <c r="BX241" s="50"/>
      <c r="BY241" s="50"/>
      <c r="BZ241" s="50"/>
      <c r="CA241" s="50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</row>
    <row r="242">
      <c r="B242" s="18"/>
      <c r="C242" s="2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50"/>
      <c r="BT242" s="50"/>
      <c r="BU242" s="50"/>
      <c r="BV242" s="50"/>
      <c r="BW242" s="50"/>
      <c r="BX242" s="50"/>
      <c r="BY242" s="50"/>
      <c r="BZ242" s="50"/>
      <c r="CA242" s="50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</row>
    <row r="243">
      <c r="B243" s="18"/>
      <c r="C243" s="2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50"/>
      <c r="BT243" s="50"/>
      <c r="BU243" s="50"/>
      <c r="BV243" s="50"/>
      <c r="BW243" s="50"/>
      <c r="BX243" s="50"/>
      <c r="BY243" s="50"/>
      <c r="BZ243" s="50"/>
      <c r="CA243" s="50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</row>
    <row r="244">
      <c r="B244" s="18"/>
      <c r="C244" s="2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50"/>
      <c r="BT244" s="50"/>
      <c r="BU244" s="50"/>
      <c r="BV244" s="50"/>
      <c r="BW244" s="50"/>
      <c r="BX244" s="50"/>
      <c r="BY244" s="50"/>
      <c r="BZ244" s="50"/>
      <c r="CA244" s="50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</row>
    <row r="245">
      <c r="B245" s="18"/>
      <c r="C245" s="2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50"/>
      <c r="BT245" s="50"/>
      <c r="BU245" s="50"/>
      <c r="BV245" s="50"/>
      <c r="BW245" s="50"/>
      <c r="BX245" s="50"/>
      <c r="BY245" s="50"/>
      <c r="BZ245" s="50"/>
      <c r="CA245" s="50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</row>
    <row r="246">
      <c r="B246" s="18"/>
      <c r="C246" s="2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50"/>
      <c r="BT246" s="50"/>
      <c r="BU246" s="50"/>
      <c r="BV246" s="50"/>
      <c r="BW246" s="50"/>
      <c r="BX246" s="50"/>
      <c r="BY246" s="50"/>
      <c r="BZ246" s="50"/>
      <c r="CA246" s="50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</row>
    <row r="247">
      <c r="B247" s="18"/>
      <c r="C247" s="2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50"/>
      <c r="BT247" s="50"/>
      <c r="BU247" s="50"/>
      <c r="BV247" s="50"/>
      <c r="BW247" s="50"/>
      <c r="BX247" s="50"/>
      <c r="BY247" s="50"/>
      <c r="BZ247" s="50"/>
      <c r="CA247" s="50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</row>
    <row r="248">
      <c r="B248" s="18"/>
      <c r="C248" s="2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50"/>
      <c r="BT248" s="50"/>
      <c r="BU248" s="50"/>
      <c r="BV248" s="50"/>
      <c r="BW248" s="50"/>
      <c r="BX248" s="50"/>
      <c r="BY248" s="50"/>
      <c r="BZ248" s="50"/>
      <c r="CA248" s="50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</row>
    <row r="249">
      <c r="B249" s="18"/>
      <c r="C249" s="2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50"/>
      <c r="BT249" s="50"/>
      <c r="BU249" s="50"/>
      <c r="BV249" s="50"/>
      <c r="BW249" s="50"/>
      <c r="BX249" s="50"/>
      <c r="BY249" s="50"/>
      <c r="BZ249" s="50"/>
      <c r="CA249" s="50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</row>
    <row r="250">
      <c r="B250" s="18"/>
      <c r="C250" s="2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50"/>
      <c r="BT250" s="50"/>
      <c r="BU250" s="50"/>
      <c r="BV250" s="50"/>
      <c r="BW250" s="50"/>
      <c r="BX250" s="50"/>
      <c r="BY250" s="50"/>
      <c r="BZ250" s="50"/>
      <c r="CA250" s="50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</row>
    <row r="251">
      <c r="B251" s="18"/>
      <c r="C251" s="2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50"/>
      <c r="BT251" s="50"/>
      <c r="BU251" s="50"/>
      <c r="BV251" s="50"/>
      <c r="BW251" s="50"/>
      <c r="BX251" s="50"/>
      <c r="BY251" s="50"/>
      <c r="BZ251" s="50"/>
      <c r="CA251" s="50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</row>
    <row r="252">
      <c r="B252" s="18"/>
      <c r="C252" s="2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50"/>
      <c r="BT252" s="50"/>
      <c r="BU252" s="50"/>
      <c r="BV252" s="50"/>
      <c r="BW252" s="50"/>
      <c r="BX252" s="50"/>
      <c r="BY252" s="50"/>
      <c r="BZ252" s="50"/>
      <c r="CA252" s="50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</row>
    <row r="253">
      <c r="B253" s="18"/>
      <c r="C253" s="2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50"/>
      <c r="BT253" s="50"/>
      <c r="BU253" s="50"/>
      <c r="BV253" s="50"/>
      <c r="BW253" s="50"/>
      <c r="BX253" s="50"/>
      <c r="BY253" s="50"/>
      <c r="BZ253" s="50"/>
      <c r="CA253" s="50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</row>
    <row r="254">
      <c r="B254" s="18"/>
      <c r="C254" s="2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50"/>
      <c r="BT254" s="50"/>
      <c r="BU254" s="50"/>
      <c r="BV254" s="50"/>
      <c r="BW254" s="50"/>
      <c r="BX254" s="50"/>
      <c r="BY254" s="50"/>
      <c r="BZ254" s="50"/>
      <c r="CA254" s="50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</row>
    <row r="255">
      <c r="B255" s="18"/>
      <c r="C255" s="2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50"/>
      <c r="BT255" s="50"/>
      <c r="BU255" s="50"/>
      <c r="BV255" s="50"/>
      <c r="BW255" s="50"/>
      <c r="BX255" s="50"/>
      <c r="BY255" s="50"/>
      <c r="BZ255" s="50"/>
      <c r="CA255" s="50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</row>
    <row r="256">
      <c r="B256" s="18"/>
      <c r="C256" s="2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50"/>
      <c r="BT256" s="50"/>
      <c r="BU256" s="50"/>
      <c r="BV256" s="50"/>
      <c r="BW256" s="50"/>
      <c r="BX256" s="50"/>
      <c r="BY256" s="50"/>
      <c r="BZ256" s="50"/>
      <c r="CA256" s="50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</row>
    <row r="257">
      <c r="B257" s="18"/>
      <c r="C257" s="2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50"/>
      <c r="BT257" s="50"/>
      <c r="BU257" s="50"/>
      <c r="BV257" s="50"/>
      <c r="BW257" s="50"/>
      <c r="BX257" s="50"/>
      <c r="BY257" s="50"/>
      <c r="BZ257" s="50"/>
      <c r="CA257" s="50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</row>
    <row r="258">
      <c r="B258" s="18"/>
      <c r="C258" s="23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50"/>
      <c r="BT258" s="50"/>
      <c r="BU258" s="50"/>
      <c r="BV258" s="50"/>
      <c r="BW258" s="50"/>
      <c r="BX258" s="50"/>
      <c r="BY258" s="50"/>
      <c r="BZ258" s="50"/>
      <c r="CA258" s="50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</row>
    <row r="259">
      <c r="B259" s="18"/>
      <c r="C259" s="23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50"/>
      <c r="BT259" s="50"/>
      <c r="BU259" s="50"/>
      <c r="BV259" s="50"/>
      <c r="BW259" s="50"/>
      <c r="BX259" s="50"/>
      <c r="BY259" s="50"/>
      <c r="BZ259" s="50"/>
      <c r="CA259" s="50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</row>
    <row r="260">
      <c r="B260" s="18"/>
      <c r="C260" s="23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50"/>
      <c r="BT260" s="50"/>
      <c r="BU260" s="50"/>
      <c r="BV260" s="50"/>
      <c r="BW260" s="50"/>
      <c r="BX260" s="50"/>
      <c r="BY260" s="50"/>
      <c r="BZ260" s="50"/>
      <c r="CA260" s="50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</row>
    <row r="261">
      <c r="B261" s="18"/>
      <c r="C261" s="23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50"/>
      <c r="BT261" s="50"/>
      <c r="BU261" s="50"/>
      <c r="BV261" s="50"/>
      <c r="BW261" s="50"/>
      <c r="BX261" s="50"/>
      <c r="BY261" s="50"/>
      <c r="BZ261" s="50"/>
      <c r="CA261" s="50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</row>
    <row r="262">
      <c r="B262" s="18"/>
      <c r="C262" s="23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50"/>
      <c r="BT262" s="50"/>
      <c r="BU262" s="50"/>
      <c r="BV262" s="50"/>
      <c r="BW262" s="50"/>
      <c r="BX262" s="50"/>
      <c r="BY262" s="50"/>
      <c r="BZ262" s="50"/>
      <c r="CA262" s="50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</row>
    <row r="263">
      <c r="B263" s="18"/>
      <c r="C263" s="23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50"/>
      <c r="BT263" s="50"/>
      <c r="BU263" s="50"/>
      <c r="BV263" s="50"/>
      <c r="BW263" s="50"/>
      <c r="BX263" s="50"/>
      <c r="BY263" s="50"/>
      <c r="BZ263" s="50"/>
      <c r="CA263" s="50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</row>
    <row r="264">
      <c r="B264" s="18"/>
      <c r="C264" s="23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50"/>
      <c r="BT264" s="50"/>
      <c r="BU264" s="50"/>
      <c r="BV264" s="50"/>
      <c r="BW264" s="50"/>
      <c r="BX264" s="50"/>
      <c r="BY264" s="50"/>
      <c r="BZ264" s="50"/>
      <c r="CA264" s="50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</row>
    <row r="265">
      <c r="B265" s="18"/>
      <c r="C265" s="23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50"/>
      <c r="BT265" s="50"/>
      <c r="BU265" s="50"/>
      <c r="BV265" s="50"/>
      <c r="BW265" s="50"/>
      <c r="BX265" s="50"/>
      <c r="BY265" s="50"/>
      <c r="BZ265" s="50"/>
      <c r="CA265" s="50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</row>
    <row r="266">
      <c r="B266" s="18"/>
      <c r="C266" s="23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50"/>
      <c r="BT266" s="50"/>
      <c r="BU266" s="50"/>
      <c r="BV266" s="50"/>
      <c r="BW266" s="50"/>
      <c r="BX266" s="50"/>
      <c r="BY266" s="50"/>
      <c r="BZ266" s="50"/>
      <c r="CA266" s="50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</row>
    <row r="267">
      <c r="B267" s="18"/>
      <c r="C267" s="23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50"/>
      <c r="BT267" s="50"/>
      <c r="BU267" s="50"/>
      <c r="BV267" s="50"/>
      <c r="BW267" s="50"/>
      <c r="BX267" s="50"/>
      <c r="BY267" s="50"/>
      <c r="BZ267" s="50"/>
      <c r="CA267" s="50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</row>
    <row r="268">
      <c r="B268" s="18"/>
      <c r="C268" s="23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50"/>
      <c r="BT268" s="50"/>
      <c r="BU268" s="50"/>
      <c r="BV268" s="50"/>
      <c r="BW268" s="50"/>
      <c r="BX268" s="50"/>
      <c r="BY268" s="50"/>
      <c r="BZ268" s="50"/>
      <c r="CA268" s="50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</row>
    <row r="269">
      <c r="B269" s="18"/>
      <c r="C269" s="23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50"/>
      <c r="BT269" s="50"/>
      <c r="BU269" s="50"/>
      <c r="BV269" s="50"/>
      <c r="BW269" s="50"/>
      <c r="BX269" s="50"/>
      <c r="BY269" s="50"/>
      <c r="BZ269" s="50"/>
      <c r="CA269" s="50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</row>
    <row r="270">
      <c r="B270" s="18"/>
      <c r="C270" s="23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50"/>
      <c r="BT270" s="50"/>
      <c r="BU270" s="50"/>
      <c r="BV270" s="50"/>
      <c r="BW270" s="50"/>
      <c r="BX270" s="50"/>
      <c r="BY270" s="50"/>
      <c r="BZ270" s="50"/>
      <c r="CA270" s="50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</row>
    <row r="271">
      <c r="B271" s="18"/>
      <c r="C271" s="23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50"/>
      <c r="BT271" s="50"/>
      <c r="BU271" s="50"/>
      <c r="BV271" s="50"/>
      <c r="BW271" s="50"/>
      <c r="BX271" s="50"/>
      <c r="BY271" s="50"/>
      <c r="BZ271" s="50"/>
      <c r="CA271" s="50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</row>
    <row r="272">
      <c r="B272" s="18"/>
      <c r="C272" s="23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50"/>
      <c r="BT272" s="50"/>
      <c r="BU272" s="50"/>
      <c r="BV272" s="50"/>
      <c r="BW272" s="50"/>
      <c r="BX272" s="50"/>
      <c r="BY272" s="50"/>
      <c r="BZ272" s="50"/>
      <c r="CA272" s="50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</row>
    <row r="273">
      <c r="B273" s="18"/>
      <c r="C273" s="23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50"/>
      <c r="BT273" s="50"/>
      <c r="BU273" s="50"/>
      <c r="BV273" s="50"/>
      <c r="BW273" s="50"/>
      <c r="BX273" s="50"/>
      <c r="BY273" s="50"/>
      <c r="BZ273" s="50"/>
      <c r="CA273" s="50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</row>
    <row r="274">
      <c r="B274" s="18"/>
      <c r="C274" s="23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50"/>
      <c r="BT274" s="50"/>
      <c r="BU274" s="50"/>
      <c r="BV274" s="50"/>
      <c r="BW274" s="50"/>
      <c r="BX274" s="50"/>
      <c r="BY274" s="50"/>
      <c r="BZ274" s="50"/>
      <c r="CA274" s="50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</row>
    <row r="275">
      <c r="B275" s="18"/>
      <c r="C275" s="23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50"/>
      <c r="BT275" s="50"/>
      <c r="BU275" s="50"/>
      <c r="BV275" s="50"/>
      <c r="BW275" s="50"/>
      <c r="BX275" s="50"/>
      <c r="BY275" s="50"/>
      <c r="BZ275" s="50"/>
      <c r="CA275" s="50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</row>
    <row r="276">
      <c r="B276" s="18"/>
      <c r="C276" s="23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50"/>
      <c r="BT276" s="50"/>
      <c r="BU276" s="50"/>
      <c r="BV276" s="50"/>
      <c r="BW276" s="50"/>
      <c r="BX276" s="50"/>
      <c r="BY276" s="50"/>
      <c r="BZ276" s="50"/>
      <c r="CA276" s="50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</row>
    <row r="277">
      <c r="B277" s="18"/>
      <c r="C277" s="23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50"/>
      <c r="BT277" s="50"/>
      <c r="BU277" s="50"/>
      <c r="BV277" s="50"/>
      <c r="BW277" s="50"/>
      <c r="BX277" s="50"/>
      <c r="BY277" s="50"/>
      <c r="BZ277" s="50"/>
      <c r="CA277" s="50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</row>
    <row r="278">
      <c r="B278" s="18"/>
      <c r="C278" s="23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50"/>
      <c r="BT278" s="50"/>
      <c r="BU278" s="50"/>
      <c r="BV278" s="50"/>
      <c r="BW278" s="50"/>
      <c r="BX278" s="50"/>
      <c r="BY278" s="50"/>
      <c r="BZ278" s="50"/>
      <c r="CA278" s="50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</row>
    <row r="279">
      <c r="B279" s="18"/>
      <c r="C279" s="23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50"/>
      <c r="BT279" s="50"/>
      <c r="BU279" s="50"/>
      <c r="BV279" s="50"/>
      <c r="BW279" s="50"/>
      <c r="BX279" s="50"/>
      <c r="BY279" s="50"/>
      <c r="BZ279" s="50"/>
      <c r="CA279" s="50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</row>
    <row r="280">
      <c r="B280" s="18"/>
      <c r="C280" s="23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50"/>
      <c r="BT280" s="50"/>
      <c r="BU280" s="50"/>
      <c r="BV280" s="50"/>
      <c r="BW280" s="50"/>
      <c r="BX280" s="50"/>
      <c r="BY280" s="50"/>
      <c r="BZ280" s="50"/>
      <c r="CA280" s="50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</row>
    <row r="281">
      <c r="B281" s="18"/>
      <c r="C281" s="23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50"/>
      <c r="BT281" s="50"/>
      <c r="BU281" s="50"/>
      <c r="BV281" s="50"/>
      <c r="BW281" s="50"/>
      <c r="BX281" s="50"/>
      <c r="BY281" s="50"/>
      <c r="BZ281" s="50"/>
      <c r="CA281" s="50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</row>
    <row r="282">
      <c r="B282" s="18"/>
      <c r="C282" s="23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50"/>
      <c r="BT282" s="50"/>
      <c r="BU282" s="50"/>
      <c r="BV282" s="50"/>
      <c r="BW282" s="50"/>
      <c r="BX282" s="50"/>
      <c r="BY282" s="50"/>
      <c r="BZ282" s="50"/>
      <c r="CA282" s="50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</row>
    <row r="283">
      <c r="B283" s="18"/>
      <c r="C283" s="23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50"/>
      <c r="BT283" s="50"/>
      <c r="BU283" s="50"/>
      <c r="BV283" s="50"/>
      <c r="BW283" s="50"/>
      <c r="BX283" s="50"/>
      <c r="BY283" s="50"/>
      <c r="BZ283" s="50"/>
      <c r="CA283" s="50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</row>
    <row r="284">
      <c r="B284" s="18"/>
      <c r="C284" s="23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50"/>
      <c r="BT284" s="50"/>
      <c r="BU284" s="50"/>
      <c r="BV284" s="50"/>
      <c r="BW284" s="50"/>
      <c r="BX284" s="50"/>
      <c r="BY284" s="50"/>
      <c r="BZ284" s="50"/>
      <c r="CA284" s="50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</row>
    <row r="285">
      <c r="B285" s="18"/>
      <c r="C285" s="23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50"/>
      <c r="BT285" s="50"/>
      <c r="BU285" s="50"/>
      <c r="BV285" s="50"/>
      <c r="BW285" s="50"/>
      <c r="BX285" s="50"/>
      <c r="BY285" s="50"/>
      <c r="BZ285" s="50"/>
      <c r="CA285" s="50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</row>
    <row r="286">
      <c r="B286" s="18"/>
      <c r="C286" s="23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50"/>
      <c r="BT286" s="50"/>
      <c r="BU286" s="50"/>
      <c r="BV286" s="50"/>
      <c r="BW286" s="50"/>
      <c r="BX286" s="50"/>
      <c r="BY286" s="50"/>
      <c r="BZ286" s="50"/>
      <c r="CA286" s="50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</row>
    <row r="287">
      <c r="B287" s="18"/>
      <c r="C287" s="23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50"/>
      <c r="BT287" s="50"/>
      <c r="BU287" s="50"/>
      <c r="BV287" s="50"/>
      <c r="BW287" s="50"/>
      <c r="BX287" s="50"/>
      <c r="BY287" s="50"/>
      <c r="BZ287" s="50"/>
      <c r="CA287" s="50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</row>
    <row r="288">
      <c r="B288" s="18"/>
      <c r="C288" s="23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50"/>
      <c r="BT288" s="50"/>
      <c r="BU288" s="50"/>
      <c r="BV288" s="50"/>
      <c r="BW288" s="50"/>
      <c r="BX288" s="50"/>
      <c r="BY288" s="50"/>
      <c r="BZ288" s="50"/>
      <c r="CA288" s="50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</row>
    <row r="289">
      <c r="B289" s="18"/>
      <c r="C289" s="23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50"/>
      <c r="BT289" s="50"/>
      <c r="BU289" s="50"/>
      <c r="BV289" s="50"/>
      <c r="BW289" s="50"/>
      <c r="BX289" s="50"/>
      <c r="BY289" s="50"/>
      <c r="BZ289" s="50"/>
      <c r="CA289" s="50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</row>
    <row r="290">
      <c r="B290" s="18"/>
      <c r="C290" s="23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50"/>
      <c r="BT290" s="50"/>
      <c r="BU290" s="50"/>
      <c r="BV290" s="50"/>
      <c r="BW290" s="50"/>
      <c r="BX290" s="50"/>
      <c r="BY290" s="50"/>
      <c r="BZ290" s="50"/>
      <c r="CA290" s="50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</row>
    <row r="291">
      <c r="B291" s="18"/>
      <c r="C291" s="23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50"/>
      <c r="BT291" s="50"/>
      <c r="BU291" s="50"/>
      <c r="BV291" s="50"/>
      <c r="BW291" s="50"/>
      <c r="BX291" s="50"/>
      <c r="BY291" s="50"/>
      <c r="BZ291" s="50"/>
      <c r="CA291" s="50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</row>
    <row r="292">
      <c r="B292" s="18"/>
      <c r="C292" s="23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50"/>
      <c r="BT292" s="50"/>
      <c r="BU292" s="50"/>
      <c r="BV292" s="50"/>
      <c r="BW292" s="50"/>
      <c r="BX292" s="50"/>
      <c r="BY292" s="50"/>
      <c r="BZ292" s="50"/>
      <c r="CA292" s="50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</row>
    <row r="293">
      <c r="B293" s="18"/>
      <c r="C293" s="23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50"/>
      <c r="BT293" s="50"/>
      <c r="BU293" s="50"/>
      <c r="BV293" s="50"/>
      <c r="BW293" s="50"/>
      <c r="BX293" s="50"/>
      <c r="BY293" s="50"/>
      <c r="BZ293" s="50"/>
      <c r="CA293" s="50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</row>
    <row r="294">
      <c r="B294" s="18"/>
      <c r="C294" s="23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50"/>
      <c r="BT294" s="50"/>
      <c r="BU294" s="50"/>
      <c r="BV294" s="50"/>
      <c r="BW294" s="50"/>
      <c r="BX294" s="50"/>
      <c r="BY294" s="50"/>
      <c r="BZ294" s="50"/>
      <c r="CA294" s="50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</row>
    <row r="295">
      <c r="B295" s="18"/>
      <c r="C295" s="23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50"/>
      <c r="BT295" s="50"/>
      <c r="BU295" s="50"/>
      <c r="BV295" s="50"/>
      <c r="BW295" s="50"/>
      <c r="BX295" s="50"/>
      <c r="BY295" s="50"/>
      <c r="BZ295" s="50"/>
      <c r="CA295" s="50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</row>
    <row r="296">
      <c r="B296" s="18"/>
      <c r="C296" s="23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50"/>
      <c r="BT296" s="50"/>
      <c r="BU296" s="50"/>
      <c r="BV296" s="50"/>
      <c r="BW296" s="50"/>
      <c r="BX296" s="50"/>
      <c r="BY296" s="50"/>
      <c r="BZ296" s="50"/>
      <c r="CA296" s="50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</row>
    <row r="297">
      <c r="B297" s="18"/>
      <c r="C297" s="23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50"/>
      <c r="BT297" s="50"/>
      <c r="BU297" s="50"/>
      <c r="BV297" s="50"/>
      <c r="BW297" s="50"/>
      <c r="BX297" s="50"/>
      <c r="BY297" s="50"/>
      <c r="BZ297" s="50"/>
      <c r="CA297" s="50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</row>
    <row r="298">
      <c r="B298" s="18"/>
      <c r="C298" s="23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50"/>
      <c r="BT298" s="50"/>
      <c r="BU298" s="50"/>
      <c r="BV298" s="50"/>
      <c r="BW298" s="50"/>
      <c r="BX298" s="50"/>
      <c r="BY298" s="50"/>
      <c r="BZ298" s="50"/>
      <c r="CA298" s="50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</row>
    <row r="299">
      <c r="B299" s="18"/>
      <c r="C299" s="23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50"/>
      <c r="BT299" s="50"/>
      <c r="BU299" s="50"/>
      <c r="BV299" s="50"/>
      <c r="BW299" s="50"/>
      <c r="BX299" s="50"/>
      <c r="BY299" s="50"/>
      <c r="BZ299" s="50"/>
      <c r="CA299" s="50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</row>
    <row r="300">
      <c r="B300" s="18"/>
      <c r="C300" s="23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50"/>
      <c r="BT300" s="50"/>
      <c r="BU300" s="50"/>
      <c r="BV300" s="50"/>
      <c r="BW300" s="50"/>
      <c r="BX300" s="50"/>
      <c r="BY300" s="50"/>
      <c r="BZ300" s="50"/>
      <c r="CA300" s="50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</row>
    <row r="301">
      <c r="B301" s="18"/>
      <c r="C301" s="23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50"/>
      <c r="BT301" s="50"/>
      <c r="BU301" s="50"/>
      <c r="BV301" s="50"/>
      <c r="BW301" s="50"/>
      <c r="BX301" s="50"/>
      <c r="BY301" s="50"/>
      <c r="BZ301" s="50"/>
      <c r="CA301" s="50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</row>
    <row r="302">
      <c r="B302" s="18"/>
      <c r="C302" s="23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50"/>
      <c r="BT302" s="50"/>
      <c r="BU302" s="50"/>
      <c r="BV302" s="50"/>
      <c r="BW302" s="50"/>
      <c r="BX302" s="50"/>
      <c r="BY302" s="50"/>
      <c r="BZ302" s="50"/>
      <c r="CA302" s="50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</row>
    <row r="303">
      <c r="B303" s="18"/>
      <c r="C303" s="23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50"/>
      <c r="BT303" s="50"/>
      <c r="BU303" s="50"/>
      <c r="BV303" s="50"/>
      <c r="BW303" s="50"/>
      <c r="BX303" s="50"/>
      <c r="BY303" s="50"/>
      <c r="BZ303" s="50"/>
      <c r="CA303" s="50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</row>
    <row r="304">
      <c r="B304" s="18"/>
      <c r="C304" s="23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50"/>
      <c r="BT304" s="50"/>
      <c r="BU304" s="50"/>
      <c r="BV304" s="50"/>
      <c r="BW304" s="50"/>
      <c r="BX304" s="50"/>
      <c r="BY304" s="50"/>
      <c r="BZ304" s="50"/>
      <c r="CA304" s="50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</row>
    <row r="305">
      <c r="B305" s="18"/>
      <c r="C305" s="23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50"/>
      <c r="BT305" s="50"/>
      <c r="BU305" s="50"/>
      <c r="BV305" s="50"/>
      <c r="BW305" s="50"/>
      <c r="BX305" s="50"/>
      <c r="BY305" s="50"/>
      <c r="BZ305" s="50"/>
      <c r="CA305" s="50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</row>
    <row r="306">
      <c r="B306" s="18"/>
      <c r="C306" s="23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50"/>
      <c r="BT306" s="50"/>
      <c r="BU306" s="50"/>
      <c r="BV306" s="50"/>
      <c r="BW306" s="50"/>
      <c r="BX306" s="50"/>
      <c r="BY306" s="50"/>
      <c r="BZ306" s="50"/>
      <c r="CA306" s="50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</row>
    <row r="307">
      <c r="B307" s="18"/>
      <c r="C307" s="23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50"/>
      <c r="BT307" s="50"/>
      <c r="BU307" s="50"/>
      <c r="BV307" s="50"/>
      <c r="BW307" s="50"/>
      <c r="BX307" s="50"/>
      <c r="BY307" s="50"/>
      <c r="BZ307" s="50"/>
      <c r="CA307" s="50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</row>
    <row r="308">
      <c r="B308" s="18"/>
      <c r="C308" s="23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50"/>
      <c r="BT308" s="50"/>
      <c r="BU308" s="50"/>
      <c r="BV308" s="50"/>
      <c r="BW308" s="50"/>
      <c r="BX308" s="50"/>
      <c r="BY308" s="50"/>
      <c r="BZ308" s="50"/>
      <c r="CA308" s="50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</row>
    <row r="309">
      <c r="B309" s="18"/>
      <c r="C309" s="23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50"/>
      <c r="BT309" s="50"/>
      <c r="BU309" s="50"/>
      <c r="BV309" s="50"/>
      <c r="BW309" s="50"/>
      <c r="BX309" s="50"/>
      <c r="BY309" s="50"/>
      <c r="BZ309" s="50"/>
      <c r="CA309" s="50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</row>
    <row r="310">
      <c r="B310" s="18"/>
      <c r="C310" s="23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50"/>
      <c r="BT310" s="50"/>
      <c r="BU310" s="50"/>
      <c r="BV310" s="50"/>
      <c r="BW310" s="50"/>
      <c r="BX310" s="50"/>
      <c r="BY310" s="50"/>
      <c r="BZ310" s="50"/>
      <c r="CA310" s="50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</row>
    <row r="311">
      <c r="B311" s="18"/>
      <c r="C311" s="23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50"/>
      <c r="BT311" s="50"/>
      <c r="BU311" s="50"/>
      <c r="BV311" s="50"/>
      <c r="BW311" s="50"/>
      <c r="BX311" s="50"/>
      <c r="BY311" s="50"/>
      <c r="BZ311" s="50"/>
      <c r="CA311" s="50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</row>
    <row r="312">
      <c r="B312" s="18"/>
      <c r="C312" s="23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50"/>
      <c r="BT312" s="50"/>
      <c r="BU312" s="50"/>
      <c r="BV312" s="50"/>
      <c r="BW312" s="50"/>
      <c r="BX312" s="50"/>
      <c r="BY312" s="50"/>
      <c r="BZ312" s="50"/>
      <c r="CA312" s="50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</row>
    <row r="313">
      <c r="B313" s="18"/>
      <c r="C313" s="23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50"/>
      <c r="BT313" s="50"/>
      <c r="BU313" s="50"/>
      <c r="BV313" s="50"/>
      <c r="BW313" s="50"/>
      <c r="BX313" s="50"/>
      <c r="BY313" s="50"/>
      <c r="BZ313" s="50"/>
      <c r="CA313" s="50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</row>
    <row r="314">
      <c r="B314" s="18"/>
      <c r="C314" s="23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50"/>
      <c r="BT314" s="50"/>
      <c r="BU314" s="50"/>
      <c r="BV314" s="50"/>
      <c r="BW314" s="50"/>
      <c r="BX314" s="50"/>
      <c r="BY314" s="50"/>
      <c r="BZ314" s="50"/>
      <c r="CA314" s="50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</row>
    <row r="315">
      <c r="B315" s="18"/>
      <c r="C315" s="23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50"/>
      <c r="BT315" s="50"/>
      <c r="BU315" s="50"/>
      <c r="BV315" s="50"/>
      <c r="BW315" s="50"/>
      <c r="BX315" s="50"/>
      <c r="BY315" s="50"/>
      <c r="BZ315" s="50"/>
      <c r="CA315" s="50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</row>
    <row r="316">
      <c r="B316" s="18"/>
      <c r="C316" s="23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50"/>
      <c r="BT316" s="50"/>
      <c r="BU316" s="50"/>
      <c r="BV316" s="50"/>
      <c r="BW316" s="50"/>
      <c r="BX316" s="50"/>
      <c r="BY316" s="50"/>
      <c r="BZ316" s="50"/>
      <c r="CA316" s="50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</row>
    <row r="317">
      <c r="B317" s="18"/>
      <c r="C317" s="23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50"/>
      <c r="BT317" s="50"/>
      <c r="BU317" s="50"/>
      <c r="BV317" s="50"/>
      <c r="BW317" s="50"/>
      <c r="BX317" s="50"/>
      <c r="BY317" s="50"/>
      <c r="BZ317" s="50"/>
      <c r="CA317" s="50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</row>
    <row r="318">
      <c r="B318" s="18"/>
      <c r="C318" s="23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50"/>
      <c r="BT318" s="50"/>
      <c r="BU318" s="50"/>
      <c r="BV318" s="50"/>
      <c r="BW318" s="50"/>
      <c r="BX318" s="50"/>
      <c r="BY318" s="50"/>
      <c r="BZ318" s="50"/>
      <c r="CA318" s="50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</row>
    <row r="319">
      <c r="B319" s="18"/>
      <c r="C319" s="23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50"/>
      <c r="BT319" s="50"/>
      <c r="BU319" s="50"/>
      <c r="BV319" s="50"/>
      <c r="BW319" s="50"/>
      <c r="BX319" s="50"/>
      <c r="BY319" s="50"/>
      <c r="BZ319" s="50"/>
      <c r="CA319" s="50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</row>
    <row r="320">
      <c r="B320" s="18"/>
      <c r="C320" s="23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50"/>
      <c r="BT320" s="50"/>
      <c r="BU320" s="50"/>
      <c r="BV320" s="50"/>
      <c r="BW320" s="50"/>
      <c r="BX320" s="50"/>
      <c r="BY320" s="50"/>
      <c r="BZ320" s="50"/>
      <c r="CA320" s="50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</row>
    <row r="321">
      <c r="B321" s="18"/>
      <c r="C321" s="23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50"/>
      <c r="BT321" s="50"/>
      <c r="BU321" s="50"/>
      <c r="BV321" s="50"/>
      <c r="BW321" s="50"/>
      <c r="BX321" s="50"/>
      <c r="BY321" s="50"/>
      <c r="BZ321" s="50"/>
      <c r="CA321" s="50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</row>
    <row r="322">
      <c r="B322" s="18"/>
      <c r="C322" s="23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50"/>
      <c r="BT322" s="50"/>
      <c r="BU322" s="50"/>
      <c r="BV322" s="50"/>
      <c r="BW322" s="50"/>
      <c r="BX322" s="50"/>
      <c r="BY322" s="50"/>
      <c r="BZ322" s="50"/>
      <c r="CA322" s="50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</row>
    <row r="323">
      <c r="B323" s="18"/>
      <c r="C323" s="23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50"/>
      <c r="BT323" s="50"/>
      <c r="BU323" s="50"/>
      <c r="BV323" s="50"/>
      <c r="BW323" s="50"/>
      <c r="BX323" s="50"/>
      <c r="BY323" s="50"/>
      <c r="BZ323" s="50"/>
      <c r="CA323" s="50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</row>
    <row r="324">
      <c r="B324" s="18"/>
      <c r="C324" s="23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50"/>
      <c r="BT324" s="50"/>
      <c r="BU324" s="50"/>
      <c r="BV324" s="50"/>
      <c r="BW324" s="50"/>
      <c r="BX324" s="50"/>
      <c r="BY324" s="50"/>
      <c r="BZ324" s="50"/>
      <c r="CA324" s="50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</row>
    <row r="325">
      <c r="B325" s="18"/>
      <c r="C325" s="23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50"/>
      <c r="BT325" s="50"/>
      <c r="BU325" s="50"/>
      <c r="BV325" s="50"/>
      <c r="BW325" s="50"/>
      <c r="BX325" s="50"/>
      <c r="BY325" s="50"/>
      <c r="BZ325" s="50"/>
      <c r="CA325" s="50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</row>
    <row r="326">
      <c r="B326" s="18"/>
      <c r="C326" s="23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50"/>
      <c r="BT326" s="50"/>
      <c r="BU326" s="50"/>
      <c r="BV326" s="50"/>
      <c r="BW326" s="50"/>
      <c r="BX326" s="50"/>
      <c r="BY326" s="50"/>
      <c r="BZ326" s="50"/>
      <c r="CA326" s="50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</row>
    <row r="327">
      <c r="B327" s="18"/>
      <c r="C327" s="23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50"/>
      <c r="BT327" s="50"/>
      <c r="BU327" s="50"/>
      <c r="BV327" s="50"/>
      <c r="BW327" s="50"/>
      <c r="BX327" s="50"/>
      <c r="BY327" s="50"/>
      <c r="BZ327" s="50"/>
      <c r="CA327" s="50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</row>
    <row r="328">
      <c r="B328" s="18"/>
      <c r="C328" s="23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50"/>
      <c r="BT328" s="50"/>
      <c r="BU328" s="50"/>
      <c r="BV328" s="50"/>
      <c r="BW328" s="50"/>
      <c r="BX328" s="50"/>
      <c r="BY328" s="50"/>
      <c r="BZ328" s="50"/>
      <c r="CA328" s="50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</row>
    <row r="329">
      <c r="B329" s="18"/>
      <c r="C329" s="23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50"/>
      <c r="BT329" s="50"/>
      <c r="BU329" s="50"/>
      <c r="BV329" s="50"/>
      <c r="BW329" s="50"/>
      <c r="BX329" s="50"/>
      <c r="BY329" s="50"/>
      <c r="BZ329" s="50"/>
      <c r="CA329" s="50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</row>
    <row r="330">
      <c r="B330" s="18"/>
      <c r="C330" s="23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50"/>
      <c r="BT330" s="50"/>
      <c r="BU330" s="50"/>
      <c r="BV330" s="50"/>
      <c r="BW330" s="50"/>
      <c r="BX330" s="50"/>
      <c r="BY330" s="50"/>
      <c r="BZ330" s="50"/>
      <c r="CA330" s="50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</row>
    <row r="331">
      <c r="B331" s="18"/>
      <c r="C331" s="23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50"/>
      <c r="BT331" s="50"/>
      <c r="BU331" s="50"/>
      <c r="BV331" s="50"/>
      <c r="BW331" s="50"/>
      <c r="BX331" s="50"/>
      <c r="BY331" s="50"/>
      <c r="BZ331" s="50"/>
      <c r="CA331" s="50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</row>
    <row r="332">
      <c r="B332" s="18"/>
      <c r="C332" s="23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50"/>
      <c r="BT332" s="50"/>
      <c r="BU332" s="50"/>
      <c r="BV332" s="50"/>
      <c r="BW332" s="50"/>
      <c r="BX332" s="50"/>
      <c r="BY332" s="50"/>
      <c r="BZ332" s="50"/>
      <c r="CA332" s="50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</row>
    <row r="333">
      <c r="B333" s="18"/>
      <c r="C333" s="23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50"/>
      <c r="BT333" s="50"/>
      <c r="BU333" s="50"/>
      <c r="BV333" s="50"/>
      <c r="BW333" s="50"/>
      <c r="BX333" s="50"/>
      <c r="BY333" s="50"/>
      <c r="BZ333" s="50"/>
      <c r="CA333" s="50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</row>
    <row r="334">
      <c r="B334" s="18"/>
      <c r="C334" s="23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50"/>
      <c r="BT334" s="50"/>
      <c r="BU334" s="50"/>
      <c r="BV334" s="50"/>
      <c r="BW334" s="50"/>
      <c r="BX334" s="50"/>
      <c r="BY334" s="50"/>
      <c r="BZ334" s="50"/>
      <c r="CA334" s="50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</row>
    <row r="335">
      <c r="B335" s="18"/>
      <c r="C335" s="23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50"/>
      <c r="BT335" s="50"/>
      <c r="BU335" s="50"/>
      <c r="BV335" s="50"/>
      <c r="BW335" s="50"/>
      <c r="BX335" s="50"/>
      <c r="BY335" s="50"/>
      <c r="BZ335" s="50"/>
      <c r="CA335" s="50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</row>
    <row r="336">
      <c r="B336" s="18"/>
      <c r="C336" s="23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50"/>
      <c r="BT336" s="50"/>
      <c r="BU336" s="50"/>
      <c r="BV336" s="50"/>
      <c r="BW336" s="50"/>
      <c r="BX336" s="50"/>
      <c r="BY336" s="50"/>
      <c r="BZ336" s="50"/>
      <c r="CA336" s="50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</row>
    <row r="337">
      <c r="B337" s="18"/>
      <c r="C337" s="23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50"/>
      <c r="BT337" s="50"/>
      <c r="BU337" s="50"/>
      <c r="BV337" s="50"/>
      <c r="BW337" s="50"/>
      <c r="BX337" s="50"/>
      <c r="BY337" s="50"/>
      <c r="BZ337" s="50"/>
      <c r="CA337" s="50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</row>
    <row r="338">
      <c r="B338" s="18"/>
      <c r="C338" s="23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50"/>
      <c r="BT338" s="50"/>
      <c r="BU338" s="50"/>
      <c r="BV338" s="50"/>
      <c r="BW338" s="50"/>
      <c r="BX338" s="50"/>
      <c r="BY338" s="50"/>
      <c r="BZ338" s="50"/>
      <c r="CA338" s="50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</row>
    <row r="339">
      <c r="B339" s="18"/>
      <c r="C339" s="23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50"/>
      <c r="BT339" s="50"/>
      <c r="BU339" s="50"/>
      <c r="BV339" s="50"/>
      <c r="BW339" s="50"/>
      <c r="BX339" s="50"/>
      <c r="BY339" s="50"/>
      <c r="BZ339" s="50"/>
      <c r="CA339" s="50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</row>
    <row r="340">
      <c r="B340" s="18"/>
      <c r="C340" s="23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50"/>
      <c r="BT340" s="50"/>
      <c r="BU340" s="50"/>
      <c r="BV340" s="50"/>
      <c r="BW340" s="50"/>
      <c r="BX340" s="50"/>
      <c r="BY340" s="50"/>
      <c r="BZ340" s="50"/>
      <c r="CA340" s="50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</row>
    <row r="341">
      <c r="B341" s="18"/>
      <c r="C341" s="23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50"/>
      <c r="BT341" s="50"/>
      <c r="BU341" s="50"/>
      <c r="BV341" s="50"/>
      <c r="BW341" s="50"/>
      <c r="BX341" s="50"/>
      <c r="BY341" s="50"/>
      <c r="BZ341" s="50"/>
      <c r="CA341" s="50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</row>
    <row r="342">
      <c r="B342" s="18"/>
      <c r="C342" s="23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50"/>
      <c r="BT342" s="50"/>
      <c r="BU342" s="50"/>
      <c r="BV342" s="50"/>
      <c r="BW342" s="50"/>
      <c r="BX342" s="50"/>
      <c r="BY342" s="50"/>
      <c r="BZ342" s="50"/>
      <c r="CA342" s="50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</row>
    <row r="343">
      <c r="B343" s="18"/>
      <c r="C343" s="23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50"/>
      <c r="BT343" s="50"/>
      <c r="BU343" s="50"/>
      <c r="BV343" s="50"/>
      <c r="BW343" s="50"/>
      <c r="BX343" s="50"/>
      <c r="BY343" s="50"/>
      <c r="BZ343" s="50"/>
      <c r="CA343" s="50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</row>
    <row r="344">
      <c r="B344" s="18"/>
      <c r="C344" s="23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50"/>
      <c r="BT344" s="50"/>
      <c r="BU344" s="50"/>
      <c r="BV344" s="50"/>
      <c r="BW344" s="50"/>
      <c r="BX344" s="50"/>
      <c r="BY344" s="50"/>
      <c r="BZ344" s="50"/>
      <c r="CA344" s="50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</row>
    <row r="345">
      <c r="B345" s="18"/>
      <c r="C345" s="23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50"/>
      <c r="BT345" s="50"/>
      <c r="BU345" s="50"/>
      <c r="BV345" s="50"/>
      <c r="BW345" s="50"/>
      <c r="BX345" s="50"/>
      <c r="BY345" s="50"/>
      <c r="BZ345" s="50"/>
      <c r="CA345" s="50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</row>
    <row r="346">
      <c r="B346" s="18"/>
      <c r="C346" s="23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50"/>
      <c r="BT346" s="50"/>
      <c r="BU346" s="50"/>
      <c r="BV346" s="50"/>
      <c r="BW346" s="50"/>
      <c r="BX346" s="50"/>
      <c r="BY346" s="50"/>
      <c r="BZ346" s="50"/>
      <c r="CA346" s="50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</row>
    <row r="347">
      <c r="B347" s="18"/>
      <c r="C347" s="23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50"/>
      <c r="BT347" s="50"/>
      <c r="BU347" s="50"/>
      <c r="BV347" s="50"/>
      <c r="BW347" s="50"/>
      <c r="BX347" s="50"/>
      <c r="BY347" s="50"/>
      <c r="BZ347" s="50"/>
      <c r="CA347" s="50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</row>
    <row r="348">
      <c r="B348" s="18"/>
      <c r="C348" s="23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50"/>
      <c r="BT348" s="50"/>
      <c r="BU348" s="50"/>
      <c r="BV348" s="50"/>
      <c r="BW348" s="50"/>
      <c r="BX348" s="50"/>
      <c r="BY348" s="50"/>
      <c r="BZ348" s="50"/>
      <c r="CA348" s="50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</row>
    <row r="349">
      <c r="B349" s="18"/>
      <c r="C349" s="23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50"/>
      <c r="BT349" s="50"/>
      <c r="BU349" s="50"/>
      <c r="BV349" s="50"/>
      <c r="BW349" s="50"/>
      <c r="BX349" s="50"/>
      <c r="BY349" s="50"/>
      <c r="BZ349" s="50"/>
      <c r="CA349" s="50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</row>
    <row r="350">
      <c r="B350" s="18"/>
      <c r="C350" s="23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50"/>
      <c r="BT350" s="50"/>
      <c r="BU350" s="50"/>
      <c r="BV350" s="50"/>
      <c r="BW350" s="50"/>
      <c r="BX350" s="50"/>
      <c r="BY350" s="50"/>
      <c r="BZ350" s="50"/>
      <c r="CA350" s="50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</row>
    <row r="351">
      <c r="B351" s="18"/>
      <c r="C351" s="23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50"/>
      <c r="BT351" s="50"/>
      <c r="BU351" s="50"/>
      <c r="BV351" s="50"/>
      <c r="BW351" s="50"/>
      <c r="BX351" s="50"/>
      <c r="BY351" s="50"/>
      <c r="BZ351" s="50"/>
      <c r="CA351" s="50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</row>
    <row r="352">
      <c r="B352" s="18"/>
      <c r="C352" s="23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50"/>
      <c r="BT352" s="50"/>
      <c r="BU352" s="50"/>
      <c r="BV352" s="50"/>
      <c r="BW352" s="50"/>
      <c r="BX352" s="50"/>
      <c r="BY352" s="50"/>
      <c r="BZ352" s="50"/>
      <c r="CA352" s="50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</row>
    <row r="353">
      <c r="B353" s="18"/>
      <c r="C353" s="23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50"/>
      <c r="BT353" s="50"/>
      <c r="BU353" s="50"/>
      <c r="BV353" s="50"/>
      <c r="BW353" s="50"/>
      <c r="BX353" s="50"/>
      <c r="BY353" s="50"/>
      <c r="BZ353" s="50"/>
      <c r="CA353" s="50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</row>
    <row r="354">
      <c r="B354" s="18"/>
      <c r="C354" s="23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50"/>
      <c r="BT354" s="50"/>
      <c r="BU354" s="50"/>
      <c r="BV354" s="50"/>
      <c r="BW354" s="50"/>
      <c r="BX354" s="50"/>
      <c r="BY354" s="50"/>
      <c r="BZ354" s="50"/>
      <c r="CA354" s="50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</row>
    <row r="355">
      <c r="B355" s="18"/>
      <c r="C355" s="23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50"/>
      <c r="BT355" s="50"/>
      <c r="BU355" s="50"/>
      <c r="BV355" s="50"/>
      <c r="BW355" s="50"/>
      <c r="BX355" s="50"/>
      <c r="BY355" s="50"/>
      <c r="BZ355" s="50"/>
      <c r="CA355" s="50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</row>
    <row r="356">
      <c r="B356" s="18"/>
      <c r="C356" s="23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50"/>
      <c r="BT356" s="50"/>
      <c r="BU356" s="50"/>
      <c r="BV356" s="50"/>
      <c r="BW356" s="50"/>
      <c r="BX356" s="50"/>
      <c r="BY356" s="50"/>
      <c r="BZ356" s="50"/>
      <c r="CA356" s="50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</row>
    <row r="357">
      <c r="B357" s="18"/>
      <c r="C357" s="23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50"/>
      <c r="BT357" s="50"/>
      <c r="BU357" s="50"/>
      <c r="BV357" s="50"/>
      <c r="BW357" s="50"/>
      <c r="BX357" s="50"/>
      <c r="BY357" s="50"/>
      <c r="BZ357" s="50"/>
      <c r="CA357" s="50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</row>
    <row r="358">
      <c r="B358" s="18"/>
      <c r="C358" s="23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50"/>
      <c r="BT358" s="50"/>
      <c r="BU358" s="50"/>
      <c r="BV358" s="50"/>
      <c r="BW358" s="50"/>
      <c r="BX358" s="50"/>
      <c r="BY358" s="50"/>
      <c r="BZ358" s="50"/>
      <c r="CA358" s="50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</row>
    <row r="359">
      <c r="B359" s="18"/>
      <c r="C359" s="23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50"/>
      <c r="BT359" s="50"/>
      <c r="BU359" s="50"/>
      <c r="BV359" s="50"/>
      <c r="BW359" s="50"/>
      <c r="BX359" s="50"/>
      <c r="BY359" s="50"/>
      <c r="BZ359" s="50"/>
      <c r="CA359" s="50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</row>
    <row r="360">
      <c r="B360" s="18"/>
      <c r="C360" s="23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50"/>
      <c r="BT360" s="50"/>
      <c r="BU360" s="50"/>
      <c r="BV360" s="50"/>
      <c r="BW360" s="50"/>
      <c r="BX360" s="50"/>
      <c r="BY360" s="50"/>
      <c r="BZ360" s="50"/>
      <c r="CA360" s="50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</row>
    <row r="361">
      <c r="B361" s="18"/>
      <c r="C361" s="23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50"/>
      <c r="BT361" s="50"/>
      <c r="BU361" s="50"/>
      <c r="BV361" s="50"/>
      <c r="BW361" s="50"/>
      <c r="BX361" s="50"/>
      <c r="BY361" s="50"/>
      <c r="BZ361" s="50"/>
      <c r="CA361" s="50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</row>
    <row r="362">
      <c r="B362" s="18"/>
      <c r="C362" s="23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50"/>
      <c r="BT362" s="50"/>
      <c r="BU362" s="50"/>
      <c r="BV362" s="50"/>
      <c r="BW362" s="50"/>
      <c r="BX362" s="50"/>
      <c r="BY362" s="50"/>
      <c r="BZ362" s="50"/>
      <c r="CA362" s="50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</row>
    <row r="363">
      <c r="B363" s="18"/>
      <c r="C363" s="23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50"/>
      <c r="BT363" s="50"/>
      <c r="BU363" s="50"/>
      <c r="BV363" s="50"/>
      <c r="BW363" s="50"/>
      <c r="BX363" s="50"/>
      <c r="BY363" s="50"/>
      <c r="BZ363" s="50"/>
      <c r="CA363" s="50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</row>
    <row r="364">
      <c r="B364" s="18"/>
      <c r="C364" s="23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50"/>
      <c r="BT364" s="50"/>
      <c r="BU364" s="50"/>
      <c r="BV364" s="50"/>
      <c r="BW364" s="50"/>
      <c r="BX364" s="50"/>
      <c r="BY364" s="50"/>
      <c r="BZ364" s="50"/>
      <c r="CA364" s="50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</row>
    <row r="365">
      <c r="B365" s="18"/>
      <c r="C365" s="23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50"/>
      <c r="BT365" s="50"/>
      <c r="BU365" s="50"/>
      <c r="BV365" s="50"/>
      <c r="BW365" s="50"/>
      <c r="BX365" s="50"/>
      <c r="BY365" s="50"/>
      <c r="BZ365" s="50"/>
      <c r="CA365" s="50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</row>
    <row r="366">
      <c r="B366" s="18"/>
      <c r="C366" s="23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50"/>
      <c r="BT366" s="50"/>
      <c r="BU366" s="50"/>
      <c r="BV366" s="50"/>
      <c r="BW366" s="50"/>
      <c r="BX366" s="50"/>
      <c r="BY366" s="50"/>
      <c r="BZ366" s="50"/>
      <c r="CA366" s="50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</row>
    <row r="367">
      <c r="B367" s="18"/>
      <c r="C367" s="23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50"/>
      <c r="BT367" s="50"/>
      <c r="BU367" s="50"/>
      <c r="BV367" s="50"/>
      <c r="BW367" s="50"/>
      <c r="BX367" s="50"/>
      <c r="BY367" s="50"/>
      <c r="BZ367" s="50"/>
      <c r="CA367" s="50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</row>
    <row r="368">
      <c r="B368" s="18"/>
      <c r="C368" s="23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50"/>
      <c r="BT368" s="50"/>
      <c r="BU368" s="50"/>
      <c r="BV368" s="50"/>
      <c r="BW368" s="50"/>
      <c r="BX368" s="50"/>
      <c r="BY368" s="50"/>
      <c r="BZ368" s="50"/>
      <c r="CA368" s="50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</row>
    <row r="369">
      <c r="B369" s="18"/>
      <c r="C369" s="23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50"/>
      <c r="BT369" s="50"/>
      <c r="BU369" s="50"/>
      <c r="BV369" s="50"/>
      <c r="BW369" s="50"/>
      <c r="BX369" s="50"/>
      <c r="BY369" s="50"/>
      <c r="BZ369" s="50"/>
      <c r="CA369" s="50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</row>
    <row r="370">
      <c r="B370" s="18"/>
      <c r="C370" s="23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50"/>
      <c r="BT370" s="50"/>
      <c r="BU370" s="50"/>
      <c r="BV370" s="50"/>
      <c r="BW370" s="50"/>
      <c r="BX370" s="50"/>
      <c r="BY370" s="50"/>
      <c r="BZ370" s="50"/>
      <c r="CA370" s="50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</row>
    <row r="371">
      <c r="B371" s="18"/>
      <c r="C371" s="23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50"/>
      <c r="BT371" s="50"/>
      <c r="BU371" s="50"/>
      <c r="BV371" s="50"/>
      <c r="BW371" s="50"/>
      <c r="BX371" s="50"/>
      <c r="BY371" s="50"/>
      <c r="BZ371" s="50"/>
      <c r="CA371" s="50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</row>
    <row r="372">
      <c r="B372" s="18"/>
      <c r="C372" s="23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50"/>
      <c r="BT372" s="50"/>
      <c r="BU372" s="50"/>
      <c r="BV372" s="50"/>
      <c r="BW372" s="50"/>
      <c r="BX372" s="50"/>
      <c r="BY372" s="50"/>
      <c r="BZ372" s="50"/>
      <c r="CA372" s="50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</row>
    <row r="373">
      <c r="B373" s="18"/>
      <c r="C373" s="23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50"/>
      <c r="BT373" s="50"/>
      <c r="BU373" s="50"/>
      <c r="BV373" s="50"/>
      <c r="BW373" s="50"/>
      <c r="BX373" s="50"/>
      <c r="BY373" s="50"/>
      <c r="BZ373" s="50"/>
      <c r="CA373" s="50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</row>
    <row r="374">
      <c r="B374" s="18"/>
      <c r="C374" s="23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50"/>
      <c r="BT374" s="50"/>
      <c r="BU374" s="50"/>
      <c r="BV374" s="50"/>
      <c r="BW374" s="50"/>
      <c r="BX374" s="50"/>
      <c r="BY374" s="50"/>
      <c r="BZ374" s="50"/>
      <c r="CA374" s="50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</row>
    <row r="375">
      <c r="B375" s="18"/>
      <c r="C375" s="23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50"/>
      <c r="BT375" s="50"/>
      <c r="BU375" s="50"/>
      <c r="BV375" s="50"/>
      <c r="BW375" s="50"/>
      <c r="BX375" s="50"/>
      <c r="BY375" s="50"/>
      <c r="BZ375" s="50"/>
      <c r="CA375" s="50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</row>
    <row r="376">
      <c r="B376" s="18"/>
      <c r="C376" s="23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50"/>
      <c r="BT376" s="50"/>
      <c r="BU376" s="50"/>
      <c r="BV376" s="50"/>
      <c r="BW376" s="50"/>
      <c r="BX376" s="50"/>
      <c r="BY376" s="50"/>
      <c r="BZ376" s="50"/>
      <c r="CA376" s="50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</row>
    <row r="377">
      <c r="B377" s="18"/>
      <c r="C377" s="23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50"/>
      <c r="BT377" s="50"/>
      <c r="BU377" s="50"/>
      <c r="BV377" s="50"/>
      <c r="BW377" s="50"/>
      <c r="BX377" s="50"/>
      <c r="BY377" s="50"/>
      <c r="BZ377" s="50"/>
      <c r="CA377" s="50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</row>
    <row r="378">
      <c r="B378" s="18"/>
      <c r="C378" s="23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50"/>
      <c r="BT378" s="50"/>
      <c r="BU378" s="50"/>
      <c r="BV378" s="50"/>
      <c r="BW378" s="50"/>
      <c r="BX378" s="50"/>
      <c r="BY378" s="50"/>
      <c r="BZ378" s="50"/>
      <c r="CA378" s="50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</row>
    <row r="379">
      <c r="B379" s="18"/>
      <c r="C379" s="23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50"/>
      <c r="BT379" s="50"/>
      <c r="BU379" s="50"/>
      <c r="BV379" s="50"/>
      <c r="BW379" s="50"/>
      <c r="BX379" s="50"/>
      <c r="BY379" s="50"/>
      <c r="BZ379" s="50"/>
      <c r="CA379" s="50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</row>
    <row r="380">
      <c r="B380" s="18"/>
      <c r="C380" s="23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50"/>
      <c r="BT380" s="50"/>
      <c r="BU380" s="50"/>
      <c r="BV380" s="50"/>
      <c r="BW380" s="50"/>
      <c r="BX380" s="50"/>
      <c r="BY380" s="50"/>
      <c r="BZ380" s="50"/>
      <c r="CA380" s="50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</row>
    <row r="381">
      <c r="B381" s="18"/>
      <c r="C381" s="23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50"/>
      <c r="BT381" s="50"/>
      <c r="BU381" s="50"/>
      <c r="BV381" s="50"/>
      <c r="BW381" s="50"/>
      <c r="BX381" s="50"/>
      <c r="BY381" s="50"/>
      <c r="BZ381" s="50"/>
      <c r="CA381" s="50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</row>
    <row r="382">
      <c r="B382" s="18"/>
      <c r="C382" s="23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50"/>
      <c r="BT382" s="50"/>
      <c r="BU382" s="50"/>
      <c r="BV382" s="50"/>
      <c r="BW382" s="50"/>
      <c r="BX382" s="50"/>
      <c r="BY382" s="50"/>
      <c r="BZ382" s="50"/>
      <c r="CA382" s="50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</row>
    <row r="383">
      <c r="B383" s="18"/>
      <c r="C383" s="23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50"/>
      <c r="BT383" s="50"/>
      <c r="BU383" s="50"/>
      <c r="BV383" s="50"/>
      <c r="BW383" s="50"/>
      <c r="BX383" s="50"/>
      <c r="BY383" s="50"/>
      <c r="BZ383" s="50"/>
      <c r="CA383" s="50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</row>
    <row r="384">
      <c r="B384" s="18"/>
      <c r="C384" s="23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50"/>
      <c r="BT384" s="50"/>
      <c r="BU384" s="50"/>
      <c r="BV384" s="50"/>
      <c r="BW384" s="50"/>
      <c r="BX384" s="50"/>
      <c r="BY384" s="50"/>
      <c r="BZ384" s="50"/>
      <c r="CA384" s="50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</row>
    <row r="385">
      <c r="B385" s="18"/>
      <c r="C385" s="23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50"/>
      <c r="BT385" s="50"/>
      <c r="BU385" s="50"/>
      <c r="BV385" s="50"/>
      <c r="BW385" s="50"/>
      <c r="BX385" s="50"/>
      <c r="BY385" s="50"/>
      <c r="BZ385" s="50"/>
      <c r="CA385" s="50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</row>
    <row r="386">
      <c r="B386" s="18"/>
      <c r="C386" s="23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50"/>
      <c r="BT386" s="50"/>
      <c r="BU386" s="50"/>
      <c r="BV386" s="50"/>
      <c r="BW386" s="50"/>
      <c r="BX386" s="50"/>
      <c r="BY386" s="50"/>
      <c r="BZ386" s="50"/>
      <c r="CA386" s="50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</row>
    <row r="387">
      <c r="B387" s="18"/>
      <c r="C387" s="23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50"/>
      <c r="BT387" s="50"/>
      <c r="BU387" s="50"/>
      <c r="BV387" s="50"/>
      <c r="BW387" s="50"/>
      <c r="BX387" s="50"/>
      <c r="BY387" s="50"/>
      <c r="BZ387" s="50"/>
      <c r="CA387" s="50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</row>
    <row r="388">
      <c r="B388" s="18"/>
      <c r="C388" s="23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50"/>
      <c r="BT388" s="50"/>
      <c r="BU388" s="50"/>
      <c r="BV388" s="50"/>
      <c r="BW388" s="50"/>
      <c r="BX388" s="50"/>
      <c r="BY388" s="50"/>
      <c r="BZ388" s="50"/>
      <c r="CA388" s="50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</row>
    <row r="389">
      <c r="B389" s="18"/>
      <c r="C389" s="23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50"/>
      <c r="BT389" s="50"/>
      <c r="BU389" s="50"/>
      <c r="BV389" s="50"/>
      <c r="BW389" s="50"/>
      <c r="BX389" s="50"/>
      <c r="BY389" s="50"/>
      <c r="BZ389" s="50"/>
      <c r="CA389" s="50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</row>
    <row r="390">
      <c r="B390" s="18"/>
      <c r="C390" s="23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50"/>
      <c r="BT390" s="50"/>
      <c r="BU390" s="50"/>
      <c r="BV390" s="50"/>
      <c r="BW390" s="50"/>
      <c r="BX390" s="50"/>
      <c r="BY390" s="50"/>
      <c r="BZ390" s="50"/>
      <c r="CA390" s="50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</row>
    <row r="391">
      <c r="B391" s="18"/>
      <c r="C391" s="23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50"/>
      <c r="BT391" s="50"/>
      <c r="BU391" s="50"/>
      <c r="BV391" s="50"/>
      <c r="BW391" s="50"/>
      <c r="BX391" s="50"/>
      <c r="BY391" s="50"/>
      <c r="BZ391" s="50"/>
      <c r="CA391" s="50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</row>
    <row r="392">
      <c r="B392" s="18"/>
      <c r="C392" s="23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50"/>
      <c r="BT392" s="50"/>
      <c r="BU392" s="50"/>
      <c r="BV392" s="50"/>
      <c r="BW392" s="50"/>
      <c r="BX392" s="50"/>
      <c r="BY392" s="50"/>
      <c r="BZ392" s="50"/>
      <c r="CA392" s="50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</row>
    <row r="393">
      <c r="B393" s="18"/>
      <c r="C393" s="23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50"/>
      <c r="BT393" s="50"/>
      <c r="BU393" s="50"/>
      <c r="BV393" s="50"/>
      <c r="BW393" s="50"/>
      <c r="BX393" s="50"/>
      <c r="BY393" s="50"/>
      <c r="BZ393" s="50"/>
      <c r="CA393" s="50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</row>
    <row r="394">
      <c r="B394" s="18"/>
      <c r="C394" s="23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50"/>
      <c r="BT394" s="50"/>
      <c r="BU394" s="50"/>
      <c r="BV394" s="50"/>
      <c r="BW394" s="50"/>
      <c r="BX394" s="50"/>
      <c r="BY394" s="50"/>
      <c r="BZ394" s="50"/>
      <c r="CA394" s="50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</row>
    <row r="395">
      <c r="B395" s="18"/>
      <c r="C395" s="23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50"/>
      <c r="BT395" s="50"/>
      <c r="BU395" s="50"/>
      <c r="BV395" s="50"/>
      <c r="BW395" s="50"/>
      <c r="BX395" s="50"/>
      <c r="BY395" s="50"/>
      <c r="BZ395" s="50"/>
      <c r="CA395" s="50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</row>
    <row r="396">
      <c r="B396" s="18"/>
      <c r="C396" s="23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50"/>
      <c r="BT396" s="50"/>
      <c r="BU396" s="50"/>
      <c r="BV396" s="50"/>
      <c r="BW396" s="50"/>
      <c r="BX396" s="50"/>
      <c r="BY396" s="50"/>
      <c r="BZ396" s="50"/>
      <c r="CA396" s="50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</row>
    <row r="397">
      <c r="B397" s="18"/>
      <c r="C397" s="23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50"/>
      <c r="BT397" s="50"/>
      <c r="BU397" s="50"/>
      <c r="BV397" s="50"/>
      <c r="BW397" s="50"/>
      <c r="BX397" s="50"/>
      <c r="BY397" s="50"/>
      <c r="BZ397" s="50"/>
      <c r="CA397" s="50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</row>
    <row r="398">
      <c r="B398" s="18"/>
      <c r="C398" s="23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50"/>
      <c r="BT398" s="50"/>
      <c r="BU398" s="50"/>
      <c r="BV398" s="50"/>
      <c r="BW398" s="50"/>
      <c r="BX398" s="50"/>
      <c r="BY398" s="50"/>
      <c r="BZ398" s="50"/>
      <c r="CA398" s="50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</row>
    <row r="399">
      <c r="B399" s="18"/>
      <c r="C399" s="23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50"/>
      <c r="BT399" s="50"/>
      <c r="BU399" s="50"/>
      <c r="BV399" s="50"/>
      <c r="BW399" s="50"/>
      <c r="BX399" s="50"/>
      <c r="BY399" s="50"/>
      <c r="BZ399" s="50"/>
      <c r="CA399" s="50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</row>
    <row r="400">
      <c r="B400" s="18"/>
      <c r="C400" s="23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50"/>
      <c r="BT400" s="50"/>
      <c r="BU400" s="50"/>
      <c r="BV400" s="50"/>
      <c r="BW400" s="50"/>
      <c r="BX400" s="50"/>
      <c r="BY400" s="50"/>
      <c r="BZ400" s="50"/>
      <c r="CA400" s="50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</row>
    <row r="401">
      <c r="B401" s="18"/>
      <c r="C401" s="23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50"/>
      <c r="BT401" s="50"/>
      <c r="BU401" s="50"/>
      <c r="BV401" s="50"/>
      <c r="BW401" s="50"/>
      <c r="BX401" s="50"/>
      <c r="BY401" s="50"/>
      <c r="BZ401" s="50"/>
      <c r="CA401" s="50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</row>
    <row r="402">
      <c r="B402" s="18"/>
      <c r="C402" s="23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50"/>
      <c r="BT402" s="50"/>
      <c r="BU402" s="50"/>
      <c r="BV402" s="50"/>
      <c r="BW402" s="50"/>
      <c r="BX402" s="50"/>
      <c r="BY402" s="50"/>
      <c r="BZ402" s="50"/>
      <c r="CA402" s="50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</row>
    <row r="403">
      <c r="B403" s="18"/>
      <c r="C403" s="23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50"/>
      <c r="BT403" s="50"/>
      <c r="BU403" s="50"/>
      <c r="BV403" s="50"/>
      <c r="BW403" s="50"/>
      <c r="BX403" s="50"/>
      <c r="BY403" s="50"/>
      <c r="BZ403" s="50"/>
      <c r="CA403" s="50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</row>
    <row r="404">
      <c r="B404" s="18"/>
      <c r="C404" s="23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50"/>
      <c r="BT404" s="50"/>
      <c r="BU404" s="50"/>
      <c r="BV404" s="50"/>
      <c r="BW404" s="50"/>
      <c r="BX404" s="50"/>
      <c r="BY404" s="50"/>
      <c r="BZ404" s="50"/>
      <c r="CA404" s="50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</row>
    <row r="405">
      <c r="B405" s="18"/>
      <c r="C405" s="23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50"/>
      <c r="BT405" s="50"/>
      <c r="BU405" s="50"/>
      <c r="BV405" s="50"/>
      <c r="BW405" s="50"/>
      <c r="BX405" s="50"/>
      <c r="BY405" s="50"/>
      <c r="BZ405" s="50"/>
      <c r="CA405" s="50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</row>
    <row r="406">
      <c r="B406" s="18"/>
      <c r="C406" s="23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50"/>
      <c r="BT406" s="50"/>
      <c r="BU406" s="50"/>
      <c r="BV406" s="50"/>
      <c r="BW406" s="50"/>
      <c r="BX406" s="50"/>
      <c r="BY406" s="50"/>
      <c r="BZ406" s="50"/>
      <c r="CA406" s="50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</row>
    <row r="407">
      <c r="B407" s="18"/>
      <c r="C407" s="23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50"/>
      <c r="BT407" s="50"/>
      <c r="BU407" s="50"/>
      <c r="BV407" s="50"/>
      <c r="BW407" s="50"/>
      <c r="BX407" s="50"/>
      <c r="BY407" s="50"/>
      <c r="BZ407" s="50"/>
      <c r="CA407" s="50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</row>
    <row r="408">
      <c r="B408" s="18"/>
      <c r="C408" s="23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50"/>
      <c r="BT408" s="50"/>
      <c r="BU408" s="50"/>
      <c r="BV408" s="50"/>
      <c r="BW408" s="50"/>
      <c r="BX408" s="50"/>
      <c r="BY408" s="50"/>
      <c r="BZ408" s="50"/>
      <c r="CA408" s="50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</row>
    <row r="409">
      <c r="B409" s="18"/>
      <c r="C409" s="23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50"/>
      <c r="BT409" s="50"/>
      <c r="BU409" s="50"/>
      <c r="BV409" s="50"/>
      <c r="BW409" s="50"/>
      <c r="BX409" s="50"/>
      <c r="BY409" s="50"/>
      <c r="BZ409" s="50"/>
      <c r="CA409" s="50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</row>
    <row r="410">
      <c r="B410" s="18"/>
      <c r="C410" s="23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50"/>
      <c r="BT410" s="50"/>
      <c r="BU410" s="50"/>
      <c r="BV410" s="50"/>
      <c r="BW410" s="50"/>
      <c r="BX410" s="50"/>
      <c r="BY410" s="50"/>
      <c r="BZ410" s="50"/>
      <c r="CA410" s="50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</row>
    <row r="411">
      <c r="B411" s="18"/>
      <c r="C411" s="23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50"/>
      <c r="BT411" s="50"/>
      <c r="BU411" s="50"/>
      <c r="BV411" s="50"/>
      <c r="BW411" s="50"/>
      <c r="BX411" s="50"/>
      <c r="BY411" s="50"/>
      <c r="BZ411" s="50"/>
      <c r="CA411" s="50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</row>
    <row r="412">
      <c r="B412" s="18"/>
      <c r="C412" s="23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50"/>
      <c r="BT412" s="50"/>
      <c r="BU412" s="50"/>
      <c r="BV412" s="50"/>
      <c r="BW412" s="50"/>
      <c r="BX412" s="50"/>
      <c r="BY412" s="50"/>
      <c r="BZ412" s="50"/>
      <c r="CA412" s="50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</row>
    <row r="413">
      <c r="B413" s="18"/>
      <c r="C413" s="23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50"/>
      <c r="BT413" s="50"/>
      <c r="BU413" s="50"/>
      <c r="BV413" s="50"/>
      <c r="BW413" s="50"/>
      <c r="BX413" s="50"/>
      <c r="BY413" s="50"/>
      <c r="BZ413" s="50"/>
      <c r="CA413" s="50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</row>
    <row r="414">
      <c r="B414" s="18"/>
      <c r="C414" s="23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50"/>
      <c r="BT414" s="50"/>
      <c r="BU414" s="50"/>
      <c r="BV414" s="50"/>
      <c r="BW414" s="50"/>
      <c r="BX414" s="50"/>
      <c r="BY414" s="50"/>
      <c r="BZ414" s="50"/>
      <c r="CA414" s="50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</row>
    <row r="415">
      <c r="B415" s="18"/>
      <c r="C415" s="23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50"/>
      <c r="BT415" s="50"/>
      <c r="BU415" s="50"/>
      <c r="BV415" s="50"/>
      <c r="BW415" s="50"/>
      <c r="BX415" s="50"/>
      <c r="BY415" s="50"/>
      <c r="BZ415" s="50"/>
      <c r="CA415" s="50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</row>
    <row r="416">
      <c r="B416" s="18"/>
      <c r="C416" s="23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50"/>
      <c r="BT416" s="50"/>
      <c r="BU416" s="50"/>
      <c r="BV416" s="50"/>
      <c r="BW416" s="50"/>
      <c r="BX416" s="50"/>
      <c r="BY416" s="50"/>
      <c r="BZ416" s="50"/>
      <c r="CA416" s="50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</row>
    <row r="417">
      <c r="B417" s="18"/>
      <c r="C417" s="23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50"/>
      <c r="BT417" s="50"/>
      <c r="BU417" s="50"/>
      <c r="BV417" s="50"/>
      <c r="BW417" s="50"/>
      <c r="BX417" s="50"/>
      <c r="BY417" s="50"/>
      <c r="BZ417" s="50"/>
      <c r="CA417" s="50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</row>
    <row r="418">
      <c r="B418" s="18"/>
      <c r="C418" s="23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50"/>
      <c r="BT418" s="50"/>
      <c r="BU418" s="50"/>
      <c r="BV418" s="50"/>
      <c r="BW418" s="50"/>
      <c r="BX418" s="50"/>
      <c r="BY418" s="50"/>
      <c r="BZ418" s="50"/>
      <c r="CA418" s="50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</row>
    <row r="419">
      <c r="B419" s="18"/>
      <c r="C419" s="23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50"/>
      <c r="BT419" s="50"/>
      <c r="BU419" s="50"/>
      <c r="BV419" s="50"/>
      <c r="BW419" s="50"/>
      <c r="BX419" s="50"/>
      <c r="BY419" s="50"/>
      <c r="BZ419" s="50"/>
      <c r="CA419" s="50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</row>
    <row r="420">
      <c r="B420" s="18"/>
      <c r="C420" s="23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50"/>
      <c r="BT420" s="50"/>
      <c r="BU420" s="50"/>
      <c r="BV420" s="50"/>
      <c r="BW420" s="50"/>
      <c r="BX420" s="50"/>
      <c r="BY420" s="50"/>
      <c r="BZ420" s="50"/>
      <c r="CA420" s="50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</row>
    <row r="421">
      <c r="B421" s="18"/>
      <c r="C421" s="23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50"/>
      <c r="BT421" s="50"/>
      <c r="BU421" s="50"/>
      <c r="BV421" s="50"/>
      <c r="BW421" s="50"/>
      <c r="BX421" s="50"/>
      <c r="BY421" s="50"/>
      <c r="BZ421" s="50"/>
      <c r="CA421" s="50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</row>
    <row r="422">
      <c r="B422" s="18"/>
      <c r="C422" s="23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50"/>
      <c r="BT422" s="50"/>
      <c r="BU422" s="50"/>
      <c r="BV422" s="50"/>
      <c r="BW422" s="50"/>
      <c r="BX422" s="50"/>
      <c r="BY422" s="50"/>
      <c r="BZ422" s="50"/>
      <c r="CA422" s="50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</row>
    <row r="423">
      <c r="B423" s="18"/>
      <c r="C423" s="23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50"/>
      <c r="BT423" s="50"/>
      <c r="BU423" s="50"/>
      <c r="BV423" s="50"/>
      <c r="BW423" s="50"/>
      <c r="BX423" s="50"/>
      <c r="BY423" s="50"/>
      <c r="BZ423" s="50"/>
      <c r="CA423" s="50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</row>
    <row r="424">
      <c r="B424" s="18"/>
      <c r="C424" s="23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50"/>
      <c r="BT424" s="50"/>
      <c r="BU424" s="50"/>
      <c r="BV424" s="50"/>
      <c r="BW424" s="50"/>
      <c r="BX424" s="50"/>
      <c r="BY424" s="50"/>
      <c r="BZ424" s="50"/>
      <c r="CA424" s="50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</row>
    <row r="425">
      <c r="B425" s="18"/>
      <c r="C425" s="23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50"/>
      <c r="BT425" s="50"/>
      <c r="BU425" s="50"/>
      <c r="BV425" s="50"/>
      <c r="BW425" s="50"/>
      <c r="BX425" s="50"/>
      <c r="BY425" s="50"/>
      <c r="BZ425" s="50"/>
      <c r="CA425" s="50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</row>
    <row r="426">
      <c r="B426" s="18"/>
      <c r="C426" s="23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50"/>
      <c r="BT426" s="50"/>
      <c r="BU426" s="50"/>
      <c r="BV426" s="50"/>
      <c r="BW426" s="50"/>
      <c r="BX426" s="50"/>
      <c r="BY426" s="50"/>
      <c r="BZ426" s="50"/>
      <c r="CA426" s="50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</row>
    <row r="427">
      <c r="B427" s="18"/>
      <c r="C427" s="23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50"/>
      <c r="BT427" s="50"/>
      <c r="BU427" s="50"/>
      <c r="BV427" s="50"/>
      <c r="BW427" s="50"/>
      <c r="BX427" s="50"/>
      <c r="BY427" s="50"/>
      <c r="BZ427" s="50"/>
      <c r="CA427" s="50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</row>
    <row r="428">
      <c r="B428" s="18"/>
      <c r="C428" s="23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50"/>
      <c r="BT428" s="50"/>
      <c r="BU428" s="50"/>
      <c r="BV428" s="50"/>
      <c r="BW428" s="50"/>
      <c r="BX428" s="50"/>
      <c r="BY428" s="50"/>
      <c r="BZ428" s="50"/>
      <c r="CA428" s="50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</row>
    <row r="429">
      <c r="B429" s="18"/>
      <c r="C429" s="23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50"/>
      <c r="BT429" s="50"/>
      <c r="BU429" s="50"/>
      <c r="BV429" s="50"/>
      <c r="BW429" s="50"/>
      <c r="BX429" s="50"/>
      <c r="BY429" s="50"/>
      <c r="BZ429" s="50"/>
      <c r="CA429" s="50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</row>
    <row r="430">
      <c r="B430" s="18"/>
      <c r="C430" s="23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50"/>
      <c r="BT430" s="50"/>
      <c r="BU430" s="50"/>
      <c r="BV430" s="50"/>
      <c r="BW430" s="50"/>
      <c r="BX430" s="50"/>
      <c r="BY430" s="50"/>
      <c r="BZ430" s="50"/>
      <c r="CA430" s="50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</row>
    <row r="431">
      <c r="B431" s="18"/>
      <c r="C431" s="23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50"/>
      <c r="BT431" s="50"/>
      <c r="BU431" s="50"/>
      <c r="BV431" s="50"/>
      <c r="BW431" s="50"/>
      <c r="BX431" s="50"/>
      <c r="BY431" s="50"/>
      <c r="BZ431" s="50"/>
      <c r="CA431" s="50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</row>
    <row r="432">
      <c r="B432" s="18"/>
      <c r="C432" s="23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50"/>
      <c r="BT432" s="50"/>
      <c r="BU432" s="50"/>
      <c r="BV432" s="50"/>
      <c r="BW432" s="50"/>
      <c r="BX432" s="50"/>
      <c r="BY432" s="50"/>
      <c r="BZ432" s="50"/>
      <c r="CA432" s="50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</row>
    <row r="433">
      <c r="B433" s="18"/>
      <c r="C433" s="23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50"/>
      <c r="BT433" s="50"/>
      <c r="BU433" s="50"/>
      <c r="BV433" s="50"/>
      <c r="BW433" s="50"/>
      <c r="BX433" s="50"/>
      <c r="BY433" s="50"/>
      <c r="BZ433" s="50"/>
      <c r="CA433" s="50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</row>
    <row r="434">
      <c r="B434" s="18"/>
      <c r="C434" s="23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50"/>
      <c r="BT434" s="50"/>
      <c r="BU434" s="50"/>
      <c r="BV434" s="50"/>
      <c r="BW434" s="50"/>
      <c r="BX434" s="50"/>
      <c r="BY434" s="50"/>
      <c r="BZ434" s="50"/>
      <c r="CA434" s="50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</row>
    <row r="435">
      <c r="B435" s="18"/>
      <c r="C435" s="23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50"/>
      <c r="BT435" s="50"/>
      <c r="BU435" s="50"/>
      <c r="BV435" s="50"/>
      <c r="BW435" s="50"/>
      <c r="BX435" s="50"/>
      <c r="BY435" s="50"/>
      <c r="BZ435" s="50"/>
      <c r="CA435" s="50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</row>
    <row r="436">
      <c r="B436" s="18"/>
      <c r="C436" s="23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50"/>
      <c r="BT436" s="50"/>
      <c r="BU436" s="50"/>
      <c r="BV436" s="50"/>
      <c r="BW436" s="50"/>
      <c r="BX436" s="50"/>
      <c r="BY436" s="50"/>
      <c r="BZ436" s="50"/>
      <c r="CA436" s="50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</row>
    <row r="437">
      <c r="B437" s="18"/>
      <c r="C437" s="23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50"/>
      <c r="BT437" s="50"/>
      <c r="BU437" s="50"/>
      <c r="BV437" s="50"/>
      <c r="BW437" s="50"/>
      <c r="BX437" s="50"/>
      <c r="BY437" s="50"/>
      <c r="BZ437" s="50"/>
      <c r="CA437" s="50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</row>
    <row r="438">
      <c r="B438" s="18"/>
      <c r="C438" s="23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50"/>
      <c r="BT438" s="50"/>
      <c r="BU438" s="50"/>
      <c r="BV438" s="50"/>
      <c r="BW438" s="50"/>
      <c r="BX438" s="50"/>
      <c r="BY438" s="50"/>
      <c r="BZ438" s="50"/>
      <c r="CA438" s="50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</row>
    <row r="439">
      <c r="B439" s="18"/>
      <c r="C439" s="23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50"/>
      <c r="BT439" s="50"/>
      <c r="BU439" s="50"/>
      <c r="BV439" s="50"/>
      <c r="BW439" s="50"/>
      <c r="BX439" s="50"/>
      <c r="BY439" s="50"/>
      <c r="BZ439" s="50"/>
      <c r="CA439" s="50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</row>
    <row r="440">
      <c r="B440" s="18"/>
      <c r="C440" s="23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50"/>
      <c r="BT440" s="50"/>
      <c r="BU440" s="50"/>
      <c r="BV440" s="50"/>
      <c r="BW440" s="50"/>
      <c r="BX440" s="50"/>
      <c r="BY440" s="50"/>
      <c r="BZ440" s="50"/>
      <c r="CA440" s="50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</row>
    <row r="441">
      <c r="B441" s="18"/>
      <c r="C441" s="23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50"/>
      <c r="BT441" s="50"/>
      <c r="BU441" s="50"/>
      <c r="BV441" s="50"/>
      <c r="BW441" s="50"/>
      <c r="BX441" s="50"/>
      <c r="BY441" s="50"/>
      <c r="BZ441" s="50"/>
      <c r="CA441" s="50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</row>
    <row r="442">
      <c r="B442" s="18"/>
      <c r="C442" s="23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50"/>
      <c r="BT442" s="50"/>
      <c r="BU442" s="50"/>
      <c r="BV442" s="50"/>
      <c r="BW442" s="50"/>
      <c r="BX442" s="50"/>
      <c r="BY442" s="50"/>
      <c r="BZ442" s="50"/>
      <c r="CA442" s="50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</row>
    <row r="443">
      <c r="B443" s="18"/>
      <c r="C443" s="23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50"/>
      <c r="BT443" s="50"/>
      <c r="BU443" s="50"/>
      <c r="BV443" s="50"/>
      <c r="BW443" s="50"/>
      <c r="BX443" s="50"/>
      <c r="BY443" s="50"/>
      <c r="BZ443" s="50"/>
      <c r="CA443" s="50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</row>
    <row r="444">
      <c r="B444" s="18"/>
      <c r="C444" s="23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50"/>
      <c r="BT444" s="50"/>
      <c r="BU444" s="50"/>
      <c r="BV444" s="50"/>
      <c r="BW444" s="50"/>
      <c r="BX444" s="50"/>
      <c r="BY444" s="50"/>
      <c r="BZ444" s="50"/>
      <c r="CA444" s="50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</row>
    <row r="445">
      <c r="B445" s="18"/>
      <c r="C445" s="23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50"/>
      <c r="BT445" s="50"/>
      <c r="BU445" s="50"/>
      <c r="BV445" s="50"/>
      <c r="BW445" s="50"/>
      <c r="BX445" s="50"/>
      <c r="BY445" s="50"/>
      <c r="BZ445" s="50"/>
      <c r="CA445" s="50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</row>
    <row r="446">
      <c r="B446" s="18"/>
      <c r="C446" s="23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50"/>
      <c r="BT446" s="50"/>
      <c r="BU446" s="50"/>
      <c r="BV446" s="50"/>
      <c r="BW446" s="50"/>
      <c r="BX446" s="50"/>
      <c r="BY446" s="50"/>
      <c r="BZ446" s="50"/>
      <c r="CA446" s="50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</row>
    <row r="447">
      <c r="B447" s="18"/>
      <c r="C447" s="23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50"/>
      <c r="BT447" s="50"/>
      <c r="BU447" s="50"/>
      <c r="BV447" s="50"/>
      <c r="BW447" s="50"/>
      <c r="BX447" s="50"/>
      <c r="BY447" s="50"/>
      <c r="BZ447" s="50"/>
      <c r="CA447" s="50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</row>
    <row r="448">
      <c r="B448" s="18"/>
      <c r="C448" s="23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50"/>
      <c r="BT448" s="50"/>
      <c r="BU448" s="50"/>
      <c r="BV448" s="50"/>
      <c r="BW448" s="50"/>
      <c r="BX448" s="50"/>
      <c r="BY448" s="50"/>
      <c r="BZ448" s="50"/>
      <c r="CA448" s="50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</row>
    <row r="449">
      <c r="B449" s="18"/>
      <c r="C449" s="23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50"/>
      <c r="BT449" s="50"/>
      <c r="BU449" s="50"/>
      <c r="BV449" s="50"/>
      <c r="BW449" s="50"/>
      <c r="BX449" s="50"/>
      <c r="BY449" s="50"/>
      <c r="BZ449" s="50"/>
      <c r="CA449" s="50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</row>
    <row r="450">
      <c r="B450" s="18"/>
      <c r="C450" s="23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50"/>
      <c r="BT450" s="50"/>
      <c r="BU450" s="50"/>
      <c r="BV450" s="50"/>
      <c r="BW450" s="50"/>
      <c r="BX450" s="50"/>
      <c r="BY450" s="50"/>
      <c r="BZ450" s="50"/>
      <c r="CA450" s="50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</row>
    <row r="451">
      <c r="B451" s="18"/>
      <c r="C451" s="23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50"/>
      <c r="BT451" s="50"/>
      <c r="BU451" s="50"/>
      <c r="BV451" s="50"/>
      <c r="BW451" s="50"/>
      <c r="BX451" s="50"/>
      <c r="BY451" s="50"/>
      <c r="BZ451" s="50"/>
      <c r="CA451" s="50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</row>
    <row r="452">
      <c r="B452" s="18"/>
      <c r="C452" s="23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50"/>
      <c r="BT452" s="50"/>
      <c r="BU452" s="50"/>
      <c r="BV452" s="50"/>
      <c r="BW452" s="50"/>
      <c r="BX452" s="50"/>
      <c r="BY452" s="50"/>
      <c r="BZ452" s="50"/>
      <c r="CA452" s="50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</row>
    <row r="453">
      <c r="B453" s="18"/>
      <c r="C453" s="23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50"/>
      <c r="BT453" s="50"/>
      <c r="BU453" s="50"/>
      <c r="BV453" s="50"/>
      <c r="BW453" s="50"/>
      <c r="BX453" s="50"/>
      <c r="BY453" s="50"/>
      <c r="BZ453" s="50"/>
      <c r="CA453" s="50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</row>
    <row r="454">
      <c r="B454" s="18"/>
      <c r="C454" s="23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50"/>
      <c r="BT454" s="50"/>
      <c r="BU454" s="50"/>
      <c r="BV454" s="50"/>
      <c r="BW454" s="50"/>
      <c r="BX454" s="50"/>
      <c r="BY454" s="50"/>
      <c r="BZ454" s="50"/>
      <c r="CA454" s="50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</row>
    <row r="455">
      <c r="B455" s="18"/>
      <c r="C455" s="23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50"/>
      <c r="BT455" s="50"/>
      <c r="BU455" s="50"/>
      <c r="BV455" s="50"/>
      <c r="BW455" s="50"/>
      <c r="BX455" s="50"/>
      <c r="BY455" s="50"/>
      <c r="BZ455" s="50"/>
      <c r="CA455" s="50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</row>
    <row r="456">
      <c r="B456" s="18"/>
      <c r="C456" s="23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50"/>
      <c r="BT456" s="50"/>
      <c r="BU456" s="50"/>
      <c r="BV456" s="50"/>
      <c r="BW456" s="50"/>
      <c r="BX456" s="50"/>
      <c r="BY456" s="50"/>
      <c r="BZ456" s="50"/>
      <c r="CA456" s="50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</row>
    <row r="457">
      <c r="B457" s="18"/>
      <c r="C457" s="23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50"/>
      <c r="BT457" s="50"/>
      <c r="BU457" s="50"/>
      <c r="BV457" s="50"/>
      <c r="BW457" s="50"/>
      <c r="BX457" s="50"/>
      <c r="BY457" s="50"/>
      <c r="BZ457" s="50"/>
      <c r="CA457" s="50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</row>
    <row r="458">
      <c r="B458" s="18"/>
      <c r="C458" s="23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50"/>
      <c r="BT458" s="50"/>
      <c r="BU458" s="50"/>
      <c r="BV458" s="50"/>
      <c r="BW458" s="50"/>
      <c r="BX458" s="50"/>
      <c r="BY458" s="50"/>
      <c r="BZ458" s="50"/>
      <c r="CA458" s="50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</row>
    <row r="459">
      <c r="B459" s="18"/>
      <c r="C459" s="23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50"/>
      <c r="BT459" s="50"/>
      <c r="BU459" s="50"/>
      <c r="BV459" s="50"/>
      <c r="BW459" s="50"/>
      <c r="BX459" s="50"/>
      <c r="BY459" s="50"/>
      <c r="BZ459" s="50"/>
      <c r="CA459" s="50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</row>
    <row r="460">
      <c r="B460" s="18"/>
      <c r="C460" s="23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50"/>
      <c r="BT460" s="50"/>
      <c r="BU460" s="50"/>
      <c r="BV460" s="50"/>
      <c r="BW460" s="50"/>
      <c r="BX460" s="50"/>
      <c r="BY460" s="50"/>
      <c r="BZ460" s="50"/>
      <c r="CA460" s="50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</row>
    <row r="461">
      <c r="B461" s="18"/>
      <c r="C461" s="23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50"/>
      <c r="BT461" s="50"/>
      <c r="BU461" s="50"/>
      <c r="BV461" s="50"/>
      <c r="BW461" s="50"/>
      <c r="BX461" s="50"/>
      <c r="BY461" s="50"/>
      <c r="BZ461" s="50"/>
      <c r="CA461" s="50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</row>
    <row r="462">
      <c r="B462" s="18"/>
      <c r="C462" s="23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50"/>
      <c r="BT462" s="50"/>
      <c r="BU462" s="50"/>
      <c r="BV462" s="50"/>
      <c r="BW462" s="50"/>
      <c r="BX462" s="50"/>
      <c r="BY462" s="50"/>
      <c r="BZ462" s="50"/>
      <c r="CA462" s="50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</row>
    <row r="463">
      <c r="B463" s="18"/>
      <c r="C463" s="23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50"/>
      <c r="BT463" s="50"/>
      <c r="BU463" s="50"/>
      <c r="BV463" s="50"/>
      <c r="BW463" s="50"/>
      <c r="BX463" s="50"/>
      <c r="BY463" s="50"/>
      <c r="BZ463" s="50"/>
      <c r="CA463" s="50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</row>
    <row r="464">
      <c r="B464" s="18"/>
      <c r="C464" s="23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50"/>
      <c r="BT464" s="50"/>
      <c r="BU464" s="50"/>
      <c r="BV464" s="50"/>
      <c r="BW464" s="50"/>
      <c r="BX464" s="50"/>
      <c r="BY464" s="50"/>
      <c r="BZ464" s="50"/>
      <c r="CA464" s="50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</row>
    <row r="465">
      <c r="B465" s="18"/>
      <c r="C465" s="23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50"/>
      <c r="BT465" s="50"/>
      <c r="BU465" s="50"/>
      <c r="BV465" s="50"/>
      <c r="BW465" s="50"/>
      <c r="BX465" s="50"/>
      <c r="BY465" s="50"/>
      <c r="BZ465" s="50"/>
      <c r="CA465" s="50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</row>
    <row r="466">
      <c r="B466" s="18"/>
      <c r="C466" s="23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50"/>
      <c r="BT466" s="50"/>
      <c r="BU466" s="50"/>
      <c r="BV466" s="50"/>
      <c r="BW466" s="50"/>
      <c r="BX466" s="50"/>
      <c r="BY466" s="50"/>
      <c r="BZ466" s="50"/>
      <c r="CA466" s="50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</row>
    <row r="467">
      <c r="B467" s="18"/>
      <c r="C467" s="23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50"/>
      <c r="BT467" s="50"/>
      <c r="BU467" s="50"/>
      <c r="BV467" s="50"/>
      <c r="BW467" s="50"/>
      <c r="BX467" s="50"/>
      <c r="BY467" s="50"/>
      <c r="BZ467" s="50"/>
      <c r="CA467" s="50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</row>
    <row r="468">
      <c r="B468" s="18"/>
      <c r="C468" s="23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50"/>
      <c r="BT468" s="50"/>
      <c r="BU468" s="50"/>
      <c r="BV468" s="50"/>
      <c r="BW468" s="50"/>
      <c r="BX468" s="50"/>
      <c r="BY468" s="50"/>
      <c r="BZ468" s="50"/>
      <c r="CA468" s="50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</row>
    <row r="469">
      <c r="B469" s="18"/>
      <c r="C469" s="23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50"/>
      <c r="BT469" s="50"/>
      <c r="BU469" s="50"/>
      <c r="BV469" s="50"/>
      <c r="BW469" s="50"/>
      <c r="BX469" s="50"/>
      <c r="BY469" s="50"/>
      <c r="BZ469" s="50"/>
      <c r="CA469" s="50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</row>
    <row r="470">
      <c r="B470" s="18"/>
      <c r="C470" s="23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50"/>
      <c r="BT470" s="50"/>
      <c r="BU470" s="50"/>
      <c r="BV470" s="50"/>
      <c r="BW470" s="50"/>
      <c r="BX470" s="50"/>
      <c r="BY470" s="50"/>
      <c r="BZ470" s="50"/>
      <c r="CA470" s="50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</row>
    <row r="471">
      <c r="B471" s="18"/>
      <c r="C471" s="23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50"/>
      <c r="BT471" s="50"/>
      <c r="BU471" s="50"/>
      <c r="BV471" s="50"/>
      <c r="BW471" s="50"/>
      <c r="BX471" s="50"/>
      <c r="BY471" s="50"/>
      <c r="BZ471" s="50"/>
      <c r="CA471" s="50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</row>
    <row r="472">
      <c r="B472" s="18"/>
      <c r="C472" s="23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50"/>
      <c r="BT472" s="50"/>
      <c r="BU472" s="50"/>
      <c r="BV472" s="50"/>
      <c r="BW472" s="50"/>
      <c r="BX472" s="50"/>
      <c r="BY472" s="50"/>
      <c r="BZ472" s="50"/>
      <c r="CA472" s="50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</row>
    <row r="473">
      <c r="B473" s="18"/>
      <c r="C473" s="23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50"/>
      <c r="BT473" s="50"/>
      <c r="BU473" s="50"/>
      <c r="BV473" s="50"/>
      <c r="BW473" s="50"/>
      <c r="BX473" s="50"/>
      <c r="BY473" s="50"/>
      <c r="BZ473" s="50"/>
      <c r="CA473" s="50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</row>
    <row r="474">
      <c r="B474" s="18"/>
      <c r="C474" s="23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50"/>
      <c r="BT474" s="50"/>
      <c r="BU474" s="50"/>
      <c r="BV474" s="50"/>
      <c r="BW474" s="50"/>
      <c r="BX474" s="50"/>
      <c r="BY474" s="50"/>
      <c r="BZ474" s="50"/>
      <c r="CA474" s="50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</row>
    <row r="475">
      <c r="B475" s="18"/>
      <c r="C475" s="23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50"/>
      <c r="BT475" s="50"/>
      <c r="BU475" s="50"/>
      <c r="BV475" s="50"/>
      <c r="BW475" s="50"/>
      <c r="BX475" s="50"/>
      <c r="BY475" s="50"/>
      <c r="BZ475" s="50"/>
      <c r="CA475" s="50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</row>
    <row r="476">
      <c r="B476" s="18"/>
      <c r="C476" s="23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50"/>
      <c r="BT476" s="50"/>
      <c r="BU476" s="50"/>
      <c r="BV476" s="50"/>
      <c r="BW476" s="50"/>
      <c r="BX476" s="50"/>
      <c r="BY476" s="50"/>
      <c r="BZ476" s="50"/>
      <c r="CA476" s="50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</row>
    <row r="477">
      <c r="B477" s="18"/>
      <c r="C477" s="23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50"/>
      <c r="BT477" s="50"/>
      <c r="BU477" s="50"/>
      <c r="BV477" s="50"/>
      <c r="BW477" s="50"/>
      <c r="BX477" s="50"/>
      <c r="BY477" s="50"/>
      <c r="BZ477" s="50"/>
      <c r="CA477" s="50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</row>
    <row r="478">
      <c r="B478" s="18"/>
      <c r="C478" s="23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50"/>
      <c r="BT478" s="50"/>
      <c r="BU478" s="50"/>
      <c r="BV478" s="50"/>
      <c r="BW478" s="50"/>
      <c r="BX478" s="50"/>
      <c r="BY478" s="50"/>
      <c r="BZ478" s="50"/>
      <c r="CA478" s="50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</row>
    <row r="479">
      <c r="B479" s="18"/>
      <c r="C479" s="23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50"/>
      <c r="BT479" s="50"/>
      <c r="BU479" s="50"/>
      <c r="BV479" s="50"/>
      <c r="BW479" s="50"/>
      <c r="BX479" s="50"/>
      <c r="BY479" s="50"/>
      <c r="BZ479" s="50"/>
      <c r="CA479" s="50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</row>
    <row r="480">
      <c r="B480" s="18"/>
      <c r="C480" s="23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50"/>
      <c r="BT480" s="50"/>
      <c r="BU480" s="50"/>
      <c r="BV480" s="50"/>
      <c r="BW480" s="50"/>
      <c r="BX480" s="50"/>
      <c r="BY480" s="50"/>
      <c r="BZ480" s="50"/>
      <c r="CA480" s="50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</row>
    <row r="481">
      <c r="B481" s="18"/>
      <c r="C481" s="23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50"/>
      <c r="BT481" s="50"/>
      <c r="BU481" s="50"/>
      <c r="BV481" s="50"/>
      <c r="BW481" s="50"/>
      <c r="BX481" s="50"/>
      <c r="BY481" s="50"/>
      <c r="BZ481" s="50"/>
      <c r="CA481" s="50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</row>
    <row r="482">
      <c r="B482" s="18"/>
      <c r="C482" s="23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50"/>
      <c r="BT482" s="50"/>
      <c r="BU482" s="50"/>
      <c r="BV482" s="50"/>
      <c r="BW482" s="50"/>
      <c r="BX482" s="50"/>
      <c r="BY482" s="50"/>
      <c r="BZ482" s="50"/>
      <c r="CA482" s="50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</row>
    <row r="483">
      <c r="B483" s="18"/>
      <c r="C483" s="23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50"/>
      <c r="BT483" s="50"/>
      <c r="BU483" s="50"/>
      <c r="BV483" s="50"/>
      <c r="BW483" s="50"/>
      <c r="BX483" s="50"/>
      <c r="BY483" s="50"/>
      <c r="BZ483" s="50"/>
      <c r="CA483" s="50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</row>
    <row r="484">
      <c r="B484" s="18"/>
      <c r="C484" s="23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50"/>
      <c r="BT484" s="50"/>
      <c r="BU484" s="50"/>
      <c r="BV484" s="50"/>
      <c r="BW484" s="50"/>
      <c r="BX484" s="50"/>
      <c r="BY484" s="50"/>
      <c r="BZ484" s="50"/>
      <c r="CA484" s="50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</row>
    <row r="485">
      <c r="B485" s="18"/>
      <c r="C485" s="23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50"/>
      <c r="BT485" s="50"/>
      <c r="BU485" s="50"/>
      <c r="BV485" s="50"/>
      <c r="BW485" s="50"/>
      <c r="BX485" s="50"/>
      <c r="BY485" s="50"/>
      <c r="BZ485" s="50"/>
      <c r="CA485" s="50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</row>
    <row r="486">
      <c r="B486" s="18"/>
      <c r="C486" s="23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50"/>
      <c r="BT486" s="50"/>
      <c r="BU486" s="50"/>
      <c r="BV486" s="50"/>
      <c r="BW486" s="50"/>
      <c r="BX486" s="50"/>
      <c r="BY486" s="50"/>
      <c r="BZ486" s="50"/>
      <c r="CA486" s="50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</row>
    <row r="487">
      <c r="B487" s="18"/>
      <c r="C487" s="23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50"/>
      <c r="BT487" s="50"/>
      <c r="BU487" s="50"/>
      <c r="BV487" s="50"/>
      <c r="BW487" s="50"/>
      <c r="BX487" s="50"/>
      <c r="BY487" s="50"/>
      <c r="BZ487" s="50"/>
      <c r="CA487" s="50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</row>
    <row r="488">
      <c r="B488" s="18"/>
      <c r="C488" s="23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50"/>
      <c r="BT488" s="50"/>
      <c r="BU488" s="50"/>
      <c r="BV488" s="50"/>
      <c r="BW488" s="50"/>
      <c r="BX488" s="50"/>
      <c r="BY488" s="50"/>
      <c r="BZ488" s="50"/>
      <c r="CA488" s="50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</row>
    <row r="489">
      <c r="B489" s="18"/>
      <c r="C489" s="23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50"/>
      <c r="BT489" s="50"/>
      <c r="BU489" s="50"/>
      <c r="BV489" s="50"/>
      <c r="BW489" s="50"/>
      <c r="BX489" s="50"/>
      <c r="BY489" s="50"/>
      <c r="BZ489" s="50"/>
      <c r="CA489" s="50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</row>
    <row r="490">
      <c r="B490" s="18"/>
      <c r="C490" s="23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50"/>
      <c r="BT490" s="50"/>
      <c r="BU490" s="50"/>
      <c r="BV490" s="50"/>
      <c r="BW490" s="50"/>
      <c r="BX490" s="50"/>
      <c r="BY490" s="50"/>
      <c r="BZ490" s="50"/>
      <c r="CA490" s="50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</row>
    <row r="491">
      <c r="B491" s="18"/>
      <c r="C491" s="23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50"/>
      <c r="BT491" s="50"/>
      <c r="BU491" s="50"/>
      <c r="BV491" s="50"/>
      <c r="BW491" s="50"/>
      <c r="BX491" s="50"/>
      <c r="BY491" s="50"/>
      <c r="BZ491" s="50"/>
      <c r="CA491" s="50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</row>
    <row r="492">
      <c r="B492" s="18"/>
      <c r="C492" s="23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50"/>
      <c r="BT492" s="50"/>
      <c r="BU492" s="50"/>
      <c r="BV492" s="50"/>
      <c r="BW492" s="50"/>
      <c r="BX492" s="50"/>
      <c r="BY492" s="50"/>
      <c r="BZ492" s="50"/>
      <c r="CA492" s="50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</row>
    <row r="493">
      <c r="B493" s="18"/>
      <c r="C493" s="23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50"/>
      <c r="BT493" s="50"/>
      <c r="BU493" s="50"/>
      <c r="BV493" s="50"/>
      <c r="BW493" s="50"/>
      <c r="BX493" s="50"/>
      <c r="BY493" s="50"/>
      <c r="BZ493" s="50"/>
      <c r="CA493" s="50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</row>
    <row r="494">
      <c r="B494" s="18"/>
      <c r="C494" s="23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50"/>
      <c r="BT494" s="50"/>
      <c r="BU494" s="50"/>
      <c r="BV494" s="50"/>
      <c r="BW494" s="50"/>
      <c r="BX494" s="50"/>
      <c r="BY494" s="50"/>
      <c r="BZ494" s="50"/>
      <c r="CA494" s="50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</row>
    <row r="495">
      <c r="B495" s="18"/>
      <c r="C495" s="23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50"/>
      <c r="BT495" s="50"/>
      <c r="BU495" s="50"/>
      <c r="BV495" s="50"/>
      <c r="BW495" s="50"/>
      <c r="BX495" s="50"/>
      <c r="BY495" s="50"/>
      <c r="BZ495" s="50"/>
      <c r="CA495" s="50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</row>
    <row r="496">
      <c r="B496" s="18"/>
      <c r="C496" s="23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50"/>
      <c r="BT496" s="50"/>
      <c r="BU496" s="50"/>
      <c r="BV496" s="50"/>
      <c r="BW496" s="50"/>
      <c r="BX496" s="50"/>
      <c r="BY496" s="50"/>
      <c r="BZ496" s="50"/>
      <c r="CA496" s="50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</row>
    <row r="497">
      <c r="B497" s="18"/>
      <c r="C497" s="23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50"/>
      <c r="BT497" s="50"/>
      <c r="BU497" s="50"/>
      <c r="BV497" s="50"/>
      <c r="BW497" s="50"/>
      <c r="BX497" s="50"/>
      <c r="BY497" s="50"/>
      <c r="BZ497" s="50"/>
      <c r="CA497" s="50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</row>
    <row r="498">
      <c r="B498" s="18"/>
      <c r="C498" s="23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50"/>
      <c r="BT498" s="50"/>
      <c r="BU498" s="50"/>
      <c r="BV498" s="50"/>
      <c r="BW498" s="50"/>
      <c r="BX498" s="50"/>
      <c r="BY498" s="50"/>
      <c r="BZ498" s="50"/>
      <c r="CA498" s="50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</row>
    <row r="499">
      <c r="B499" s="18"/>
      <c r="C499" s="23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50"/>
      <c r="BT499" s="50"/>
      <c r="BU499" s="50"/>
      <c r="BV499" s="50"/>
      <c r="BW499" s="50"/>
      <c r="BX499" s="50"/>
      <c r="BY499" s="50"/>
      <c r="BZ499" s="50"/>
      <c r="CA499" s="50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</row>
    <row r="500">
      <c r="B500" s="18"/>
      <c r="C500" s="23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50"/>
      <c r="BT500" s="50"/>
      <c r="BU500" s="50"/>
      <c r="BV500" s="50"/>
      <c r="BW500" s="50"/>
      <c r="BX500" s="50"/>
      <c r="BY500" s="50"/>
      <c r="BZ500" s="50"/>
      <c r="CA500" s="50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</row>
    <row r="501">
      <c r="B501" s="18"/>
      <c r="C501" s="23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50"/>
      <c r="BT501" s="50"/>
      <c r="BU501" s="50"/>
      <c r="BV501" s="50"/>
      <c r="BW501" s="50"/>
      <c r="BX501" s="50"/>
      <c r="BY501" s="50"/>
      <c r="BZ501" s="50"/>
      <c r="CA501" s="50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</row>
    <row r="502">
      <c r="B502" s="18"/>
      <c r="C502" s="23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50"/>
      <c r="BT502" s="50"/>
      <c r="BU502" s="50"/>
      <c r="BV502" s="50"/>
      <c r="BW502" s="50"/>
      <c r="BX502" s="50"/>
      <c r="BY502" s="50"/>
      <c r="BZ502" s="50"/>
      <c r="CA502" s="50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</row>
    <row r="503">
      <c r="B503" s="18"/>
      <c r="C503" s="23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50"/>
      <c r="BT503" s="50"/>
      <c r="BU503" s="50"/>
      <c r="BV503" s="50"/>
      <c r="BW503" s="50"/>
      <c r="BX503" s="50"/>
      <c r="BY503" s="50"/>
      <c r="BZ503" s="50"/>
      <c r="CA503" s="50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</row>
    <row r="504">
      <c r="B504" s="18"/>
      <c r="C504" s="23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50"/>
      <c r="BT504" s="50"/>
      <c r="BU504" s="50"/>
      <c r="BV504" s="50"/>
      <c r="BW504" s="50"/>
      <c r="BX504" s="50"/>
      <c r="BY504" s="50"/>
      <c r="BZ504" s="50"/>
      <c r="CA504" s="50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</row>
    <row r="505">
      <c r="B505" s="18"/>
      <c r="C505" s="23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50"/>
      <c r="BT505" s="50"/>
      <c r="BU505" s="50"/>
      <c r="BV505" s="50"/>
      <c r="BW505" s="50"/>
      <c r="BX505" s="50"/>
      <c r="BY505" s="50"/>
      <c r="BZ505" s="50"/>
      <c r="CA505" s="50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</row>
    <row r="506">
      <c r="B506" s="18"/>
      <c r="C506" s="23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50"/>
      <c r="BT506" s="50"/>
      <c r="BU506" s="50"/>
      <c r="BV506" s="50"/>
      <c r="BW506" s="50"/>
      <c r="BX506" s="50"/>
      <c r="BY506" s="50"/>
      <c r="BZ506" s="50"/>
      <c r="CA506" s="50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</row>
    <row r="507">
      <c r="B507" s="18"/>
      <c r="C507" s="23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50"/>
      <c r="BT507" s="50"/>
      <c r="BU507" s="50"/>
      <c r="BV507" s="50"/>
      <c r="BW507" s="50"/>
      <c r="BX507" s="50"/>
      <c r="BY507" s="50"/>
      <c r="BZ507" s="50"/>
      <c r="CA507" s="50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</row>
    <row r="508">
      <c r="B508" s="18"/>
      <c r="C508" s="23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50"/>
      <c r="BT508" s="50"/>
      <c r="BU508" s="50"/>
      <c r="BV508" s="50"/>
      <c r="BW508" s="50"/>
      <c r="BX508" s="50"/>
      <c r="BY508" s="50"/>
      <c r="BZ508" s="50"/>
      <c r="CA508" s="50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</row>
    <row r="509">
      <c r="B509" s="18"/>
      <c r="C509" s="23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50"/>
      <c r="BT509" s="50"/>
      <c r="BU509" s="50"/>
      <c r="BV509" s="50"/>
      <c r="BW509" s="50"/>
      <c r="BX509" s="50"/>
      <c r="BY509" s="50"/>
      <c r="BZ509" s="50"/>
      <c r="CA509" s="50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</row>
    <row r="510">
      <c r="B510" s="18"/>
      <c r="C510" s="23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50"/>
      <c r="BT510" s="50"/>
      <c r="BU510" s="50"/>
      <c r="BV510" s="50"/>
      <c r="BW510" s="50"/>
      <c r="BX510" s="50"/>
      <c r="BY510" s="50"/>
      <c r="BZ510" s="50"/>
      <c r="CA510" s="50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</row>
    <row r="511">
      <c r="B511" s="18"/>
      <c r="C511" s="23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50"/>
      <c r="BT511" s="50"/>
      <c r="BU511" s="50"/>
      <c r="BV511" s="50"/>
      <c r="BW511" s="50"/>
      <c r="BX511" s="50"/>
      <c r="BY511" s="50"/>
      <c r="BZ511" s="50"/>
      <c r="CA511" s="50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</row>
    <row r="512">
      <c r="B512" s="18"/>
      <c r="C512" s="23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50"/>
      <c r="BT512" s="50"/>
      <c r="BU512" s="50"/>
      <c r="BV512" s="50"/>
      <c r="BW512" s="50"/>
      <c r="BX512" s="50"/>
      <c r="BY512" s="50"/>
      <c r="BZ512" s="50"/>
      <c r="CA512" s="50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</row>
    <row r="513">
      <c r="B513" s="18"/>
      <c r="C513" s="23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50"/>
      <c r="BT513" s="50"/>
      <c r="BU513" s="50"/>
      <c r="BV513" s="50"/>
      <c r="BW513" s="50"/>
      <c r="BX513" s="50"/>
      <c r="BY513" s="50"/>
      <c r="BZ513" s="50"/>
      <c r="CA513" s="50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</row>
    <row r="514">
      <c r="B514" s="18"/>
      <c r="C514" s="23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50"/>
      <c r="BT514" s="50"/>
      <c r="BU514" s="50"/>
      <c r="BV514" s="50"/>
      <c r="BW514" s="50"/>
      <c r="BX514" s="50"/>
      <c r="BY514" s="50"/>
      <c r="BZ514" s="50"/>
      <c r="CA514" s="50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</row>
    <row r="515">
      <c r="B515" s="18"/>
      <c r="C515" s="23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50"/>
      <c r="BT515" s="50"/>
      <c r="BU515" s="50"/>
      <c r="BV515" s="50"/>
      <c r="BW515" s="50"/>
      <c r="BX515" s="50"/>
      <c r="BY515" s="50"/>
      <c r="BZ515" s="50"/>
      <c r="CA515" s="50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</row>
    <row r="516">
      <c r="B516" s="18"/>
      <c r="C516" s="23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50"/>
      <c r="BT516" s="50"/>
      <c r="BU516" s="50"/>
      <c r="BV516" s="50"/>
      <c r="BW516" s="50"/>
      <c r="BX516" s="50"/>
      <c r="BY516" s="50"/>
      <c r="BZ516" s="50"/>
      <c r="CA516" s="50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</row>
    <row r="517">
      <c r="B517" s="18"/>
      <c r="C517" s="23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50"/>
      <c r="BT517" s="50"/>
      <c r="BU517" s="50"/>
      <c r="BV517" s="50"/>
      <c r="BW517" s="50"/>
      <c r="BX517" s="50"/>
      <c r="BY517" s="50"/>
      <c r="BZ517" s="50"/>
      <c r="CA517" s="50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</row>
    <row r="518">
      <c r="B518" s="18"/>
      <c r="C518" s="23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50"/>
      <c r="BT518" s="50"/>
      <c r="BU518" s="50"/>
      <c r="BV518" s="50"/>
      <c r="BW518" s="50"/>
      <c r="BX518" s="50"/>
      <c r="BY518" s="50"/>
      <c r="BZ518" s="50"/>
      <c r="CA518" s="50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</row>
    <row r="519">
      <c r="B519" s="18"/>
      <c r="C519" s="23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50"/>
      <c r="BT519" s="50"/>
      <c r="BU519" s="50"/>
      <c r="BV519" s="50"/>
      <c r="BW519" s="50"/>
      <c r="BX519" s="50"/>
      <c r="BY519" s="50"/>
      <c r="BZ519" s="50"/>
      <c r="CA519" s="50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</row>
    <row r="520">
      <c r="B520" s="18"/>
      <c r="C520" s="23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50"/>
      <c r="BT520" s="50"/>
      <c r="BU520" s="50"/>
      <c r="BV520" s="50"/>
      <c r="BW520" s="50"/>
      <c r="BX520" s="50"/>
      <c r="BY520" s="50"/>
      <c r="BZ520" s="50"/>
      <c r="CA520" s="50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</row>
    <row r="521">
      <c r="B521" s="18"/>
      <c r="C521" s="23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50"/>
      <c r="BT521" s="50"/>
      <c r="BU521" s="50"/>
      <c r="BV521" s="50"/>
      <c r="BW521" s="50"/>
      <c r="BX521" s="50"/>
      <c r="BY521" s="50"/>
      <c r="BZ521" s="50"/>
      <c r="CA521" s="50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</row>
    <row r="522">
      <c r="B522" s="18"/>
      <c r="C522" s="23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50"/>
      <c r="BT522" s="50"/>
      <c r="BU522" s="50"/>
      <c r="BV522" s="50"/>
      <c r="BW522" s="50"/>
      <c r="BX522" s="50"/>
      <c r="BY522" s="50"/>
      <c r="BZ522" s="50"/>
      <c r="CA522" s="50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</row>
    <row r="523">
      <c r="B523" s="18"/>
      <c r="C523" s="23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50"/>
      <c r="BT523" s="50"/>
      <c r="BU523" s="50"/>
      <c r="BV523" s="50"/>
      <c r="BW523" s="50"/>
      <c r="BX523" s="50"/>
      <c r="BY523" s="50"/>
      <c r="BZ523" s="50"/>
      <c r="CA523" s="50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</row>
    <row r="524">
      <c r="B524" s="18"/>
      <c r="C524" s="23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50"/>
      <c r="BT524" s="50"/>
      <c r="BU524" s="50"/>
      <c r="BV524" s="50"/>
      <c r="BW524" s="50"/>
      <c r="BX524" s="50"/>
      <c r="BY524" s="50"/>
      <c r="BZ524" s="50"/>
      <c r="CA524" s="50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</row>
    <row r="525">
      <c r="B525" s="18"/>
      <c r="C525" s="23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50"/>
      <c r="BT525" s="50"/>
      <c r="BU525" s="50"/>
      <c r="BV525" s="50"/>
      <c r="BW525" s="50"/>
      <c r="BX525" s="50"/>
      <c r="BY525" s="50"/>
      <c r="BZ525" s="50"/>
      <c r="CA525" s="50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</row>
    <row r="526">
      <c r="B526" s="18"/>
      <c r="C526" s="23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50"/>
      <c r="BT526" s="50"/>
      <c r="BU526" s="50"/>
      <c r="BV526" s="50"/>
      <c r="BW526" s="50"/>
      <c r="BX526" s="50"/>
      <c r="BY526" s="50"/>
      <c r="BZ526" s="50"/>
      <c r="CA526" s="50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</row>
    <row r="527">
      <c r="B527" s="18"/>
      <c r="C527" s="23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50"/>
      <c r="BT527" s="50"/>
      <c r="BU527" s="50"/>
      <c r="BV527" s="50"/>
      <c r="BW527" s="50"/>
      <c r="BX527" s="50"/>
      <c r="BY527" s="50"/>
      <c r="BZ527" s="50"/>
      <c r="CA527" s="50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</row>
    <row r="528">
      <c r="B528" s="18"/>
      <c r="C528" s="23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50"/>
      <c r="BT528" s="50"/>
      <c r="BU528" s="50"/>
      <c r="BV528" s="50"/>
      <c r="BW528" s="50"/>
      <c r="BX528" s="50"/>
      <c r="BY528" s="50"/>
      <c r="BZ528" s="50"/>
      <c r="CA528" s="50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</row>
    <row r="529">
      <c r="B529" s="18"/>
      <c r="C529" s="23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50"/>
      <c r="BT529" s="50"/>
      <c r="BU529" s="50"/>
      <c r="BV529" s="50"/>
      <c r="BW529" s="50"/>
      <c r="BX529" s="50"/>
      <c r="BY529" s="50"/>
      <c r="BZ529" s="50"/>
      <c r="CA529" s="50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</row>
    <row r="530">
      <c r="B530" s="18"/>
      <c r="C530" s="23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50"/>
      <c r="BT530" s="50"/>
      <c r="BU530" s="50"/>
      <c r="BV530" s="50"/>
      <c r="BW530" s="50"/>
      <c r="BX530" s="50"/>
      <c r="BY530" s="50"/>
      <c r="BZ530" s="50"/>
      <c r="CA530" s="50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</row>
    <row r="531">
      <c r="B531" s="18"/>
      <c r="C531" s="23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50"/>
      <c r="BT531" s="50"/>
      <c r="BU531" s="50"/>
      <c r="BV531" s="50"/>
      <c r="BW531" s="50"/>
      <c r="BX531" s="50"/>
      <c r="BY531" s="50"/>
      <c r="BZ531" s="50"/>
      <c r="CA531" s="50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</row>
    <row r="532">
      <c r="B532" s="18"/>
      <c r="C532" s="23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50"/>
      <c r="BT532" s="50"/>
      <c r="BU532" s="50"/>
      <c r="BV532" s="50"/>
      <c r="BW532" s="50"/>
      <c r="BX532" s="50"/>
      <c r="BY532" s="50"/>
      <c r="BZ532" s="50"/>
      <c r="CA532" s="50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</row>
    <row r="533">
      <c r="B533" s="18"/>
      <c r="C533" s="23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50"/>
      <c r="BT533" s="50"/>
      <c r="BU533" s="50"/>
      <c r="BV533" s="50"/>
      <c r="BW533" s="50"/>
      <c r="BX533" s="50"/>
      <c r="BY533" s="50"/>
      <c r="BZ533" s="50"/>
      <c r="CA533" s="50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</row>
    <row r="534">
      <c r="B534" s="18"/>
      <c r="C534" s="23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50"/>
      <c r="BT534" s="50"/>
      <c r="BU534" s="50"/>
      <c r="BV534" s="50"/>
      <c r="BW534" s="50"/>
      <c r="BX534" s="50"/>
      <c r="BY534" s="50"/>
      <c r="BZ534" s="50"/>
      <c r="CA534" s="50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</row>
    <row r="535">
      <c r="B535" s="18"/>
      <c r="C535" s="23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50"/>
      <c r="BT535" s="50"/>
      <c r="BU535" s="50"/>
      <c r="BV535" s="50"/>
      <c r="BW535" s="50"/>
      <c r="BX535" s="50"/>
      <c r="BY535" s="50"/>
      <c r="BZ535" s="50"/>
      <c r="CA535" s="50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</row>
    <row r="536">
      <c r="B536" s="18"/>
      <c r="C536" s="23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50"/>
      <c r="BT536" s="50"/>
      <c r="BU536" s="50"/>
      <c r="BV536" s="50"/>
      <c r="BW536" s="50"/>
      <c r="BX536" s="50"/>
      <c r="BY536" s="50"/>
      <c r="BZ536" s="50"/>
      <c r="CA536" s="50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</row>
    <row r="537">
      <c r="B537" s="18"/>
      <c r="C537" s="23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50"/>
      <c r="BT537" s="50"/>
      <c r="BU537" s="50"/>
      <c r="BV537" s="50"/>
      <c r="BW537" s="50"/>
      <c r="BX537" s="50"/>
      <c r="BY537" s="50"/>
      <c r="BZ537" s="50"/>
      <c r="CA537" s="50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</row>
    <row r="538">
      <c r="B538" s="18"/>
      <c r="C538" s="23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50"/>
      <c r="BT538" s="50"/>
      <c r="BU538" s="50"/>
      <c r="BV538" s="50"/>
      <c r="BW538" s="50"/>
      <c r="BX538" s="50"/>
      <c r="BY538" s="50"/>
      <c r="BZ538" s="50"/>
      <c r="CA538" s="50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</row>
    <row r="539">
      <c r="B539" s="18"/>
      <c r="C539" s="23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50"/>
      <c r="BT539" s="50"/>
      <c r="BU539" s="50"/>
      <c r="BV539" s="50"/>
      <c r="BW539" s="50"/>
      <c r="BX539" s="50"/>
      <c r="BY539" s="50"/>
      <c r="BZ539" s="50"/>
      <c r="CA539" s="50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</row>
    <row r="540">
      <c r="B540" s="18"/>
      <c r="C540" s="23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50"/>
      <c r="BT540" s="50"/>
      <c r="BU540" s="50"/>
      <c r="BV540" s="50"/>
      <c r="BW540" s="50"/>
      <c r="BX540" s="50"/>
      <c r="BY540" s="50"/>
      <c r="BZ540" s="50"/>
      <c r="CA540" s="50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</row>
    <row r="541">
      <c r="B541" s="18"/>
      <c r="C541" s="23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50"/>
      <c r="BT541" s="50"/>
      <c r="BU541" s="50"/>
      <c r="BV541" s="50"/>
      <c r="BW541" s="50"/>
      <c r="BX541" s="50"/>
      <c r="BY541" s="50"/>
      <c r="BZ541" s="50"/>
      <c r="CA541" s="50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</row>
    <row r="542">
      <c r="B542" s="18"/>
      <c r="C542" s="23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50"/>
      <c r="BT542" s="50"/>
      <c r="BU542" s="50"/>
      <c r="BV542" s="50"/>
      <c r="BW542" s="50"/>
      <c r="BX542" s="50"/>
      <c r="BY542" s="50"/>
      <c r="BZ542" s="50"/>
      <c r="CA542" s="50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</row>
    <row r="543">
      <c r="B543" s="18"/>
      <c r="C543" s="23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50"/>
      <c r="BT543" s="50"/>
      <c r="BU543" s="50"/>
      <c r="BV543" s="50"/>
      <c r="BW543" s="50"/>
      <c r="BX543" s="50"/>
      <c r="BY543" s="50"/>
      <c r="BZ543" s="50"/>
      <c r="CA543" s="50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</row>
    <row r="544">
      <c r="B544" s="18"/>
      <c r="C544" s="23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50"/>
      <c r="BT544" s="50"/>
      <c r="BU544" s="50"/>
      <c r="BV544" s="50"/>
      <c r="BW544" s="50"/>
      <c r="BX544" s="50"/>
      <c r="BY544" s="50"/>
      <c r="BZ544" s="50"/>
      <c r="CA544" s="50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</row>
    <row r="545">
      <c r="B545" s="18"/>
      <c r="C545" s="23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50"/>
      <c r="BT545" s="50"/>
      <c r="BU545" s="50"/>
      <c r="BV545" s="50"/>
      <c r="BW545" s="50"/>
      <c r="BX545" s="50"/>
      <c r="BY545" s="50"/>
      <c r="BZ545" s="50"/>
      <c r="CA545" s="50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</row>
    <row r="546">
      <c r="B546" s="18"/>
      <c r="C546" s="23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50"/>
      <c r="BT546" s="50"/>
      <c r="BU546" s="50"/>
      <c r="BV546" s="50"/>
      <c r="BW546" s="50"/>
      <c r="BX546" s="50"/>
      <c r="BY546" s="50"/>
      <c r="BZ546" s="50"/>
      <c r="CA546" s="50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</row>
    <row r="547">
      <c r="B547" s="18"/>
      <c r="C547" s="23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50"/>
      <c r="BT547" s="50"/>
      <c r="BU547" s="50"/>
      <c r="BV547" s="50"/>
      <c r="BW547" s="50"/>
      <c r="BX547" s="50"/>
      <c r="BY547" s="50"/>
      <c r="BZ547" s="50"/>
      <c r="CA547" s="50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</row>
    <row r="548">
      <c r="B548" s="18"/>
      <c r="C548" s="23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50"/>
      <c r="BT548" s="50"/>
      <c r="BU548" s="50"/>
      <c r="BV548" s="50"/>
      <c r="BW548" s="50"/>
      <c r="BX548" s="50"/>
      <c r="BY548" s="50"/>
      <c r="BZ548" s="50"/>
      <c r="CA548" s="50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</row>
    <row r="549">
      <c r="B549" s="18"/>
      <c r="C549" s="23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50"/>
      <c r="BT549" s="50"/>
      <c r="BU549" s="50"/>
      <c r="BV549" s="50"/>
      <c r="BW549" s="50"/>
      <c r="BX549" s="50"/>
      <c r="BY549" s="50"/>
      <c r="BZ549" s="50"/>
      <c r="CA549" s="50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</row>
    <row r="550">
      <c r="B550" s="18"/>
      <c r="C550" s="23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50"/>
      <c r="BT550" s="50"/>
      <c r="BU550" s="50"/>
      <c r="BV550" s="50"/>
      <c r="BW550" s="50"/>
      <c r="BX550" s="50"/>
      <c r="BY550" s="50"/>
      <c r="BZ550" s="50"/>
      <c r="CA550" s="50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</row>
    <row r="551">
      <c r="B551" s="18"/>
      <c r="C551" s="23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50"/>
      <c r="BT551" s="50"/>
      <c r="BU551" s="50"/>
      <c r="BV551" s="50"/>
      <c r="BW551" s="50"/>
      <c r="BX551" s="50"/>
      <c r="BY551" s="50"/>
      <c r="BZ551" s="50"/>
      <c r="CA551" s="50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</row>
    <row r="552">
      <c r="B552" s="18"/>
      <c r="C552" s="23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50"/>
      <c r="BT552" s="50"/>
      <c r="BU552" s="50"/>
      <c r="BV552" s="50"/>
      <c r="BW552" s="50"/>
      <c r="BX552" s="50"/>
      <c r="BY552" s="50"/>
      <c r="BZ552" s="50"/>
      <c r="CA552" s="50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</row>
    <row r="553">
      <c r="B553" s="18"/>
      <c r="C553" s="23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50"/>
      <c r="BT553" s="50"/>
      <c r="BU553" s="50"/>
      <c r="BV553" s="50"/>
      <c r="BW553" s="50"/>
      <c r="BX553" s="50"/>
      <c r="BY553" s="50"/>
      <c r="BZ553" s="50"/>
      <c r="CA553" s="50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</row>
    <row r="554">
      <c r="B554" s="18"/>
      <c r="C554" s="23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50"/>
      <c r="BT554" s="50"/>
      <c r="BU554" s="50"/>
      <c r="BV554" s="50"/>
      <c r="BW554" s="50"/>
      <c r="BX554" s="50"/>
      <c r="BY554" s="50"/>
      <c r="BZ554" s="50"/>
      <c r="CA554" s="50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</row>
    <row r="555">
      <c r="B555" s="18"/>
      <c r="C555" s="23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50"/>
      <c r="BT555" s="50"/>
      <c r="BU555" s="50"/>
      <c r="BV555" s="50"/>
      <c r="BW555" s="50"/>
      <c r="BX555" s="50"/>
      <c r="BY555" s="50"/>
      <c r="BZ555" s="50"/>
      <c r="CA555" s="50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</row>
    <row r="556">
      <c r="B556" s="18"/>
      <c r="C556" s="23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50"/>
      <c r="BT556" s="50"/>
      <c r="BU556" s="50"/>
      <c r="BV556" s="50"/>
      <c r="BW556" s="50"/>
      <c r="BX556" s="50"/>
      <c r="BY556" s="50"/>
      <c r="BZ556" s="50"/>
      <c r="CA556" s="50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</row>
    <row r="557">
      <c r="B557" s="18"/>
      <c r="C557" s="23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50"/>
      <c r="BT557" s="50"/>
      <c r="BU557" s="50"/>
      <c r="BV557" s="50"/>
      <c r="BW557" s="50"/>
      <c r="BX557" s="50"/>
      <c r="BY557" s="50"/>
      <c r="BZ557" s="50"/>
      <c r="CA557" s="50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</row>
    <row r="558">
      <c r="B558" s="18"/>
      <c r="C558" s="23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50"/>
      <c r="BT558" s="50"/>
      <c r="BU558" s="50"/>
      <c r="BV558" s="50"/>
      <c r="BW558" s="50"/>
      <c r="BX558" s="50"/>
      <c r="BY558" s="50"/>
      <c r="BZ558" s="50"/>
      <c r="CA558" s="50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</row>
    <row r="559">
      <c r="B559" s="18"/>
      <c r="C559" s="23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50"/>
      <c r="BT559" s="50"/>
      <c r="BU559" s="50"/>
      <c r="BV559" s="50"/>
      <c r="BW559" s="50"/>
      <c r="BX559" s="50"/>
      <c r="BY559" s="50"/>
      <c r="BZ559" s="50"/>
      <c r="CA559" s="50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</row>
    <row r="560">
      <c r="B560" s="18"/>
      <c r="C560" s="23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50"/>
      <c r="BT560" s="50"/>
      <c r="BU560" s="50"/>
      <c r="BV560" s="50"/>
      <c r="BW560" s="50"/>
      <c r="BX560" s="50"/>
      <c r="BY560" s="50"/>
      <c r="BZ560" s="50"/>
      <c r="CA560" s="50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</row>
    <row r="561">
      <c r="B561" s="18"/>
      <c r="C561" s="23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50"/>
      <c r="BT561" s="50"/>
      <c r="BU561" s="50"/>
      <c r="BV561" s="50"/>
      <c r="BW561" s="50"/>
      <c r="BX561" s="50"/>
      <c r="BY561" s="50"/>
      <c r="BZ561" s="50"/>
      <c r="CA561" s="50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</row>
    <row r="562">
      <c r="B562" s="18"/>
      <c r="C562" s="23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50"/>
      <c r="BT562" s="50"/>
      <c r="BU562" s="50"/>
      <c r="BV562" s="50"/>
      <c r="BW562" s="50"/>
      <c r="BX562" s="50"/>
      <c r="BY562" s="50"/>
      <c r="BZ562" s="50"/>
      <c r="CA562" s="50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</row>
    <row r="563">
      <c r="B563" s="18"/>
      <c r="C563" s="23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50"/>
      <c r="BT563" s="50"/>
      <c r="BU563" s="50"/>
      <c r="BV563" s="50"/>
      <c r="BW563" s="50"/>
      <c r="BX563" s="50"/>
      <c r="BY563" s="50"/>
      <c r="BZ563" s="50"/>
      <c r="CA563" s="50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</row>
    <row r="564">
      <c r="B564" s="18"/>
      <c r="C564" s="23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50"/>
      <c r="BT564" s="50"/>
      <c r="BU564" s="50"/>
      <c r="BV564" s="50"/>
      <c r="BW564" s="50"/>
      <c r="BX564" s="50"/>
      <c r="BY564" s="50"/>
      <c r="BZ564" s="50"/>
      <c r="CA564" s="50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</row>
    <row r="565">
      <c r="B565" s="18"/>
      <c r="C565" s="23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50"/>
      <c r="BT565" s="50"/>
      <c r="BU565" s="50"/>
      <c r="BV565" s="50"/>
      <c r="BW565" s="50"/>
      <c r="BX565" s="50"/>
      <c r="BY565" s="50"/>
      <c r="BZ565" s="50"/>
      <c r="CA565" s="50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</row>
    <row r="566">
      <c r="B566" s="18"/>
      <c r="C566" s="23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50"/>
      <c r="BT566" s="50"/>
      <c r="BU566" s="50"/>
      <c r="BV566" s="50"/>
      <c r="BW566" s="50"/>
      <c r="BX566" s="50"/>
      <c r="BY566" s="50"/>
      <c r="BZ566" s="50"/>
      <c r="CA566" s="50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</row>
    <row r="567">
      <c r="B567" s="18"/>
      <c r="C567" s="23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50"/>
      <c r="BT567" s="50"/>
      <c r="BU567" s="50"/>
      <c r="BV567" s="50"/>
      <c r="BW567" s="50"/>
      <c r="BX567" s="50"/>
      <c r="BY567" s="50"/>
      <c r="BZ567" s="50"/>
      <c r="CA567" s="50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</row>
    <row r="568">
      <c r="B568" s="18"/>
      <c r="C568" s="23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50"/>
      <c r="BT568" s="50"/>
      <c r="BU568" s="50"/>
      <c r="BV568" s="50"/>
      <c r="BW568" s="50"/>
      <c r="BX568" s="50"/>
      <c r="BY568" s="50"/>
      <c r="BZ568" s="50"/>
      <c r="CA568" s="50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</row>
    <row r="569">
      <c r="B569" s="18"/>
      <c r="C569" s="23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50"/>
      <c r="BT569" s="50"/>
      <c r="BU569" s="50"/>
      <c r="BV569" s="50"/>
      <c r="BW569" s="50"/>
      <c r="BX569" s="50"/>
      <c r="BY569" s="50"/>
      <c r="BZ569" s="50"/>
      <c r="CA569" s="50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</row>
    <row r="570">
      <c r="B570" s="18"/>
      <c r="C570" s="23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50"/>
      <c r="BT570" s="50"/>
      <c r="BU570" s="50"/>
      <c r="BV570" s="50"/>
      <c r="BW570" s="50"/>
      <c r="BX570" s="50"/>
      <c r="BY570" s="50"/>
      <c r="BZ570" s="50"/>
      <c r="CA570" s="50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</row>
    <row r="571">
      <c r="B571" s="18"/>
      <c r="C571" s="23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50"/>
      <c r="BT571" s="50"/>
      <c r="BU571" s="50"/>
      <c r="BV571" s="50"/>
      <c r="BW571" s="50"/>
      <c r="BX571" s="50"/>
      <c r="BY571" s="50"/>
      <c r="BZ571" s="50"/>
      <c r="CA571" s="50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</row>
    <row r="572">
      <c r="B572" s="18"/>
      <c r="C572" s="23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50"/>
      <c r="BT572" s="50"/>
      <c r="BU572" s="50"/>
      <c r="BV572" s="50"/>
      <c r="BW572" s="50"/>
      <c r="BX572" s="50"/>
      <c r="BY572" s="50"/>
      <c r="BZ572" s="50"/>
      <c r="CA572" s="50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</row>
    <row r="573">
      <c r="B573" s="18"/>
      <c r="C573" s="23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50"/>
      <c r="BT573" s="50"/>
      <c r="BU573" s="50"/>
      <c r="BV573" s="50"/>
      <c r="BW573" s="50"/>
      <c r="BX573" s="50"/>
      <c r="BY573" s="50"/>
      <c r="BZ573" s="50"/>
      <c r="CA573" s="50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</row>
    <row r="574">
      <c r="B574" s="18"/>
      <c r="C574" s="23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50"/>
      <c r="BT574" s="50"/>
      <c r="BU574" s="50"/>
      <c r="BV574" s="50"/>
      <c r="BW574" s="50"/>
      <c r="BX574" s="50"/>
      <c r="BY574" s="50"/>
      <c r="BZ574" s="50"/>
      <c r="CA574" s="50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</row>
    <row r="575">
      <c r="B575" s="18"/>
      <c r="C575" s="23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50"/>
      <c r="BT575" s="50"/>
      <c r="BU575" s="50"/>
      <c r="BV575" s="50"/>
      <c r="BW575" s="50"/>
      <c r="BX575" s="50"/>
      <c r="BY575" s="50"/>
      <c r="BZ575" s="50"/>
      <c r="CA575" s="50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</row>
    <row r="576">
      <c r="B576" s="18"/>
      <c r="C576" s="23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50"/>
      <c r="BT576" s="50"/>
      <c r="BU576" s="50"/>
      <c r="BV576" s="50"/>
      <c r="BW576" s="50"/>
      <c r="BX576" s="50"/>
      <c r="BY576" s="50"/>
      <c r="BZ576" s="50"/>
      <c r="CA576" s="50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</row>
    <row r="577">
      <c r="B577" s="18"/>
      <c r="C577" s="23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50"/>
      <c r="BT577" s="50"/>
      <c r="BU577" s="50"/>
      <c r="BV577" s="50"/>
      <c r="BW577" s="50"/>
      <c r="BX577" s="50"/>
      <c r="BY577" s="50"/>
      <c r="BZ577" s="50"/>
      <c r="CA577" s="50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</row>
    <row r="578">
      <c r="B578" s="18"/>
      <c r="C578" s="23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50"/>
      <c r="BT578" s="50"/>
      <c r="BU578" s="50"/>
      <c r="BV578" s="50"/>
      <c r="BW578" s="50"/>
      <c r="BX578" s="50"/>
      <c r="BY578" s="50"/>
      <c r="BZ578" s="50"/>
      <c r="CA578" s="50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</row>
    <row r="579">
      <c r="B579" s="18"/>
      <c r="C579" s="23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50"/>
      <c r="BT579" s="50"/>
      <c r="BU579" s="50"/>
      <c r="BV579" s="50"/>
      <c r="BW579" s="50"/>
      <c r="BX579" s="50"/>
      <c r="BY579" s="50"/>
      <c r="BZ579" s="50"/>
      <c r="CA579" s="50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</row>
    <row r="580">
      <c r="B580" s="18"/>
      <c r="C580" s="23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50"/>
      <c r="BT580" s="50"/>
      <c r="BU580" s="50"/>
      <c r="BV580" s="50"/>
      <c r="BW580" s="50"/>
      <c r="BX580" s="50"/>
      <c r="BY580" s="50"/>
      <c r="BZ580" s="50"/>
      <c r="CA580" s="50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</row>
    <row r="581">
      <c r="B581" s="18"/>
      <c r="C581" s="23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50"/>
      <c r="BT581" s="50"/>
      <c r="BU581" s="50"/>
      <c r="BV581" s="50"/>
      <c r="BW581" s="50"/>
      <c r="BX581" s="50"/>
      <c r="BY581" s="50"/>
      <c r="BZ581" s="50"/>
      <c r="CA581" s="50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</row>
    <row r="582">
      <c r="B582" s="18"/>
      <c r="C582" s="23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50"/>
      <c r="BT582" s="50"/>
      <c r="BU582" s="50"/>
      <c r="BV582" s="50"/>
      <c r="BW582" s="50"/>
      <c r="BX582" s="50"/>
      <c r="BY582" s="50"/>
      <c r="BZ582" s="50"/>
      <c r="CA582" s="50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</row>
    <row r="583">
      <c r="B583" s="18"/>
      <c r="C583" s="23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50"/>
      <c r="BT583" s="50"/>
      <c r="BU583" s="50"/>
      <c r="BV583" s="50"/>
      <c r="BW583" s="50"/>
      <c r="BX583" s="50"/>
      <c r="BY583" s="50"/>
      <c r="BZ583" s="50"/>
      <c r="CA583" s="50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</row>
    <row r="584">
      <c r="B584" s="18"/>
      <c r="C584" s="23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50"/>
      <c r="BT584" s="50"/>
      <c r="BU584" s="50"/>
      <c r="BV584" s="50"/>
      <c r="BW584" s="50"/>
      <c r="BX584" s="50"/>
      <c r="BY584" s="50"/>
      <c r="BZ584" s="50"/>
      <c r="CA584" s="50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</row>
    <row r="585">
      <c r="B585" s="18"/>
      <c r="C585" s="23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50"/>
      <c r="BT585" s="50"/>
      <c r="BU585" s="50"/>
      <c r="BV585" s="50"/>
      <c r="BW585" s="50"/>
      <c r="BX585" s="50"/>
      <c r="BY585" s="50"/>
      <c r="BZ585" s="50"/>
      <c r="CA585" s="50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</row>
    <row r="586">
      <c r="B586" s="18"/>
      <c r="C586" s="23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50"/>
      <c r="BT586" s="50"/>
      <c r="BU586" s="50"/>
      <c r="BV586" s="50"/>
      <c r="BW586" s="50"/>
      <c r="BX586" s="50"/>
      <c r="BY586" s="50"/>
      <c r="BZ586" s="50"/>
      <c r="CA586" s="50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</row>
    <row r="587">
      <c r="B587" s="18"/>
      <c r="C587" s="23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50"/>
      <c r="BT587" s="50"/>
      <c r="BU587" s="50"/>
      <c r="BV587" s="50"/>
      <c r="BW587" s="50"/>
      <c r="BX587" s="50"/>
      <c r="BY587" s="50"/>
      <c r="BZ587" s="50"/>
      <c r="CA587" s="50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</row>
    <row r="588">
      <c r="B588" s="18"/>
      <c r="C588" s="23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50"/>
      <c r="BT588" s="50"/>
      <c r="BU588" s="50"/>
      <c r="BV588" s="50"/>
      <c r="BW588" s="50"/>
      <c r="BX588" s="50"/>
      <c r="BY588" s="50"/>
      <c r="BZ588" s="50"/>
      <c r="CA588" s="50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</row>
    <row r="589">
      <c r="B589" s="18"/>
      <c r="C589" s="23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50"/>
      <c r="BT589" s="50"/>
      <c r="BU589" s="50"/>
      <c r="BV589" s="50"/>
      <c r="BW589" s="50"/>
      <c r="BX589" s="50"/>
      <c r="BY589" s="50"/>
      <c r="BZ589" s="50"/>
      <c r="CA589" s="50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</row>
    <row r="590">
      <c r="B590" s="18"/>
      <c r="C590" s="23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50"/>
      <c r="BT590" s="50"/>
      <c r="BU590" s="50"/>
      <c r="BV590" s="50"/>
      <c r="BW590" s="50"/>
      <c r="BX590" s="50"/>
      <c r="BY590" s="50"/>
      <c r="BZ590" s="50"/>
      <c r="CA590" s="50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</row>
    <row r="591">
      <c r="B591" s="18"/>
      <c r="C591" s="23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50"/>
      <c r="BT591" s="50"/>
      <c r="BU591" s="50"/>
      <c r="BV591" s="50"/>
      <c r="BW591" s="50"/>
      <c r="BX591" s="50"/>
      <c r="BY591" s="50"/>
      <c r="BZ591" s="50"/>
      <c r="CA591" s="50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</row>
    <row r="592">
      <c r="B592" s="18"/>
      <c r="C592" s="23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50"/>
      <c r="BT592" s="50"/>
      <c r="BU592" s="50"/>
      <c r="BV592" s="50"/>
      <c r="BW592" s="50"/>
      <c r="BX592" s="50"/>
      <c r="BY592" s="50"/>
      <c r="BZ592" s="50"/>
      <c r="CA592" s="50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</row>
    <row r="593">
      <c r="B593" s="18"/>
      <c r="C593" s="23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50"/>
      <c r="BT593" s="50"/>
      <c r="BU593" s="50"/>
      <c r="BV593" s="50"/>
      <c r="BW593" s="50"/>
      <c r="BX593" s="50"/>
      <c r="BY593" s="50"/>
      <c r="BZ593" s="50"/>
      <c r="CA593" s="50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</row>
    <row r="594">
      <c r="B594" s="18"/>
      <c r="C594" s="23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50"/>
      <c r="BT594" s="50"/>
      <c r="BU594" s="50"/>
      <c r="BV594" s="50"/>
      <c r="BW594" s="50"/>
      <c r="BX594" s="50"/>
      <c r="BY594" s="50"/>
      <c r="BZ594" s="50"/>
      <c r="CA594" s="50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</row>
    <row r="595">
      <c r="B595" s="18"/>
      <c r="C595" s="23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50"/>
      <c r="BT595" s="50"/>
      <c r="BU595" s="50"/>
      <c r="BV595" s="50"/>
      <c r="BW595" s="50"/>
      <c r="BX595" s="50"/>
      <c r="BY595" s="50"/>
      <c r="BZ595" s="50"/>
      <c r="CA595" s="50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</row>
    <row r="596">
      <c r="B596" s="18"/>
      <c r="C596" s="23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50"/>
      <c r="BT596" s="50"/>
      <c r="BU596" s="50"/>
      <c r="BV596" s="50"/>
      <c r="BW596" s="50"/>
      <c r="BX596" s="50"/>
      <c r="BY596" s="50"/>
      <c r="BZ596" s="50"/>
      <c r="CA596" s="50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</row>
    <row r="597">
      <c r="B597" s="18"/>
      <c r="C597" s="23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50"/>
      <c r="BT597" s="50"/>
      <c r="BU597" s="50"/>
      <c r="BV597" s="50"/>
      <c r="BW597" s="50"/>
      <c r="BX597" s="50"/>
      <c r="BY597" s="50"/>
      <c r="BZ597" s="50"/>
      <c r="CA597" s="50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</row>
    <row r="598">
      <c r="B598" s="18"/>
      <c r="C598" s="23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50"/>
      <c r="BT598" s="50"/>
      <c r="BU598" s="50"/>
      <c r="BV598" s="50"/>
      <c r="BW598" s="50"/>
      <c r="BX598" s="50"/>
      <c r="BY598" s="50"/>
      <c r="BZ598" s="50"/>
      <c r="CA598" s="50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</row>
    <row r="599">
      <c r="B599" s="18"/>
      <c r="C599" s="23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50"/>
      <c r="BT599" s="50"/>
      <c r="BU599" s="50"/>
      <c r="BV599" s="50"/>
      <c r="BW599" s="50"/>
      <c r="BX599" s="50"/>
      <c r="BY599" s="50"/>
      <c r="BZ599" s="50"/>
      <c r="CA599" s="50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</row>
    <row r="600">
      <c r="B600" s="18"/>
      <c r="C600" s="23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50"/>
      <c r="BT600" s="50"/>
      <c r="BU600" s="50"/>
      <c r="BV600" s="50"/>
      <c r="BW600" s="50"/>
      <c r="BX600" s="50"/>
      <c r="BY600" s="50"/>
      <c r="BZ600" s="50"/>
      <c r="CA600" s="50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</row>
    <row r="601">
      <c r="B601" s="18"/>
      <c r="C601" s="23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50"/>
      <c r="BT601" s="50"/>
      <c r="BU601" s="50"/>
      <c r="BV601" s="50"/>
      <c r="BW601" s="50"/>
      <c r="BX601" s="50"/>
      <c r="BY601" s="50"/>
      <c r="BZ601" s="50"/>
      <c r="CA601" s="50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</row>
    <row r="602">
      <c r="B602" s="18"/>
      <c r="C602" s="23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50"/>
      <c r="BT602" s="50"/>
      <c r="BU602" s="50"/>
      <c r="BV602" s="50"/>
      <c r="BW602" s="50"/>
      <c r="BX602" s="50"/>
      <c r="BY602" s="50"/>
      <c r="BZ602" s="50"/>
      <c r="CA602" s="50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</row>
    <row r="603">
      <c r="B603" s="18"/>
      <c r="C603" s="23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50"/>
      <c r="BT603" s="50"/>
      <c r="BU603" s="50"/>
      <c r="BV603" s="50"/>
      <c r="BW603" s="50"/>
      <c r="BX603" s="50"/>
      <c r="BY603" s="50"/>
      <c r="BZ603" s="50"/>
      <c r="CA603" s="50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</row>
    <row r="604">
      <c r="B604" s="18"/>
      <c r="C604" s="23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50"/>
      <c r="BT604" s="50"/>
      <c r="BU604" s="50"/>
      <c r="BV604" s="50"/>
      <c r="BW604" s="50"/>
      <c r="BX604" s="50"/>
      <c r="BY604" s="50"/>
      <c r="BZ604" s="50"/>
      <c r="CA604" s="50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</row>
    <row r="605">
      <c r="B605" s="18"/>
      <c r="C605" s="23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50"/>
      <c r="BT605" s="50"/>
      <c r="BU605" s="50"/>
      <c r="BV605" s="50"/>
      <c r="BW605" s="50"/>
      <c r="BX605" s="50"/>
      <c r="BY605" s="50"/>
      <c r="BZ605" s="50"/>
      <c r="CA605" s="50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</row>
    <row r="606">
      <c r="B606" s="18"/>
      <c r="C606" s="23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50"/>
      <c r="BT606" s="50"/>
      <c r="BU606" s="50"/>
      <c r="BV606" s="50"/>
      <c r="BW606" s="50"/>
      <c r="BX606" s="50"/>
      <c r="BY606" s="50"/>
      <c r="BZ606" s="50"/>
      <c r="CA606" s="50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</row>
    <row r="607">
      <c r="B607" s="18"/>
      <c r="C607" s="23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50"/>
      <c r="BT607" s="50"/>
      <c r="BU607" s="50"/>
      <c r="BV607" s="50"/>
      <c r="BW607" s="50"/>
      <c r="BX607" s="50"/>
      <c r="BY607" s="50"/>
      <c r="BZ607" s="50"/>
      <c r="CA607" s="50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</row>
    <row r="608">
      <c r="B608" s="18"/>
      <c r="C608" s="23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50"/>
      <c r="BT608" s="50"/>
      <c r="BU608" s="50"/>
      <c r="BV608" s="50"/>
      <c r="BW608" s="50"/>
      <c r="BX608" s="50"/>
      <c r="BY608" s="50"/>
      <c r="BZ608" s="50"/>
      <c r="CA608" s="50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</row>
    <row r="609">
      <c r="B609" s="18"/>
      <c r="C609" s="23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50"/>
      <c r="BT609" s="50"/>
      <c r="BU609" s="50"/>
      <c r="BV609" s="50"/>
      <c r="BW609" s="50"/>
      <c r="BX609" s="50"/>
      <c r="BY609" s="50"/>
      <c r="BZ609" s="50"/>
      <c r="CA609" s="50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</row>
    <row r="610">
      <c r="B610" s="18"/>
      <c r="C610" s="23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50"/>
      <c r="BT610" s="50"/>
      <c r="BU610" s="50"/>
      <c r="BV610" s="50"/>
      <c r="BW610" s="50"/>
      <c r="BX610" s="50"/>
      <c r="BY610" s="50"/>
      <c r="BZ610" s="50"/>
      <c r="CA610" s="50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</row>
    <row r="611">
      <c r="B611" s="18"/>
      <c r="C611" s="23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50"/>
      <c r="BT611" s="50"/>
      <c r="BU611" s="50"/>
      <c r="BV611" s="50"/>
      <c r="BW611" s="50"/>
      <c r="BX611" s="50"/>
      <c r="BY611" s="50"/>
      <c r="BZ611" s="50"/>
      <c r="CA611" s="50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</row>
    <row r="612">
      <c r="B612" s="18"/>
      <c r="C612" s="23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50"/>
      <c r="BT612" s="50"/>
      <c r="BU612" s="50"/>
      <c r="BV612" s="50"/>
      <c r="BW612" s="50"/>
      <c r="BX612" s="50"/>
      <c r="BY612" s="50"/>
      <c r="BZ612" s="50"/>
      <c r="CA612" s="50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</row>
    <row r="613">
      <c r="B613" s="18"/>
      <c r="C613" s="23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50"/>
      <c r="BT613" s="50"/>
      <c r="BU613" s="50"/>
      <c r="BV613" s="50"/>
      <c r="BW613" s="50"/>
      <c r="BX613" s="50"/>
      <c r="BY613" s="50"/>
      <c r="BZ613" s="50"/>
      <c r="CA613" s="50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</row>
    <row r="614">
      <c r="B614" s="18"/>
      <c r="C614" s="23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50"/>
      <c r="BT614" s="50"/>
      <c r="BU614" s="50"/>
      <c r="BV614" s="50"/>
      <c r="BW614" s="50"/>
      <c r="BX614" s="50"/>
      <c r="BY614" s="50"/>
      <c r="BZ614" s="50"/>
      <c r="CA614" s="50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</row>
    <row r="615">
      <c r="B615" s="18"/>
      <c r="C615" s="23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50"/>
      <c r="BT615" s="50"/>
      <c r="BU615" s="50"/>
      <c r="BV615" s="50"/>
      <c r="BW615" s="50"/>
      <c r="BX615" s="50"/>
      <c r="BY615" s="50"/>
      <c r="BZ615" s="50"/>
      <c r="CA615" s="50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</row>
    <row r="616">
      <c r="B616" s="18"/>
      <c r="C616" s="23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50"/>
      <c r="BT616" s="50"/>
      <c r="BU616" s="50"/>
      <c r="BV616" s="50"/>
      <c r="BW616" s="50"/>
      <c r="BX616" s="50"/>
      <c r="BY616" s="50"/>
      <c r="BZ616" s="50"/>
      <c r="CA616" s="50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</row>
    <row r="617">
      <c r="B617" s="18"/>
      <c r="C617" s="23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50"/>
      <c r="BT617" s="50"/>
      <c r="BU617" s="50"/>
      <c r="BV617" s="50"/>
      <c r="BW617" s="50"/>
      <c r="BX617" s="50"/>
      <c r="BY617" s="50"/>
      <c r="BZ617" s="50"/>
      <c r="CA617" s="50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</row>
    <row r="618">
      <c r="B618" s="18"/>
      <c r="C618" s="23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50"/>
      <c r="BT618" s="50"/>
      <c r="BU618" s="50"/>
      <c r="BV618" s="50"/>
      <c r="BW618" s="50"/>
      <c r="BX618" s="50"/>
      <c r="BY618" s="50"/>
      <c r="BZ618" s="50"/>
      <c r="CA618" s="50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</row>
    <row r="619">
      <c r="B619" s="18"/>
      <c r="C619" s="23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50"/>
      <c r="BT619" s="50"/>
      <c r="BU619" s="50"/>
      <c r="BV619" s="50"/>
      <c r="BW619" s="50"/>
      <c r="BX619" s="50"/>
      <c r="BY619" s="50"/>
      <c r="BZ619" s="50"/>
      <c r="CA619" s="50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</row>
    <row r="620">
      <c r="B620" s="18"/>
      <c r="C620" s="23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50"/>
      <c r="BT620" s="50"/>
      <c r="BU620" s="50"/>
      <c r="BV620" s="50"/>
      <c r="BW620" s="50"/>
      <c r="BX620" s="50"/>
      <c r="BY620" s="50"/>
      <c r="BZ620" s="50"/>
      <c r="CA620" s="50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</row>
    <row r="621">
      <c r="B621" s="18"/>
      <c r="C621" s="23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50"/>
      <c r="BT621" s="50"/>
      <c r="BU621" s="50"/>
      <c r="BV621" s="50"/>
      <c r="BW621" s="50"/>
      <c r="BX621" s="50"/>
      <c r="BY621" s="50"/>
      <c r="BZ621" s="50"/>
      <c r="CA621" s="50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</row>
    <row r="622">
      <c r="B622" s="18"/>
      <c r="C622" s="23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50"/>
      <c r="BT622" s="50"/>
      <c r="BU622" s="50"/>
      <c r="BV622" s="50"/>
      <c r="BW622" s="50"/>
      <c r="BX622" s="50"/>
      <c r="BY622" s="50"/>
      <c r="BZ622" s="50"/>
      <c r="CA622" s="50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</row>
    <row r="623">
      <c r="B623" s="18"/>
      <c r="C623" s="23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50"/>
      <c r="BT623" s="50"/>
      <c r="BU623" s="50"/>
      <c r="BV623" s="50"/>
      <c r="BW623" s="50"/>
      <c r="BX623" s="50"/>
      <c r="BY623" s="50"/>
      <c r="BZ623" s="50"/>
      <c r="CA623" s="50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</row>
    <row r="624">
      <c r="B624" s="18"/>
      <c r="C624" s="23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50"/>
      <c r="BT624" s="50"/>
      <c r="BU624" s="50"/>
      <c r="BV624" s="50"/>
      <c r="BW624" s="50"/>
      <c r="BX624" s="50"/>
      <c r="BY624" s="50"/>
      <c r="BZ624" s="50"/>
      <c r="CA624" s="50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</row>
    <row r="625">
      <c r="B625" s="18"/>
      <c r="C625" s="23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50"/>
      <c r="BT625" s="50"/>
      <c r="BU625" s="50"/>
      <c r="BV625" s="50"/>
      <c r="BW625" s="50"/>
      <c r="BX625" s="50"/>
      <c r="BY625" s="50"/>
      <c r="BZ625" s="50"/>
      <c r="CA625" s="50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</row>
    <row r="626">
      <c r="B626" s="18"/>
      <c r="C626" s="23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50"/>
      <c r="BT626" s="50"/>
      <c r="BU626" s="50"/>
      <c r="BV626" s="50"/>
      <c r="BW626" s="50"/>
      <c r="BX626" s="50"/>
      <c r="BY626" s="50"/>
      <c r="BZ626" s="50"/>
      <c r="CA626" s="50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</row>
    <row r="627">
      <c r="B627" s="18"/>
      <c r="C627" s="23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50"/>
      <c r="BT627" s="50"/>
      <c r="BU627" s="50"/>
      <c r="BV627" s="50"/>
      <c r="BW627" s="50"/>
      <c r="BX627" s="50"/>
      <c r="BY627" s="50"/>
      <c r="BZ627" s="50"/>
      <c r="CA627" s="50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</row>
    <row r="628">
      <c r="B628" s="18"/>
      <c r="C628" s="23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50"/>
      <c r="BT628" s="50"/>
      <c r="BU628" s="50"/>
      <c r="BV628" s="50"/>
      <c r="BW628" s="50"/>
      <c r="BX628" s="50"/>
      <c r="BY628" s="50"/>
      <c r="BZ628" s="50"/>
      <c r="CA628" s="50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</row>
    <row r="629">
      <c r="B629" s="18"/>
      <c r="C629" s="23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50"/>
      <c r="BT629" s="50"/>
      <c r="BU629" s="50"/>
      <c r="BV629" s="50"/>
      <c r="BW629" s="50"/>
      <c r="BX629" s="50"/>
      <c r="BY629" s="50"/>
      <c r="BZ629" s="50"/>
      <c r="CA629" s="50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</row>
    <row r="630">
      <c r="B630" s="18"/>
      <c r="C630" s="23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50"/>
      <c r="BT630" s="50"/>
      <c r="BU630" s="50"/>
      <c r="BV630" s="50"/>
      <c r="BW630" s="50"/>
      <c r="BX630" s="50"/>
      <c r="BY630" s="50"/>
      <c r="BZ630" s="50"/>
      <c r="CA630" s="50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</row>
    <row r="631">
      <c r="B631" s="18"/>
      <c r="C631" s="23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50"/>
      <c r="BT631" s="50"/>
      <c r="BU631" s="50"/>
      <c r="BV631" s="50"/>
      <c r="BW631" s="50"/>
      <c r="BX631" s="50"/>
      <c r="BY631" s="50"/>
      <c r="BZ631" s="50"/>
      <c r="CA631" s="50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</row>
    <row r="632">
      <c r="B632" s="18"/>
      <c r="C632" s="23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50"/>
      <c r="BT632" s="50"/>
      <c r="BU632" s="50"/>
      <c r="BV632" s="50"/>
      <c r="BW632" s="50"/>
      <c r="BX632" s="50"/>
      <c r="BY632" s="50"/>
      <c r="BZ632" s="50"/>
      <c r="CA632" s="50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</row>
    <row r="633">
      <c r="B633" s="18"/>
      <c r="C633" s="23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50"/>
      <c r="BT633" s="50"/>
      <c r="BU633" s="50"/>
      <c r="BV633" s="50"/>
      <c r="BW633" s="50"/>
      <c r="BX633" s="50"/>
      <c r="BY633" s="50"/>
      <c r="BZ633" s="50"/>
      <c r="CA633" s="50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</row>
    <row r="634">
      <c r="B634" s="18"/>
      <c r="C634" s="23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50"/>
      <c r="BT634" s="50"/>
      <c r="BU634" s="50"/>
      <c r="BV634" s="50"/>
      <c r="BW634" s="50"/>
      <c r="BX634" s="50"/>
      <c r="BY634" s="50"/>
      <c r="BZ634" s="50"/>
      <c r="CA634" s="50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</row>
    <row r="635">
      <c r="B635" s="18"/>
      <c r="C635" s="23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50"/>
      <c r="BT635" s="50"/>
      <c r="BU635" s="50"/>
      <c r="BV635" s="50"/>
      <c r="BW635" s="50"/>
      <c r="BX635" s="50"/>
      <c r="BY635" s="50"/>
      <c r="BZ635" s="50"/>
      <c r="CA635" s="50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</row>
    <row r="636">
      <c r="B636" s="18"/>
      <c r="C636" s="23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50"/>
      <c r="BT636" s="50"/>
      <c r="BU636" s="50"/>
      <c r="BV636" s="50"/>
      <c r="BW636" s="50"/>
      <c r="BX636" s="50"/>
      <c r="BY636" s="50"/>
      <c r="BZ636" s="50"/>
      <c r="CA636" s="50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</row>
    <row r="637">
      <c r="B637" s="18"/>
      <c r="C637" s="23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50"/>
      <c r="BT637" s="50"/>
      <c r="BU637" s="50"/>
      <c r="BV637" s="50"/>
      <c r="BW637" s="50"/>
      <c r="BX637" s="50"/>
      <c r="BY637" s="50"/>
      <c r="BZ637" s="50"/>
      <c r="CA637" s="50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</row>
    <row r="638">
      <c r="B638" s="18"/>
      <c r="C638" s="23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50"/>
      <c r="BT638" s="50"/>
      <c r="BU638" s="50"/>
      <c r="BV638" s="50"/>
      <c r="BW638" s="50"/>
      <c r="BX638" s="50"/>
      <c r="BY638" s="50"/>
      <c r="BZ638" s="50"/>
      <c r="CA638" s="50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</row>
    <row r="639">
      <c r="B639" s="18"/>
      <c r="C639" s="23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50"/>
      <c r="BT639" s="50"/>
      <c r="BU639" s="50"/>
      <c r="BV639" s="50"/>
      <c r="BW639" s="50"/>
      <c r="BX639" s="50"/>
      <c r="BY639" s="50"/>
      <c r="BZ639" s="50"/>
      <c r="CA639" s="50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</row>
    <row r="640">
      <c r="B640" s="18"/>
      <c r="C640" s="23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50"/>
      <c r="BT640" s="50"/>
      <c r="BU640" s="50"/>
      <c r="BV640" s="50"/>
      <c r="BW640" s="50"/>
      <c r="BX640" s="50"/>
      <c r="BY640" s="50"/>
      <c r="BZ640" s="50"/>
      <c r="CA640" s="50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</row>
    <row r="641">
      <c r="B641" s="18"/>
      <c r="C641" s="23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50"/>
      <c r="BT641" s="50"/>
      <c r="BU641" s="50"/>
      <c r="BV641" s="50"/>
      <c r="BW641" s="50"/>
      <c r="BX641" s="50"/>
      <c r="BY641" s="50"/>
      <c r="BZ641" s="50"/>
      <c r="CA641" s="50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</row>
    <row r="642">
      <c r="B642" s="18"/>
      <c r="C642" s="23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50"/>
      <c r="BT642" s="50"/>
      <c r="BU642" s="50"/>
      <c r="BV642" s="50"/>
      <c r="BW642" s="50"/>
      <c r="BX642" s="50"/>
      <c r="BY642" s="50"/>
      <c r="BZ642" s="50"/>
      <c r="CA642" s="50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</row>
    <row r="643">
      <c r="B643" s="18"/>
      <c r="C643" s="23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50"/>
      <c r="BT643" s="50"/>
      <c r="BU643" s="50"/>
      <c r="BV643" s="50"/>
      <c r="BW643" s="50"/>
      <c r="BX643" s="50"/>
      <c r="BY643" s="50"/>
      <c r="BZ643" s="50"/>
      <c r="CA643" s="50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</row>
    <row r="644">
      <c r="B644" s="18"/>
      <c r="C644" s="23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50"/>
      <c r="BT644" s="50"/>
      <c r="BU644" s="50"/>
      <c r="BV644" s="50"/>
      <c r="BW644" s="50"/>
      <c r="BX644" s="50"/>
      <c r="BY644" s="50"/>
      <c r="BZ644" s="50"/>
      <c r="CA644" s="50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</row>
    <row r="645">
      <c r="B645" s="18"/>
      <c r="C645" s="23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50"/>
      <c r="BT645" s="50"/>
      <c r="BU645" s="50"/>
      <c r="BV645" s="50"/>
      <c r="BW645" s="50"/>
      <c r="BX645" s="50"/>
      <c r="BY645" s="50"/>
      <c r="BZ645" s="50"/>
      <c r="CA645" s="50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</row>
    <row r="646">
      <c r="B646" s="18"/>
      <c r="C646" s="23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50"/>
      <c r="BT646" s="50"/>
      <c r="BU646" s="50"/>
      <c r="BV646" s="50"/>
      <c r="BW646" s="50"/>
      <c r="BX646" s="50"/>
      <c r="BY646" s="50"/>
      <c r="BZ646" s="50"/>
      <c r="CA646" s="50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</row>
    <row r="647">
      <c r="B647" s="18"/>
      <c r="C647" s="23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50"/>
      <c r="BT647" s="50"/>
      <c r="BU647" s="50"/>
      <c r="BV647" s="50"/>
      <c r="BW647" s="50"/>
      <c r="BX647" s="50"/>
      <c r="BY647" s="50"/>
      <c r="BZ647" s="50"/>
      <c r="CA647" s="50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</row>
    <row r="648">
      <c r="B648" s="18"/>
      <c r="C648" s="23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50"/>
      <c r="BT648" s="50"/>
      <c r="BU648" s="50"/>
      <c r="BV648" s="50"/>
      <c r="BW648" s="50"/>
      <c r="BX648" s="50"/>
      <c r="BY648" s="50"/>
      <c r="BZ648" s="50"/>
      <c r="CA648" s="50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</row>
    <row r="649">
      <c r="B649" s="18"/>
      <c r="C649" s="23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50"/>
      <c r="BT649" s="50"/>
      <c r="BU649" s="50"/>
      <c r="BV649" s="50"/>
      <c r="BW649" s="50"/>
      <c r="BX649" s="50"/>
      <c r="BY649" s="50"/>
      <c r="BZ649" s="50"/>
      <c r="CA649" s="50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</row>
    <row r="650">
      <c r="B650" s="18"/>
      <c r="C650" s="23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50"/>
      <c r="BT650" s="50"/>
      <c r="BU650" s="50"/>
      <c r="BV650" s="50"/>
      <c r="BW650" s="50"/>
      <c r="BX650" s="50"/>
      <c r="BY650" s="50"/>
      <c r="BZ650" s="50"/>
      <c r="CA650" s="50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</row>
    <row r="651">
      <c r="B651" s="18"/>
      <c r="C651" s="23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50"/>
      <c r="BT651" s="50"/>
      <c r="BU651" s="50"/>
      <c r="BV651" s="50"/>
      <c r="BW651" s="50"/>
      <c r="BX651" s="50"/>
      <c r="BY651" s="50"/>
      <c r="BZ651" s="50"/>
      <c r="CA651" s="50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</row>
    <row r="652">
      <c r="B652" s="18"/>
      <c r="C652" s="23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50"/>
      <c r="BT652" s="50"/>
      <c r="BU652" s="50"/>
      <c r="BV652" s="50"/>
      <c r="BW652" s="50"/>
      <c r="BX652" s="50"/>
      <c r="BY652" s="50"/>
      <c r="BZ652" s="50"/>
      <c r="CA652" s="50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</row>
    <row r="653">
      <c r="B653" s="18"/>
      <c r="C653" s="23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50"/>
      <c r="BT653" s="50"/>
      <c r="BU653" s="50"/>
      <c r="BV653" s="50"/>
      <c r="BW653" s="50"/>
      <c r="BX653" s="50"/>
      <c r="BY653" s="50"/>
      <c r="BZ653" s="50"/>
      <c r="CA653" s="50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</row>
    <row r="654">
      <c r="B654" s="18"/>
      <c r="C654" s="23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50"/>
      <c r="BT654" s="50"/>
      <c r="BU654" s="50"/>
      <c r="BV654" s="50"/>
      <c r="BW654" s="50"/>
      <c r="BX654" s="50"/>
      <c r="BY654" s="50"/>
      <c r="BZ654" s="50"/>
      <c r="CA654" s="50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</row>
    <row r="655">
      <c r="B655" s="18"/>
      <c r="C655" s="23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50"/>
      <c r="BT655" s="50"/>
      <c r="BU655" s="50"/>
      <c r="BV655" s="50"/>
      <c r="BW655" s="50"/>
      <c r="BX655" s="50"/>
      <c r="BY655" s="50"/>
      <c r="BZ655" s="50"/>
      <c r="CA655" s="50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</row>
    <row r="656">
      <c r="B656" s="18"/>
      <c r="C656" s="23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50"/>
      <c r="BT656" s="50"/>
      <c r="BU656" s="50"/>
      <c r="BV656" s="50"/>
      <c r="BW656" s="50"/>
      <c r="BX656" s="50"/>
      <c r="BY656" s="50"/>
      <c r="BZ656" s="50"/>
      <c r="CA656" s="50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</row>
    <row r="657">
      <c r="B657" s="18"/>
      <c r="C657" s="23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50"/>
      <c r="BT657" s="50"/>
      <c r="BU657" s="50"/>
      <c r="BV657" s="50"/>
      <c r="BW657" s="50"/>
      <c r="BX657" s="50"/>
      <c r="BY657" s="50"/>
      <c r="BZ657" s="50"/>
      <c r="CA657" s="50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</row>
    <row r="658">
      <c r="B658" s="18"/>
      <c r="C658" s="23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50"/>
      <c r="BT658" s="50"/>
      <c r="BU658" s="50"/>
      <c r="BV658" s="50"/>
      <c r="BW658" s="50"/>
      <c r="BX658" s="50"/>
      <c r="BY658" s="50"/>
      <c r="BZ658" s="50"/>
      <c r="CA658" s="50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</row>
    <row r="659">
      <c r="B659" s="18"/>
      <c r="C659" s="23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50"/>
      <c r="BT659" s="50"/>
      <c r="BU659" s="50"/>
      <c r="BV659" s="50"/>
      <c r="BW659" s="50"/>
      <c r="BX659" s="50"/>
      <c r="BY659" s="50"/>
      <c r="BZ659" s="50"/>
      <c r="CA659" s="50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</row>
    <row r="660">
      <c r="B660" s="18"/>
      <c r="C660" s="23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50"/>
      <c r="BT660" s="50"/>
      <c r="BU660" s="50"/>
      <c r="BV660" s="50"/>
      <c r="BW660" s="50"/>
      <c r="BX660" s="50"/>
      <c r="BY660" s="50"/>
      <c r="BZ660" s="50"/>
      <c r="CA660" s="50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</row>
    <row r="661">
      <c r="B661" s="18"/>
      <c r="C661" s="23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50"/>
      <c r="BT661" s="50"/>
      <c r="BU661" s="50"/>
      <c r="BV661" s="50"/>
      <c r="BW661" s="50"/>
      <c r="BX661" s="50"/>
      <c r="BY661" s="50"/>
      <c r="BZ661" s="50"/>
      <c r="CA661" s="50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</row>
    <row r="662">
      <c r="B662" s="18"/>
      <c r="C662" s="23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50"/>
      <c r="BT662" s="50"/>
      <c r="BU662" s="50"/>
      <c r="BV662" s="50"/>
      <c r="BW662" s="50"/>
      <c r="BX662" s="50"/>
      <c r="BY662" s="50"/>
      <c r="BZ662" s="50"/>
      <c r="CA662" s="50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</row>
    <row r="663">
      <c r="B663" s="18"/>
      <c r="C663" s="23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50"/>
      <c r="BT663" s="50"/>
      <c r="BU663" s="50"/>
      <c r="BV663" s="50"/>
      <c r="BW663" s="50"/>
      <c r="BX663" s="50"/>
      <c r="BY663" s="50"/>
      <c r="BZ663" s="50"/>
      <c r="CA663" s="50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</row>
    <row r="664">
      <c r="B664" s="18"/>
      <c r="C664" s="23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50"/>
      <c r="BT664" s="50"/>
      <c r="BU664" s="50"/>
      <c r="BV664" s="50"/>
      <c r="BW664" s="50"/>
      <c r="BX664" s="50"/>
      <c r="BY664" s="50"/>
      <c r="BZ664" s="50"/>
      <c r="CA664" s="50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</row>
    <row r="665">
      <c r="B665" s="18"/>
      <c r="C665" s="23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50"/>
      <c r="BT665" s="50"/>
      <c r="BU665" s="50"/>
      <c r="BV665" s="50"/>
      <c r="BW665" s="50"/>
      <c r="BX665" s="50"/>
      <c r="BY665" s="50"/>
      <c r="BZ665" s="50"/>
      <c r="CA665" s="50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</row>
    <row r="666">
      <c r="B666" s="18"/>
      <c r="C666" s="23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50"/>
      <c r="BT666" s="50"/>
      <c r="BU666" s="50"/>
      <c r="BV666" s="50"/>
      <c r="BW666" s="50"/>
      <c r="BX666" s="50"/>
      <c r="BY666" s="50"/>
      <c r="BZ666" s="50"/>
      <c r="CA666" s="50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</row>
    <row r="667">
      <c r="B667" s="18"/>
      <c r="C667" s="23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50"/>
      <c r="BT667" s="50"/>
      <c r="BU667" s="50"/>
      <c r="BV667" s="50"/>
      <c r="BW667" s="50"/>
      <c r="BX667" s="50"/>
      <c r="BY667" s="50"/>
      <c r="BZ667" s="50"/>
      <c r="CA667" s="50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</row>
    <row r="668">
      <c r="B668" s="18"/>
      <c r="C668" s="23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50"/>
      <c r="BT668" s="50"/>
      <c r="BU668" s="50"/>
      <c r="BV668" s="50"/>
      <c r="BW668" s="50"/>
      <c r="BX668" s="50"/>
      <c r="BY668" s="50"/>
      <c r="BZ668" s="50"/>
      <c r="CA668" s="50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</row>
    <row r="669">
      <c r="B669" s="18"/>
      <c r="C669" s="23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50"/>
      <c r="BT669" s="50"/>
      <c r="BU669" s="50"/>
      <c r="BV669" s="50"/>
      <c r="BW669" s="50"/>
      <c r="BX669" s="50"/>
      <c r="BY669" s="50"/>
      <c r="BZ669" s="50"/>
      <c r="CA669" s="50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</row>
    <row r="670">
      <c r="B670" s="18"/>
      <c r="C670" s="23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50"/>
      <c r="BT670" s="50"/>
      <c r="BU670" s="50"/>
      <c r="BV670" s="50"/>
      <c r="BW670" s="50"/>
      <c r="BX670" s="50"/>
      <c r="BY670" s="50"/>
      <c r="BZ670" s="50"/>
      <c r="CA670" s="50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</row>
    <row r="671">
      <c r="B671" s="18"/>
      <c r="C671" s="23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50"/>
      <c r="BT671" s="50"/>
      <c r="BU671" s="50"/>
      <c r="BV671" s="50"/>
      <c r="BW671" s="50"/>
      <c r="BX671" s="50"/>
      <c r="BY671" s="50"/>
      <c r="BZ671" s="50"/>
      <c r="CA671" s="50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</row>
    <row r="672">
      <c r="B672" s="18"/>
      <c r="C672" s="23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50"/>
      <c r="BT672" s="50"/>
      <c r="BU672" s="50"/>
      <c r="BV672" s="50"/>
      <c r="BW672" s="50"/>
      <c r="BX672" s="50"/>
      <c r="BY672" s="50"/>
      <c r="BZ672" s="50"/>
      <c r="CA672" s="50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</row>
    <row r="673">
      <c r="B673" s="18"/>
      <c r="C673" s="23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50"/>
      <c r="BT673" s="50"/>
      <c r="BU673" s="50"/>
      <c r="BV673" s="50"/>
      <c r="BW673" s="50"/>
      <c r="BX673" s="50"/>
      <c r="BY673" s="50"/>
      <c r="BZ673" s="50"/>
      <c r="CA673" s="50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</row>
    <row r="674">
      <c r="B674" s="18"/>
      <c r="C674" s="23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50"/>
      <c r="BT674" s="50"/>
      <c r="BU674" s="50"/>
      <c r="BV674" s="50"/>
      <c r="BW674" s="50"/>
      <c r="BX674" s="50"/>
      <c r="BY674" s="50"/>
      <c r="BZ674" s="50"/>
      <c r="CA674" s="50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</row>
    <row r="675">
      <c r="B675" s="18"/>
      <c r="C675" s="23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50"/>
      <c r="BT675" s="50"/>
      <c r="BU675" s="50"/>
      <c r="BV675" s="50"/>
      <c r="BW675" s="50"/>
      <c r="BX675" s="50"/>
      <c r="BY675" s="50"/>
      <c r="BZ675" s="50"/>
      <c r="CA675" s="50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</row>
    <row r="676">
      <c r="B676" s="18"/>
      <c r="C676" s="23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50"/>
      <c r="BT676" s="50"/>
      <c r="BU676" s="50"/>
      <c r="BV676" s="50"/>
      <c r="BW676" s="50"/>
      <c r="BX676" s="50"/>
      <c r="BY676" s="50"/>
      <c r="BZ676" s="50"/>
      <c r="CA676" s="50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</row>
    <row r="677">
      <c r="B677" s="18"/>
      <c r="C677" s="23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50"/>
      <c r="BT677" s="50"/>
      <c r="BU677" s="50"/>
      <c r="BV677" s="50"/>
      <c r="BW677" s="50"/>
      <c r="BX677" s="50"/>
      <c r="BY677" s="50"/>
      <c r="BZ677" s="50"/>
      <c r="CA677" s="50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</row>
    <row r="678">
      <c r="B678" s="18"/>
      <c r="C678" s="23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50"/>
      <c r="BT678" s="50"/>
      <c r="BU678" s="50"/>
      <c r="BV678" s="50"/>
      <c r="BW678" s="50"/>
      <c r="BX678" s="50"/>
      <c r="BY678" s="50"/>
      <c r="BZ678" s="50"/>
      <c r="CA678" s="50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</row>
    <row r="679">
      <c r="B679" s="18"/>
      <c r="C679" s="23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50"/>
      <c r="BT679" s="50"/>
      <c r="BU679" s="50"/>
      <c r="BV679" s="50"/>
      <c r="BW679" s="50"/>
      <c r="BX679" s="50"/>
      <c r="BY679" s="50"/>
      <c r="BZ679" s="50"/>
      <c r="CA679" s="50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</row>
    <row r="680">
      <c r="B680" s="18"/>
      <c r="C680" s="23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50"/>
      <c r="BT680" s="50"/>
      <c r="BU680" s="50"/>
      <c r="BV680" s="50"/>
      <c r="BW680" s="50"/>
      <c r="BX680" s="50"/>
      <c r="BY680" s="50"/>
      <c r="BZ680" s="50"/>
      <c r="CA680" s="50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</row>
    <row r="681">
      <c r="B681" s="18"/>
      <c r="C681" s="23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50"/>
      <c r="BT681" s="50"/>
      <c r="BU681" s="50"/>
      <c r="BV681" s="50"/>
      <c r="BW681" s="50"/>
      <c r="BX681" s="50"/>
      <c r="BY681" s="50"/>
      <c r="BZ681" s="50"/>
      <c r="CA681" s="50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</row>
    <row r="682">
      <c r="B682" s="18"/>
      <c r="C682" s="23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50"/>
      <c r="BT682" s="50"/>
      <c r="BU682" s="50"/>
      <c r="BV682" s="50"/>
      <c r="BW682" s="50"/>
      <c r="BX682" s="50"/>
      <c r="BY682" s="50"/>
      <c r="BZ682" s="50"/>
      <c r="CA682" s="50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</row>
    <row r="683">
      <c r="B683" s="18"/>
      <c r="C683" s="23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50"/>
      <c r="BT683" s="50"/>
      <c r="BU683" s="50"/>
      <c r="BV683" s="50"/>
      <c r="BW683" s="50"/>
      <c r="BX683" s="50"/>
      <c r="BY683" s="50"/>
      <c r="BZ683" s="50"/>
      <c r="CA683" s="50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</row>
    <row r="684">
      <c r="B684" s="18"/>
      <c r="C684" s="23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50"/>
      <c r="BT684" s="50"/>
      <c r="BU684" s="50"/>
      <c r="BV684" s="50"/>
      <c r="BW684" s="50"/>
      <c r="BX684" s="50"/>
      <c r="BY684" s="50"/>
      <c r="BZ684" s="50"/>
      <c r="CA684" s="50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</row>
    <row r="685">
      <c r="B685" s="18"/>
      <c r="C685" s="23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50"/>
      <c r="BT685" s="50"/>
      <c r="BU685" s="50"/>
      <c r="BV685" s="50"/>
      <c r="BW685" s="50"/>
      <c r="BX685" s="50"/>
      <c r="BY685" s="50"/>
      <c r="BZ685" s="50"/>
      <c r="CA685" s="50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</row>
    <row r="686">
      <c r="B686" s="18"/>
      <c r="C686" s="23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50"/>
      <c r="BT686" s="50"/>
      <c r="BU686" s="50"/>
      <c r="BV686" s="50"/>
      <c r="BW686" s="50"/>
      <c r="BX686" s="50"/>
      <c r="BY686" s="50"/>
      <c r="BZ686" s="50"/>
      <c r="CA686" s="50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</row>
    <row r="687">
      <c r="B687" s="18"/>
      <c r="C687" s="23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50"/>
      <c r="BT687" s="50"/>
      <c r="BU687" s="50"/>
      <c r="BV687" s="50"/>
      <c r="BW687" s="50"/>
      <c r="BX687" s="50"/>
      <c r="BY687" s="50"/>
      <c r="BZ687" s="50"/>
      <c r="CA687" s="50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</row>
    <row r="688">
      <c r="B688" s="18"/>
      <c r="C688" s="23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50"/>
      <c r="BT688" s="50"/>
      <c r="BU688" s="50"/>
      <c r="BV688" s="50"/>
      <c r="BW688" s="50"/>
      <c r="BX688" s="50"/>
      <c r="BY688" s="50"/>
      <c r="BZ688" s="50"/>
      <c r="CA688" s="50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</row>
    <row r="689">
      <c r="B689" s="18"/>
      <c r="C689" s="23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50"/>
      <c r="BT689" s="50"/>
      <c r="BU689" s="50"/>
      <c r="BV689" s="50"/>
      <c r="BW689" s="50"/>
      <c r="BX689" s="50"/>
      <c r="BY689" s="50"/>
      <c r="BZ689" s="50"/>
      <c r="CA689" s="50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</row>
    <row r="690">
      <c r="B690" s="18"/>
      <c r="C690" s="23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50"/>
      <c r="BT690" s="50"/>
      <c r="BU690" s="50"/>
      <c r="BV690" s="50"/>
      <c r="BW690" s="50"/>
      <c r="BX690" s="50"/>
      <c r="BY690" s="50"/>
      <c r="BZ690" s="50"/>
      <c r="CA690" s="50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</row>
    <row r="691">
      <c r="B691" s="18"/>
      <c r="C691" s="23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50"/>
      <c r="BT691" s="50"/>
      <c r="BU691" s="50"/>
      <c r="BV691" s="50"/>
      <c r="BW691" s="50"/>
      <c r="BX691" s="50"/>
      <c r="BY691" s="50"/>
      <c r="BZ691" s="50"/>
      <c r="CA691" s="50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</row>
    <row r="692">
      <c r="B692" s="18"/>
      <c r="C692" s="23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50"/>
      <c r="BT692" s="50"/>
      <c r="BU692" s="50"/>
      <c r="BV692" s="50"/>
      <c r="BW692" s="50"/>
      <c r="BX692" s="50"/>
      <c r="BY692" s="50"/>
      <c r="BZ692" s="50"/>
      <c r="CA692" s="50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</row>
    <row r="693">
      <c r="B693" s="18"/>
      <c r="C693" s="23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50"/>
      <c r="BT693" s="50"/>
      <c r="BU693" s="50"/>
      <c r="BV693" s="50"/>
      <c r="BW693" s="50"/>
      <c r="BX693" s="50"/>
      <c r="BY693" s="50"/>
      <c r="BZ693" s="50"/>
      <c r="CA693" s="50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</row>
    <row r="694">
      <c r="B694" s="18"/>
      <c r="C694" s="23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50"/>
      <c r="BT694" s="50"/>
      <c r="BU694" s="50"/>
      <c r="BV694" s="50"/>
      <c r="BW694" s="50"/>
      <c r="BX694" s="50"/>
      <c r="BY694" s="50"/>
      <c r="BZ694" s="50"/>
      <c r="CA694" s="50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</row>
    <row r="695">
      <c r="B695" s="18"/>
      <c r="C695" s="23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50"/>
      <c r="BT695" s="50"/>
      <c r="BU695" s="50"/>
      <c r="BV695" s="50"/>
      <c r="BW695" s="50"/>
      <c r="BX695" s="50"/>
      <c r="BY695" s="50"/>
      <c r="BZ695" s="50"/>
      <c r="CA695" s="50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</row>
    <row r="696">
      <c r="B696" s="18"/>
      <c r="C696" s="23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50"/>
      <c r="BT696" s="50"/>
      <c r="BU696" s="50"/>
      <c r="BV696" s="50"/>
      <c r="BW696" s="50"/>
      <c r="BX696" s="50"/>
      <c r="BY696" s="50"/>
      <c r="BZ696" s="50"/>
      <c r="CA696" s="50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</row>
    <row r="697">
      <c r="B697" s="18"/>
      <c r="C697" s="23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50"/>
      <c r="BT697" s="50"/>
      <c r="BU697" s="50"/>
      <c r="BV697" s="50"/>
      <c r="BW697" s="50"/>
      <c r="BX697" s="50"/>
      <c r="BY697" s="50"/>
      <c r="BZ697" s="50"/>
      <c r="CA697" s="50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</row>
    <row r="698">
      <c r="B698" s="18"/>
      <c r="C698" s="23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50"/>
      <c r="BT698" s="50"/>
      <c r="BU698" s="50"/>
      <c r="BV698" s="50"/>
      <c r="BW698" s="50"/>
      <c r="BX698" s="50"/>
      <c r="BY698" s="50"/>
      <c r="BZ698" s="50"/>
      <c r="CA698" s="50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</row>
    <row r="699">
      <c r="B699" s="18"/>
      <c r="C699" s="23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50"/>
      <c r="BT699" s="50"/>
      <c r="BU699" s="50"/>
      <c r="BV699" s="50"/>
      <c r="BW699" s="50"/>
      <c r="BX699" s="50"/>
      <c r="BY699" s="50"/>
      <c r="BZ699" s="50"/>
      <c r="CA699" s="50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</row>
    <row r="700">
      <c r="B700" s="18"/>
      <c r="C700" s="23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50"/>
      <c r="BT700" s="50"/>
      <c r="BU700" s="50"/>
      <c r="BV700" s="50"/>
      <c r="BW700" s="50"/>
      <c r="BX700" s="50"/>
      <c r="BY700" s="50"/>
      <c r="BZ700" s="50"/>
      <c r="CA700" s="50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</row>
    <row r="701">
      <c r="B701" s="18"/>
      <c r="C701" s="23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50"/>
      <c r="BT701" s="50"/>
      <c r="BU701" s="50"/>
      <c r="BV701" s="50"/>
      <c r="BW701" s="50"/>
      <c r="BX701" s="50"/>
      <c r="BY701" s="50"/>
      <c r="BZ701" s="50"/>
      <c r="CA701" s="50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</row>
    <row r="702">
      <c r="B702" s="18"/>
      <c r="C702" s="23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50"/>
      <c r="BT702" s="50"/>
      <c r="BU702" s="50"/>
      <c r="BV702" s="50"/>
      <c r="BW702" s="50"/>
      <c r="BX702" s="50"/>
      <c r="BY702" s="50"/>
      <c r="BZ702" s="50"/>
      <c r="CA702" s="50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</row>
    <row r="703">
      <c r="B703" s="18"/>
      <c r="C703" s="23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50"/>
      <c r="BT703" s="50"/>
      <c r="BU703" s="50"/>
      <c r="BV703" s="50"/>
      <c r="BW703" s="50"/>
      <c r="BX703" s="50"/>
      <c r="BY703" s="50"/>
      <c r="BZ703" s="50"/>
      <c r="CA703" s="50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</row>
    <row r="704">
      <c r="B704" s="18"/>
      <c r="C704" s="23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50"/>
      <c r="BT704" s="50"/>
      <c r="BU704" s="50"/>
      <c r="BV704" s="50"/>
      <c r="BW704" s="50"/>
      <c r="BX704" s="50"/>
      <c r="BY704" s="50"/>
      <c r="BZ704" s="50"/>
      <c r="CA704" s="50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</row>
    <row r="705">
      <c r="B705" s="18"/>
      <c r="C705" s="23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50"/>
      <c r="BT705" s="50"/>
      <c r="BU705" s="50"/>
      <c r="BV705" s="50"/>
      <c r="BW705" s="50"/>
      <c r="BX705" s="50"/>
      <c r="BY705" s="50"/>
      <c r="BZ705" s="50"/>
      <c r="CA705" s="50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1"/>
      <c r="CY705" s="21"/>
    </row>
    <row r="706">
      <c r="B706" s="18"/>
      <c r="C706" s="23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50"/>
      <c r="BT706" s="50"/>
      <c r="BU706" s="50"/>
      <c r="BV706" s="50"/>
      <c r="BW706" s="50"/>
      <c r="BX706" s="50"/>
      <c r="BY706" s="50"/>
      <c r="BZ706" s="50"/>
      <c r="CA706" s="50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</row>
    <row r="707">
      <c r="B707" s="18"/>
      <c r="C707" s="23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50"/>
      <c r="BT707" s="50"/>
      <c r="BU707" s="50"/>
      <c r="BV707" s="50"/>
      <c r="BW707" s="50"/>
      <c r="BX707" s="50"/>
      <c r="BY707" s="50"/>
      <c r="BZ707" s="50"/>
      <c r="CA707" s="50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</row>
    <row r="708">
      <c r="B708" s="18"/>
      <c r="C708" s="23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50"/>
      <c r="BT708" s="50"/>
      <c r="BU708" s="50"/>
      <c r="BV708" s="50"/>
      <c r="BW708" s="50"/>
      <c r="BX708" s="50"/>
      <c r="BY708" s="50"/>
      <c r="BZ708" s="50"/>
      <c r="CA708" s="50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1"/>
      <c r="CY708" s="21"/>
    </row>
    <row r="709">
      <c r="B709" s="18"/>
      <c r="C709" s="23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50"/>
      <c r="BT709" s="50"/>
      <c r="BU709" s="50"/>
      <c r="BV709" s="50"/>
      <c r="BW709" s="50"/>
      <c r="BX709" s="50"/>
      <c r="BY709" s="50"/>
      <c r="BZ709" s="50"/>
      <c r="CA709" s="50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</row>
    <row r="710">
      <c r="B710" s="18"/>
      <c r="C710" s="23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50"/>
      <c r="BT710" s="50"/>
      <c r="BU710" s="50"/>
      <c r="BV710" s="50"/>
      <c r="BW710" s="50"/>
      <c r="BX710" s="50"/>
      <c r="BY710" s="50"/>
      <c r="BZ710" s="50"/>
      <c r="CA710" s="50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1"/>
      <c r="CY710" s="21"/>
    </row>
    <row r="711">
      <c r="B711" s="18"/>
      <c r="C711" s="23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50"/>
      <c r="BT711" s="50"/>
      <c r="BU711" s="50"/>
      <c r="BV711" s="50"/>
      <c r="BW711" s="50"/>
      <c r="BX711" s="50"/>
      <c r="BY711" s="50"/>
      <c r="BZ711" s="50"/>
      <c r="CA711" s="50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1"/>
      <c r="CY711" s="21"/>
    </row>
    <row r="712">
      <c r="B712" s="18"/>
      <c r="C712" s="23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50"/>
      <c r="BT712" s="50"/>
      <c r="BU712" s="50"/>
      <c r="BV712" s="50"/>
      <c r="BW712" s="50"/>
      <c r="BX712" s="50"/>
      <c r="BY712" s="50"/>
      <c r="BZ712" s="50"/>
      <c r="CA712" s="50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  <c r="CX712" s="21"/>
      <c r="CY712" s="21"/>
    </row>
    <row r="713">
      <c r="B713" s="18"/>
      <c r="C713" s="23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50"/>
      <c r="BT713" s="50"/>
      <c r="BU713" s="50"/>
      <c r="BV713" s="50"/>
      <c r="BW713" s="50"/>
      <c r="BX713" s="50"/>
      <c r="BY713" s="50"/>
      <c r="BZ713" s="50"/>
      <c r="CA713" s="50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1"/>
      <c r="CY713" s="21"/>
    </row>
    <row r="714">
      <c r="B714" s="18"/>
      <c r="C714" s="23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50"/>
      <c r="BT714" s="50"/>
      <c r="BU714" s="50"/>
      <c r="BV714" s="50"/>
      <c r="BW714" s="50"/>
      <c r="BX714" s="50"/>
      <c r="BY714" s="50"/>
      <c r="BZ714" s="50"/>
      <c r="CA714" s="50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1"/>
      <c r="CY714" s="21"/>
    </row>
    <row r="715">
      <c r="B715" s="18"/>
      <c r="C715" s="23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50"/>
      <c r="BT715" s="50"/>
      <c r="BU715" s="50"/>
      <c r="BV715" s="50"/>
      <c r="BW715" s="50"/>
      <c r="BX715" s="50"/>
      <c r="BY715" s="50"/>
      <c r="BZ715" s="50"/>
      <c r="CA715" s="50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1"/>
      <c r="CY715" s="21"/>
    </row>
    <row r="716">
      <c r="B716" s="18"/>
      <c r="C716" s="23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50"/>
      <c r="BT716" s="50"/>
      <c r="BU716" s="50"/>
      <c r="BV716" s="50"/>
      <c r="BW716" s="50"/>
      <c r="BX716" s="50"/>
      <c r="BY716" s="50"/>
      <c r="BZ716" s="50"/>
      <c r="CA716" s="50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1"/>
      <c r="CY716" s="21"/>
    </row>
    <row r="717">
      <c r="B717" s="18"/>
      <c r="C717" s="23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50"/>
      <c r="BT717" s="50"/>
      <c r="BU717" s="50"/>
      <c r="BV717" s="50"/>
      <c r="BW717" s="50"/>
      <c r="BX717" s="50"/>
      <c r="BY717" s="50"/>
      <c r="BZ717" s="50"/>
      <c r="CA717" s="50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  <c r="CX717" s="21"/>
      <c r="CY717" s="21"/>
    </row>
    <row r="718">
      <c r="B718" s="18"/>
      <c r="C718" s="23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50"/>
      <c r="BT718" s="50"/>
      <c r="BU718" s="50"/>
      <c r="BV718" s="50"/>
      <c r="BW718" s="50"/>
      <c r="BX718" s="50"/>
      <c r="BY718" s="50"/>
      <c r="BZ718" s="50"/>
      <c r="CA718" s="50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1"/>
      <c r="CY718" s="21"/>
    </row>
    <row r="719">
      <c r="B719" s="18"/>
      <c r="C719" s="23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50"/>
      <c r="BT719" s="50"/>
      <c r="BU719" s="50"/>
      <c r="BV719" s="50"/>
      <c r="BW719" s="50"/>
      <c r="BX719" s="50"/>
      <c r="BY719" s="50"/>
      <c r="BZ719" s="50"/>
      <c r="CA719" s="50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  <c r="CX719" s="21"/>
      <c r="CY719" s="21"/>
    </row>
    <row r="720">
      <c r="B720" s="18"/>
      <c r="C720" s="23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50"/>
      <c r="BT720" s="50"/>
      <c r="BU720" s="50"/>
      <c r="BV720" s="50"/>
      <c r="BW720" s="50"/>
      <c r="BX720" s="50"/>
      <c r="BY720" s="50"/>
      <c r="BZ720" s="50"/>
      <c r="CA720" s="50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</row>
    <row r="721">
      <c r="B721" s="18"/>
      <c r="C721" s="23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50"/>
      <c r="BT721" s="50"/>
      <c r="BU721" s="50"/>
      <c r="BV721" s="50"/>
      <c r="BW721" s="50"/>
      <c r="BX721" s="50"/>
      <c r="BY721" s="50"/>
      <c r="BZ721" s="50"/>
      <c r="CA721" s="50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  <c r="CX721" s="21"/>
      <c r="CY721" s="21"/>
    </row>
    <row r="722">
      <c r="B722" s="18"/>
      <c r="C722" s="23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50"/>
      <c r="BT722" s="50"/>
      <c r="BU722" s="50"/>
      <c r="BV722" s="50"/>
      <c r="BW722" s="50"/>
      <c r="BX722" s="50"/>
      <c r="BY722" s="50"/>
      <c r="BZ722" s="50"/>
      <c r="CA722" s="50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  <c r="CX722" s="21"/>
      <c r="CY722" s="21"/>
    </row>
    <row r="723">
      <c r="B723" s="18"/>
      <c r="C723" s="23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50"/>
      <c r="BT723" s="50"/>
      <c r="BU723" s="50"/>
      <c r="BV723" s="50"/>
      <c r="BW723" s="50"/>
      <c r="BX723" s="50"/>
      <c r="BY723" s="50"/>
      <c r="BZ723" s="50"/>
      <c r="CA723" s="50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1"/>
      <c r="CY723" s="21"/>
    </row>
    <row r="724">
      <c r="B724" s="18"/>
      <c r="C724" s="23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50"/>
      <c r="BT724" s="50"/>
      <c r="BU724" s="50"/>
      <c r="BV724" s="50"/>
      <c r="BW724" s="50"/>
      <c r="BX724" s="50"/>
      <c r="BY724" s="50"/>
      <c r="BZ724" s="50"/>
      <c r="CA724" s="50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  <c r="CX724" s="21"/>
      <c r="CY724" s="21"/>
    </row>
    <row r="725">
      <c r="B725" s="18"/>
      <c r="C725" s="23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50"/>
      <c r="BT725" s="50"/>
      <c r="BU725" s="50"/>
      <c r="BV725" s="50"/>
      <c r="BW725" s="50"/>
      <c r="BX725" s="50"/>
      <c r="BY725" s="50"/>
      <c r="BZ725" s="50"/>
      <c r="CA725" s="50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  <c r="CX725" s="21"/>
      <c r="CY725" s="21"/>
    </row>
    <row r="726">
      <c r="B726" s="18"/>
      <c r="C726" s="23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50"/>
      <c r="BT726" s="50"/>
      <c r="BU726" s="50"/>
      <c r="BV726" s="50"/>
      <c r="BW726" s="50"/>
      <c r="BX726" s="50"/>
      <c r="BY726" s="50"/>
      <c r="BZ726" s="50"/>
      <c r="CA726" s="50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1"/>
      <c r="CY726" s="21"/>
    </row>
    <row r="727">
      <c r="B727" s="18"/>
      <c r="C727" s="23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50"/>
      <c r="BT727" s="50"/>
      <c r="BU727" s="50"/>
      <c r="BV727" s="50"/>
      <c r="BW727" s="50"/>
      <c r="BX727" s="50"/>
      <c r="BY727" s="50"/>
      <c r="BZ727" s="50"/>
      <c r="CA727" s="50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1"/>
      <c r="CY727" s="21"/>
    </row>
    <row r="728">
      <c r="B728" s="18"/>
      <c r="C728" s="23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50"/>
      <c r="BT728" s="50"/>
      <c r="BU728" s="50"/>
      <c r="BV728" s="50"/>
      <c r="BW728" s="50"/>
      <c r="BX728" s="50"/>
      <c r="BY728" s="50"/>
      <c r="BZ728" s="50"/>
      <c r="CA728" s="50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  <c r="CX728" s="21"/>
      <c r="CY728" s="21"/>
    </row>
    <row r="729">
      <c r="B729" s="18"/>
      <c r="C729" s="23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50"/>
      <c r="BT729" s="50"/>
      <c r="BU729" s="50"/>
      <c r="BV729" s="50"/>
      <c r="BW729" s="50"/>
      <c r="BX729" s="50"/>
      <c r="BY729" s="50"/>
      <c r="BZ729" s="50"/>
      <c r="CA729" s="50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  <c r="CX729" s="21"/>
      <c r="CY729" s="21"/>
    </row>
    <row r="730">
      <c r="B730" s="18"/>
      <c r="C730" s="23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50"/>
      <c r="BT730" s="50"/>
      <c r="BU730" s="50"/>
      <c r="BV730" s="50"/>
      <c r="BW730" s="50"/>
      <c r="BX730" s="50"/>
      <c r="BY730" s="50"/>
      <c r="BZ730" s="50"/>
      <c r="CA730" s="50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</row>
    <row r="731">
      <c r="B731" s="18"/>
      <c r="C731" s="23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50"/>
      <c r="BT731" s="50"/>
      <c r="BU731" s="50"/>
      <c r="BV731" s="50"/>
      <c r="BW731" s="50"/>
      <c r="BX731" s="50"/>
      <c r="BY731" s="50"/>
      <c r="BZ731" s="50"/>
      <c r="CA731" s="50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  <c r="CX731" s="21"/>
      <c r="CY731" s="21"/>
    </row>
    <row r="732">
      <c r="B732" s="18"/>
      <c r="C732" s="23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50"/>
      <c r="BT732" s="50"/>
      <c r="BU732" s="50"/>
      <c r="BV732" s="50"/>
      <c r="BW732" s="50"/>
      <c r="BX732" s="50"/>
      <c r="BY732" s="50"/>
      <c r="BZ732" s="50"/>
      <c r="CA732" s="50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  <c r="CX732" s="21"/>
      <c r="CY732" s="21"/>
    </row>
    <row r="733">
      <c r="B733" s="18"/>
      <c r="C733" s="23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50"/>
      <c r="BT733" s="50"/>
      <c r="BU733" s="50"/>
      <c r="BV733" s="50"/>
      <c r="BW733" s="50"/>
      <c r="BX733" s="50"/>
      <c r="BY733" s="50"/>
      <c r="BZ733" s="50"/>
      <c r="CA733" s="50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1"/>
      <c r="CY733" s="21"/>
    </row>
    <row r="734">
      <c r="B734" s="18"/>
      <c r="C734" s="23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50"/>
      <c r="BT734" s="50"/>
      <c r="BU734" s="50"/>
      <c r="BV734" s="50"/>
      <c r="BW734" s="50"/>
      <c r="BX734" s="50"/>
      <c r="BY734" s="50"/>
      <c r="BZ734" s="50"/>
      <c r="CA734" s="50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  <c r="CX734" s="21"/>
      <c r="CY734" s="21"/>
    </row>
    <row r="735">
      <c r="B735" s="18"/>
      <c r="C735" s="23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50"/>
      <c r="BT735" s="50"/>
      <c r="BU735" s="50"/>
      <c r="BV735" s="50"/>
      <c r="BW735" s="50"/>
      <c r="BX735" s="50"/>
      <c r="BY735" s="50"/>
      <c r="BZ735" s="50"/>
      <c r="CA735" s="50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  <c r="CX735" s="21"/>
      <c r="CY735" s="21"/>
    </row>
    <row r="736">
      <c r="B736" s="18"/>
      <c r="C736" s="23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50"/>
      <c r="BT736" s="50"/>
      <c r="BU736" s="50"/>
      <c r="BV736" s="50"/>
      <c r="BW736" s="50"/>
      <c r="BX736" s="50"/>
      <c r="BY736" s="50"/>
      <c r="BZ736" s="50"/>
      <c r="CA736" s="50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1"/>
      <c r="CY736" s="21"/>
    </row>
    <row r="737">
      <c r="B737" s="18"/>
      <c r="C737" s="23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50"/>
      <c r="BT737" s="50"/>
      <c r="BU737" s="50"/>
      <c r="BV737" s="50"/>
      <c r="BW737" s="50"/>
      <c r="BX737" s="50"/>
      <c r="BY737" s="50"/>
      <c r="BZ737" s="50"/>
      <c r="CA737" s="50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1"/>
      <c r="CY737" s="21"/>
    </row>
    <row r="738">
      <c r="B738" s="18"/>
      <c r="C738" s="23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50"/>
      <c r="BT738" s="50"/>
      <c r="BU738" s="50"/>
      <c r="BV738" s="50"/>
      <c r="BW738" s="50"/>
      <c r="BX738" s="50"/>
      <c r="BY738" s="50"/>
      <c r="BZ738" s="50"/>
      <c r="CA738" s="50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1"/>
      <c r="CY738" s="21"/>
    </row>
    <row r="739">
      <c r="B739" s="18"/>
      <c r="C739" s="23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50"/>
      <c r="BT739" s="50"/>
      <c r="BU739" s="50"/>
      <c r="BV739" s="50"/>
      <c r="BW739" s="50"/>
      <c r="BX739" s="50"/>
      <c r="BY739" s="50"/>
      <c r="BZ739" s="50"/>
      <c r="CA739" s="50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1"/>
      <c r="CY739" s="21"/>
    </row>
    <row r="740">
      <c r="B740" s="18"/>
      <c r="C740" s="23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50"/>
      <c r="BT740" s="50"/>
      <c r="BU740" s="50"/>
      <c r="BV740" s="50"/>
      <c r="BW740" s="50"/>
      <c r="BX740" s="50"/>
      <c r="BY740" s="50"/>
      <c r="BZ740" s="50"/>
      <c r="CA740" s="50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1"/>
      <c r="CY740" s="21"/>
    </row>
    <row r="741">
      <c r="B741" s="18"/>
      <c r="C741" s="23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50"/>
      <c r="BT741" s="50"/>
      <c r="BU741" s="50"/>
      <c r="BV741" s="50"/>
      <c r="BW741" s="50"/>
      <c r="BX741" s="50"/>
      <c r="BY741" s="50"/>
      <c r="BZ741" s="50"/>
      <c r="CA741" s="50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1"/>
      <c r="CY741" s="21"/>
    </row>
    <row r="742">
      <c r="B742" s="18"/>
      <c r="C742" s="23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50"/>
      <c r="BT742" s="50"/>
      <c r="BU742" s="50"/>
      <c r="BV742" s="50"/>
      <c r="BW742" s="50"/>
      <c r="BX742" s="50"/>
      <c r="BY742" s="50"/>
      <c r="BZ742" s="50"/>
      <c r="CA742" s="50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  <c r="CX742" s="21"/>
      <c r="CY742" s="21"/>
    </row>
    <row r="743">
      <c r="B743" s="18"/>
      <c r="C743" s="23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50"/>
      <c r="BT743" s="50"/>
      <c r="BU743" s="50"/>
      <c r="BV743" s="50"/>
      <c r="BW743" s="50"/>
      <c r="BX743" s="50"/>
      <c r="BY743" s="50"/>
      <c r="BZ743" s="50"/>
      <c r="CA743" s="50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1"/>
      <c r="CY743" s="21"/>
    </row>
    <row r="744">
      <c r="B744" s="18"/>
      <c r="C744" s="23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50"/>
      <c r="BT744" s="50"/>
      <c r="BU744" s="50"/>
      <c r="BV744" s="50"/>
      <c r="BW744" s="50"/>
      <c r="BX744" s="50"/>
      <c r="BY744" s="50"/>
      <c r="BZ744" s="50"/>
      <c r="CA744" s="50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1"/>
      <c r="CY744" s="21"/>
    </row>
    <row r="745">
      <c r="B745" s="18"/>
      <c r="C745" s="23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50"/>
      <c r="BT745" s="50"/>
      <c r="BU745" s="50"/>
      <c r="BV745" s="50"/>
      <c r="BW745" s="50"/>
      <c r="BX745" s="50"/>
      <c r="BY745" s="50"/>
      <c r="BZ745" s="50"/>
      <c r="CA745" s="50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1"/>
      <c r="CY745" s="21"/>
    </row>
    <row r="746">
      <c r="B746" s="18"/>
      <c r="C746" s="23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50"/>
      <c r="BT746" s="50"/>
      <c r="BU746" s="50"/>
      <c r="BV746" s="50"/>
      <c r="BW746" s="50"/>
      <c r="BX746" s="50"/>
      <c r="BY746" s="50"/>
      <c r="BZ746" s="50"/>
      <c r="CA746" s="50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  <c r="CX746" s="21"/>
      <c r="CY746" s="21"/>
    </row>
    <row r="747">
      <c r="B747" s="18"/>
      <c r="C747" s="23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50"/>
      <c r="BT747" s="50"/>
      <c r="BU747" s="50"/>
      <c r="BV747" s="50"/>
      <c r="BW747" s="50"/>
      <c r="BX747" s="50"/>
      <c r="BY747" s="50"/>
      <c r="BZ747" s="50"/>
      <c r="CA747" s="50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1"/>
      <c r="CY747" s="21"/>
    </row>
    <row r="748">
      <c r="B748" s="18"/>
      <c r="C748" s="23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50"/>
      <c r="BT748" s="50"/>
      <c r="BU748" s="50"/>
      <c r="BV748" s="50"/>
      <c r="BW748" s="50"/>
      <c r="BX748" s="50"/>
      <c r="BY748" s="50"/>
      <c r="BZ748" s="50"/>
      <c r="CA748" s="50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  <c r="CX748" s="21"/>
      <c r="CY748" s="21"/>
    </row>
    <row r="749">
      <c r="B749" s="18"/>
      <c r="C749" s="23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50"/>
      <c r="BT749" s="50"/>
      <c r="BU749" s="50"/>
      <c r="BV749" s="50"/>
      <c r="BW749" s="50"/>
      <c r="BX749" s="50"/>
      <c r="BY749" s="50"/>
      <c r="BZ749" s="50"/>
      <c r="CA749" s="50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1"/>
      <c r="CY749" s="21"/>
    </row>
    <row r="750">
      <c r="B750" s="18"/>
      <c r="C750" s="23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50"/>
      <c r="BT750" s="50"/>
      <c r="BU750" s="50"/>
      <c r="BV750" s="50"/>
      <c r="BW750" s="50"/>
      <c r="BX750" s="50"/>
      <c r="BY750" s="50"/>
      <c r="BZ750" s="50"/>
      <c r="CA750" s="50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1"/>
      <c r="CY750" s="21"/>
    </row>
    <row r="751">
      <c r="B751" s="18"/>
      <c r="C751" s="23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50"/>
      <c r="BT751" s="50"/>
      <c r="BU751" s="50"/>
      <c r="BV751" s="50"/>
      <c r="BW751" s="50"/>
      <c r="BX751" s="50"/>
      <c r="BY751" s="50"/>
      <c r="BZ751" s="50"/>
      <c r="CA751" s="50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1"/>
      <c r="CY751" s="21"/>
    </row>
    <row r="752">
      <c r="B752" s="18"/>
      <c r="C752" s="23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50"/>
      <c r="BT752" s="50"/>
      <c r="BU752" s="50"/>
      <c r="BV752" s="50"/>
      <c r="BW752" s="50"/>
      <c r="BX752" s="50"/>
      <c r="BY752" s="50"/>
      <c r="BZ752" s="50"/>
      <c r="CA752" s="50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  <c r="CX752" s="21"/>
      <c r="CY752" s="21"/>
    </row>
    <row r="753">
      <c r="B753" s="18"/>
      <c r="C753" s="23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50"/>
      <c r="BT753" s="50"/>
      <c r="BU753" s="50"/>
      <c r="BV753" s="50"/>
      <c r="BW753" s="50"/>
      <c r="BX753" s="50"/>
      <c r="BY753" s="50"/>
      <c r="BZ753" s="50"/>
      <c r="CA753" s="50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  <c r="CX753" s="21"/>
      <c r="CY753" s="21"/>
    </row>
    <row r="754">
      <c r="B754" s="18"/>
      <c r="C754" s="23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50"/>
      <c r="BT754" s="50"/>
      <c r="BU754" s="50"/>
      <c r="BV754" s="50"/>
      <c r="BW754" s="50"/>
      <c r="BX754" s="50"/>
      <c r="BY754" s="50"/>
      <c r="BZ754" s="50"/>
      <c r="CA754" s="50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</row>
    <row r="755">
      <c r="B755" s="18"/>
      <c r="C755" s="23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50"/>
      <c r="BT755" s="50"/>
      <c r="BU755" s="50"/>
      <c r="BV755" s="50"/>
      <c r="BW755" s="50"/>
      <c r="BX755" s="50"/>
      <c r="BY755" s="50"/>
      <c r="BZ755" s="50"/>
      <c r="CA755" s="50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  <c r="CX755" s="21"/>
      <c r="CY755" s="21"/>
    </row>
    <row r="756">
      <c r="B756" s="18"/>
      <c r="C756" s="23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50"/>
      <c r="BT756" s="50"/>
      <c r="BU756" s="50"/>
      <c r="BV756" s="50"/>
      <c r="BW756" s="50"/>
      <c r="BX756" s="50"/>
      <c r="BY756" s="50"/>
      <c r="BZ756" s="50"/>
      <c r="CA756" s="50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  <c r="CX756" s="21"/>
      <c r="CY756" s="21"/>
    </row>
    <row r="757">
      <c r="B757" s="18"/>
      <c r="C757" s="23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50"/>
      <c r="BT757" s="50"/>
      <c r="BU757" s="50"/>
      <c r="BV757" s="50"/>
      <c r="BW757" s="50"/>
      <c r="BX757" s="50"/>
      <c r="BY757" s="50"/>
      <c r="BZ757" s="50"/>
      <c r="CA757" s="50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  <c r="CX757" s="21"/>
      <c r="CY757" s="21"/>
    </row>
    <row r="758">
      <c r="B758" s="18"/>
      <c r="C758" s="23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50"/>
      <c r="BT758" s="50"/>
      <c r="BU758" s="50"/>
      <c r="BV758" s="50"/>
      <c r="BW758" s="50"/>
      <c r="BX758" s="50"/>
      <c r="BY758" s="50"/>
      <c r="BZ758" s="50"/>
      <c r="CA758" s="50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  <c r="CX758" s="21"/>
      <c r="CY758" s="21"/>
    </row>
    <row r="759">
      <c r="B759" s="18"/>
      <c r="C759" s="23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50"/>
      <c r="BT759" s="50"/>
      <c r="BU759" s="50"/>
      <c r="BV759" s="50"/>
      <c r="BW759" s="50"/>
      <c r="BX759" s="50"/>
      <c r="BY759" s="50"/>
      <c r="BZ759" s="50"/>
      <c r="CA759" s="50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  <c r="CX759" s="21"/>
      <c r="CY759" s="21"/>
    </row>
    <row r="760">
      <c r="B760" s="18"/>
      <c r="C760" s="23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50"/>
      <c r="BT760" s="50"/>
      <c r="BU760" s="50"/>
      <c r="BV760" s="50"/>
      <c r="BW760" s="50"/>
      <c r="BX760" s="50"/>
      <c r="BY760" s="50"/>
      <c r="BZ760" s="50"/>
      <c r="CA760" s="50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  <c r="CX760" s="21"/>
      <c r="CY760" s="21"/>
    </row>
    <row r="761">
      <c r="B761" s="18"/>
      <c r="C761" s="23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50"/>
      <c r="BT761" s="50"/>
      <c r="BU761" s="50"/>
      <c r="BV761" s="50"/>
      <c r="BW761" s="50"/>
      <c r="BX761" s="50"/>
      <c r="BY761" s="50"/>
      <c r="BZ761" s="50"/>
      <c r="CA761" s="50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  <c r="CX761" s="21"/>
      <c r="CY761" s="21"/>
    </row>
    <row r="762">
      <c r="B762" s="18"/>
      <c r="C762" s="23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50"/>
      <c r="BT762" s="50"/>
      <c r="BU762" s="50"/>
      <c r="BV762" s="50"/>
      <c r="BW762" s="50"/>
      <c r="BX762" s="50"/>
      <c r="BY762" s="50"/>
      <c r="BZ762" s="50"/>
      <c r="CA762" s="50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  <c r="CX762" s="21"/>
      <c r="CY762" s="21"/>
    </row>
    <row r="763">
      <c r="B763" s="18"/>
      <c r="C763" s="23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50"/>
      <c r="BT763" s="50"/>
      <c r="BU763" s="50"/>
      <c r="BV763" s="50"/>
      <c r="BW763" s="50"/>
      <c r="BX763" s="50"/>
      <c r="BY763" s="50"/>
      <c r="BZ763" s="50"/>
      <c r="CA763" s="50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1"/>
      <c r="CY763" s="21"/>
    </row>
    <row r="764">
      <c r="B764" s="18"/>
      <c r="C764" s="23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50"/>
      <c r="BT764" s="50"/>
      <c r="BU764" s="50"/>
      <c r="BV764" s="50"/>
      <c r="BW764" s="50"/>
      <c r="BX764" s="50"/>
      <c r="BY764" s="50"/>
      <c r="BZ764" s="50"/>
      <c r="CA764" s="50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  <c r="CX764" s="21"/>
      <c r="CY764" s="21"/>
    </row>
    <row r="765">
      <c r="B765" s="18"/>
      <c r="C765" s="23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50"/>
      <c r="BT765" s="50"/>
      <c r="BU765" s="50"/>
      <c r="BV765" s="50"/>
      <c r="BW765" s="50"/>
      <c r="BX765" s="50"/>
      <c r="BY765" s="50"/>
      <c r="BZ765" s="50"/>
      <c r="CA765" s="50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  <c r="CX765" s="21"/>
      <c r="CY765" s="21"/>
    </row>
    <row r="766">
      <c r="B766" s="18"/>
      <c r="C766" s="23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50"/>
      <c r="BT766" s="50"/>
      <c r="BU766" s="50"/>
      <c r="BV766" s="50"/>
      <c r="BW766" s="50"/>
      <c r="BX766" s="50"/>
      <c r="BY766" s="50"/>
      <c r="BZ766" s="50"/>
      <c r="CA766" s="50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1"/>
      <c r="CY766" s="21"/>
    </row>
    <row r="767">
      <c r="B767" s="18"/>
      <c r="C767" s="23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50"/>
      <c r="BT767" s="50"/>
      <c r="BU767" s="50"/>
      <c r="BV767" s="50"/>
      <c r="BW767" s="50"/>
      <c r="BX767" s="50"/>
      <c r="BY767" s="50"/>
      <c r="BZ767" s="50"/>
      <c r="CA767" s="50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  <c r="CX767" s="21"/>
      <c r="CY767" s="21"/>
    </row>
    <row r="768">
      <c r="B768" s="18"/>
      <c r="C768" s="23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50"/>
      <c r="BT768" s="50"/>
      <c r="BU768" s="50"/>
      <c r="BV768" s="50"/>
      <c r="BW768" s="50"/>
      <c r="BX768" s="50"/>
      <c r="BY768" s="50"/>
      <c r="BZ768" s="50"/>
      <c r="CA768" s="50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  <c r="CX768" s="21"/>
      <c r="CY768" s="21"/>
    </row>
    <row r="769">
      <c r="B769" s="18"/>
      <c r="C769" s="23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50"/>
      <c r="BT769" s="50"/>
      <c r="BU769" s="50"/>
      <c r="BV769" s="50"/>
      <c r="BW769" s="50"/>
      <c r="BX769" s="50"/>
      <c r="BY769" s="50"/>
      <c r="BZ769" s="50"/>
      <c r="CA769" s="50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  <c r="CX769" s="21"/>
      <c r="CY769" s="21"/>
    </row>
    <row r="770">
      <c r="B770" s="18"/>
      <c r="C770" s="23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50"/>
      <c r="BT770" s="50"/>
      <c r="BU770" s="50"/>
      <c r="BV770" s="50"/>
      <c r="BW770" s="50"/>
      <c r="BX770" s="50"/>
      <c r="BY770" s="50"/>
      <c r="BZ770" s="50"/>
      <c r="CA770" s="50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  <c r="CX770" s="21"/>
      <c r="CY770" s="21"/>
    </row>
    <row r="771">
      <c r="B771" s="18"/>
      <c r="C771" s="23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50"/>
      <c r="BT771" s="50"/>
      <c r="BU771" s="50"/>
      <c r="BV771" s="50"/>
      <c r="BW771" s="50"/>
      <c r="BX771" s="50"/>
      <c r="BY771" s="50"/>
      <c r="BZ771" s="50"/>
      <c r="CA771" s="50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  <c r="CX771" s="21"/>
      <c r="CY771" s="21"/>
    </row>
    <row r="772">
      <c r="B772" s="18"/>
      <c r="C772" s="23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50"/>
      <c r="BT772" s="50"/>
      <c r="BU772" s="50"/>
      <c r="BV772" s="50"/>
      <c r="BW772" s="50"/>
      <c r="BX772" s="50"/>
      <c r="BY772" s="50"/>
      <c r="BZ772" s="50"/>
      <c r="CA772" s="50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  <c r="CX772" s="21"/>
      <c r="CY772" s="21"/>
    </row>
    <row r="773">
      <c r="B773" s="18"/>
      <c r="C773" s="23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50"/>
      <c r="BT773" s="50"/>
      <c r="BU773" s="50"/>
      <c r="BV773" s="50"/>
      <c r="BW773" s="50"/>
      <c r="BX773" s="50"/>
      <c r="BY773" s="50"/>
      <c r="BZ773" s="50"/>
      <c r="CA773" s="50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  <c r="CX773" s="21"/>
      <c r="CY773" s="21"/>
    </row>
    <row r="774">
      <c r="B774" s="18"/>
      <c r="C774" s="23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50"/>
      <c r="BT774" s="50"/>
      <c r="BU774" s="50"/>
      <c r="BV774" s="50"/>
      <c r="BW774" s="50"/>
      <c r="BX774" s="50"/>
      <c r="BY774" s="50"/>
      <c r="BZ774" s="50"/>
      <c r="CA774" s="50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  <c r="CX774" s="21"/>
      <c r="CY774" s="21"/>
    </row>
    <row r="775">
      <c r="B775" s="18"/>
      <c r="C775" s="23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50"/>
      <c r="BT775" s="50"/>
      <c r="BU775" s="50"/>
      <c r="BV775" s="50"/>
      <c r="BW775" s="50"/>
      <c r="BX775" s="50"/>
      <c r="BY775" s="50"/>
      <c r="BZ775" s="50"/>
      <c r="CA775" s="50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  <c r="CX775" s="21"/>
      <c r="CY775" s="21"/>
    </row>
    <row r="776">
      <c r="B776" s="18"/>
      <c r="C776" s="23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50"/>
      <c r="BT776" s="50"/>
      <c r="BU776" s="50"/>
      <c r="BV776" s="50"/>
      <c r="BW776" s="50"/>
      <c r="BX776" s="50"/>
      <c r="BY776" s="50"/>
      <c r="BZ776" s="50"/>
      <c r="CA776" s="50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  <c r="CX776" s="21"/>
      <c r="CY776" s="21"/>
    </row>
    <row r="777">
      <c r="B777" s="18"/>
      <c r="C777" s="23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50"/>
      <c r="BT777" s="50"/>
      <c r="BU777" s="50"/>
      <c r="BV777" s="50"/>
      <c r="BW777" s="50"/>
      <c r="BX777" s="50"/>
      <c r="BY777" s="50"/>
      <c r="BZ777" s="50"/>
      <c r="CA777" s="50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  <c r="CX777" s="21"/>
      <c r="CY777" s="21"/>
    </row>
    <row r="778">
      <c r="B778" s="18"/>
      <c r="C778" s="23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50"/>
      <c r="BT778" s="50"/>
      <c r="BU778" s="50"/>
      <c r="BV778" s="50"/>
      <c r="BW778" s="50"/>
      <c r="BX778" s="50"/>
      <c r="BY778" s="50"/>
      <c r="BZ778" s="50"/>
      <c r="CA778" s="50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  <c r="CX778" s="21"/>
      <c r="CY778" s="21"/>
    </row>
    <row r="779">
      <c r="B779" s="18"/>
      <c r="C779" s="23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50"/>
      <c r="BT779" s="50"/>
      <c r="BU779" s="50"/>
      <c r="BV779" s="50"/>
      <c r="BW779" s="50"/>
      <c r="BX779" s="50"/>
      <c r="BY779" s="50"/>
      <c r="BZ779" s="50"/>
      <c r="CA779" s="50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  <c r="CX779" s="21"/>
      <c r="CY779" s="21"/>
    </row>
    <row r="780">
      <c r="B780" s="18"/>
      <c r="C780" s="23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50"/>
      <c r="BT780" s="50"/>
      <c r="BU780" s="50"/>
      <c r="BV780" s="50"/>
      <c r="BW780" s="50"/>
      <c r="BX780" s="50"/>
      <c r="BY780" s="50"/>
      <c r="BZ780" s="50"/>
      <c r="CA780" s="50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  <c r="CX780" s="21"/>
      <c r="CY780" s="21"/>
    </row>
    <row r="781">
      <c r="B781" s="18"/>
      <c r="C781" s="23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50"/>
      <c r="BT781" s="50"/>
      <c r="BU781" s="50"/>
      <c r="BV781" s="50"/>
      <c r="BW781" s="50"/>
      <c r="BX781" s="50"/>
      <c r="BY781" s="50"/>
      <c r="BZ781" s="50"/>
      <c r="CA781" s="50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  <c r="CX781" s="21"/>
      <c r="CY781" s="21"/>
    </row>
    <row r="782">
      <c r="B782" s="18"/>
      <c r="C782" s="23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50"/>
      <c r="BT782" s="50"/>
      <c r="BU782" s="50"/>
      <c r="BV782" s="50"/>
      <c r="BW782" s="50"/>
      <c r="BX782" s="50"/>
      <c r="BY782" s="50"/>
      <c r="BZ782" s="50"/>
      <c r="CA782" s="50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</row>
    <row r="783">
      <c r="B783" s="18"/>
      <c r="C783" s="23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50"/>
      <c r="BT783" s="50"/>
      <c r="BU783" s="50"/>
      <c r="BV783" s="50"/>
      <c r="BW783" s="50"/>
      <c r="BX783" s="50"/>
      <c r="BY783" s="50"/>
      <c r="BZ783" s="50"/>
      <c r="CA783" s="50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  <c r="CX783" s="21"/>
      <c r="CY783" s="21"/>
    </row>
    <row r="784">
      <c r="B784" s="18"/>
      <c r="C784" s="23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50"/>
      <c r="BT784" s="50"/>
      <c r="BU784" s="50"/>
      <c r="BV784" s="50"/>
      <c r="BW784" s="50"/>
      <c r="BX784" s="50"/>
      <c r="BY784" s="50"/>
      <c r="BZ784" s="50"/>
      <c r="CA784" s="50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  <c r="CX784" s="21"/>
      <c r="CY784" s="21"/>
    </row>
    <row r="785">
      <c r="B785" s="18"/>
      <c r="C785" s="23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50"/>
      <c r="BT785" s="50"/>
      <c r="BU785" s="50"/>
      <c r="BV785" s="50"/>
      <c r="BW785" s="50"/>
      <c r="BX785" s="50"/>
      <c r="BY785" s="50"/>
      <c r="BZ785" s="50"/>
      <c r="CA785" s="50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  <c r="CX785" s="21"/>
      <c r="CY785" s="21"/>
    </row>
    <row r="786">
      <c r="B786" s="18"/>
      <c r="C786" s="23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50"/>
      <c r="BT786" s="50"/>
      <c r="BU786" s="50"/>
      <c r="BV786" s="50"/>
      <c r="BW786" s="50"/>
      <c r="BX786" s="50"/>
      <c r="BY786" s="50"/>
      <c r="BZ786" s="50"/>
      <c r="CA786" s="50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  <c r="CX786" s="21"/>
      <c r="CY786" s="21"/>
    </row>
    <row r="787">
      <c r="B787" s="18"/>
      <c r="C787" s="23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50"/>
      <c r="BT787" s="50"/>
      <c r="BU787" s="50"/>
      <c r="BV787" s="50"/>
      <c r="BW787" s="50"/>
      <c r="BX787" s="50"/>
      <c r="BY787" s="50"/>
      <c r="BZ787" s="50"/>
      <c r="CA787" s="50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  <c r="CX787" s="21"/>
      <c r="CY787" s="21"/>
    </row>
    <row r="788">
      <c r="B788" s="18"/>
      <c r="C788" s="23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50"/>
      <c r="BT788" s="50"/>
      <c r="BU788" s="50"/>
      <c r="BV788" s="50"/>
      <c r="BW788" s="50"/>
      <c r="BX788" s="50"/>
      <c r="BY788" s="50"/>
      <c r="BZ788" s="50"/>
      <c r="CA788" s="50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  <c r="CX788" s="21"/>
      <c r="CY788" s="21"/>
    </row>
    <row r="789">
      <c r="B789" s="18"/>
      <c r="C789" s="23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50"/>
      <c r="BT789" s="50"/>
      <c r="BU789" s="50"/>
      <c r="BV789" s="50"/>
      <c r="BW789" s="50"/>
      <c r="BX789" s="50"/>
      <c r="BY789" s="50"/>
      <c r="BZ789" s="50"/>
      <c r="CA789" s="50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  <c r="CX789" s="21"/>
      <c r="CY789" s="21"/>
    </row>
    <row r="790">
      <c r="B790" s="18"/>
      <c r="C790" s="23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50"/>
      <c r="BT790" s="50"/>
      <c r="BU790" s="50"/>
      <c r="BV790" s="50"/>
      <c r="BW790" s="50"/>
      <c r="BX790" s="50"/>
      <c r="BY790" s="50"/>
      <c r="BZ790" s="50"/>
      <c r="CA790" s="50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  <c r="CX790" s="21"/>
      <c r="CY790" s="21"/>
    </row>
    <row r="791">
      <c r="B791" s="18"/>
      <c r="C791" s="23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50"/>
      <c r="BT791" s="50"/>
      <c r="BU791" s="50"/>
      <c r="BV791" s="50"/>
      <c r="BW791" s="50"/>
      <c r="BX791" s="50"/>
      <c r="BY791" s="50"/>
      <c r="BZ791" s="50"/>
      <c r="CA791" s="50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  <c r="CX791" s="21"/>
      <c r="CY791" s="21"/>
    </row>
    <row r="792">
      <c r="B792" s="18"/>
      <c r="C792" s="23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50"/>
      <c r="BT792" s="50"/>
      <c r="BU792" s="50"/>
      <c r="BV792" s="50"/>
      <c r="BW792" s="50"/>
      <c r="BX792" s="50"/>
      <c r="BY792" s="50"/>
      <c r="BZ792" s="50"/>
      <c r="CA792" s="50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  <c r="CX792" s="21"/>
      <c r="CY792" s="21"/>
    </row>
    <row r="793">
      <c r="B793" s="18"/>
      <c r="C793" s="23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50"/>
      <c r="BT793" s="50"/>
      <c r="BU793" s="50"/>
      <c r="BV793" s="50"/>
      <c r="BW793" s="50"/>
      <c r="BX793" s="50"/>
      <c r="BY793" s="50"/>
      <c r="BZ793" s="50"/>
      <c r="CA793" s="50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  <c r="CX793" s="21"/>
      <c r="CY793" s="21"/>
    </row>
    <row r="794">
      <c r="B794" s="18"/>
      <c r="C794" s="23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50"/>
      <c r="BT794" s="50"/>
      <c r="BU794" s="50"/>
      <c r="BV794" s="50"/>
      <c r="BW794" s="50"/>
      <c r="BX794" s="50"/>
      <c r="BY794" s="50"/>
      <c r="BZ794" s="50"/>
      <c r="CA794" s="50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  <c r="CX794" s="21"/>
      <c r="CY794" s="21"/>
    </row>
    <row r="795">
      <c r="B795" s="18"/>
      <c r="C795" s="23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50"/>
      <c r="BT795" s="50"/>
      <c r="BU795" s="50"/>
      <c r="BV795" s="50"/>
      <c r="BW795" s="50"/>
      <c r="BX795" s="50"/>
      <c r="BY795" s="50"/>
      <c r="BZ795" s="50"/>
      <c r="CA795" s="50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  <c r="CX795" s="21"/>
      <c r="CY795" s="21"/>
    </row>
    <row r="796">
      <c r="B796" s="18"/>
      <c r="C796" s="23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50"/>
      <c r="BT796" s="50"/>
      <c r="BU796" s="50"/>
      <c r="BV796" s="50"/>
      <c r="BW796" s="50"/>
      <c r="BX796" s="50"/>
      <c r="BY796" s="50"/>
      <c r="BZ796" s="50"/>
      <c r="CA796" s="50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  <c r="CX796" s="21"/>
      <c r="CY796" s="21"/>
    </row>
    <row r="797">
      <c r="B797" s="18"/>
      <c r="C797" s="23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50"/>
      <c r="BT797" s="50"/>
      <c r="BU797" s="50"/>
      <c r="BV797" s="50"/>
      <c r="BW797" s="50"/>
      <c r="BX797" s="50"/>
      <c r="BY797" s="50"/>
      <c r="BZ797" s="50"/>
      <c r="CA797" s="50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  <c r="CX797" s="21"/>
      <c r="CY797" s="21"/>
    </row>
    <row r="798">
      <c r="B798" s="18"/>
      <c r="C798" s="23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50"/>
      <c r="BT798" s="50"/>
      <c r="BU798" s="50"/>
      <c r="BV798" s="50"/>
      <c r="BW798" s="50"/>
      <c r="BX798" s="50"/>
      <c r="BY798" s="50"/>
      <c r="BZ798" s="50"/>
      <c r="CA798" s="50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1"/>
      <c r="CY798" s="21"/>
    </row>
    <row r="799">
      <c r="B799" s="18"/>
      <c r="C799" s="23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50"/>
      <c r="BT799" s="50"/>
      <c r="BU799" s="50"/>
      <c r="BV799" s="50"/>
      <c r="BW799" s="50"/>
      <c r="BX799" s="50"/>
      <c r="BY799" s="50"/>
      <c r="BZ799" s="50"/>
      <c r="CA799" s="50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  <c r="CX799" s="21"/>
      <c r="CY799" s="21"/>
    </row>
    <row r="800">
      <c r="B800" s="18"/>
      <c r="C800" s="23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50"/>
      <c r="BT800" s="50"/>
      <c r="BU800" s="50"/>
      <c r="BV800" s="50"/>
      <c r="BW800" s="50"/>
      <c r="BX800" s="50"/>
      <c r="BY800" s="50"/>
      <c r="BZ800" s="50"/>
      <c r="CA800" s="50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  <c r="CX800" s="21"/>
      <c r="CY800" s="21"/>
    </row>
    <row r="801">
      <c r="B801" s="18"/>
      <c r="C801" s="23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50"/>
      <c r="BT801" s="50"/>
      <c r="BU801" s="50"/>
      <c r="BV801" s="50"/>
      <c r="BW801" s="50"/>
      <c r="BX801" s="50"/>
      <c r="BY801" s="50"/>
      <c r="BZ801" s="50"/>
      <c r="CA801" s="50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  <c r="CX801" s="21"/>
      <c r="CY801" s="21"/>
    </row>
    <row r="802">
      <c r="B802" s="18"/>
      <c r="C802" s="23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50"/>
      <c r="BT802" s="50"/>
      <c r="BU802" s="50"/>
      <c r="BV802" s="50"/>
      <c r="BW802" s="50"/>
      <c r="BX802" s="50"/>
      <c r="BY802" s="50"/>
      <c r="BZ802" s="50"/>
      <c r="CA802" s="50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  <c r="CX802" s="21"/>
      <c r="CY802" s="21"/>
    </row>
    <row r="803">
      <c r="B803" s="18"/>
      <c r="C803" s="23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50"/>
      <c r="BT803" s="50"/>
      <c r="BU803" s="50"/>
      <c r="BV803" s="50"/>
      <c r="BW803" s="50"/>
      <c r="BX803" s="50"/>
      <c r="BY803" s="50"/>
      <c r="BZ803" s="50"/>
      <c r="CA803" s="50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  <c r="CX803" s="21"/>
      <c r="CY803" s="21"/>
    </row>
    <row r="804">
      <c r="B804" s="18"/>
      <c r="C804" s="23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50"/>
      <c r="BT804" s="50"/>
      <c r="BU804" s="50"/>
      <c r="BV804" s="50"/>
      <c r="BW804" s="50"/>
      <c r="BX804" s="50"/>
      <c r="BY804" s="50"/>
      <c r="BZ804" s="50"/>
      <c r="CA804" s="50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  <c r="CX804" s="21"/>
      <c r="CY804" s="21"/>
    </row>
    <row r="805">
      <c r="B805" s="18"/>
      <c r="C805" s="23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50"/>
      <c r="BT805" s="50"/>
      <c r="BU805" s="50"/>
      <c r="BV805" s="50"/>
      <c r="BW805" s="50"/>
      <c r="BX805" s="50"/>
      <c r="BY805" s="50"/>
      <c r="BZ805" s="50"/>
      <c r="CA805" s="50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  <c r="CX805" s="21"/>
      <c r="CY805" s="21"/>
    </row>
    <row r="806">
      <c r="B806" s="18"/>
      <c r="C806" s="23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50"/>
      <c r="BT806" s="50"/>
      <c r="BU806" s="50"/>
      <c r="BV806" s="50"/>
      <c r="BW806" s="50"/>
      <c r="BX806" s="50"/>
      <c r="BY806" s="50"/>
      <c r="BZ806" s="50"/>
      <c r="CA806" s="50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  <c r="CX806" s="21"/>
      <c r="CY806" s="21"/>
    </row>
    <row r="807">
      <c r="B807" s="18"/>
      <c r="C807" s="23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50"/>
      <c r="BT807" s="50"/>
      <c r="BU807" s="50"/>
      <c r="BV807" s="50"/>
      <c r="BW807" s="50"/>
      <c r="BX807" s="50"/>
      <c r="BY807" s="50"/>
      <c r="BZ807" s="50"/>
      <c r="CA807" s="50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  <c r="CX807" s="21"/>
      <c r="CY807" s="21"/>
    </row>
    <row r="808">
      <c r="B808" s="18"/>
      <c r="C808" s="23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50"/>
      <c r="BT808" s="50"/>
      <c r="BU808" s="50"/>
      <c r="BV808" s="50"/>
      <c r="BW808" s="50"/>
      <c r="BX808" s="50"/>
      <c r="BY808" s="50"/>
      <c r="BZ808" s="50"/>
      <c r="CA808" s="50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  <c r="CX808" s="21"/>
      <c r="CY808" s="21"/>
    </row>
    <row r="809">
      <c r="B809" s="18"/>
      <c r="C809" s="23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50"/>
      <c r="BT809" s="50"/>
      <c r="BU809" s="50"/>
      <c r="BV809" s="50"/>
      <c r="BW809" s="50"/>
      <c r="BX809" s="50"/>
      <c r="BY809" s="50"/>
      <c r="BZ809" s="50"/>
      <c r="CA809" s="50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  <c r="CX809" s="21"/>
      <c r="CY809" s="21"/>
    </row>
    <row r="810">
      <c r="B810" s="18"/>
      <c r="C810" s="23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50"/>
      <c r="BT810" s="50"/>
      <c r="BU810" s="50"/>
      <c r="BV810" s="50"/>
      <c r="BW810" s="50"/>
      <c r="BX810" s="50"/>
      <c r="BY810" s="50"/>
      <c r="BZ810" s="50"/>
      <c r="CA810" s="50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1"/>
      <c r="CY810" s="21"/>
    </row>
    <row r="811">
      <c r="B811" s="18"/>
      <c r="C811" s="23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50"/>
      <c r="BT811" s="50"/>
      <c r="BU811" s="50"/>
      <c r="BV811" s="50"/>
      <c r="BW811" s="50"/>
      <c r="BX811" s="50"/>
      <c r="BY811" s="50"/>
      <c r="BZ811" s="50"/>
      <c r="CA811" s="50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  <c r="CX811" s="21"/>
      <c r="CY811" s="21"/>
    </row>
    <row r="812">
      <c r="B812" s="18"/>
      <c r="C812" s="23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50"/>
      <c r="BT812" s="50"/>
      <c r="BU812" s="50"/>
      <c r="BV812" s="50"/>
      <c r="BW812" s="50"/>
      <c r="BX812" s="50"/>
      <c r="BY812" s="50"/>
      <c r="BZ812" s="50"/>
      <c r="CA812" s="50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  <c r="CX812" s="21"/>
      <c r="CY812" s="21"/>
    </row>
    <row r="813">
      <c r="B813" s="18"/>
      <c r="C813" s="23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50"/>
      <c r="BT813" s="50"/>
      <c r="BU813" s="50"/>
      <c r="BV813" s="50"/>
      <c r="BW813" s="50"/>
      <c r="BX813" s="50"/>
      <c r="BY813" s="50"/>
      <c r="BZ813" s="50"/>
      <c r="CA813" s="50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  <c r="CX813" s="21"/>
      <c r="CY813" s="21"/>
    </row>
    <row r="814">
      <c r="B814" s="18"/>
      <c r="C814" s="23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50"/>
      <c r="BT814" s="50"/>
      <c r="BU814" s="50"/>
      <c r="BV814" s="50"/>
      <c r="BW814" s="50"/>
      <c r="BX814" s="50"/>
      <c r="BY814" s="50"/>
      <c r="BZ814" s="50"/>
      <c r="CA814" s="50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  <c r="CX814" s="21"/>
      <c r="CY814" s="21"/>
    </row>
    <row r="815">
      <c r="B815" s="18"/>
      <c r="C815" s="23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50"/>
      <c r="BT815" s="50"/>
      <c r="BU815" s="50"/>
      <c r="BV815" s="50"/>
      <c r="BW815" s="50"/>
      <c r="BX815" s="50"/>
      <c r="BY815" s="50"/>
      <c r="BZ815" s="50"/>
      <c r="CA815" s="50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  <c r="CX815" s="21"/>
      <c r="CY815" s="21"/>
    </row>
    <row r="816">
      <c r="B816" s="18"/>
      <c r="C816" s="23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50"/>
      <c r="BT816" s="50"/>
      <c r="BU816" s="50"/>
      <c r="BV816" s="50"/>
      <c r="BW816" s="50"/>
      <c r="BX816" s="50"/>
      <c r="BY816" s="50"/>
      <c r="BZ816" s="50"/>
      <c r="CA816" s="50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  <c r="CX816" s="21"/>
      <c r="CY816" s="21"/>
    </row>
    <row r="817">
      <c r="B817" s="18"/>
      <c r="C817" s="23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50"/>
      <c r="BT817" s="50"/>
      <c r="BU817" s="50"/>
      <c r="BV817" s="50"/>
      <c r="BW817" s="50"/>
      <c r="BX817" s="50"/>
      <c r="BY817" s="50"/>
      <c r="BZ817" s="50"/>
      <c r="CA817" s="50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  <c r="CX817" s="21"/>
      <c r="CY817" s="21"/>
    </row>
    <row r="818">
      <c r="B818" s="18"/>
      <c r="C818" s="23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50"/>
      <c r="BT818" s="50"/>
      <c r="BU818" s="50"/>
      <c r="BV818" s="50"/>
      <c r="BW818" s="50"/>
      <c r="BX818" s="50"/>
      <c r="BY818" s="50"/>
      <c r="BZ818" s="50"/>
      <c r="CA818" s="50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  <c r="CX818" s="21"/>
      <c r="CY818" s="21"/>
    </row>
    <row r="819">
      <c r="B819" s="18"/>
      <c r="C819" s="23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50"/>
      <c r="BT819" s="50"/>
      <c r="BU819" s="50"/>
      <c r="BV819" s="50"/>
      <c r="BW819" s="50"/>
      <c r="BX819" s="50"/>
      <c r="BY819" s="50"/>
      <c r="BZ819" s="50"/>
      <c r="CA819" s="50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  <c r="CX819" s="21"/>
      <c r="CY819" s="21"/>
    </row>
    <row r="820">
      <c r="B820" s="18"/>
      <c r="C820" s="23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50"/>
      <c r="BT820" s="50"/>
      <c r="BU820" s="50"/>
      <c r="BV820" s="50"/>
      <c r="BW820" s="50"/>
      <c r="BX820" s="50"/>
      <c r="BY820" s="50"/>
      <c r="BZ820" s="50"/>
      <c r="CA820" s="50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  <c r="CX820" s="21"/>
      <c r="CY820" s="21"/>
    </row>
    <row r="821">
      <c r="B821" s="18"/>
      <c r="C821" s="23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50"/>
      <c r="BT821" s="50"/>
      <c r="BU821" s="50"/>
      <c r="BV821" s="50"/>
      <c r="BW821" s="50"/>
      <c r="BX821" s="50"/>
      <c r="BY821" s="50"/>
      <c r="BZ821" s="50"/>
      <c r="CA821" s="50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  <c r="CX821" s="21"/>
      <c r="CY821" s="21"/>
    </row>
    <row r="822">
      <c r="B822" s="18"/>
      <c r="C822" s="23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50"/>
      <c r="BT822" s="50"/>
      <c r="BU822" s="50"/>
      <c r="BV822" s="50"/>
      <c r="BW822" s="50"/>
      <c r="BX822" s="50"/>
      <c r="BY822" s="50"/>
      <c r="BZ822" s="50"/>
      <c r="CA822" s="50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</row>
    <row r="823">
      <c r="B823" s="18"/>
      <c r="C823" s="23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50"/>
      <c r="BT823" s="50"/>
      <c r="BU823" s="50"/>
      <c r="BV823" s="50"/>
      <c r="BW823" s="50"/>
      <c r="BX823" s="50"/>
      <c r="BY823" s="50"/>
      <c r="BZ823" s="50"/>
      <c r="CA823" s="50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  <c r="CX823" s="21"/>
      <c r="CY823" s="21"/>
    </row>
    <row r="824">
      <c r="B824" s="18"/>
      <c r="C824" s="23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50"/>
      <c r="BT824" s="50"/>
      <c r="BU824" s="50"/>
      <c r="BV824" s="50"/>
      <c r="BW824" s="50"/>
      <c r="BX824" s="50"/>
      <c r="BY824" s="50"/>
      <c r="BZ824" s="50"/>
      <c r="CA824" s="50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1"/>
      <c r="CY824" s="21"/>
    </row>
    <row r="825">
      <c r="B825" s="18"/>
      <c r="C825" s="23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50"/>
      <c r="BT825" s="50"/>
      <c r="BU825" s="50"/>
      <c r="BV825" s="50"/>
      <c r="BW825" s="50"/>
      <c r="BX825" s="50"/>
      <c r="BY825" s="50"/>
      <c r="BZ825" s="50"/>
      <c r="CA825" s="50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  <c r="CX825" s="21"/>
      <c r="CY825" s="21"/>
    </row>
    <row r="826">
      <c r="B826" s="18"/>
      <c r="C826" s="23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50"/>
      <c r="BT826" s="50"/>
      <c r="BU826" s="50"/>
      <c r="BV826" s="50"/>
      <c r="BW826" s="50"/>
      <c r="BX826" s="50"/>
      <c r="BY826" s="50"/>
      <c r="BZ826" s="50"/>
      <c r="CA826" s="50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1"/>
      <c r="CY826" s="21"/>
    </row>
    <row r="827">
      <c r="B827" s="18"/>
      <c r="C827" s="23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50"/>
      <c r="BT827" s="50"/>
      <c r="BU827" s="50"/>
      <c r="BV827" s="50"/>
      <c r="BW827" s="50"/>
      <c r="BX827" s="50"/>
      <c r="BY827" s="50"/>
      <c r="BZ827" s="50"/>
      <c r="CA827" s="50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</row>
    <row r="828">
      <c r="B828" s="18"/>
      <c r="C828" s="23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50"/>
      <c r="BT828" s="50"/>
      <c r="BU828" s="50"/>
      <c r="BV828" s="50"/>
      <c r="BW828" s="50"/>
      <c r="BX828" s="50"/>
      <c r="BY828" s="50"/>
      <c r="BZ828" s="50"/>
      <c r="CA828" s="50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  <c r="CX828" s="21"/>
      <c r="CY828" s="21"/>
    </row>
    <row r="829">
      <c r="B829" s="18"/>
      <c r="C829" s="23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50"/>
      <c r="BT829" s="50"/>
      <c r="BU829" s="50"/>
      <c r="BV829" s="50"/>
      <c r="BW829" s="50"/>
      <c r="BX829" s="50"/>
      <c r="BY829" s="50"/>
      <c r="BZ829" s="50"/>
      <c r="CA829" s="50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  <c r="CX829" s="21"/>
      <c r="CY829" s="21"/>
    </row>
    <row r="830">
      <c r="B830" s="18"/>
      <c r="C830" s="23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50"/>
      <c r="BT830" s="50"/>
      <c r="BU830" s="50"/>
      <c r="BV830" s="50"/>
      <c r="BW830" s="50"/>
      <c r="BX830" s="50"/>
      <c r="BY830" s="50"/>
      <c r="BZ830" s="50"/>
      <c r="CA830" s="50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  <c r="CX830" s="21"/>
      <c r="CY830" s="21"/>
    </row>
    <row r="831">
      <c r="B831" s="18"/>
      <c r="C831" s="23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50"/>
      <c r="BT831" s="50"/>
      <c r="BU831" s="50"/>
      <c r="BV831" s="50"/>
      <c r="BW831" s="50"/>
      <c r="BX831" s="50"/>
      <c r="BY831" s="50"/>
      <c r="BZ831" s="50"/>
      <c r="CA831" s="50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1"/>
      <c r="CY831" s="21"/>
    </row>
    <row r="832">
      <c r="B832" s="18"/>
      <c r="C832" s="23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50"/>
      <c r="BT832" s="50"/>
      <c r="BU832" s="50"/>
      <c r="BV832" s="50"/>
      <c r="BW832" s="50"/>
      <c r="BX832" s="50"/>
      <c r="BY832" s="50"/>
      <c r="BZ832" s="50"/>
      <c r="CA832" s="50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</row>
    <row r="833">
      <c r="B833" s="18"/>
      <c r="C833" s="23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50"/>
      <c r="BT833" s="50"/>
      <c r="BU833" s="50"/>
      <c r="BV833" s="50"/>
      <c r="BW833" s="50"/>
      <c r="BX833" s="50"/>
      <c r="BY833" s="50"/>
      <c r="BZ833" s="50"/>
      <c r="CA833" s="50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1"/>
      <c r="CY833" s="21"/>
    </row>
    <row r="834">
      <c r="B834" s="18"/>
      <c r="C834" s="23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50"/>
      <c r="BT834" s="50"/>
      <c r="BU834" s="50"/>
      <c r="BV834" s="50"/>
      <c r="BW834" s="50"/>
      <c r="BX834" s="50"/>
      <c r="BY834" s="50"/>
      <c r="BZ834" s="50"/>
      <c r="CA834" s="50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1"/>
      <c r="CY834" s="21"/>
    </row>
    <row r="835">
      <c r="B835" s="18"/>
      <c r="C835" s="23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50"/>
      <c r="BT835" s="50"/>
      <c r="BU835" s="50"/>
      <c r="BV835" s="50"/>
      <c r="BW835" s="50"/>
      <c r="BX835" s="50"/>
      <c r="BY835" s="50"/>
      <c r="BZ835" s="50"/>
      <c r="CA835" s="50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</row>
    <row r="836">
      <c r="B836" s="18"/>
      <c r="C836" s="23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50"/>
      <c r="BT836" s="50"/>
      <c r="BU836" s="50"/>
      <c r="BV836" s="50"/>
      <c r="BW836" s="50"/>
      <c r="BX836" s="50"/>
      <c r="BY836" s="50"/>
      <c r="BZ836" s="50"/>
      <c r="CA836" s="50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  <c r="CX836" s="21"/>
      <c r="CY836" s="21"/>
    </row>
    <row r="837">
      <c r="B837" s="18"/>
      <c r="C837" s="23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50"/>
      <c r="BT837" s="50"/>
      <c r="BU837" s="50"/>
      <c r="BV837" s="50"/>
      <c r="BW837" s="50"/>
      <c r="BX837" s="50"/>
      <c r="BY837" s="50"/>
      <c r="BZ837" s="50"/>
      <c r="CA837" s="50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  <c r="CX837" s="21"/>
      <c r="CY837" s="21"/>
    </row>
    <row r="838">
      <c r="B838" s="18"/>
      <c r="C838" s="23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50"/>
      <c r="BT838" s="50"/>
      <c r="BU838" s="50"/>
      <c r="BV838" s="50"/>
      <c r="BW838" s="50"/>
      <c r="BX838" s="50"/>
      <c r="BY838" s="50"/>
      <c r="BZ838" s="50"/>
      <c r="CA838" s="50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1"/>
      <c r="CY838" s="21"/>
    </row>
    <row r="839">
      <c r="B839" s="18"/>
      <c r="C839" s="23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50"/>
      <c r="BT839" s="50"/>
      <c r="BU839" s="50"/>
      <c r="BV839" s="50"/>
      <c r="BW839" s="50"/>
      <c r="BX839" s="50"/>
      <c r="BY839" s="50"/>
      <c r="BZ839" s="50"/>
      <c r="CA839" s="50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  <c r="CX839" s="21"/>
      <c r="CY839" s="21"/>
    </row>
    <row r="840">
      <c r="B840" s="18"/>
      <c r="C840" s="23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50"/>
      <c r="BT840" s="50"/>
      <c r="BU840" s="50"/>
      <c r="BV840" s="50"/>
      <c r="BW840" s="50"/>
      <c r="BX840" s="50"/>
      <c r="BY840" s="50"/>
      <c r="BZ840" s="50"/>
      <c r="CA840" s="50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1"/>
      <c r="CY840" s="21"/>
    </row>
    <row r="841">
      <c r="B841" s="18"/>
      <c r="C841" s="23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50"/>
      <c r="BT841" s="50"/>
      <c r="BU841" s="50"/>
      <c r="BV841" s="50"/>
      <c r="BW841" s="50"/>
      <c r="BX841" s="50"/>
      <c r="BY841" s="50"/>
      <c r="BZ841" s="50"/>
      <c r="CA841" s="50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1"/>
      <c r="CY841" s="21"/>
    </row>
    <row r="842">
      <c r="B842" s="18"/>
      <c r="C842" s="23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50"/>
      <c r="BT842" s="50"/>
      <c r="BU842" s="50"/>
      <c r="BV842" s="50"/>
      <c r="BW842" s="50"/>
      <c r="BX842" s="50"/>
      <c r="BY842" s="50"/>
      <c r="BZ842" s="50"/>
      <c r="CA842" s="50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1"/>
      <c r="CY842" s="21"/>
    </row>
    <row r="843">
      <c r="B843" s="18"/>
      <c r="C843" s="23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50"/>
      <c r="BT843" s="50"/>
      <c r="BU843" s="50"/>
      <c r="BV843" s="50"/>
      <c r="BW843" s="50"/>
      <c r="BX843" s="50"/>
      <c r="BY843" s="50"/>
      <c r="BZ843" s="50"/>
      <c r="CA843" s="50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1"/>
      <c r="CY843" s="21"/>
    </row>
    <row r="844">
      <c r="B844" s="18"/>
      <c r="C844" s="23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50"/>
      <c r="BT844" s="50"/>
      <c r="BU844" s="50"/>
      <c r="BV844" s="50"/>
      <c r="BW844" s="50"/>
      <c r="BX844" s="50"/>
      <c r="BY844" s="50"/>
      <c r="BZ844" s="50"/>
      <c r="CA844" s="50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1"/>
      <c r="CY844" s="21"/>
    </row>
    <row r="845">
      <c r="B845" s="18"/>
      <c r="C845" s="23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50"/>
      <c r="BT845" s="50"/>
      <c r="BU845" s="50"/>
      <c r="BV845" s="50"/>
      <c r="BW845" s="50"/>
      <c r="BX845" s="50"/>
      <c r="BY845" s="50"/>
      <c r="BZ845" s="50"/>
      <c r="CA845" s="50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1"/>
      <c r="CY845" s="21"/>
    </row>
    <row r="846">
      <c r="B846" s="18"/>
      <c r="C846" s="23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50"/>
      <c r="BT846" s="50"/>
      <c r="BU846" s="50"/>
      <c r="BV846" s="50"/>
      <c r="BW846" s="50"/>
      <c r="BX846" s="50"/>
      <c r="BY846" s="50"/>
      <c r="BZ846" s="50"/>
      <c r="CA846" s="50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</row>
    <row r="847">
      <c r="B847" s="18"/>
      <c r="C847" s="23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50"/>
      <c r="BT847" s="50"/>
      <c r="BU847" s="50"/>
      <c r="BV847" s="50"/>
      <c r="BW847" s="50"/>
      <c r="BX847" s="50"/>
      <c r="BY847" s="50"/>
      <c r="BZ847" s="50"/>
      <c r="CA847" s="50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  <c r="CX847" s="21"/>
      <c r="CY847" s="21"/>
    </row>
    <row r="848">
      <c r="B848" s="18"/>
      <c r="C848" s="23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50"/>
      <c r="BT848" s="50"/>
      <c r="BU848" s="50"/>
      <c r="BV848" s="50"/>
      <c r="BW848" s="50"/>
      <c r="BX848" s="50"/>
      <c r="BY848" s="50"/>
      <c r="BZ848" s="50"/>
      <c r="CA848" s="50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1"/>
      <c r="CY848" s="21"/>
    </row>
    <row r="849">
      <c r="B849" s="18"/>
      <c r="C849" s="23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50"/>
      <c r="BT849" s="50"/>
      <c r="BU849" s="50"/>
      <c r="BV849" s="50"/>
      <c r="BW849" s="50"/>
      <c r="BX849" s="50"/>
      <c r="BY849" s="50"/>
      <c r="BZ849" s="50"/>
      <c r="CA849" s="50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1"/>
      <c r="CY849" s="21"/>
    </row>
    <row r="850">
      <c r="B850" s="18"/>
      <c r="C850" s="23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50"/>
      <c r="BT850" s="50"/>
      <c r="BU850" s="50"/>
      <c r="BV850" s="50"/>
      <c r="BW850" s="50"/>
      <c r="BX850" s="50"/>
      <c r="BY850" s="50"/>
      <c r="BZ850" s="50"/>
      <c r="CA850" s="50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  <c r="CX850" s="21"/>
      <c r="CY850" s="21"/>
    </row>
    <row r="851">
      <c r="B851" s="18"/>
      <c r="C851" s="23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50"/>
      <c r="BT851" s="50"/>
      <c r="BU851" s="50"/>
      <c r="BV851" s="50"/>
      <c r="BW851" s="50"/>
      <c r="BX851" s="50"/>
      <c r="BY851" s="50"/>
      <c r="BZ851" s="50"/>
      <c r="CA851" s="50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1"/>
      <c r="CY851" s="21"/>
    </row>
    <row r="852">
      <c r="B852" s="18"/>
      <c r="C852" s="23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50"/>
      <c r="BT852" s="50"/>
      <c r="BU852" s="50"/>
      <c r="BV852" s="50"/>
      <c r="BW852" s="50"/>
      <c r="BX852" s="50"/>
      <c r="BY852" s="50"/>
      <c r="BZ852" s="50"/>
      <c r="CA852" s="50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1"/>
      <c r="CY852" s="21"/>
    </row>
    <row r="853">
      <c r="B853" s="18"/>
      <c r="C853" s="23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50"/>
      <c r="BT853" s="50"/>
      <c r="BU853" s="50"/>
      <c r="BV853" s="50"/>
      <c r="BW853" s="50"/>
      <c r="BX853" s="50"/>
      <c r="BY853" s="50"/>
      <c r="BZ853" s="50"/>
      <c r="CA853" s="50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  <c r="CX853" s="21"/>
      <c r="CY853" s="21"/>
    </row>
    <row r="854">
      <c r="B854" s="18"/>
      <c r="C854" s="23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50"/>
      <c r="BT854" s="50"/>
      <c r="BU854" s="50"/>
      <c r="BV854" s="50"/>
      <c r="BW854" s="50"/>
      <c r="BX854" s="50"/>
      <c r="BY854" s="50"/>
      <c r="BZ854" s="50"/>
      <c r="CA854" s="50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  <c r="CX854" s="21"/>
      <c r="CY854" s="21"/>
    </row>
    <row r="855">
      <c r="B855" s="18"/>
      <c r="C855" s="23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50"/>
      <c r="BT855" s="50"/>
      <c r="BU855" s="50"/>
      <c r="BV855" s="50"/>
      <c r="BW855" s="50"/>
      <c r="BX855" s="50"/>
      <c r="BY855" s="50"/>
      <c r="BZ855" s="50"/>
      <c r="CA855" s="50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  <c r="CX855" s="21"/>
      <c r="CY855" s="21"/>
    </row>
    <row r="856">
      <c r="B856" s="18"/>
      <c r="C856" s="23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50"/>
      <c r="BT856" s="50"/>
      <c r="BU856" s="50"/>
      <c r="BV856" s="50"/>
      <c r="BW856" s="50"/>
      <c r="BX856" s="50"/>
      <c r="BY856" s="50"/>
      <c r="BZ856" s="50"/>
      <c r="CA856" s="50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1"/>
      <c r="CY856" s="21"/>
    </row>
    <row r="857">
      <c r="B857" s="18"/>
      <c r="C857" s="23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50"/>
      <c r="BT857" s="50"/>
      <c r="BU857" s="50"/>
      <c r="BV857" s="50"/>
      <c r="BW857" s="50"/>
      <c r="BX857" s="50"/>
      <c r="BY857" s="50"/>
      <c r="BZ857" s="50"/>
      <c r="CA857" s="50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1"/>
      <c r="CY857" s="21"/>
    </row>
    <row r="858">
      <c r="B858" s="18"/>
      <c r="C858" s="23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50"/>
      <c r="BT858" s="50"/>
      <c r="BU858" s="50"/>
      <c r="BV858" s="50"/>
      <c r="BW858" s="50"/>
      <c r="BX858" s="50"/>
      <c r="BY858" s="50"/>
      <c r="BZ858" s="50"/>
      <c r="CA858" s="50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  <c r="CX858" s="21"/>
      <c r="CY858" s="21"/>
    </row>
    <row r="859">
      <c r="B859" s="18"/>
      <c r="C859" s="23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50"/>
      <c r="BT859" s="50"/>
      <c r="BU859" s="50"/>
      <c r="BV859" s="50"/>
      <c r="BW859" s="50"/>
      <c r="BX859" s="50"/>
      <c r="BY859" s="50"/>
      <c r="BZ859" s="50"/>
      <c r="CA859" s="50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  <c r="CX859" s="21"/>
      <c r="CY859" s="21"/>
    </row>
    <row r="860">
      <c r="B860" s="18"/>
      <c r="C860" s="23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50"/>
      <c r="BT860" s="50"/>
      <c r="BU860" s="50"/>
      <c r="BV860" s="50"/>
      <c r="BW860" s="50"/>
      <c r="BX860" s="50"/>
      <c r="BY860" s="50"/>
      <c r="BZ860" s="50"/>
      <c r="CA860" s="50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1"/>
      <c r="CY860" s="21"/>
    </row>
    <row r="861">
      <c r="B861" s="18"/>
      <c r="C861" s="23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50"/>
      <c r="BT861" s="50"/>
      <c r="BU861" s="50"/>
      <c r="BV861" s="50"/>
      <c r="BW861" s="50"/>
      <c r="BX861" s="50"/>
      <c r="BY861" s="50"/>
      <c r="BZ861" s="50"/>
      <c r="CA861" s="50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  <c r="CX861" s="21"/>
      <c r="CY861" s="21"/>
    </row>
    <row r="862">
      <c r="B862" s="18"/>
      <c r="C862" s="23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50"/>
      <c r="BT862" s="50"/>
      <c r="BU862" s="50"/>
      <c r="BV862" s="50"/>
      <c r="BW862" s="50"/>
      <c r="BX862" s="50"/>
      <c r="BY862" s="50"/>
      <c r="BZ862" s="50"/>
      <c r="CA862" s="50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1"/>
      <c r="CY862" s="21"/>
    </row>
    <row r="863">
      <c r="B863" s="18"/>
      <c r="C863" s="23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50"/>
      <c r="BT863" s="50"/>
      <c r="BU863" s="50"/>
      <c r="BV863" s="50"/>
      <c r="BW863" s="50"/>
      <c r="BX863" s="50"/>
      <c r="BY863" s="50"/>
      <c r="BZ863" s="50"/>
      <c r="CA863" s="50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1"/>
      <c r="CY863" s="21"/>
    </row>
    <row r="864">
      <c r="B864" s="18"/>
      <c r="C864" s="23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50"/>
      <c r="BT864" s="50"/>
      <c r="BU864" s="50"/>
      <c r="BV864" s="50"/>
      <c r="BW864" s="50"/>
      <c r="BX864" s="50"/>
      <c r="BY864" s="50"/>
      <c r="BZ864" s="50"/>
      <c r="CA864" s="50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1"/>
      <c r="CY864" s="21"/>
    </row>
    <row r="865">
      <c r="B865" s="18"/>
      <c r="C865" s="23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50"/>
      <c r="BT865" s="50"/>
      <c r="BU865" s="50"/>
      <c r="BV865" s="50"/>
      <c r="BW865" s="50"/>
      <c r="BX865" s="50"/>
      <c r="BY865" s="50"/>
      <c r="BZ865" s="50"/>
      <c r="CA865" s="50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1"/>
      <c r="CY865" s="21"/>
    </row>
    <row r="866">
      <c r="B866" s="18"/>
      <c r="C866" s="23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50"/>
      <c r="BT866" s="50"/>
      <c r="BU866" s="50"/>
      <c r="BV866" s="50"/>
      <c r="BW866" s="50"/>
      <c r="BX866" s="50"/>
      <c r="BY866" s="50"/>
      <c r="BZ866" s="50"/>
      <c r="CA866" s="50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  <c r="CX866" s="21"/>
      <c r="CY866" s="21"/>
    </row>
    <row r="867">
      <c r="B867" s="18"/>
      <c r="C867" s="23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50"/>
      <c r="BT867" s="50"/>
      <c r="BU867" s="50"/>
      <c r="BV867" s="50"/>
      <c r="BW867" s="50"/>
      <c r="BX867" s="50"/>
      <c r="BY867" s="50"/>
      <c r="BZ867" s="50"/>
      <c r="CA867" s="50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1"/>
      <c r="CY867" s="21"/>
    </row>
    <row r="868">
      <c r="B868" s="18"/>
      <c r="C868" s="23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50"/>
      <c r="BT868" s="50"/>
      <c r="BU868" s="50"/>
      <c r="BV868" s="50"/>
      <c r="BW868" s="50"/>
      <c r="BX868" s="50"/>
      <c r="BY868" s="50"/>
      <c r="BZ868" s="50"/>
      <c r="CA868" s="50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1"/>
      <c r="CY868" s="21"/>
    </row>
    <row r="869">
      <c r="B869" s="18"/>
      <c r="C869" s="23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50"/>
      <c r="BT869" s="50"/>
      <c r="BU869" s="50"/>
      <c r="BV869" s="50"/>
      <c r="BW869" s="50"/>
      <c r="BX869" s="50"/>
      <c r="BY869" s="50"/>
      <c r="BZ869" s="50"/>
      <c r="CA869" s="50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  <c r="CX869" s="21"/>
      <c r="CY869" s="21"/>
    </row>
    <row r="870">
      <c r="B870" s="18"/>
      <c r="C870" s="23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50"/>
      <c r="BT870" s="50"/>
      <c r="BU870" s="50"/>
      <c r="BV870" s="50"/>
      <c r="BW870" s="50"/>
      <c r="BX870" s="50"/>
      <c r="BY870" s="50"/>
      <c r="BZ870" s="50"/>
      <c r="CA870" s="50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1"/>
      <c r="CY870" s="21"/>
    </row>
    <row r="871">
      <c r="B871" s="18"/>
      <c r="C871" s="23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50"/>
      <c r="BT871" s="50"/>
      <c r="BU871" s="50"/>
      <c r="BV871" s="50"/>
      <c r="BW871" s="50"/>
      <c r="BX871" s="50"/>
      <c r="BY871" s="50"/>
      <c r="BZ871" s="50"/>
      <c r="CA871" s="50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  <c r="CX871" s="21"/>
      <c r="CY871" s="21"/>
    </row>
    <row r="872">
      <c r="B872" s="18"/>
      <c r="C872" s="23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50"/>
      <c r="BT872" s="50"/>
      <c r="BU872" s="50"/>
      <c r="BV872" s="50"/>
      <c r="BW872" s="50"/>
      <c r="BX872" s="50"/>
      <c r="BY872" s="50"/>
      <c r="BZ872" s="50"/>
      <c r="CA872" s="50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  <c r="CX872" s="21"/>
      <c r="CY872" s="21"/>
    </row>
    <row r="873">
      <c r="B873" s="18"/>
      <c r="C873" s="23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50"/>
      <c r="BT873" s="50"/>
      <c r="BU873" s="50"/>
      <c r="BV873" s="50"/>
      <c r="BW873" s="50"/>
      <c r="BX873" s="50"/>
      <c r="BY873" s="50"/>
      <c r="BZ873" s="50"/>
      <c r="CA873" s="50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  <c r="CX873" s="21"/>
      <c r="CY873" s="21"/>
    </row>
    <row r="874">
      <c r="B874" s="18"/>
      <c r="C874" s="23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50"/>
      <c r="BT874" s="50"/>
      <c r="BU874" s="50"/>
      <c r="BV874" s="50"/>
      <c r="BW874" s="50"/>
      <c r="BX874" s="50"/>
      <c r="BY874" s="50"/>
      <c r="BZ874" s="50"/>
      <c r="CA874" s="50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1"/>
      <c r="CY874" s="21"/>
    </row>
    <row r="875">
      <c r="B875" s="18"/>
      <c r="C875" s="23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50"/>
      <c r="BT875" s="50"/>
      <c r="BU875" s="50"/>
      <c r="BV875" s="50"/>
      <c r="BW875" s="50"/>
      <c r="BX875" s="50"/>
      <c r="BY875" s="50"/>
      <c r="BZ875" s="50"/>
      <c r="CA875" s="50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  <c r="CX875" s="21"/>
      <c r="CY875" s="21"/>
    </row>
    <row r="876">
      <c r="B876" s="18"/>
      <c r="C876" s="23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50"/>
      <c r="BT876" s="50"/>
      <c r="BU876" s="50"/>
      <c r="BV876" s="50"/>
      <c r="BW876" s="50"/>
      <c r="BX876" s="50"/>
      <c r="BY876" s="50"/>
      <c r="BZ876" s="50"/>
      <c r="CA876" s="50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</row>
    <row r="877">
      <c r="B877" s="18"/>
      <c r="C877" s="23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50"/>
      <c r="BT877" s="50"/>
      <c r="BU877" s="50"/>
      <c r="BV877" s="50"/>
      <c r="BW877" s="50"/>
      <c r="BX877" s="50"/>
      <c r="BY877" s="50"/>
      <c r="BZ877" s="50"/>
      <c r="CA877" s="50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</row>
    <row r="878">
      <c r="B878" s="18"/>
      <c r="C878" s="23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50"/>
      <c r="BT878" s="50"/>
      <c r="BU878" s="50"/>
      <c r="BV878" s="50"/>
      <c r="BW878" s="50"/>
      <c r="BX878" s="50"/>
      <c r="BY878" s="50"/>
      <c r="BZ878" s="50"/>
      <c r="CA878" s="50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  <c r="CX878" s="21"/>
      <c r="CY878" s="21"/>
    </row>
    <row r="879">
      <c r="B879" s="18"/>
      <c r="C879" s="23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50"/>
      <c r="BT879" s="50"/>
      <c r="BU879" s="50"/>
      <c r="BV879" s="50"/>
      <c r="BW879" s="50"/>
      <c r="BX879" s="50"/>
      <c r="BY879" s="50"/>
      <c r="BZ879" s="50"/>
      <c r="CA879" s="50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</row>
    <row r="880">
      <c r="B880" s="18"/>
      <c r="C880" s="23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50"/>
      <c r="BT880" s="50"/>
      <c r="BU880" s="50"/>
      <c r="BV880" s="50"/>
      <c r="BW880" s="50"/>
      <c r="BX880" s="50"/>
      <c r="BY880" s="50"/>
      <c r="BZ880" s="50"/>
      <c r="CA880" s="50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1"/>
      <c r="CY880" s="21"/>
    </row>
    <row r="881">
      <c r="B881" s="18"/>
      <c r="C881" s="23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50"/>
      <c r="BT881" s="50"/>
      <c r="BU881" s="50"/>
      <c r="BV881" s="50"/>
      <c r="BW881" s="50"/>
      <c r="BX881" s="50"/>
      <c r="BY881" s="50"/>
      <c r="BZ881" s="50"/>
      <c r="CA881" s="50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  <c r="CX881" s="21"/>
      <c r="CY881" s="21"/>
    </row>
    <row r="882">
      <c r="B882" s="18"/>
      <c r="C882" s="23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50"/>
      <c r="BT882" s="50"/>
      <c r="BU882" s="50"/>
      <c r="BV882" s="50"/>
      <c r="BW882" s="50"/>
      <c r="BX882" s="50"/>
      <c r="BY882" s="50"/>
      <c r="BZ882" s="50"/>
      <c r="CA882" s="50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1"/>
      <c r="CY882" s="21"/>
    </row>
    <row r="883">
      <c r="B883" s="18"/>
      <c r="C883" s="23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50"/>
      <c r="BT883" s="50"/>
      <c r="BU883" s="50"/>
      <c r="BV883" s="50"/>
      <c r="BW883" s="50"/>
      <c r="BX883" s="50"/>
      <c r="BY883" s="50"/>
      <c r="BZ883" s="50"/>
      <c r="CA883" s="50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1"/>
      <c r="CY883" s="21"/>
    </row>
    <row r="884">
      <c r="B884" s="18"/>
      <c r="C884" s="23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50"/>
      <c r="BT884" s="50"/>
      <c r="BU884" s="50"/>
      <c r="BV884" s="50"/>
      <c r="BW884" s="50"/>
      <c r="BX884" s="50"/>
      <c r="BY884" s="50"/>
      <c r="BZ884" s="50"/>
      <c r="CA884" s="50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1"/>
      <c r="CY884" s="21"/>
    </row>
    <row r="885">
      <c r="B885" s="18"/>
      <c r="C885" s="23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50"/>
      <c r="BT885" s="50"/>
      <c r="BU885" s="50"/>
      <c r="BV885" s="50"/>
      <c r="BW885" s="50"/>
      <c r="BX885" s="50"/>
      <c r="BY885" s="50"/>
      <c r="BZ885" s="50"/>
      <c r="CA885" s="50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  <c r="CX885" s="21"/>
      <c r="CY885" s="21"/>
    </row>
    <row r="886">
      <c r="B886" s="18"/>
      <c r="C886" s="23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50"/>
      <c r="BT886" s="50"/>
      <c r="BU886" s="50"/>
      <c r="BV886" s="50"/>
      <c r="BW886" s="50"/>
      <c r="BX886" s="50"/>
      <c r="BY886" s="50"/>
      <c r="BZ886" s="50"/>
      <c r="CA886" s="50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1"/>
      <c r="CY886" s="21"/>
    </row>
    <row r="887">
      <c r="B887" s="18"/>
      <c r="C887" s="23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50"/>
      <c r="BT887" s="50"/>
      <c r="BU887" s="50"/>
      <c r="BV887" s="50"/>
      <c r="BW887" s="50"/>
      <c r="BX887" s="50"/>
      <c r="BY887" s="50"/>
      <c r="BZ887" s="50"/>
      <c r="CA887" s="50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  <c r="CX887" s="21"/>
      <c r="CY887" s="21"/>
    </row>
    <row r="888">
      <c r="B888" s="18"/>
      <c r="C888" s="23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50"/>
      <c r="BT888" s="50"/>
      <c r="BU888" s="50"/>
      <c r="BV888" s="50"/>
      <c r="BW888" s="50"/>
      <c r="BX888" s="50"/>
      <c r="BY888" s="50"/>
      <c r="BZ888" s="50"/>
      <c r="CA888" s="50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  <c r="CX888" s="21"/>
      <c r="CY888" s="21"/>
    </row>
    <row r="889">
      <c r="B889" s="18"/>
      <c r="C889" s="23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50"/>
      <c r="BT889" s="50"/>
      <c r="BU889" s="50"/>
      <c r="BV889" s="50"/>
      <c r="BW889" s="50"/>
      <c r="BX889" s="50"/>
      <c r="BY889" s="50"/>
      <c r="BZ889" s="50"/>
      <c r="CA889" s="50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1"/>
      <c r="CY889" s="21"/>
    </row>
    <row r="890">
      <c r="B890" s="18"/>
      <c r="C890" s="23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50"/>
      <c r="BT890" s="50"/>
      <c r="BU890" s="50"/>
      <c r="BV890" s="50"/>
      <c r="BW890" s="50"/>
      <c r="BX890" s="50"/>
      <c r="BY890" s="50"/>
      <c r="BZ890" s="50"/>
      <c r="CA890" s="50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1"/>
      <c r="CY890" s="21"/>
    </row>
    <row r="891">
      <c r="B891" s="18"/>
      <c r="C891" s="23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50"/>
      <c r="BT891" s="50"/>
      <c r="BU891" s="50"/>
      <c r="BV891" s="50"/>
      <c r="BW891" s="50"/>
      <c r="BX891" s="50"/>
      <c r="BY891" s="50"/>
      <c r="BZ891" s="50"/>
      <c r="CA891" s="50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1"/>
      <c r="CY891" s="21"/>
    </row>
    <row r="892">
      <c r="B892" s="18"/>
      <c r="C892" s="23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50"/>
      <c r="BT892" s="50"/>
      <c r="BU892" s="50"/>
      <c r="BV892" s="50"/>
      <c r="BW892" s="50"/>
      <c r="BX892" s="50"/>
      <c r="BY892" s="50"/>
      <c r="BZ892" s="50"/>
      <c r="CA892" s="50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  <c r="CX892" s="21"/>
      <c r="CY892" s="21"/>
    </row>
    <row r="893">
      <c r="B893" s="18"/>
      <c r="C893" s="23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50"/>
      <c r="BT893" s="50"/>
      <c r="BU893" s="50"/>
      <c r="BV893" s="50"/>
      <c r="BW893" s="50"/>
      <c r="BX893" s="50"/>
      <c r="BY893" s="50"/>
      <c r="BZ893" s="50"/>
      <c r="CA893" s="50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</row>
    <row r="894">
      <c r="B894" s="18"/>
      <c r="C894" s="23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50"/>
      <c r="BT894" s="50"/>
      <c r="BU894" s="50"/>
      <c r="BV894" s="50"/>
      <c r="BW894" s="50"/>
      <c r="BX894" s="50"/>
      <c r="BY894" s="50"/>
      <c r="BZ894" s="50"/>
      <c r="CA894" s="50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1"/>
      <c r="CY894" s="21"/>
    </row>
    <row r="895">
      <c r="B895" s="18"/>
      <c r="C895" s="23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50"/>
      <c r="BT895" s="50"/>
      <c r="BU895" s="50"/>
      <c r="BV895" s="50"/>
      <c r="BW895" s="50"/>
      <c r="BX895" s="50"/>
      <c r="BY895" s="50"/>
      <c r="BZ895" s="50"/>
      <c r="CA895" s="50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  <c r="CX895" s="21"/>
      <c r="CY895" s="21"/>
    </row>
    <row r="896">
      <c r="B896" s="18"/>
      <c r="C896" s="23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50"/>
      <c r="BT896" s="50"/>
      <c r="BU896" s="50"/>
      <c r="BV896" s="50"/>
      <c r="BW896" s="50"/>
      <c r="BX896" s="50"/>
      <c r="BY896" s="50"/>
      <c r="BZ896" s="50"/>
      <c r="CA896" s="50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  <c r="CX896" s="21"/>
      <c r="CY896" s="21"/>
    </row>
    <row r="897">
      <c r="B897" s="18"/>
      <c r="C897" s="23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50"/>
      <c r="BT897" s="50"/>
      <c r="BU897" s="50"/>
      <c r="BV897" s="50"/>
      <c r="BW897" s="50"/>
      <c r="BX897" s="50"/>
      <c r="BY897" s="50"/>
      <c r="BZ897" s="50"/>
      <c r="CA897" s="50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1"/>
      <c r="CY897" s="21"/>
    </row>
    <row r="898">
      <c r="B898" s="18"/>
      <c r="C898" s="23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50"/>
      <c r="BT898" s="50"/>
      <c r="BU898" s="50"/>
      <c r="BV898" s="50"/>
      <c r="BW898" s="50"/>
      <c r="BX898" s="50"/>
      <c r="BY898" s="50"/>
      <c r="BZ898" s="50"/>
      <c r="CA898" s="50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1"/>
      <c r="CY898" s="21"/>
    </row>
    <row r="899">
      <c r="B899" s="18"/>
      <c r="C899" s="23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50"/>
      <c r="BT899" s="50"/>
      <c r="BU899" s="50"/>
      <c r="BV899" s="50"/>
      <c r="BW899" s="50"/>
      <c r="BX899" s="50"/>
      <c r="BY899" s="50"/>
      <c r="BZ899" s="50"/>
      <c r="CA899" s="50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</row>
    <row r="900">
      <c r="B900" s="18"/>
      <c r="C900" s="23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50"/>
      <c r="BT900" s="50"/>
      <c r="BU900" s="50"/>
      <c r="BV900" s="50"/>
      <c r="BW900" s="50"/>
      <c r="BX900" s="50"/>
      <c r="BY900" s="50"/>
      <c r="BZ900" s="50"/>
      <c r="CA900" s="50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</row>
    <row r="901">
      <c r="B901" s="18"/>
      <c r="C901" s="23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50"/>
      <c r="BT901" s="50"/>
      <c r="BU901" s="50"/>
      <c r="BV901" s="50"/>
      <c r="BW901" s="50"/>
      <c r="BX901" s="50"/>
      <c r="BY901" s="50"/>
      <c r="BZ901" s="50"/>
      <c r="CA901" s="50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</row>
    <row r="902">
      <c r="B902" s="18"/>
      <c r="C902" s="23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50"/>
      <c r="BT902" s="50"/>
      <c r="BU902" s="50"/>
      <c r="BV902" s="50"/>
      <c r="BW902" s="50"/>
      <c r="BX902" s="50"/>
      <c r="BY902" s="50"/>
      <c r="BZ902" s="50"/>
      <c r="CA902" s="50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</row>
    <row r="903">
      <c r="B903" s="18"/>
      <c r="C903" s="23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50"/>
      <c r="BT903" s="50"/>
      <c r="BU903" s="50"/>
      <c r="BV903" s="50"/>
      <c r="BW903" s="50"/>
      <c r="BX903" s="50"/>
      <c r="BY903" s="50"/>
      <c r="BZ903" s="50"/>
      <c r="CA903" s="50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1"/>
      <c r="CY903" s="21"/>
    </row>
    <row r="904">
      <c r="B904" s="18"/>
      <c r="C904" s="23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50"/>
      <c r="BT904" s="50"/>
      <c r="BU904" s="50"/>
      <c r="BV904" s="50"/>
      <c r="BW904" s="50"/>
      <c r="BX904" s="50"/>
      <c r="BY904" s="50"/>
      <c r="BZ904" s="50"/>
      <c r="CA904" s="50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  <c r="CX904" s="21"/>
      <c r="CY904" s="21"/>
    </row>
    <row r="905">
      <c r="B905" s="18"/>
      <c r="C905" s="23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50"/>
      <c r="BT905" s="50"/>
      <c r="BU905" s="50"/>
      <c r="BV905" s="50"/>
      <c r="BW905" s="50"/>
      <c r="BX905" s="50"/>
      <c r="BY905" s="50"/>
      <c r="BZ905" s="50"/>
      <c r="CA905" s="50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</row>
    <row r="906">
      <c r="B906" s="18"/>
      <c r="C906" s="23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50"/>
      <c r="BT906" s="50"/>
      <c r="BU906" s="50"/>
      <c r="BV906" s="50"/>
      <c r="BW906" s="50"/>
      <c r="BX906" s="50"/>
      <c r="BY906" s="50"/>
      <c r="BZ906" s="50"/>
      <c r="CA906" s="50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</row>
    <row r="907">
      <c r="B907" s="18"/>
      <c r="C907" s="23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50"/>
      <c r="BT907" s="50"/>
      <c r="BU907" s="50"/>
      <c r="BV907" s="50"/>
      <c r="BW907" s="50"/>
      <c r="BX907" s="50"/>
      <c r="BY907" s="50"/>
      <c r="BZ907" s="50"/>
      <c r="CA907" s="50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</row>
    <row r="908">
      <c r="B908" s="18"/>
      <c r="C908" s="23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50"/>
      <c r="BT908" s="50"/>
      <c r="BU908" s="50"/>
      <c r="BV908" s="50"/>
      <c r="BW908" s="50"/>
      <c r="BX908" s="50"/>
      <c r="BY908" s="50"/>
      <c r="BZ908" s="50"/>
      <c r="CA908" s="50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</row>
    <row r="909">
      <c r="B909" s="18"/>
      <c r="C909" s="23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50"/>
      <c r="BT909" s="50"/>
      <c r="BU909" s="50"/>
      <c r="BV909" s="50"/>
      <c r="BW909" s="50"/>
      <c r="BX909" s="50"/>
      <c r="BY909" s="50"/>
      <c r="BZ909" s="50"/>
      <c r="CA909" s="50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</row>
    <row r="910">
      <c r="B910" s="18"/>
      <c r="C910" s="23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50"/>
      <c r="BT910" s="50"/>
      <c r="BU910" s="50"/>
      <c r="BV910" s="50"/>
      <c r="BW910" s="50"/>
      <c r="BX910" s="50"/>
      <c r="BY910" s="50"/>
      <c r="BZ910" s="50"/>
      <c r="CA910" s="50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</row>
    <row r="911">
      <c r="B911" s="18"/>
      <c r="C911" s="23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50"/>
      <c r="BT911" s="50"/>
      <c r="BU911" s="50"/>
      <c r="BV911" s="50"/>
      <c r="BW911" s="50"/>
      <c r="BX911" s="50"/>
      <c r="BY911" s="50"/>
      <c r="BZ911" s="50"/>
      <c r="CA911" s="50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</row>
    <row r="912">
      <c r="B912" s="18"/>
      <c r="C912" s="23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50"/>
      <c r="BT912" s="50"/>
      <c r="BU912" s="50"/>
      <c r="BV912" s="50"/>
      <c r="BW912" s="50"/>
      <c r="BX912" s="50"/>
      <c r="BY912" s="50"/>
      <c r="BZ912" s="50"/>
      <c r="CA912" s="50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</row>
    <row r="913">
      <c r="B913" s="18"/>
      <c r="C913" s="23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50"/>
      <c r="BT913" s="50"/>
      <c r="BU913" s="50"/>
      <c r="BV913" s="50"/>
      <c r="BW913" s="50"/>
      <c r="BX913" s="50"/>
      <c r="BY913" s="50"/>
      <c r="BZ913" s="50"/>
      <c r="CA913" s="50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</row>
    <row r="914">
      <c r="B914" s="18"/>
      <c r="C914" s="23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50"/>
      <c r="BT914" s="50"/>
      <c r="BU914" s="50"/>
      <c r="BV914" s="50"/>
      <c r="BW914" s="50"/>
      <c r="BX914" s="50"/>
      <c r="BY914" s="50"/>
      <c r="BZ914" s="50"/>
      <c r="CA914" s="50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</row>
    <row r="915">
      <c r="B915" s="18"/>
      <c r="C915" s="23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50"/>
      <c r="BT915" s="50"/>
      <c r="BU915" s="50"/>
      <c r="BV915" s="50"/>
      <c r="BW915" s="50"/>
      <c r="BX915" s="50"/>
      <c r="BY915" s="50"/>
      <c r="BZ915" s="50"/>
      <c r="CA915" s="50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1"/>
      <c r="CY915" s="21"/>
    </row>
    <row r="916">
      <c r="B916" s="18"/>
      <c r="C916" s="23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50"/>
      <c r="BT916" s="50"/>
      <c r="BU916" s="50"/>
      <c r="BV916" s="50"/>
      <c r="BW916" s="50"/>
      <c r="BX916" s="50"/>
      <c r="BY916" s="50"/>
      <c r="BZ916" s="50"/>
      <c r="CA916" s="50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1"/>
      <c r="CY916" s="21"/>
    </row>
    <row r="917">
      <c r="B917" s="18"/>
      <c r="C917" s="23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50"/>
      <c r="BT917" s="50"/>
      <c r="BU917" s="50"/>
      <c r="BV917" s="50"/>
      <c r="BW917" s="50"/>
      <c r="BX917" s="50"/>
      <c r="BY917" s="50"/>
      <c r="BZ917" s="50"/>
      <c r="CA917" s="50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1"/>
      <c r="CY917" s="21"/>
    </row>
    <row r="918">
      <c r="B918" s="18"/>
      <c r="C918" s="23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50"/>
      <c r="BT918" s="50"/>
      <c r="BU918" s="50"/>
      <c r="BV918" s="50"/>
      <c r="BW918" s="50"/>
      <c r="BX918" s="50"/>
      <c r="BY918" s="50"/>
      <c r="BZ918" s="50"/>
      <c r="CA918" s="50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1"/>
      <c r="CY918" s="21"/>
    </row>
    <row r="919">
      <c r="B919" s="18"/>
      <c r="C919" s="23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50"/>
      <c r="BT919" s="50"/>
      <c r="BU919" s="50"/>
      <c r="BV919" s="50"/>
      <c r="BW919" s="50"/>
      <c r="BX919" s="50"/>
      <c r="BY919" s="50"/>
      <c r="BZ919" s="50"/>
      <c r="CA919" s="50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1"/>
      <c r="CY919" s="21"/>
    </row>
    <row r="920">
      <c r="B920" s="18"/>
      <c r="C920" s="23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50"/>
      <c r="BT920" s="50"/>
      <c r="BU920" s="50"/>
      <c r="BV920" s="50"/>
      <c r="BW920" s="50"/>
      <c r="BX920" s="50"/>
      <c r="BY920" s="50"/>
      <c r="BZ920" s="50"/>
      <c r="CA920" s="50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1"/>
      <c r="CY920" s="21"/>
    </row>
    <row r="921">
      <c r="B921" s="18"/>
      <c r="C921" s="23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50"/>
      <c r="BT921" s="50"/>
      <c r="BU921" s="50"/>
      <c r="BV921" s="50"/>
      <c r="BW921" s="50"/>
      <c r="BX921" s="50"/>
      <c r="BY921" s="50"/>
      <c r="BZ921" s="50"/>
      <c r="CA921" s="50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1"/>
      <c r="CY921" s="21"/>
    </row>
    <row r="922">
      <c r="B922" s="18"/>
      <c r="C922" s="23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50"/>
      <c r="BT922" s="50"/>
      <c r="BU922" s="50"/>
      <c r="BV922" s="50"/>
      <c r="BW922" s="50"/>
      <c r="BX922" s="50"/>
      <c r="BY922" s="50"/>
      <c r="BZ922" s="50"/>
      <c r="CA922" s="50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1"/>
      <c r="CY922" s="21"/>
    </row>
    <row r="923">
      <c r="B923" s="18"/>
      <c r="C923" s="23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50"/>
      <c r="BT923" s="50"/>
      <c r="BU923" s="50"/>
      <c r="BV923" s="50"/>
      <c r="BW923" s="50"/>
      <c r="BX923" s="50"/>
      <c r="BY923" s="50"/>
      <c r="BZ923" s="50"/>
      <c r="CA923" s="50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1"/>
      <c r="CY923" s="21"/>
    </row>
    <row r="924">
      <c r="B924" s="18"/>
      <c r="C924" s="23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50"/>
      <c r="BT924" s="50"/>
      <c r="BU924" s="50"/>
      <c r="BV924" s="50"/>
      <c r="BW924" s="50"/>
      <c r="BX924" s="50"/>
      <c r="BY924" s="50"/>
      <c r="BZ924" s="50"/>
      <c r="CA924" s="50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  <c r="CX924" s="21"/>
      <c r="CY924" s="21"/>
    </row>
    <row r="925">
      <c r="B925" s="18"/>
      <c r="C925" s="23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50"/>
      <c r="BT925" s="50"/>
      <c r="BU925" s="50"/>
      <c r="BV925" s="50"/>
      <c r="BW925" s="50"/>
      <c r="BX925" s="50"/>
      <c r="BY925" s="50"/>
      <c r="BZ925" s="50"/>
      <c r="CA925" s="50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</row>
    <row r="926">
      <c r="B926" s="18"/>
      <c r="C926" s="23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50"/>
      <c r="BT926" s="50"/>
      <c r="BU926" s="50"/>
      <c r="BV926" s="50"/>
      <c r="BW926" s="50"/>
      <c r="BX926" s="50"/>
      <c r="BY926" s="50"/>
      <c r="BZ926" s="50"/>
      <c r="CA926" s="50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  <c r="CX926" s="21"/>
      <c r="CY926" s="21"/>
    </row>
    <row r="927">
      <c r="B927" s="18"/>
      <c r="C927" s="23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50"/>
      <c r="BT927" s="50"/>
      <c r="BU927" s="50"/>
      <c r="BV927" s="50"/>
      <c r="BW927" s="50"/>
      <c r="BX927" s="50"/>
      <c r="BY927" s="50"/>
      <c r="BZ927" s="50"/>
      <c r="CA927" s="50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  <c r="CX927" s="21"/>
      <c r="CY927" s="21"/>
    </row>
    <row r="928">
      <c r="B928" s="18"/>
      <c r="C928" s="23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50"/>
      <c r="BT928" s="50"/>
      <c r="BU928" s="50"/>
      <c r="BV928" s="50"/>
      <c r="BW928" s="50"/>
      <c r="BX928" s="50"/>
      <c r="BY928" s="50"/>
      <c r="BZ928" s="50"/>
      <c r="CA928" s="50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  <c r="CX928" s="21"/>
      <c r="CY928" s="21"/>
    </row>
    <row r="929">
      <c r="B929" s="18"/>
      <c r="C929" s="23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50"/>
      <c r="BT929" s="50"/>
      <c r="BU929" s="50"/>
      <c r="BV929" s="50"/>
      <c r="BW929" s="50"/>
      <c r="BX929" s="50"/>
      <c r="BY929" s="50"/>
      <c r="BZ929" s="50"/>
      <c r="CA929" s="50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1"/>
      <c r="CY929" s="21"/>
    </row>
    <row r="930">
      <c r="B930" s="18"/>
      <c r="C930" s="23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50"/>
      <c r="BT930" s="50"/>
      <c r="BU930" s="50"/>
      <c r="BV930" s="50"/>
      <c r="BW930" s="50"/>
      <c r="BX930" s="50"/>
      <c r="BY930" s="50"/>
      <c r="BZ930" s="50"/>
      <c r="CA930" s="50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1"/>
      <c r="CY930" s="21"/>
    </row>
    <row r="931">
      <c r="B931" s="18"/>
      <c r="C931" s="23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50"/>
      <c r="BT931" s="50"/>
      <c r="BU931" s="50"/>
      <c r="BV931" s="50"/>
      <c r="BW931" s="50"/>
      <c r="BX931" s="50"/>
      <c r="BY931" s="50"/>
      <c r="BZ931" s="50"/>
      <c r="CA931" s="50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1"/>
      <c r="CY931" s="21"/>
    </row>
    <row r="932">
      <c r="B932" s="18"/>
      <c r="C932" s="23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50"/>
      <c r="BT932" s="50"/>
      <c r="BU932" s="50"/>
      <c r="BV932" s="50"/>
      <c r="BW932" s="50"/>
      <c r="BX932" s="50"/>
      <c r="BY932" s="50"/>
      <c r="BZ932" s="50"/>
      <c r="CA932" s="50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  <c r="CX932" s="21"/>
      <c r="CY932" s="21"/>
    </row>
    <row r="933">
      <c r="B933" s="18"/>
      <c r="C933" s="23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50"/>
      <c r="BT933" s="50"/>
      <c r="BU933" s="50"/>
      <c r="BV933" s="50"/>
      <c r="BW933" s="50"/>
      <c r="BX933" s="50"/>
      <c r="BY933" s="50"/>
      <c r="BZ933" s="50"/>
      <c r="CA933" s="50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  <c r="CX933" s="21"/>
      <c r="CY933" s="21"/>
    </row>
    <row r="934">
      <c r="B934" s="18"/>
      <c r="C934" s="23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50"/>
      <c r="BT934" s="50"/>
      <c r="BU934" s="50"/>
      <c r="BV934" s="50"/>
      <c r="BW934" s="50"/>
      <c r="BX934" s="50"/>
      <c r="BY934" s="50"/>
      <c r="BZ934" s="50"/>
      <c r="CA934" s="50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  <c r="CX934" s="21"/>
      <c r="CY934" s="21"/>
    </row>
    <row r="935">
      <c r="B935" s="18"/>
      <c r="C935" s="23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50"/>
      <c r="BT935" s="50"/>
      <c r="BU935" s="50"/>
      <c r="BV935" s="50"/>
      <c r="BW935" s="50"/>
      <c r="BX935" s="50"/>
      <c r="BY935" s="50"/>
      <c r="BZ935" s="50"/>
      <c r="CA935" s="50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1"/>
      <c r="CY935" s="21"/>
    </row>
    <row r="936">
      <c r="B936" s="18"/>
      <c r="C936" s="23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50"/>
      <c r="BT936" s="50"/>
      <c r="BU936" s="50"/>
      <c r="BV936" s="50"/>
      <c r="BW936" s="50"/>
      <c r="BX936" s="50"/>
      <c r="BY936" s="50"/>
      <c r="BZ936" s="50"/>
      <c r="CA936" s="50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  <c r="CX936" s="21"/>
      <c r="CY936" s="21"/>
    </row>
    <row r="937">
      <c r="B937" s="18"/>
      <c r="C937" s="23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50"/>
      <c r="BT937" s="50"/>
      <c r="BU937" s="50"/>
      <c r="BV937" s="50"/>
      <c r="BW937" s="50"/>
      <c r="BX937" s="50"/>
      <c r="BY937" s="50"/>
      <c r="BZ937" s="50"/>
      <c r="CA937" s="50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  <c r="CX937" s="21"/>
      <c r="CY937" s="21"/>
    </row>
    <row r="938">
      <c r="B938" s="18"/>
      <c r="C938" s="23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50"/>
      <c r="BT938" s="50"/>
      <c r="BU938" s="50"/>
      <c r="BV938" s="50"/>
      <c r="BW938" s="50"/>
      <c r="BX938" s="50"/>
      <c r="BY938" s="50"/>
      <c r="BZ938" s="50"/>
      <c r="CA938" s="50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  <c r="CX938" s="21"/>
      <c r="CY938" s="21"/>
    </row>
    <row r="939">
      <c r="B939" s="18"/>
      <c r="C939" s="23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50"/>
      <c r="BT939" s="50"/>
      <c r="BU939" s="50"/>
      <c r="BV939" s="50"/>
      <c r="BW939" s="50"/>
      <c r="BX939" s="50"/>
      <c r="BY939" s="50"/>
      <c r="BZ939" s="50"/>
      <c r="CA939" s="50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1"/>
      <c r="CY939" s="21"/>
    </row>
    <row r="940">
      <c r="B940" s="18"/>
      <c r="C940" s="23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50"/>
      <c r="BT940" s="50"/>
      <c r="BU940" s="50"/>
      <c r="BV940" s="50"/>
      <c r="BW940" s="50"/>
      <c r="BX940" s="50"/>
      <c r="BY940" s="50"/>
      <c r="BZ940" s="50"/>
      <c r="CA940" s="50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  <c r="CX940" s="21"/>
      <c r="CY940" s="21"/>
    </row>
    <row r="941">
      <c r="B941" s="18"/>
      <c r="C941" s="23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50"/>
      <c r="BT941" s="50"/>
      <c r="BU941" s="50"/>
      <c r="BV941" s="50"/>
      <c r="BW941" s="50"/>
      <c r="BX941" s="50"/>
      <c r="BY941" s="50"/>
      <c r="BZ941" s="50"/>
      <c r="CA941" s="50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  <c r="CX941" s="21"/>
      <c r="CY941" s="21"/>
    </row>
    <row r="942">
      <c r="B942" s="18"/>
      <c r="C942" s="23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50"/>
      <c r="BT942" s="50"/>
      <c r="BU942" s="50"/>
      <c r="BV942" s="50"/>
      <c r="BW942" s="50"/>
      <c r="BX942" s="50"/>
      <c r="BY942" s="50"/>
      <c r="BZ942" s="50"/>
      <c r="CA942" s="50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  <c r="CX942" s="21"/>
      <c r="CY942" s="21"/>
    </row>
    <row r="943">
      <c r="B943" s="18"/>
      <c r="C943" s="23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50"/>
      <c r="BT943" s="50"/>
      <c r="BU943" s="50"/>
      <c r="BV943" s="50"/>
      <c r="BW943" s="50"/>
      <c r="BX943" s="50"/>
      <c r="BY943" s="50"/>
      <c r="BZ943" s="50"/>
      <c r="CA943" s="50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  <c r="CX943" s="21"/>
      <c r="CY943" s="21"/>
    </row>
    <row r="944">
      <c r="B944" s="18"/>
      <c r="C944" s="23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50"/>
      <c r="BT944" s="50"/>
      <c r="BU944" s="50"/>
      <c r="BV944" s="50"/>
      <c r="BW944" s="50"/>
      <c r="BX944" s="50"/>
      <c r="BY944" s="50"/>
      <c r="BZ944" s="50"/>
      <c r="CA944" s="50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  <c r="CX944" s="21"/>
      <c r="CY944" s="21"/>
    </row>
    <row r="945">
      <c r="B945" s="18"/>
      <c r="C945" s="23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50"/>
      <c r="BT945" s="50"/>
      <c r="BU945" s="50"/>
      <c r="BV945" s="50"/>
      <c r="BW945" s="50"/>
      <c r="BX945" s="50"/>
      <c r="BY945" s="50"/>
      <c r="BZ945" s="50"/>
      <c r="CA945" s="50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  <c r="CX945" s="21"/>
      <c r="CY945" s="21"/>
    </row>
    <row r="946">
      <c r="B946" s="18"/>
      <c r="C946" s="23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50"/>
      <c r="BT946" s="50"/>
      <c r="BU946" s="50"/>
      <c r="BV946" s="50"/>
      <c r="BW946" s="50"/>
      <c r="BX946" s="50"/>
      <c r="BY946" s="50"/>
      <c r="BZ946" s="50"/>
      <c r="CA946" s="50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  <c r="CX946" s="21"/>
      <c r="CY946" s="21"/>
    </row>
    <row r="947">
      <c r="B947" s="18"/>
      <c r="C947" s="23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50"/>
      <c r="BT947" s="50"/>
      <c r="BU947" s="50"/>
      <c r="BV947" s="50"/>
      <c r="BW947" s="50"/>
      <c r="BX947" s="50"/>
      <c r="BY947" s="50"/>
      <c r="BZ947" s="50"/>
      <c r="CA947" s="50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  <c r="CX947" s="21"/>
      <c r="CY947" s="21"/>
    </row>
    <row r="948">
      <c r="B948" s="18"/>
      <c r="C948" s="23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50"/>
      <c r="BT948" s="50"/>
      <c r="BU948" s="50"/>
      <c r="BV948" s="50"/>
      <c r="BW948" s="50"/>
      <c r="BX948" s="50"/>
      <c r="BY948" s="50"/>
      <c r="BZ948" s="50"/>
      <c r="CA948" s="50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  <c r="CX948" s="21"/>
      <c r="CY948" s="21"/>
    </row>
    <row r="949">
      <c r="B949" s="18"/>
      <c r="C949" s="23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50"/>
      <c r="BT949" s="50"/>
      <c r="BU949" s="50"/>
      <c r="BV949" s="50"/>
      <c r="BW949" s="50"/>
      <c r="BX949" s="50"/>
      <c r="BY949" s="50"/>
      <c r="BZ949" s="50"/>
      <c r="CA949" s="50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  <c r="CX949" s="21"/>
      <c r="CY949" s="21"/>
    </row>
    <row r="950">
      <c r="B950" s="18"/>
      <c r="C950" s="23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50"/>
      <c r="BT950" s="50"/>
      <c r="BU950" s="50"/>
      <c r="BV950" s="50"/>
      <c r="BW950" s="50"/>
      <c r="BX950" s="50"/>
      <c r="BY950" s="50"/>
      <c r="BZ950" s="50"/>
      <c r="CA950" s="50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  <c r="CX950" s="21"/>
      <c r="CY950" s="21"/>
    </row>
    <row r="951">
      <c r="B951" s="18"/>
      <c r="C951" s="23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50"/>
      <c r="BT951" s="50"/>
      <c r="BU951" s="50"/>
      <c r="BV951" s="50"/>
      <c r="BW951" s="50"/>
      <c r="BX951" s="50"/>
      <c r="BY951" s="50"/>
      <c r="BZ951" s="50"/>
      <c r="CA951" s="50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  <c r="CX951" s="21"/>
      <c r="CY951" s="21"/>
    </row>
    <row r="952">
      <c r="B952" s="18"/>
      <c r="C952" s="23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50"/>
      <c r="BT952" s="50"/>
      <c r="BU952" s="50"/>
      <c r="BV952" s="50"/>
      <c r="BW952" s="50"/>
      <c r="BX952" s="50"/>
      <c r="BY952" s="50"/>
      <c r="BZ952" s="50"/>
      <c r="CA952" s="50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  <c r="CX952" s="21"/>
      <c r="CY952" s="21"/>
    </row>
    <row r="953">
      <c r="B953" s="18"/>
      <c r="C953" s="23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50"/>
      <c r="BT953" s="50"/>
      <c r="BU953" s="50"/>
      <c r="BV953" s="50"/>
      <c r="BW953" s="50"/>
      <c r="BX953" s="50"/>
      <c r="BY953" s="50"/>
      <c r="BZ953" s="50"/>
      <c r="CA953" s="50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  <c r="CX953" s="21"/>
      <c r="CY953" s="21"/>
    </row>
    <row r="954">
      <c r="B954" s="18"/>
      <c r="C954" s="23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50"/>
      <c r="BT954" s="50"/>
      <c r="BU954" s="50"/>
      <c r="BV954" s="50"/>
      <c r="BW954" s="50"/>
      <c r="BX954" s="50"/>
      <c r="BY954" s="50"/>
      <c r="BZ954" s="50"/>
      <c r="CA954" s="50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  <c r="CX954" s="21"/>
      <c r="CY954" s="21"/>
    </row>
    <row r="955">
      <c r="B955" s="18"/>
      <c r="C955" s="23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50"/>
      <c r="BT955" s="50"/>
      <c r="BU955" s="50"/>
      <c r="BV955" s="50"/>
      <c r="BW955" s="50"/>
      <c r="BX955" s="50"/>
      <c r="BY955" s="50"/>
      <c r="BZ955" s="50"/>
      <c r="CA955" s="50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  <c r="CX955" s="21"/>
      <c r="CY955" s="21"/>
    </row>
    <row r="956">
      <c r="B956" s="18"/>
      <c r="C956" s="23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50"/>
      <c r="BT956" s="50"/>
      <c r="BU956" s="50"/>
      <c r="BV956" s="50"/>
      <c r="BW956" s="50"/>
      <c r="BX956" s="50"/>
      <c r="BY956" s="50"/>
      <c r="BZ956" s="50"/>
      <c r="CA956" s="50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  <c r="CX956" s="21"/>
      <c r="CY956" s="21"/>
    </row>
    <row r="957">
      <c r="B957" s="18"/>
      <c r="C957" s="23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50"/>
      <c r="BT957" s="50"/>
      <c r="BU957" s="50"/>
      <c r="BV957" s="50"/>
      <c r="BW957" s="50"/>
      <c r="BX957" s="50"/>
      <c r="BY957" s="50"/>
      <c r="BZ957" s="50"/>
      <c r="CA957" s="50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  <c r="CX957" s="21"/>
      <c r="CY957" s="21"/>
    </row>
    <row r="958">
      <c r="B958" s="18"/>
      <c r="C958" s="23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50"/>
      <c r="BT958" s="50"/>
      <c r="BU958" s="50"/>
      <c r="BV958" s="50"/>
      <c r="BW958" s="50"/>
      <c r="BX958" s="50"/>
      <c r="BY958" s="50"/>
      <c r="BZ958" s="50"/>
      <c r="CA958" s="50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  <c r="CX958" s="21"/>
      <c r="CY958" s="21"/>
    </row>
    <row r="959">
      <c r="B959" s="18"/>
      <c r="C959" s="23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50"/>
      <c r="BT959" s="50"/>
      <c r="BU959" s="50"/>
      <c r="BV959" s="50"/>
      <c r="BW959" s="50"/>
      <c r="BX959" s="50"/>
      <c r="BY959" s="50"/>
      <c r="BZ959" s="50"/>
      <c r="CA959" s="50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  <c r="CX959" s="21"/>
      <c r="CY959" s="21"/>
    </row>
    <row r="960">
      <c r="B960" s="18"/>
      <c r="C960" s="23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50"/>
      <c r="BT960" s="50"/>
      <c r="BU960" s="50"/>
      <c r="BV960" s="50"/>
      <c r="BW960" s="50"/>
      <c r="BX960" s="50"/>
      <c r="BY960" s="50"/>
      <c r="BZ960" s="50"/>
      <c r="CA960" s="50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  <c r="CX960" s="21"/>
      <c r="CY960" s="21"/>
    </row>
    <row r="961">
      <c r="B961" s="18"/>
      <c r="C961" s="23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50"/>
      <c r="BT961" s="50"/>
      <c r="BU961" s="50"/>
      <c r="BV961" s="50"/>
      <c r="BW961" s="50"/>
      <c r="BX961" s="50"/>
      <c r="BY961" s="50"/>
      <c r="BZ961" s="50"/>
      <c r="CA961" s="50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  <c r="CX961" s="21"/>
      <c r="CY961" s="21"/>
    </row>
    <row r="962">
      <c r="B962" s="18"/>
      <c r="C962" s="23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50"/>
      <c r="BT962" s="50"/>
      <c r="BU962" s="50"/>
      <c r="BV962" s="50"/>
      <c r="BW962" s="50"/>
      <c r="BX962" s="50"/>
      <c r="BY962" s="50"/>
      <c r="BZ962" s="50"/>
      <c r="CA962" s="50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  <c r="CX962" s="21"/>
      <c r="CY962" s="21"/>
    </row>
    <row r="963">
      <c r="B963" s="18"/>
      <c r="C963" s="23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50"/>
      <c r="BT963" s="50"/>
      <c r="BU963" s="50"/>
      <c r="BV963" s="50"/>
      <c r="BW963" s="50"/>
      <c r="BX963" s="50"/>
      <c r="BY963" s="50"/>
      <c r="BZ963" s="50"/>
      <c r="CA963" s="50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  <c r="CX963" s="21"/>
      <c r="CY963" s="21"/>
    </row>
    <row r="964">
      <c r="B964" s="18"/>
      <c r="C964" s="23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50"/>
      <c r="BT964" s="50"/>
      <c r="BU964" s="50"/>
      <c r="BV964" s="50"/>
      <c r="BW964" s="50"/>
      <c r="BX964" s="50"/>
      <c r="BY964" s="50"/>
      <c r="BZ964" s="50"/>
      <c r="CA964" s="50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  <c r="CX964" s="21"/>
      <c r="CY964" s="21"/>
    </row>
    <row r="965">
      <c r="B965" s="18"/>
      <c r="C965" s="23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50"/>
      <c r="BT965" s="50"/>
      <c r="BU965" s="50"/>
      <c r="BV965" s="50"/>
      <c r="BW965" s="50"/>
      <c r="BX965" s="50"/>
      <c r="BY965" s="50"/>
      <c r="BZ965" s="50"/>
      <c r="CA965" s="50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  <c r="CX965" s="21"/>
      <c r="CY965" s="21"/>
    </row>
    <row r="966">
      <c r="B966" s="18"/>
      <c r="C966" s="23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50"/>
      <c r="BT966" s="50"/>
      <c r="BU966" s="50"/>
      <c r="BV966" s="50"/>
      <c r="BW966" s="50"/>
      <c r="BX966" s="50"/>
      <c r="BY966" s="50"/>
      <c r="BZ966" s="50"/>
      <c r="CA966" s="50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  <c r="CX966" s="21"/>
      <c r="CY966" s="21"/>
    </row>
    <row r="967">
      <c r="B967" s="18"/>
      <c r="C967" s="23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50"/>
      <c r="BT967" s="50"/>
      <c r="BU967" s="50"/>
      <c r="BV967" s="50"/>
      <c r="BW967" s="50"/>
      <c r="BX967" s="50"/>
      <c r="BY967" s="50"/>
      <c r="BZ967" s="50"/>
      <c r="CA967" s="50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  <c r="CX967" s="21"/>
      <c r="CY967" s="21"/>
    </row>
    <row r="968">
      <c r="B968" s="18"/>
      <c r="C968" s="23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50"/>
      <c r="BT968" s="50"/>
      <c r="BU968" s="50"/>
      <c r="BV968" s="50"/>
      <c r="BW968" s="50"/>
      <c r="BX968" s="50"/>
      <c r="BY968" s="50"/>
      <c r="BZ968" s="50"/>
      <c r="CA968" s="50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1"/>
      <c r="CY968" s="21"/>
    </row>
    <row r="969">
      <c r="B969" s="18"/>
      <c r="C969" s="23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50"/>
      <c r="BT969" s="50"/>
      <c r="BU969" s="50"/>
      <c r="BV969" s="50"/>
      <c r="BW969" s="50"/>
      <c r="BX969" s="50"/>
      <c r="BY969" s="50"/>
      <c r="BZ969" s="50"/>
      <c r="CA969" s="50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  <c r="CX969" s="21"/>
      <c r="CY969" s="21"/>
    </row>
    <row r="970">
      <c r="B970" s="18"/>
      <c r="C970" s="23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50"/>
      <c r="BT970" s="50"/>
      <c r="BU970" s="50"/>
      <c r="BV970" s="50"/>
      <c r="BW970" s="50"/>
      <c r="BX970" s="50"/>
      <c r="BY970" s="50"/>
      <c r="BZ970" s="50"/>
      <c r="CA970" s="50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  <c r="CX970" s="21"/>
      <c r="CY970" s="21"/>
    </row>
    <row r="971">
      <c r="B971" s="18"/>
      <c r="C971" s="23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50"/>
      <c r="BT971" s="50"/>
      <c r="BU971" s="50"/>
      <c r="BV971" s="50"/>
      <c r="BW971" s="50"/>
      <c r="BX971" s="50"/>
      <c r="BY971" s="50"/>
      <c r="BZ971" s="50"/>
      <c r="CA971" s="50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  <c r="CX971" s="21"/>
      <c r="CY971" s="21"/>
    </row>
    <row r="972">
      <c r="B972" s="18"/>
      <c r="C972" s="23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50"/>
      <c r="BT972" s="50"/>
      <c r="BU972" s="50"/>
      <c r="BV972" s="50"/>
      <c r="BW972" s="50"/>
      <c r="BX972" s="50"/>
      <c r="BY972" s="50"/>
      <c r="BZ972" s="50"/>
      <c r="CA972" s="50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  <c r="CX972" s="21"/>
      <c r="CY972" s="21"/>
    </row>
    <row r="973">
      <c r="B973" s="18"/>
      <c r="C973" s="23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50"/>
      <c r="BT973" s="50"/>
      <c r="BU973" s="50"/>
      <c r="BV973" s="50"/>
      <c r="BW973" s="50"/>
      <c r="BX973" s="50"/>
      <c r="BY973" s="50"/>
      <c r="BZ973" s="50"/>
      <c r="CA973" s="50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  <c r="CX973" s="21"/>
      <c r="CY973" s="21"/>
    </row>
    <row r="974">
      <c r="B974" s="18"/>
      <c r="C974" s="23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50"/>
      <c r="BT974" s="50"/>
      <c r="BU974" s="50"/>
      <c r="BV974" s="50"/>
      <c r="BW974" s="50"/>
      <c r="BX974" s="50"/>
      <c r="BY974" s="50"/>
      <c r="BZ974" s="50"/>
      <c r="CA974" s="50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  <c r="CX974" s="21"/>
      <c r="CY974" s="21"/>
    </row>
    <row r="975">
      <c r="B975" s="18"/>
      <c r="C975" s="23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50"/>
      <c r="BT975" s="50"/>
      <c r="BU975" s="50"/>
      <c r="BV975" s="50"/>
      <c r="BW975" s="50"/>
      <c r="BX975" s="50"/>
      <c r="BY975" s="50"/>
      <c r="BZ975" s="50"/>
      <c r="CA975" s="50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  <c r="CX975" s="21"/>
      <c r="CY975" s="21"/>
    </row>
    <row r="976">
      <c r="B976" s="18"/>
      <c r="C976" s="23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50"/>
      <c r="BT976" s="50"/>
      <c r="BU976" s="50"/>
      <c r="BV976" s="50"/>
      <c r="BW976" s="50"/>
      <c r="BX976" s="50"/>
      <c r="BY976" s="50"/>
      <c r="BZ976" s="50"/>
      <c r="CA976" s="50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  <c r="CX976" s="21"/>
      <c r="CY976" s="21"/>
    </row>
    <row r="977">
      <c r="B977" s="18"/>
      <c r="C977" s="23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50"/>
      <c r="BT977" s="50"/>
      <c r="BU977" s="50"/>
      <c r="BV977" s="50"/>
      <c r="BW977" s="50"/>
      <c r="BX977" s="50"/>
      <c r="BY977" s="50"/>
      <c r="BZ977" s="50"/>
      <c r="CA977" s="50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  <c r="CX977" s="21"/>
      <c r="CY977" s="21"/>
    </row>
    <row r="978">
      <c r="B978" s="18"/>
      <c r="C978" s="23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50"/>
      <c r="BT978" s="50"/>
      <c r="BU978" s="50"/>
      <c r="BV978" s="50"/>
      <c r="BW978" s="50"/>
      <c r="BX978" s="50"/>
      <c r="BY978" s="50"/>
      <c r="BZ978" s="50"/>
      <c r="CA978" s="50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  <c r="CX978" s="21"/>
      <c r="CY978" s="21"/>
    </row>
    <row r="979">
      <c r="B979" s="18"/>
      <c r="C979" s="23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50"/>
      <c r="BT979" s="50"/>
      <c r="BU979" s="50"/>
      <c r="BV979" s="50"/>
      <c r="BW979" s="50"/>
      <c r="BX979" s="50"/>
      <c r="BY979" s="50"/>
      <c r="BZ979" s="50"/>
      <c r="CA979" s="50"/>
      <c r="CB979" s="21"/>
      <c r="CC979" s="21"/>
      <c r="CD979" s="21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  <c r="CX979" s="21"/>
      <c r="CY979" s="21"/>
    </row>
    <row r="980">
      <c r="B980" s="18"/>
      <c r="C980" s="23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50"/>
      <c r="BT980" s="50"/>
      <c r="BU980" s="50"/>
      <c r="BV980" s="50"/>
      <c r="BW980" s="50"/>
      <c r="BX980" s="50"/>
      <c r="BY980" s="50"/>
      <c r="BZ980" s="50"/>
      <c r="CA980" s="50"/>
      <c r="CB980" s="21"/>
      <c r="CC980" s="21"/>
      <c r="CD980" s="21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  <c r="CX980" s="21"/>
      <c r="CY980" s="21"/>
    </row>
    <row r="981">
      <c r="B981" s="18"/>
      <c r="C981" s="23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50"/>
      <c r="BT981" s="50"/>
      <c r="BU981" s="50"/>
      <c r="BV981" s="50"/>
      <c r="BW981" s="50"/>
      <c r="BX981" s="50"/>
      <c r="BY981" s="50"/>
      <c r="BZ981" s="50"/>
      <c r="CA981" s="50"/>
      <c r="CB981" s="21"/>
      <c r="CC981" s="21"/>
      <c r="CD981" s="21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  <c r="CX981" s="21"/>
      <c r="CY981" s="21"/>
    </row>
    <row r="982">
      <c r="B982" s="18"/>
      <c r="C982" s="23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50"/>
      <c r="BT982" s="50"/>
      <c r="BU982" s="50"/>
      <c r="BV982" s="50"/>
      <c r="BW982" s="50"/>
      <c r="BX982" s="50"/>
      <c r="BY982" s="50"/>
      <c r="BZ982" s="50"/>
      <c r="CA982" s="50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  <c r="CX982" s="21"/>
      <c r="CY982" s="21"/>
    </row>
    <row r="983">
      <c r="B983" s="18"/>
      <c r="C983" s="23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50"/>
      <c r="BT983" s="50"/>
      <c r="BU983" s="50"/>
      <c r="BV983" s="50"/>
      <c r="BW983" s="50"/>
      <c r="BX983" s="50"/>
      <c r="BY983" s="50"/>
      <c r="BZ983" s="50"/>
      <c r="CA983" s="50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  <c r="CX983" s="21"/>
      <c r="CY983" s="21"/>
    </row>
    <row r="984">
      <c r="B984" s="18"/>
      <c r="C984" s="23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50"/>
      <c r="BT984" s="50"/>
      <c r="BU984" s="50"/>
      <c r="BV984" s="50"/>
      <c r="BW984" s="50"/>
      <c r="BX984" s="50"/>
      <c r="BY984" s="50"/>
      <c r="BZ984" s="50"/>
      <c r="CA984" s="50"/>
      <c r="CB984" s="21"/>
      <c r="CC984" s="21"/>
      <c r="CD984" s="21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  <c r="CX984" s="21"/>
      <c r="CY984" s="21"/>
    </row>
    <row r="985">
      <c r="B985" s="18"/>
      <c r="C985" s="23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50"/>
      <c r="BT985" s="50"/>
      <c r="BU985" s="50"/>
      <c r="BV985" s="50"/>
      <c r="BW985" s="50"/>
      <c r="BX985" s="50"/>
      <c r="BY985" s="50"/>
      <c r="BZ985" s="50"/>
      <c r="CA985" s="50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1"/>
      <c r="CY985" s="21"/>
    </row>
    <row r="986">
      <c r="B986" s="18"/>
      <c r="C986" s="23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50"/>
      <c r="BT986" s="50"/>
      <c r="BU986" s="50"/>
      <c r="BV986" s="50"/>
      <c r="BW986" s="50"/>
      <c r="BX986" s="50"/>
      <c r="BY986" s="50"/>
      <c r="BZ986" s="50"/>
      <c r="CA986" s="50"/>
      <c r="CB986" s="21"/>
      <c r="CC986" s="21"/>
      <c r="CD986" s="21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  <c r="CX986" s="21"/>
      <c r="CY986" s="21"/>
    </row>
    <row r="987">
      <c r="B987" s="18"/>
      <c r="C987" s="23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50"/>
      <c r="BT987" s="50"/>
      <c r="BU987" s="50"/>
      <c r="BV987" s="50"/>
      <c r="BW987" s="50"/>
      <c r="BX987" s="50"/>
      <c r="BY987" s="50"/>
      <c r="BZ987" s="50"/>
      <c r="CA987" s="50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  <c r="CX987" s="21"/>
      <c r="CY987" s="21"/>
    </row>
    <row r="988">
      <c r="B988" s="18"/>
      <c r="C988" s="23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50"/>
      <c r="BT988" s="50"/>
      <c r="BU988" s="50"/>
      <c r="BV988" s="50"/>
      <c r="BW988" s="50"/>
      <c r="BX988" s="50"/>
      <c r="BY988" s="50"/>
      <c r="BZ988" s="50"/>
      <c r="CA988" s="50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  <c r="CX988" s="21"/>
      <c r="CY988" s="21"/>
    </row>
    <row r="989">
      <c r="B989" s="18"/>
      <c r="C989" s="23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50"/>
      <c r="BT989" s="50"/>
      <c r="BU989" s="50"/>
      <c r="BV989" s="50"/>
      <c r="BW989" s="50"/>
      <c r="BX989" s="50"/>
      <c r="BY989" s="50"/>
      <c r="BZ989" s="50"/>
      <c r="CA989" s="50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  <c r="CX989" s="21"/>
      <c r="CY989" s="21"/>
    </row>
    <row r="990">
      <c r="B990" s="18"/>
      <c r="C990" s="23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50"/>
      <c r="BT990" s="50"/>
      <c r="BU990" s="50"/>
      <c r="BV990" s="50"/>
      <c r="BW990" s="50"/>
      <c r="BX990" s="50"/>
      <c r="BY990" s="50"/>
      <c r="BZ990" s="50"/>
      <c r="CA990" s="50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  <c r="CX990" s="21"/>
      <c r="CY990" s="21"/>
    </row>
    <row r="991">
      <c r="B991" s="18"/>
      <c r="C991" s="23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50"/>
      <c r="BT991" s="50"/>
      <c r="BU991" s="50"/>
      <c r="BV991" s="50"/>
      <c r="BW991" s="50"/>
      <c r="BX991" s="50"/>
      <c r="BY991" s="50"/>
      <c r="BZ991" s="50"/>
      <c r="CA991" s="50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  <c r="CX991" s="21"/>
      <c r="CY991" s="21"/>
    </row>
    <row r="992">
      <c r="B992" s="18"/>
      <c r="C992" s="23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50"/>
      <c r="BT992" s="50"/>
      <c r="BU992" s="50"/>
      <c r="BV992" s="50"/>
      <c r="BW992" s="50"/>
      <c r="BX992" s="50"/>
      <c r="BY992" s="50"/>
      <c r="BZ992" s="50"/>
      <c r="CA992" s="50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  <c r="CX992" s="21"/>
      <c r="CY992" s="21"/>
    </row>
    <row r="993">
      <c r="B993" s="18"/>
      <c r="C993" s="23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50"/>
      <c r="BT993" s="50"/>
      <c r="BU993" s="50"/>
      <c r="BV993" s="50"/>
      <c r="BW993" s="50"/>
      <c r="BX993" s="50"/>
      <c r="BY993" s="50"/>
      <c r="BZ993" s="50"/>
      <c r="CA993" s="50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1"/>
      <c r="CY993" s="21"/>
    </row>
    <row r="994">
      <c r="B994" s="18"/>
      <c r="C994" s="23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50"/>
      <c r="BT994" s="50"/>
      <c r="BU994" s="50"/>
      <c r="BV994" s="50"/>
      <c r="BW994" s="50"/>
      <c r="BX994" s="50"/>
      <c r="BY994" s="50"/>
      <c r="BZ994" s="50"/>
      <c r="CA994" s="50"/>
      <c r="CB994" s="21"/>
      <c r="CC994" s="21"/>
      <c r="CD994" s="21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  <c r="CX994" s="21"/>
      <c r="CY994" s="21"/>
    </row>
    <row r="995">
      <c r="B995" s="18"/>
      <c r="C995" s="23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50"/>
      <c r="BT995" s="50"/>
      <c r="BU995" s="50"/>
      <c r="BV995" s="50"/>
      <c r="BW995" s="50"/>
      <c r="BX995" s="50"/>
      <c r="BY995" s="50"/>
      <c r="BZ995" s="50"/>
      <c r="CA995" s="50"/>
      <c r="CB995" s="21"/>
      <c r="CC995" s="21"/>
      <c r="CD995" s="21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  <c r="CX995" s="21"/>
      <c r="CY995" s="21"/>
    </row>
    <row r="996">
      <c r="B996" s="18"/>
      <c r="C996" s="23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50"/>
      <c r="BT996" s="50"/>
      <c r="BU996" s="50"/>
      <c r="BV996" s="50"/>
      <c r="BW996" s="50"/>
      <c r="BX996" s="50"/>
      <c r="BY996" s="50"/>
      <c r="BZ996" s="50"/>
      <c r="CA996" s="50"/>
      <c r="CB996" s="21"/>
      <c r="CC996" s="21"/>
      <c r="CD996" s="21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  <c r="CX996" s="21"/>
      <c r="CY996" s="21"/>
    </row>
    <row r="997">
      <c r="B997" s="18"/>
      <c r="C997" s="23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50"/>
      <c r="BT997" s="50"/>
      <c r="BU997" s="50"/>
      <c r="BV997" s="50"/>
      <c r="BW997" s="50"/>
      <c r="BX997" s="50"/>
      <c r="BY997" s="50"/>
      <c r="BZ997" s="50"/>
      <c r="CA997" s="50"/>
      <c r="CB997" s="21"/>
      <c r="CC997" s="21"/>
      <c r="CD997" s="21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  <c r="CX997" s="21"/>
      <c r="CY997" s="21"/>
    </row>
    <row r="998">
      <c r="B998" s="18"/>
      <c r="C998" s="23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50"/>
      <c r="BT998" s="50"/>
      <c r="BU998" s="50"/>
      <c r="BV998" s="50"/>
      <c r="BW998" s="50"/>
      <c r="BX998" s="50"/>
      <c r="BY998" s="50"/>
      <c r="BZ998" s="50"/>
      <c r="CA998" s="50"/>
      <c r="CB998" s="21"/>
      <c r="CC998" s="21"/>
      <c r="CD998" s="21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  <c r="CX998" s="21"/>
      <c r="CY998" s="21"/>
    </row>
    <row r="999">
      <c r="B999" s="18"/>
      <c r="C999" s="23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50"/>
      <c r="BT999" s="50"/>
      <c r="BU999" s="50"/>
      <c r="BV999" s="50"/>
      <c r="BW999" s="50"/>
      <c r="BX999" s="50"/>
      <c r="BY999" s="50"/>
      <c r="BZ999" s="50"/>
      <c r="CA999" s="50"/>
      <c r="CB999" s="21"/>
      <c r="CC999" s="21"/>
      <c r="CD999" s="21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  <c r="CX999" s="21"/>
      <c r="CY999" s="21"/>
    </row>
    <row r="1000">
      <c r="B1000" s="18"/>
      <c r="C1000" s="23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50"/>
      <c r="BT1000" s="50"/>
      <c r="BU1000" s="50"/>
      <c r="BV1000" s="50"/>
      <c r="BW1000" s="50"/>
      <c r="BX1000" s="50"/>
      <c r="BY1000" s="50"/>
      <c r="BZ1000" s="50"/>
      <c r="CA1000" s="50"/>
      <c r="CB1000" s="21"/>
      <c r="CC1000" s="21"/>
      <c r="CD1000" s="21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  <c r="CX1000" s="21"/>
      <c r="CY1000" s="21"/>
    </row>
    <row r="1001">
      <c r="B1001" s="18"/>
      <c r="C1001" s="23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  <c r="BR1001" s="21"/>
      <c r="BS1001" s="50"/>
      <c r="BT1001" s="50"/>
      <c r="BU1001" s="50"/>
      <c r="BV1001" s="50"/>
      <c r="BW1001" s="50"/>
      <c r="BX1001" s="50"/>
      <c r="BY1001" s="50"/>
      <c r="BZ1001" s="50"/>
      <c r="CA1001" s="50"/>
      <c r="CB1001" s="21"/>
      <c r="CC1001" s="21"/>
      <c r="CD1001" s="21"/>
      <c r="CE1001" s="21"/>
      <c r="CF1001" s="21"/>
      <c r="CG1001" s="21"/>
      <c r="CH1001" s="21"/>
      <c r="CI1001" s="21"/>
      <c r="CJ1001" s="21"/>
      <c r="CK1001" s="21"/>
      <c r="CL1001" s="21"/>
      <c r="CM1001" s="21"/>
      <c r="CN1001" s="21"/>
      <c r="CO1001" s="21"/>
      <c r="CP1001" s="21"/>
      <c r="CQ1001" s="21"/>
      <c r="CR1001" s="21"/>
      <c r="CS1001" s="21"/>
      <c r="CT1001" s="21"/>
      <c r="CU1001" s="21"/>
      <c r="CV1001" s="21"/>
      <c r="CW1001" s="21"/>
      <c r="CX1001" s="21"/>
      <c r="CY1001" s="21"/>
    </row>
    <row r="1002">
      <c r="B1002" s="18"/>
      <c r="C1002" s="23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  <c r="BQ1002" s="21"/>
      <c r="BR1002" s="21"/>
      <c r="BS1002" s="50"/>
      <c r="BT1002" s="50"/>
      <c r="BU1002" s="50"/>
      <c r="BV1002" s="50"/>
      <c r="BW1002" s="50"/>
      <c r="BX1002" s="50"/>
      <c r="BY1002" s="50"/>
      <c r="BZ1002" s="50"/>
      <c r="CA1002" s="50"/>
      <c r="CB1002" s="21"/>
      <c r="CC1002" s="21"/>
      <c r="CD1002" s="21"/>
      <c r="CE1002" s="21"/>
      <c r="CF1002" s="21"/>
      <c r="CG1002" s="21"/>
      <c r="CH1002" s="21"/>
      <c r="CI1002" s="21"/>
      <c r="CJ1002" s="21"/>
      <c r="CK1002" s="21"/>
      <c r="CL1002" s="21"/>
      <c r="CM1002" s="21"/>
      <c r="CN1002" s="21"/>
      <c r="CO1002" s="21"/>
      <c r="CP1002" s="21"/>
      <c r="CQ1002" s="21"/>
      <c r="CR1002" s="21"/>
      <c r="CS1002" s="21"/>
      <c r="CT1002" s="21"/>
      <c r="CU1002" s="21"/>
      <c r="CV1002" s="21"/>
      <c r="CW1002" s="21"/>
      <c r="CX1002" s="21"/>
      <c r="CY1002" s="21"/>
    </row>
    <row r="1003">
      <c r="B1003" s="18"/>
      <c r="C1003" s="23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  <c r="BR1003" s="21"/>
      <c r="BS1003" s="50"/>
      <c r="BT1003" s="50"/>
      <c r="BU1003" s="50"/>
      <c r="BV1003" s="50"/>
      <c r="BW1003" s="50"/>
      <c r="BX1003" s="50"/>
      <c r="BY1003" s="50"/>
      <c r="BZ1003" s="50"/>
      <c r="CA1003" s="50"/>
      <c r="CB1003" s="21"/>
      <c r="CC1003" s="21"/>
      <c r="CD1003" s="21"/>
      <c r="CE1003" s="21"/>
      <c r="CF1003" s="21"/>
      <c r="CG1003" s="21"/>
      <c r="CH1003" s="21"/>
      <c r="CI1003" s="21"/>
      <c r="CJ1003" s="21"/>
      <c r="CK1003" s="21"/>
      <c r="CL1003" s="21"/>
      <c r="CM1003" s="21"/>
      <c r="CN1003" s="21"/>
      <c r="CO1003" s="21"/>
      <c r="CP1003" s="21"/>
      <c r="CQ1003" s="21"/>
      <c r="CR1003" s="21"/>
      <c r="CS1003" s="21"/>
      <c r="CT1003" s="21"/>
      <c r="CU1003" s="21"/>
      <c r="CV1003" s="21"/>
      <c r="CW1003" s="21"/>
      <c r="CX1003" s="21"/>
      <c r="CY1003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7.38"/>
    <col customWidth="1" min="3" max="17" width="16.75"/>
  </cols>
  <sheetData>
    <row r="1">
      <c r="A1" s="53" t="s">
        <v>131</v>
      </c>
      <c r="B1" s="2" t="s">
        <v>0</v>
      </c>
      <c r="C1" s="3" t="str">
        <f t="array" ref="C1">INDEX(D1:Q1, MATCH(1, D16:Q16, 0))</f>
        <v>N9K-C93180YC-FX3</v>
      </c>
      <c r="D1" s="6" t="s">
        <v>132</v>
      </c>
      <c r="E1" s="6" t="s">
        <v>133</v>
      </c>
      <c r="F1" s="6" t="s">
        <v>134</v>
      </c>
      <c r="G1" s="30" t="s">
        <v>135</v>
      </c>
      <c r="H1" s="6" t="s">
        <v>136</v>
      </c>
      <c r="I1" s="6" t="s">
        <v>137</v>
      </c>
      <c r="J1" s="6" t="s">
        <v>138</v>
      </c>
      <c r="K1" s="6" t="s">
        <v>139</v>
      </c>
      <c r="L1" s="6" t="s">
        <v>140</v>
      </c>
      <c r="M1" s="6" t="s">
        <v>141</v>
      </c>
      <c r="N1" s="6" t="s">
        <v>142</v>
      </c>
      <c r="O1" s="6" t="s">
        <v>143</v>
      </c>
      <c r="P1" s="6" t="s">
        <v>144</v>
      </c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8" t="str">
        <f>Specs!C2</f>
        <v>Switching Bandwidth - Full Duplex (Gbps)</v>
      </c>
      <c r="B2" s="9" t="str">
        <f>IFERROR(__xludf.DUMMYFUNCTION("IMPORTRANGE(""https://docs.google.com/spreadsheets/d/18TjePryHG687L54fIGU6Od12DGyT3mPoblPemZTZRY4"",""SwitchCampus!B3:B10"")"),"")</f>
        <v/>
      </c>
      <c r="C2" s="10" t="str">
        <f>hlookup($C$1,$D$1:$Q$10,2,0)</f>
        <v/>
      </c>
      <c r="D2" s="13"/>
      <c r="E2" s="13"/>
      <c r="F2" s="13"/>
      <c r="G2" s="34"/>
      <c r="H2" s="13"/>
      <c r="I2" s="13"/>
      <c r="J2" s="13"/>
      <c r="K2" s="13"/>
      <c r="L2" s="13"/>
      <c r="M2" s="13"/>
      <c r="N2" s="13"/>
      <c r="O2" s="13"/>
      <c r="P2" s="13"/>
      <c r="Q2" s="13"/>
    </row>
    <row r="3">
      <c r="A3" s="8" t="str">
        <f>Specs!C3</f>
        <v>Forwarding Capacity (Mpps)</v>
      </c>
      <c r="B3" s="9"/>
      <c r="C3" s="10" t="str">
        <f>hlookup($C$1,$D$1:$Q$10,3,0)</f>
        <v/>
      </c>
      <c r="D3" s="13"/>
      <c r="E3" s="13"/>
      <c r="F3" s="13"/>
      <c r="G3" s="34"/>
      <c r="H3" s="13"/>
      <c r="I3" s="13"/>
      <c r="J3" s="13"/>
      <c r="K3" s="13"/>
      <c r="L3" s="13"/>
      <c r="M3" s="13"/>
      <c r="N3" s="13"/>
      <c r="O3" s="13"/>
      <c r="P3" s="13"/>
      <c r="Q3" s="13"/>
    </row>
    <row r="4">
      <c r="A4" s="8" t="str">
        <f>Specs!C4</f>
        <v>Số lượng cổng 1GE đồng</v>
      </c>
      <c r="B4" s="9"/>
      <c r="C4" s="10" t="str">
        <f>hlookup($C$1,$D$1:$Q$10,4,0)</f>
        <v/>
      </c>
      <c r="D4" s="13"/>
      <c r="E4" s="13"/>
      <c r="F4" s="13"/>
      <c r="G4" s="34">
        <v>48.0</v>
      </c>
      <c r="H4" s="13">
        <v>48.0</v>
      </c>
      <c r="I4" s="13">
        <v>96.0</v>
      </c>
      <c r="J4" s="13"/>
      <c r="K4" s="13"/>
      <c r="L4" s="13"/>
      <c r="M4" s="13"/>
      <c r="N4" s="13"/>
      <c r="O4" s="13"/>
      <c r="P4" s="13"/>
      <c r="Q4" s="13"/>
    </row>
    <row r="5">
      <c r="A5" s="8" t="str">
        <f>Specs!C5</f>
        <v>Số lượng cổng 1GE SFP</v>
      </c>
      <c r="B5" s="9"/>
      <c r="C5" s="10">
        <f>hlookup($C$1,$D$1:$Q$10,5,0)</f>
        <v>48</v>
      </c>
      <c r="D5" s="13"/>
      <c r="E5" s="13"/>
      <c r="F5" s="13"/>
      <c r="G5" s="34"/>
      <c r="H5" s="13"/>
      <c r="I5" s="13"/>
      <c r="J5" s="13">
        <v>96.0</v>
      </c>
      <c r="K5" s="13">
        <v>48.0</v>
      </c>
      <c r="L5" s="13">
        <v>48.0</v>
      </c>
      <c r="M5" s="13"/>
      <c r="N5" s="13"/>
      <c r="O5" s="13"/>
      <c r="P5" s="13"/>
      <c r="Q5" s="13"/>
    </row>
    <row r="6">
      <c r="A6" s="8" t="str">
        <f>Specs!C6</f>
        <v>Số lượng cổng 10GE đồng</v>
      </c>
      <c r="B6" s="16"/>
      <c r="C6" s="10" t="str">
        <f>hlookup($C$1,$D$1:$Q$10,6,0)</f>
        <v/>
      </c>
      <c r="D6" s="15"/>
      <c r="E6" s="15"/>
      <c r="F6" s="15"/>
      <c r="G6" s="34"/>
      <c r="H6" s="13">
        <v>48.0</v>
      </c>
      <c r="I6" s="13">
        <v>96.0</v>
      </c>
      <c r="J6" s="15"/>
      <c r="K6" s="15"/>
      <c r="L6" s="15"/>
      <c r="M6" s="15"/>
      <c r="N6" s="15"/>
      <c r="O6" s="15"/>
      <c r="P6" s="15"/>
      <c r="Q6" s="15"/>
    </row>
    <row r="7">
      <c r="A7" s="8" t="str">
        <f>Specs!C7</f>
        <v>Số lượng cổng 10GE quang</v>
      </c>
      <c r="B7" s="16">
        <f>IFERROR(__xludf.DUMMYFUNCTION("""COMPUTED_VALUE"""),48.0)</f>
        <v>48</v>
      </c>
      <c r="C7" s="10">
        <f>hlookup($C$1,$D$1:$Q$10,7,0)</f>
        <v>48</v>
      </c>
      <c r="D7" s="13"/>
      <c r="E7" s="13"/>
      <c r="F7" s="13"/>
      <c r="G7" s="34">
        <v>4.0</v>
      </c>
      <c r="H7" s="13"/>
      <c r="I7" s="13"/>
      <c r="J7" s="13">
        <v>96.0</v>
      </c>
      <c r="K7" s="13">
        <v>48.0</v>
      </c>
      <c r="L7" s="13">
        <v>48.0</v>
      </c>
      <c r="M7" s="13"/>
      <c r="N7" s="13"/>
      <c r="O7" s="13"/>
      <c r="P7" s="13"/>
      <c r="Q7" s="13"/>
    </row>
    <row r="8">
      <c r="A8" s="8" t="str">
        <f>Specs!C8</f>
        <v>Số lượng cổng 100GE</v>
      </c>
      <c r="B8" s="16"/>
      <c r="C8" s="10">
        <f>hlookup($C$1,$D$1:$Q$10,8,0)</f>
        <v>6</v>
      </c>
      <c r="D8" s="13">
        <v>144.0</v>
      </c>
      <c r="E8" s="13">
        <v>288.0</v>
      </c>
      <c r="F8" s="13">
        <v>576.0</v>
      </c>
      <c r="G8" s="34">
        <v>2.0</v>
      </c>
      <c r="H8" s="13">
        <v>6.0</v>
      </c>
      <c r="I8" s="13">
        <v>12.0</v>
      </c>
      <c r="J8" s="13">
        <v>12.0</v>
      </c>
      <c r="K8" s="13">
        <v>12.0</v>
      </c>
      <c r="L8" s="13">
        <v>6.0</v>
      </c>
      <c r="M8" s="13">
        <v>36.0</v>
      </c>
      <c r="N8" s="13">
        <v>16.0</v>
      </c>
      <c r="O8" s="13">
        <v>64.0</v>
      </c>
      <c r="P8" s="13">
        <v>36.0</v>
      </c>
      <c r="Q8" s="13"/>
    </row>
    <row r="9">
      <c r="A9" s="8" t="str">
        <f>Specs!C9</f>
        <v>Stacking (Y/N)</v>
      </c>
      <c r="B9" s="16"/>
      <c r="C9" s="10" t="str">
        <f>hlookup($C$1,$D$1:$Q$10,9,0)</f>
        <v/>
      </c>
      <c r="D9" s="15"/>
      <c r="E9" s="15"/>
      <c r="F9" s="15"/>
      <c r="G9" s="40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>
      <c r="A10" s="8" t="str">
        <f>Specs!C10</f>
        <v>PoE (Y/N)</v>
      </c>
      <c r="B10" s="16"/>
      <c r="C10" s="10" t="str">
        <f>hlookup($C$1,$D$1:$Q$10,10,0)</f>
        <v/>
      </c>
      <c r="D10" s="15"/>
      <c r="E10" s="15"/>
      <c r="F10" s="15"/>
      <c r="G10" s="40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>
      <c r="A11" s="17" t="s">
        <v>130</v>
      </c>
      <c r="B11" s="18"/>
      <c r="C11" s="23" t="str">
        <f>hlookup($C$1,$D$1:$Q$11,11,0)</f>
        <v>High End</v>
      </c>
      <c r="D11" s="20" t="s">
        <v>25</v>
      </c>
      <c r="E11" s="20" t="s">
        <v>25</v>
      </c>
      <c r="F11" s="20" t="s">
        <v>25</v>
      </c>
      <c r="G11" s="20" t="s">
        <v>25</v>
      </c>
      <c r="H11" s="20" t="s">
        <v>25</v>
      </c>
      <c r="I11" s="20" t="s">
        <v>25</v>
      </c>
      <c r="J11" s="20" t="s">
        <v>25</v>
      </c>
      <c r="K11" s="20" t="s">
        <v>25</v>
      </c>
      <c r="L11" s="20" t="s">
        <v>25</v>
      </c>
      <c r="M11" s="20" t="s">
        <v>25</v>
      </c>
      <c r="N11" s="20" t="s">
        <v>25</v>
      </c>
      <c r="O11" s="20" t="s">
        <v>25</v>
      </c>
      <c r="P11" s="20" t="s">
        <v>25</v>
      </c>
      <c r="Q11" s="21"/>
    </row>
    <row r="12">
      <c r="A12" s="22"/>
      <c r="B12" s="18"/>
      <c r="C12" s="2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>
      <c r="A13" s="22" t="s">
        <v>26</v>
      </c>
      <c r="B13" s="18"/>
      <c r="C13" s="23">
        <f t="shared" ref="C13:Q13" si="1">sum(1*(C2&gt;=$B$2)+1*(C3&gt;=$B$3)+1*(C4&gt;=$B$4)+1*(C5&gt;=$B$5)+1*(C6&gt;=$B$6)+1*(C7&gt;=$B$7)+1*(C8&gt;=$B$8)+1*or(C9="Y",$B$9="N",$B$9="")+1*or(C10="Y",$B$10="N",$B$10=""))</f>
        <v>9</v>
      </c>
      <c r="D13" s="21">
        <f t="shared" si="1"/>
        <v>8</v>
      </c>
      <c r="E13" s="21">
        <f t="shared" si="1"/>
        <v>8</v>
      </c>
      <c r="F13" s="21">
        <f t="shared" si="1"/>
        <v>8</v>
      </c>
      <c r="G13" s="21">
        <f t="shared" si="1"/>
        <v>8</v>
      </c>
      <c r="H13" s="21">
        <f t="shared" si="1"/>
        <v>8</v>
      </c>
      <c r="I13" s="21">
        <f t="shared" si="1"/>
        <v>8</v>
      </c>
      <c r="J13" s="21">
        <f t="shared" si="1"/>
        <v>9</v>
      </c>
      <c r="K13" s="21">
        <f t="shared" si="1"/>
        <v>9</v>
      </c>
      <c r="L13" s="21">
        <f t="shared" si="1"/>
        <v>9</v>
      </c>
      <c r="M13" s="21">
        <f t="shared" si="1"/>
        <v>8</v>
      </c>
      <c r="N13" s="21">
        <f t="shared" si="1"/>
        <v>8</v>
      </c>
      <c r="O13" s="21">
        <f t="shared" si="1"/>
        <v>8</v>
      </c>
      <c r="P13" s="21">
        <f t="shared" si="1"/>
        <v>8</v>
      </c>
      <c r="Q13" s="21">
        <f t="shared" si="1"/>
        <v>8</v>
      </c>
    </row>
    <row r="14">
      <c r="A14" s="22" t="s">
        <v>27</v>
      </c>
      <c r="B14" s="18"/>
      <c r="C14" s="24">
        <f>iferror(vlookup(C1,AllListPrice!$A$2:$D$1000,4,0),0)</f>
        <v>73302.82</v>
      </c>
      <c r="D14" s="25">
        <f>iferror(vlookup(D1,AllListPrice!$A$2:$D$1000,4,0),0)</f>
        <v>383674.39</v>
      </c>
      <c r="E14" s="25">
        <f>iferror(vlookup(E1,AllListPrice!$A$2:$D$1000,4,0),0)</f>
        <v>645324.61</v>
      </c>
      <c r="F14" s="25">
        <f>iferror(vlookup(F1,AllListPrice!$A$2:$D$1000,4,0),0)</f>
        <v>761874.61</v>
      </c>
      <c r="G14" s="25">
        <f>iferror(vlookup(G1,AllListPrice!$A$2:$D$1000,4,0),0)</f>
        <v>32577.06</v>
      </c>
      <c r="H14" s="25">
        <f>iferror(vlookup(H1,AllListPrice!$A$2:$D$1000,4,0),0)</f>
        <v>78416.27</v>
      </c>
      <c r="I14" s="25">
        <f>iferror(vlookup(I1,AllListPrice!$A$2:$D$1000,4,0),0)</f>
        <v>95212.19</v>
      </c>
      <c r="J14" s="25">
        <f>iferror(vlookup(J1,AllListPrice!$A$2:$D$1000,4,0),0)</f>
        <v>95456.27</v>
      </c>
      <c r="K14" s="25">
        <f>iferror(vlookup(K1,AllListPrice!$A$2:$D$1000,4,0),0)</f>
        <v>81871.35</v>
      </c>
      <c r="L14" s="25">
        <f>iferror(vlookup(L1,AllListPrice!$A$2:$D$1000,4,0),0)</f>
        <v>73302.82</v>
      </c>
      <c r="M14" s="25">
        <f>iferror(vlookup(M1,AllListPrice!$A$2:$D$1000,4,0),0)</f>
        <v>121246.9</v>
      </c>
      <c r="N14" s="25">
        <f>iferror(vlookup(N1,AllListPrice!$A$2:$D$1000,4,0),0)</f>
        <v>125701.93</v>
      </c>
      <c r="O14" s="25">
        <f>iferror(vlookup(O1,AllListPrice!$A$2:$D$1000,4,0),0)</f>
        <v>150153.17</v>
      </c>
      <c r="P14" s="25">
        <f>iferror(vlookup(P1,AllListPrice!$A$2:$D$1000,4,0),0)</f>
        <v>59012.02</v>
      </c>
      <c r="Q14" s="25">
        <f>iferror(vlookup(Q1,Cisco!$A$2:$D$1000,4,0),0)</f>
        <v>0</v>
      </c>
    </row>
    <row r="15">
      <c r="A15" s="22" t="s">
        <v>28</v>
      </c>
      <c r="B15" s="18"/>
      <c r="C15" s="23">
        <f t="shared" ref="C15:Q15" si="2">1*(C13=max($D$13:$Q$13))</f>
        <v>1</v>
      </c>
      <c r="D15" s="21">
        <f t="shared" si="2"/>
        <v>0</v>
      </c>
      <c r="E15" s="21">
        <f t="shared" si="2"/>
        <v>0</v>
      </c>
      <c r="F15" s="21">
        <f t="shared" si="2"/>
        <v>0</v>
      </c>
      <c r="G15" s="21">
        <f t="shared" si="2"/>
        <v>0</v>
      </c>
      <c r="H15" s="21">
        <f t="shared" si="2"/>
        <v>0</v>
      </c>
      <c r="I15" s="21">
        <f t="shared" si="2"/>
        <v>0</v>
      </c>
      <c r="J15" s="21">
        <f t="shared" si="2"/>
        <v>1</v>
      </c>
      <c r="K15" s="21">
        <f t="shared" si="2"/>
        <v>1</v>
      </c>
      <c r="L15" s="21">
        <f t="shared" si="2"/>
        <v>1</v>
      </c>
      <c r="M15" s="21">
        <f t="shared" si="2"/>
        <v>0</v>
      </c>
      <c r="N15" s="21">
        <f t="shared" si="2"/>
        <v>0</v>
      </c>
      <c r="O15" s="21">
        <f t="shared" si="2"/>
        <v>0</v>
      </c>
      <c r="P15" s="21">
        <f t="shared" si="2"/>
        <v>0</v>
      </c>
      <c r="Q15" s="21">
        <f t="shared" si="2"/>
        <v>0</v>
      </c>
    </row>
    <row r="16">
      <c r="A16" s="22" t="s">
        <v>29</v>
      </c>
      <c r="B16" s="18"/>
      <c r="C16" s="23">
        <f t="shared" ref="C16:Q16" si="3">C15*(C14=minifs($D$14:$Q$14,$D$15:$Q$15,1))</f>
        <v>1</v>
      </c>
      <c r="D16" s="21">
        <f t="shared" si="3"/>
        <v>0</v>
      </c>
      <c r="E16" s="21">
        <f t="shared" si="3"/>
        <v>0</v>
      </c>
      <c r="F16" s="21">
        <f t="shared" si="3"/>
        <v>0</v>
      </c>
      <c r="G16" s="21">
        <f t="shared" si="3"/>
        <v>0</v>
      </c>
      <c r="H16" s="21">
        <f t="shared" si="3"/>
        <v>0</v>
      </c>
      <c r="I16" s="21">
        <f t="shared" si="3"/>
        <v>0</v>
      </c>
      <c r="J16" s="21">
        <f t="shared" si="3"/>
        <v>0</v>
      </c>
      <c r="K16" s="21">
        <f t="shared" si="3"/>
        <v>0</v>
      </c>
      <c r="L16" s="21">
        <f t="shared" si="3"/>
        <v>1</v>
      </c>
      <c r="M16" s="21">
        <f t="shared" si="3"/>
        <v>0</v>
      </c>
      <c r="N16" s="21">
        <f t="shared" si="3"/>
        <v>0</v>
      </c>
      <c r="O16" s="21">
        <f t="shared" si="3"/>
        <v>0</v>
      </c>
      <c r="P16" s="21">
        <f t="shared" si="3"/>
        <v>0</v>
      </c>
      <c r="Q16" s="21">
        <f t="shared" si="3"/>
        <v>0</v>
      </c>
    </row>
    <row r="17">
      <c r="A17" s="22" t="s">
        <v>30</v>
      </c>
      <c r="B17" s="18"/>
      <c r="C17" s="23">
        <f t="shared" ref="C17:Q17" si="4">(1-($C$1=C1))*(C15=1)</f>
        <v>0</v>
      </c>
      <c r="D17" s="21">
        <f t="shared" si="4"/>
        <v>0</v>
      </c>
      <c r="E17" s="21">
        <f t="shared" si="4"/>
        <v>0</v>
      </c>
      <c r="F17" s="21">
        <f t="shared" si="4"/>
        <v>0</v>
      </c>
      <c r="G17" s="21">
        <f t="shared" si="4"/>
        <v>0</v>
      </c>
      <c r="H17" s="21">
        <f t="shared" si="4"/>
        <v>0</v>
      </c>
      <c r="I17" s="21">
        <f t="shared" si="4"/>
        <v>0</v>
      </c>
      <c r="J17" s="21">
        <f t="shared" si="4"/>
        <v>1</v>
      </c>
      <c r="K17" s="21">
        <f t="shared" si="4"/>
        <v>1</v>
      </c>
      <c r="L17" s="21">
        <f t="shared" si="4"/>
        <v>0</v>
      </c>
      <c r="M17" s="21">
        <f t="shared" si="4"/>
        <v>0</v>
      </c>
      <c r="N17" s="21">
        <f t="shared" si="4"/>
        <v>0</v>
      </c>
      <c r="O17" s="21">
        <f t="shared" si="4"/>
        <v>0</v>
      </c>
      <c r="P17" s="21">
        <f t="shared" si="4"/>
        <v>0</v>
      </c>
      <c r="Q17" s="21">
        <f t="shared" si="4"/>
        <v>0</v>
      </c>
    </row>
    <row r="18">
      <c r="B18" s="18"/>
      <c r="C18" s="2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>
      <c r="A19" s="17" t="s">
        <v>31</v>
      </c>
      <c r="B19" s="26"/>
      <c r="C19" s="27" t="str">
        <f>IFERROR(__xludf.DUMMYFUNCTION("iferror(filter(D1:Q1,$D$17:$Q$17=1),"""")"),"N9K-C93360YC-FX2")</f>
        <v>N9K-C93360YC-FX2</v>
      </c>
      <c r="D19" s="28" t="str">
        <f>IFERROR(__xludf.DUMMYFUNCTION("""COMPUTED_VALUE"""),"N9K-C93240YC-FX2")</f>
        <v>N9K-C93240YC-FX2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>
      <c r="A20" s="29" t="str">
        <f t="shared" ref="A20:B20" si="5">A2</f>
        <v>Switching Bandwidth - Full Duplex (Gbps)</v>
      </c>
      <c r="B20" s="18" t="str">
        <f t="shared" si="5"/>
        <v/>
      </c>
      <c r="C20" s="23" t="str">
        <f>IFERROR(__xludf.DUMMYFUNCTION("iferror(filter(D2:Q2,$D$17:$Q$17=1),"""")"),"")</f>
        <v/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>
      <c r="A21" s="29" t="str">
        <f t="shared" ref="A21:B21" si="6">A3</f>
        <v>Forwarding Capacity (Mpps)</v>
      </c>
      <c r="B21" s="18" t="str">
        <f t="shared" si="6"/>
        <v/>
      </c>
      <c r="C21" s="23" t="str">
        <f>IFERROR(__xludf.DUMMYFUNCTION("iferror(filter(D3:Q3,$D$17:$Q$17=1),"""")"),"")</f>
        <v/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>
      <c r="A22" s="29" t="str">
        <f t="shared" ref="A22:B22" si="7">A4</f>
        <v>Số lượng cổng 1GE đồng</v>
      </c>
      <c r="B22" s="18" t="str">
        <f t="shared" si="7"/>
        <v/>
      </c>
      <c r="C22" s="23" t="str">
        <f>IFERROR(__xludf.DUMMYFUNCTION("iferror(filter(D4:Q4,$D$17:$Q$17=1),"""")"),"")</f>
        <v/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>
      <c r="A23" s="29" t="str">
        <f t="shared" ref="A23:B23" si="8">A5</f>
        <v>Số lượng cổng 1GE SFP</v>
      </c>
      <c r="B23" s="18" t="str">
        <f t="shared" si="8"/>
        <v/>
      </c>
      <c r="C23" s="23">
        <f>IFERROR(__xludf.DUMMYFUNCTION("iferror(filter(D5:Q5,$D$17:$Q$17=1),"""")"),96.0)</f>
        <v>96</v>
      </c>
      <c r="D23" s="21">
        <f>IFERROR(__xludf.DUMMYFUNCTION("""COMPUTED_VALUE"""),48.0)</f>
        <v>48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>
      <c r="A24" s="29" t="str">
        <f t="shared" ref="A24:B24" si="9">A6</f>
        <v>Số lượng cổng 10GE đồng</v>
      </c>
      <c r="B24" s="18" t="str">
        <f t="shared" si="9"/>
        <v/>
      </c>
      <c r="C24" s="23" t="str">
        <f>IFERROR(__xludf.DUMMYFUNCTION("iferror(filter(D6:Q6,$D$17:$Q$17=1),"""")"),"")</f>
        <v/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>
      <c r="A25" s="29" t="str">
        <f t="shared" ref="A25:B25" si="10">A7</f>
        <v>Số lượng cổng 10GE quang</v>
      </c>
      <c r="B25" s="18">
        <f t="shared" si="10"/>
        <v>48</v>
      </c>
      <c r="C25" s="23">
        <f>IFERROR(__xludf.DUMMYFUNCTION("iferror(filter(D7:Q7,$D$17:$Q$17=1),"""")"),96.0)</f>
        <v>96</v>
      </c>
      <c r="D25" s="21">
        <f>IFERROR(__xludf.DUMMYFUNCTION("""COMPUTED_VALUE"""),48.0)</f>
        <v>48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>
      <c r="A26" s="29" t="str">
        <f t="shared" ref="A26:B26" si="11">A8</f>
        <v>Số lượng cổng 100GE</v>
      </c>
      <c r="B26" s="18" t="str">
        <f t="shared" si="11"/>
        <v/>
      </c>
      <c r="C26" s="23">
        <f>IFERROR(__xludf.DUMMYFUNCTION("iferror(filter(D8:Q8,$D$17:$Q$17=1),"""")"),12.0)</f>
        <v>12</v>
      </c>
      <c r="D26" s="21">
        <f>IFERROR(__xludf.DUMMYFUNCTION("""COMPUTED_VALUE"""),12.0)</f>
        <v>12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>
      <c r="A27" s="29" t="str">
        <f t="shared" ref="A27:B27" si="12">A9</f>
        <v>Stacking (Y/N)</v>
      </c>
      <c r="B27" s="18" t="str">
        <f t="shared" si="12"/>
        <v/>
      </c>
      <c r="C27" s="23" t="str">
        <f>IFERROR(__xludf.DUMMYFUNCTION("iferror(filter(D9:Q9,$D$17:$Q$17=1),"""")"),"")</f>
        <v/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>
      <c r="A28" s="29" t="str">
        <f>A10</f>
        <v>PoE (Y/N)</v>
      </c>
      <c r="B28" s="18"/>
      <c r="C28" s="23" t="str">
        <f>IFERROR(__xludf.DUMMYFUNCTION("iferror(filter(#REF!,#REF!=1),"""")"),"")</f>
        <v/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>
      <c r="B29" s="18"/>
      <c r="C29" s="2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>
      <c r="B30" s="18"/>
      <c r="C30" s="2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>
      <c r="B31" s="18"/>
      <c r="C31" s="2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>
      <c r="B32" s="18"/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>
      <c r="B33" s="18"/>
      <c r="C33" s="2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>
      <c r="B34" s="18"/>
      <c r="C34" s="2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>
      <c r="B35" s="18"/>
      <c r="C35" s="2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>
      <c r="B36" s="18"/>
      <c r="C36" s="2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>
      <c r="B37" s="18"/>
      <c r="C37" s="2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>
      <c r="B38" s="18"/>
      <c r="C38" s="2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>
      <c r="B39" s="18"/>
      <c r="C39" s="2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>
      <c r="B40" s="18"/>
      <c r="C40" s="2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>
      <c r="B41" s="18"/>
      <c r="C41" s="2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>
      <c r="B42" s="18"/>
      <c r="C42" s="2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>
      <c r="B43" s="18"/>
      <c r="C43" s="2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>
      <c r="B44" s="18"/>
      <c r="C44" s="2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>
      <c r="B45" s="18"/>
      <c r="C45" s="2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>
      <c r="B46" s="18"/>
      <c r="C46" s="2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>
      <c r="B47" s="18"/>
      <c r="C47" s="2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>
      <c r="B48" s="18"/>
      <c r="C48" s="2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>
      <c r="B49" s="18"/>
      <c r="C49" s="2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>
      <c r="B50" s="18"/>
      <c r="C50" s="2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>
      <c r="B51" s="18"/>
      <c r="C51" s="2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>
      <c r="B52" s="18"/>
      <c r="C52" s="2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>
      <c r="B53" s="18"/>
      <c r="C53" s="2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>
      <c r="B54" s="18"/>
      <c r="C54" s="2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>
      <c r="B55" s="18"/>
      <c r="C55" s="2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>
      <c r="B56" s="18"/>
      <c r="C56" s="2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>
      <c r="B57" s="18"/>
      <c r="C57" s="2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>
      <c r="B58" s="18"/>
      <c r="C58" s="2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>
      <c r="B59" s="18"/>
      <c r="C59" s="2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>
      <c r="B60" s="18"/>
      <c r="C60" s="2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>
      <c r="B61" s="18"/>
      <c r="C61" s="2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>
      <c r="B62" s="18"/>
      <c r="C62" s="2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>
      <c r="B63" s="18"/>
      <c r="C63" s="2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>
      <c r="B64" s="18"/>
      <c r="C64" s="2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>
      <c r="B65" s="18"/>
      <c r="C65" s="2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>
      <c r="B66" s="18"/>
      <c r="C66" s="2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>
      <c r="B67" s="18"/>
      <c r="C67" s="2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>
      <c r="B68" s="18"/>
      <c r="C68" s="2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>
      <c r="B69" s="18"/>
      <c r="C69" s="2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>
      <c r="B70" s="18"/>
      <c r="C70" s="2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>
      <c r="B71" s="18"/>
      <c r="C71" s="2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>
      <c r="B72" s="18"/>
      <c r="C72" s="2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>
      <c r="B73" s="18"/>
      <c r="C73" s="2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>
      <c r="B74" s="18"/>
      <c r="C74" s="2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>
      <c r="B75" s="18"/>
      <c r="C75" s="2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>
      <c r="B76" s="18"/>
      <c r="C76" s="2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>
      <c r="B77" s="18"/>
      <c r="C77" s="2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>
      <c r="B78" s="18"/>
      <c r="C78" s="2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>
      <c r="B79" s="18"/>
      <c r="C79" s="2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>
      <c r="B80" s="18"/>
      <c r="C80" s="2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>
      <c r="B81" s="18"/>
      <c r="C81" s="2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>
      <c r="B82" s="18"/>
      <c r="C82" s="2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>
      <c r="B83" s="18"/>
      <c r="C83" s="2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>
      <c r="B84" s="18"/>
      <c r="C84" s="2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>
      <c r="B85" s="18"/>
      <c r="C85" s="2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>
      <c r="B86" s="18"/>
      <c r="C86" s="2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>
      <c r="B87" s="18"/>
      <c r="C87" s="2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>
      <c r="B88" s="18"/>
      <c r="C88" s="2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>
      <c r="B89" s="18"/>
      <c r="C89" s="2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>
      <c r="B90" s="18"/>
      <c r="C90" s="2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>
      <c r="B91" s="18"/>
      <c r="C91" s="2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>
      <c r="B92" s="18"/>
      <c r="C92" s="2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>
      <c r="B93" s="18"/>
      <c r="C93" s="2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>
      <c r="B94" s="18"/>
      <c r="C94" s="2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>
      <c r="B95" s="18"/>
      <c r="C95" s="2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  <row r="96">
      <c r="B96" s="18"/>
      <c r="C96" s="2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>
      <c r="B97" s="18"/>
      <c r="C97" s="2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>
      <c r="B98" s="18"/>
      <c r="C98" s="2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>
      <c r="B99" s="18"/>
      <c r="C99" s="2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>
      <c r="B100" s="18"/>
      <c r="C100" s="2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>
      <c r="B101" s="18"/>
      <c r="C101" s="2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>
      <c r="B102" s="18"/>
      <c r="C102" s="2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>
      <c r="B103" s="18"/>
      <c r="C103" s="2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>
      <c r="B104" s="18"/>
      <c r="C104" s="2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>
      <c r="B105" s="18"/>
      <c r="C105" s="2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>
      <c r="B106" s="18"/>
      <c r="C106" s="2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>
      <c r="B107" s="18"/>
      <c r="C107" s="2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>
      <c r="B108" s="18"/>
      <c r="C108" s="2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>
      <c r="B109" s="18"/>
      <c r="C109" s="2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>
      <c r="B110" s="18"/>
      <c r="C110" s="2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>
      <c r="B111" s="18"/>
      <c r="C111" s="2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>
      <c r="B112" s="18"/>
      <c r="C112" s="2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>
      <c r="B113" s="18"/>
      <c r="C113" s="2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>
      <c r="B114" s="18"/>
      <c r="C114" s="2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>
      <c r="B115" s="18"/>
      <c r="C115" s="2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  <row r="116">
      <c r="B116" s="18"/>
      <c r="C116" s="2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>
      <c r="B117" s="18"/>
      <c r="C117" s="2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</row>
    <row r="118">
      <c r="B118" s="18"/>
      <c r="C118" s="2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>
      <c r="B119" s="18"/>
      <c r="C119" s="2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</row>
    <row r="120">
      <c r="B120" s="18"/>
      <c r="C120" s="2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>
      <c r="B121" s="18"/>
      <c r="C121" s="2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</row>
    <row r="122">
      <c r="B122" s="18"/>
      <c r="C122" s="2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>
      <c r="B123" s="18"/>
      <c r="C123" s="2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</row>
    <row r="124">
      <c r="B124" s="18"/>
      <c r="C124" s="2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>
      <c r="B125" s="18"/>
      <c r="C125" s="2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</row>
    <row r="126">
      <c r="B126" s="18"/>
      <c r="C126" s="2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>
      <c r="B127" s="18"/>
      <c r="C127" s="2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</row>
    <row r="128">
      <c r="B128" s="18"/>
      <c r="C128" s="2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>
      <c r="B129" s="18"/>
      <c r="C129" s="2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</row>
    <row r="130">
      <c r="B130" s="18"/>
      <c r="C130" s="2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>
      <c r="B131" s="18"/>
      <c r="C131" s="2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</row>
    <row r="132">
      <c r="B132" s="18"/>
      <c r="C132" s="2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>
      <c r="B133" s="18"/>
      <c r="C133" s="2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</row>
    <row r="134">
      <c r="B134" s="18"/>
      <c r="C134" s="2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>
      <c r="B135" s="18"/>
      <c r="C135" s="2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>
      <c r="B136" s="18"/>
      <c r="C136" s="2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>
      <c r="B137" s="18"/>
      <c r="C137" s="2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</row>
    <row r="138">
      <c r="B138" s="18"/>
      <c r="C138" s="2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>
      <c r="B139" s="18"/>
      <c r="C139" s="2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</row>
    <row r="140">
      <c r="B140" s="18"/>
      <c r="C140" s="2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>
      <c r="B141" s="18"/>
      <c r="C141" s="2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</row>
    <row r="142">
      <c r="B142" s="18"/>
      <c r="C142" s="2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>
      <c r="B143" s="18"/>
      <c r="C143" s="2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</row>
    <row r="144">
      <c r="B144" s="18"/>
      <c r="C144" s="2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>
      <c r="B145" s="18"/>
      <c r="C145" s="2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  <row r="146">
      <c r="B146" s="18"/>
      <c r="C146" s="2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>
      <c r="B147" s="18"/>
      <c r="C147" s="2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</row>
    <row r="148">
      <c r="B148" s="18"/>
      <c r="C148" s="2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>
      <c r="B149" s="18"/>
      <c r="C149" s="2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</row>
    <row r="150">
      <c r="B150" s="18"/>
      <c r="C150" s="2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>
      <c r="B151" s="18"/>
      <c r="C151" s="2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>
      <c r="B152" s="18"/>
      <c r="C152" s="2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>
      <c r="B153" s="18"/>
      <c r="C153" s="2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4">
      <c r="B154" s="18"/>
      <c r="C154" s="2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>
      <c r="B155" s="18"/>
      <c r="C155" s="2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</row>
    <row r="156">
      <c r="B156" s="18"/>
      <c r="C156" s="2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>
      <c r="B157" s="18"/>
      <c r="C157" s="2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</row>
    <row r="158">
      <c r="B158" s="18"/>
      <c r="C158" s="2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>
      <c r="B159" s="18"/>
      <c r="C159" s="2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</row>
    <row r="160">
      <c r="B160" s="18"/>
      <c r="C160" s="2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>
      <c r="B161" s="18"/>
      <c r="C161" s="2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</row>
    <row r="162">
      <c r="B162" s="18"/>
      <c r="C162" s="2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>
      <c r="B163" s="18"/>
      <c r="C163" s="2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</row>
    <row r="164">
      <c r="B164" s="18"/>
      <c r="C164" s="2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>
      <c r="B165" s="18"/>
      <c r="C165" s="2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</row>
    <row r="166">
      <c r="B166" s="18"/>
      <c r="C166" s="2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>
      <c r="B167" s="18"/>
      <c r="C167" s="2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</row>
    <row r="168">
      <c r="B168" s="18"/>
      <c r="C168" s="2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>
      <c r="B169" s="18"/>
      <c r="C169" s="2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</row>
    <row r="170">
      <c r="B170" s="18"/>
      <c r="C170" s="2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>
      <c r="B171" s="18"/>
      <c r="C171" s="2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</row>
    <row r="172">
      <c r="B172" s="18"/>
      <c r="C172" s="2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>
      <c r="B173" s="18"/>
      <c r="C173" s="2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>
      <c r="B174" s="18"/>
      <c r="C174" s="2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>
      <c r="B175" s="18"/>
      <c r="C175" s="2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</row>
    <row r="176">
      <c r="B176" s="18"/>
      <c r="C176" s="2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>
      <c r="B177" s="18"/>
      <c r="C177" s="2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</row>
    <row r="178">
      <c r="B178" s="18"/>
      <c r="C178" s="2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>
      <c r="B179" s="18"/>
      <c r="C179" s="2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</row>
    <row r="180">
      <c r="B180" s="18"/>
      <c r="C180" s="2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>
      <c r="B181" s="18"/>
      <c r="C181" s="2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</row>
    <row r="182">
      <c r="B182" s="18"/>
      <c r="C182" s="2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>
      <c r="B183" s="18"/>
      <c r="C183" s="2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</row>
    <row r="184">
      <c r="B184" s="18"/>
      <c r="C184" s="2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>
      <c r="B185" s="18"/>
      <c r="C185" s="2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</row>
    <row r="186">
      <c r="B186" s="18"/>
      <c r="C186" s="2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>
      <c r="B187" s="18"/>
      <c r="C187" s="2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</row>
    <row r="188">
      <c r="B188" s="18"/>
      <c r="C188" s="2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>
      <c r="B189" s="18"/>
      <c r="C189" s="2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</row>
    <row r="190">
      <c r="B190" s="18"/>
      <c r="C190" s="2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>
      <c r="B191" s="18"/>
      <c r="C191" s="2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</row>
    <row r="192">
      <c r="B192" s="18"/>
      <c r="C192" s="2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>
      <c r="B193" s="18"/>
      <c r="C193" s="2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</row>
    <row r="194">
      <c r="B194" s="18"/>
      <c r="C194" s="2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>
      <c r="B195" s="18"/>
      <c r="C195" s="2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</row>
    <row r="196">
      <c r="B196" s="18"/>
      <c r="C196" s="2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>
      <c r="B197" s="18"/>
      <c r="C197" s="2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8">
      <c r="B198" s="18"/>
      <c r="C198" s="2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>
      <c r="B199" s="18"/>
      <c r="C199" s="2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0">
      <c r="B200" s="18"/>
      <c r="C200" s="2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>
      <c r="B201" s="18"/>
      <c r="C201" s="2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</row>
    <row r="202">
      <c r="B202" s="18"/>
      <c r="C202" s="2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>
      <c r="B203" s="18"/>
      <c r="C203" s="2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</row>
    <row r="204">
      <c r="B204" s="18"/>
      <c r="C204" s="2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>
      <c r="B205" s="18"/>
      <c r="C205" s="2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6">
      <c r="B206" s="18"/>
      <c r="C206" s="2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>
      <c r="B207" s="18"/>
      <c r="C207" s="2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</row>
    <row r="208">
      <c r="B208" s="18"/>
      <c r="C208" s="2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>
      <c r="B209" s="18"/>
      <c r="C209" s="2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</row>
    <row r="210">
      <c r="B210" s="18"/>
      <c r="C210" s="2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>
      <c r="B211" s="18"/>
      <c r="C211" s="2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>
      <c r="B212" s="18"/>
      <c r="C212" s="2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>
      <c r="B213" s="18"/>
      <c r="C213" s="2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</row>
    <row r="214">
      <c r="B214" s="18"/>
      <c r="C214" s="2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>
      <c r="B215" s="18"/>
      <c r="C215" s="2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</row>
    <row r="216">
      <c r="B216" s="18"/>
      <c r="C216" s="2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>
      <c r="B217" s="18"/>
      <c r="C217" s="2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</row>
    <row r="218">
      <c r="B218" s="18"/>
      <c r="C218" s="2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>
      <c r="B219" s="18"/>
      <c r="C219" s="2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</row>
    <row r="220">
      <c r="B220" s="18"/>
      <c r="C220" s="2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>
      <c r="B221" s="18"/>
      <c r="C221" s="2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</row>
    <row r="222">
      <c r="B222" s="18"/>
      <c r="C222" s="2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>
      <c r="B223" s="18"/>
      <c r="C223" s="2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</row>
    <row r="224">
      <c r="B224" s="18"/>
      <c r="C224" s="2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>
      <c r="B225" s="18"/>
      <c r="C225" s="2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</row>
    <row r="226">
      <c r="B226" s="18"/>
      <c r="C226" s="2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</row>
    <row r="227">
      <c r="B227" s="18"/>
      <c r="C227" s="2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</row>
    <row r="228">
      <c r="B228" s="18"/>
      <c r="C228" s="2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</row>
    <row r="229">
      <c r="B229" s="18"/>
      <c r="C229" s="2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</row>
    <row r="230">
      <c r="B230" s="18"/>
      <c r="C230" s="2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1">
      <c r="B231" s="18"/>
      <c r="C231" s="2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</row>
    <row r="232">
      <c r="B232" s="18"/>
      <c r="C232" s="2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</row>
    <row r="233">
      <c r="B233" s="18"/>
      <c r="C233" s="2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</row>
    <row r="234">
      <c r="B234" s="18"/>
      <c r="C234" s="2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</row>
    <row r="235">
      <c r="B235" s="18"/>
      <c r="C235" s="2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</row>
    <row r="236">
      <c r="B236" s="18"/>
      <c r="C236" s="2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</row>
    <row r="237">
      <c r="B237" s="18"/>
      <c r="C237" s="2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</row>
    <row r="238">
      <c r="B238" s="18"/>
      <c r="C238" s="2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</row>
    <row r="239">
      <c r="B239" s="18"/>
      <c r="C239" s="2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</row>
    <row r="240">
      <c r="B240" s="18"/>
      <c r="C240" s="2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</row>
    <row r="241">
      <c r="B241" s="18"/>
      <c r="C241" s="2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</row>
    <row r="242">
      <c r="B242" s="18"/>
      <c r="C242" s="2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</row>
    <row r="243">
      <c r="B243" s="18"/>
      <c r="C243" s="2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</row>
    <row r="244">
      <c r="B244" s="18"/>
      <c r="C244" s="2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</row>
    <row r="245">
      <c r="B245" s="18"/>
      <c r="C245" s="2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</row>
    <row r="246">
      <c r="B246" s="18"/>
      <c r="C246" s="2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</row>
    <row r="247">
      <c r="B247" s="18"/>
      <c r="C247" s="2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</row>
    <row r="248">
      <c r="B248" s="18"/>
      <c r="C248" s="2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</row>
    <row r="249">
      <c r="B249" s="18"/>
      <c r="C249" s="2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</row>
    <row r="250">
      <c r="B250" s="18"/>
      <c r="C250" s="2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</row>
    <row r="251">
      <c r="B251" s="18"/>
      <c r="C251" s="2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</row>
    <row r="252">
      <c r="B252" s="18"/>
      <c r="C252" s="2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</row>
    <row r="253">
      <c r="B253" s="18"/>
      <c r="C253" s="2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</row>
    <row r="254">
      <c r="B254" s="18"/>
      <c r="C254" s="2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</row>
    <row r="255">
      <c r="B255" s="18"/>
      <c r="C255" s="2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</row>
    <row r="256">
      <c r="B256" s="18"/>
      <c r="C256" s="2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</row>
    <row r="257">
      <c r="B257" s="18"/>
      <c r="C257" s="2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</row>
    <row r="258">
      <c r="B258" s="18"/>
      <c r="C258" s="23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</row>
    <row r="259">
      <c r="B259" s="18"/>
      <c r="C259" s="23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</row>
    <row r="260">
      <c r="B260" s="18"/>
      <c r="C260" s="23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</row>
    <row r="261">
      <c r="B261" s="18"/>
      <c r="C261" s="23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</row>
    <row r="262">
      <c r="B262" s="18"/>
      <c r="C262" s="23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</row>
    <row r="263">
      <c r="B263" s="18"/>
      <c r="C263" s="23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</row>
    <row r="264">
      <c r="B264" s="18"/>
      <c r="C264" s="23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</row>
    <row r="265">
      <c r="B265" s="18"/>
      <c r="C265" s="23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</row>
    <row r="266">
      <c r="B266" s="18"/>
      <c r="C266" s="23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</row>
    <row r="267">
      <c r="B267" s="18"/>
      <c r="C267" s="23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</row>
    <row r="268">
      <c r="B268" s="18"/>
      <c r="C268" s="23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</row>
    <row r="269">
      <c r="B269" s="18"/>
      <c r="C269" s="23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</row>
    <row r="270">
      <c r="B270" s="18"/>
      <c r="C270" s="23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</row>
    <row r="271">
      <c r="B271" s="18"/>
      <c r="C271" s="23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</row>
    <row r="272">
      <c r="B272" s="18"/>
      <c r="C272" s="23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</row>
    <row r="273">
      <c r="B273" s="18"/>
      <c r="C273" s="23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</row>
    <row r="274">
      <c r="B274" s="18"/>
      <c r="C274" s="23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</row>
    <row r="275">
      <c r="B275" s="18"/>
      <c r="C275" s="23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</row>
    <row r="276">
      <c r="B276" s="18"/>
      <c r="C276" s="23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</row>
    <row r="277">
      <c r="B277" s="18"/>
      <c r="C277" s="23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</row>
    <row r="278">
      <c r="B278" s="18"/>
      <c r="C278" s="23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</row>
    <row r="279">
      <c r="B279" s="18"/>
      <c r="C279" s="23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</row>
    <row r="280">
      <c r="B280" s="18"/>
      <c r="C280" s="23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</row>
    <row r="281">
      <c r="B281" s="18"/>
      <c r="C281" s="23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</row>
    <row r="282">
      <c r="B282" s="18"/>
      <c r="C282" s="23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</row>
    <row r="283">
      <c r="B283" s="18"/>
      <c r="C283" s="23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</row>
    <row r="284">
      <c r="B284" s="18"/>
      <c r="C284" s="23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</row>
    <row r="285">
      <c r="B285" s="18"/>
      <c r="C285" s="23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</row>
    <row r="286">
      <c r="B286" s="18"/>
      <c r="C286" s="23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</row>
    <row r="287">
      <c r="B287" s="18"/>
      <c r="C287" s="23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</row>
    <row r="288">
      <c r="B288" s="18"/>
      <c r="C288" s="23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</row>
    <row r="289">
      <c r="B289" s="18"/>
      <c r="C289" s="23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</row>
    <row r="290">
      <c r="B290" s="18"/>
      <c r="C290" s="23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</row>
    <row r="291">
      <c r="B291" s="18"/>
      <c r="C291" s="23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</row>
    <row r="292">
      <c r="B292" s="18"/>
      <c r="C292" s="23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</row>
    <row r="293">
      <c r="B293" s="18"/>
      <c r="C293" s="23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</row>
    <row r="294">
      <c r="B294" s="18"/>
      <c r="C294" s="23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</row>
    <row r="295">
      <c r="B295" s="18"/>
      <c r="C295" s="23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</row>
    <row r="296">
      <c r="B296" s="18"/>
      <c r="C296" s="23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</row>
    <row r="297">
      <c r="B297" s="18"/>
      <c r="C297" s="23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</row>
    <row r="298">
      <c r="B298" s="18"/>
      <c r="C298" s="23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</row>
    <row r="299">
      <c r="B299" s="18"/>
      <c r="C299" s="23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</row>
    <row r="300">
      <c r="B300" s="18"/>
      <c r="C300" s="23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</row>
    <row r="301">
      <c r="B301" s="18"/>
      <c r="C301" s="23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</row>
    <row r="302">
      <c r="B302" s="18"/>
      <c r="C302" s="23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</row>
    <row r="303">
      <c r="B303" s="18"/>
      <c r="C303" s="23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</row>
    <row r="304">
      <c r="B304" s="18"/>
      <c r="C304" s="23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</row>
    <row r="305">
      <c r="B305" s="18"/>
      <c r="C305" s="23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</row>
    <row r="306">
      <c r="B306" s="18"/>
      <c r="C306" s="23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</row>
    <row r="307">
      <c r="B307" s="18"/>
      <c r="C307" s="23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</row>
    <row r="308">
      <c r="B308" s="18"/>
      <c r="C308" s="23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</row>
    <row r="309">
      <c r="B309" s="18"/>
      <c r="C309" s="23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</row>
    <row r="310">
      <c r="B310" s="18"/>
      <c r="C310" s="23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</row>
    <row r="311">
      <c r="B311" s="18"/>
      <c r="C311" s="23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</row>
    <row r="312">
      <c r="B312" s="18"/>
      <c r="C312" s="23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</row>
    <row r="313">
      <c r="B313" s="18"/>
      <c r="C313" s="23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</row>
    <row r="314">
      <c r="B314" s="18"/>
      <c r="C314" s="23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</row>
    <row r="315">
      <c r="B315" s="18"/>
      <c r="C315" s="23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</row>
    <row r="316">
      <c r="B316" s="18"/>
      <c r="C316" s="23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</row>
    <row r="317">
      <c r="B317" s="18"/>
      <c r="C317" s="23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</row>
    <row r="318">
      <c r="B318" s="18"/>
      <c r="C318" s="23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</row>
    <row r="319">
      <c r="B319" s="18"/>
      <c r="C319" s="23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</row>
    <row r="320">
      <c r="B320" s="18"/>
      <c r="C320" s="23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</row>
    <row r="321">
      <c r="B321" s="18"/>
      <c r="C321" s="23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</row>
    <row r="322">
      <c r="B322" s="18"/>
      <c r="C322" s="23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</row>
    <row r="323">
      <c r="B323" s="18"/>
      <c r="C323" s="23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</row>
    <row r="324">
      <c r="B324" s="18"/>
      <c r="C324" s="23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</row>
    <row r="325">
      <c r="B325" s="18"/>
      <c r="C325" s="23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</row>
    <row r="326">
      <c r="B326" s="18"/>
      <c r="C326" s="23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</row>
    <row r="327">
      <c r="B327" s="18"/>
      <c r="C327" s="23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</row>
    <row r="328">
      <c r="B328" s="18"/>
      <c r="C328" s="23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</row>
    <row r="329">
      <c r="B329" s="18"/>
      <c r="C329" s="23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</row>
    <row r="330">
      <c r="B330" s="18"/>
      <c r="C330" s="23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</row>
    <row r="331">
      <c r="B331" s="18"/>
      <c r="C331" s="23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</row>
    <row r="332">
      <c r="B332" s="18"/>
      <c r="C332" s="23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</row>
    <row r="333">
      <c r="B333" s="18"/>
      <c r="C333" s="23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</row>
    <row r="334">
      <c r="B334" s="18"/>
      <c r="C334" s="23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</row>
    <row r="335">
      <c r="B335" s="18"/>
      <c r="C335" s="23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</row>
    <row r="336">
      <c r="B336" s="18"/>
      <c r="C336" s="23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</row>
    <row r="337">
      <c r="B337" s="18"/>
      <c r="C337" s="23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</row>
    <row r="338">
      <c r="B338" s="18"/>
      <c r="C338" s="23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</row>
    <row r="339">
      <c r="B339" s="18"/>
      <c r="C339" s="23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</row>
    <row r="340">
      <c r="B340" s="18"/>
      <c r="C340" s="23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</row>
    <row r="341">
      <c r="B341" s="18"/>
      <c r="C341" s="23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</row>
    <row r="342">
      <c r="B342" s="18"/>
      <c r="C342" s="23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</row>
    <row r="343">
      <c r="B343" s="18"/>
      <c r="C343" s="23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</row>
    <row r="344">
      <c r="B344" s="18"/>
      <c r="C344" s="23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</row>
    <row r="345">
      <c r="B345" s="18"/>
      <c r="C345" s="23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</row>
    <row r="346">
      <c r="B346" s="18"/>
      <c r="C346" s="23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</row>
    <row r="347">
      <c r="B347" s="18"/>
      <c r="C347" s="23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</row>
    <row r="348">
      <c r="B348" s="18"/>
      <c r="C348" s="23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</row>
    <row r="349">
      <c r="B349" s="18"/>
      <c r="C349" s="23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</row>
    <row r="350">
      <c r="B350" s="18"/>
      <c r="C350" s="23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</row>
    <row r="351">
      <c r="B351" s="18"/>
      <c r="C351" s="23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</row>
    <row r="352">
      <c r="B352" s="18"/>
      <c r="C352" s="23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</row>
    <row r="353">
      <c r="B353" s="18"/>
      <c r="C353" s="23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</row>
    <row r="354">
      <c r="B354" s="18"/>
      <c r="C354" s="23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</row>
    <row r="355">
      <c r="B355" s="18"/>
      <c r="C355" s="23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</row>
    <row r="356">
      <c r="B356" s="18"/>
      <c r="C356" s="23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</row>
    <row r="357">
      <c r="B357" s="18"/>
      <c r="C357" s="23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</row>
    <row r="358">
      <c r="B358" s="18"/>
      <c r="C358" s="23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</row>
    <row r="359">
      <c r="B359" s="18"/>
      <c r="C359" s="23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</row>
    <row r="360">
      <c r="B360" s="18"/>
      <c r="C360" s="23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</row>
    <row r="361">
      <c r="B361" s="18"/>
      <c r="C361" s="23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</row>
    <row r="362">
      <c r="B362" s="18"/>
      <c r="C362" s="23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</row>
    <row r="363">
      <c r="B363" s="18"/>
      <c r="C363" s="23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</row>
    <row r="364">
      <c r="B364" s="18"/>
      <c r="C364" s="23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</row>
    <row r="365">
      <c r="B365" s="18"/>
      <c r="C365" s="23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</row>
    <row r="366">
      <c r="B366" s="18"/>
      <c r="C366" s="23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</row>
    <row r="367">
      <c r="B367" s="18"/>
      <c r="C367" s="23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</row>
    <row r="368">
      <c r="B368" s="18"/>
      <c r="C368" s="23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</row>
    <row r="369">
      <c r="B369" s="18"/>
      <c r="C369" s="23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</row>
    <row r="370">
      <c r="B370" s="18"/>
      <c r="C370" s="23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</row>
    <row r="371">
      <c r="B371" s="18"/>
      <c r="C371" s="23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</row>
    <row r="372">
      <c r="B372" s="18"/>
      <c r="C372" s="23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</row>
    <row r="373">
      <c r="B373" s="18"/>
      <c r="C373" s="23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</row>
    <row r="374">
      <c r="B374" s="18"/>
      <c r="C374" s="23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</row>
    <row r="375">
      <c r="B375" s="18"/>
      <c r="C375" s="23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</row>
    <row r="376">
      <c r="B376" s="18"/>
      <c r="C376" s="23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</row>
    <row r="377">
      <c r="B377" s="18"/>
      <c r="C377" s="23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</row>
    <row r="378">
      <c r="B378" s="18"/>
      <c r="C378" s="23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</row>
    <row r="379">
      <c r="B379" s="18"/>
      <c r="C379" s="23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</row>
    <row r="380">
      <c r="B380" s="18"/>
      <c r="C380" s="23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</row>
    <row r="381">
      <c r="B381" s="18"/>
      <c r="C381" s="23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</row>
    <row r="382">
      <c r="B382" s="18"/>
      <c r="C382" s="23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</row>
    <row r="383">
      <c r="B383" s="18"/>
      <c r="C383" s="23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</row>
    <row r="384">
      <c r="B384" s="18"/>
      <c r="C384" s="23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</row>
    <row r="385">
      <c r="B385" s="18"/>
      <c r="C385" s="23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</row>
    <row r="386">
      <c r="B386" s="18"/>
      <c r="C386" s="23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</row>
    <row r="387">
      <c r="B387" s="18"/>
      <c r="C387" s="23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</row>
    <row r="388">
      <c r="B388" s="18"/>
      <c r="C388" s="23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</row>
    <row r="389">
      <c r="B389" s="18"/>
      <c r="C389" s="23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</row>
    <row r="390">
      <c r="B390" s="18"/>
      <c r="C390" s="23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</row>
    <row r="391">
      <c r="B391" s="18"/>
      <c r="C391" s="23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</row>
    <row r="392">
      <c r="B392" s="18"/>
      <c r="C392" s="23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</row>
    <row r="393">
      <c r="B393" s="18"/>
      <c r="C393" s="23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</row>
    <row r="394">
      <c r="B394" s="18"/>
      <c r="C394" s="23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</row>
    <row r="395">
      <c r="B395" s="18"/>
      <c r="C395" s="23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</row>
    <row r="396">
      <c r="B396" s="18"/>
      <c r="C396" s="23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</row>
    <row r="397">
      <c r="B397" s="18"/>
      <c r="C397" s="23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</row>
    <row r="398">
      <c r="B398" s="18"/>
      <c r="C398" s="23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</row>
    <row r="399">
      <c r="B399" s="18"/>
      <c r="C399" s="23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</row>
    <row r="400">
      <c r="B400" s="18"/>
      <c r="C400" s="23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</row>
    <row r="401">
      <c r="B401" s="18"/>
      <c r="C401" s="23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</row>
    <row r="402">
      <c r="B402" s="18"/>
      <c r="C402" s="23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</row>
    <row r="403">
      <c r="B403" s="18"/>
      <c r="C403" s="23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</row>
    <row r="404">
      <c r="B404" s="18"/>
      <c r="C404" s="23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</row>
    <row r="405">
      <c r="B405" s="18"/>
      <c r="C405" s="23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</row>
    <row r="406">
      <c r="B406" s="18"/>
      <c r="C406" s="23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</row>
    <row r="407">
      <c r="B407" s="18"/>
      <c r="C407" s="23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</row>
    <row r="408">
      <c r="B408" s="18"/>
      <c r="C408" s="23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</row>
    <row r="409">
      <c r="B409" s="18"/>
      <c r="C409" s="23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</row>
    <row r="410">
      <c r="B410" s="18"/>
      <c r="C410" s="23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</row>
    <row r="411">
      <c r="B411" s="18"/>
      <c r="C411" s="23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</row>
    <row r="412">
      <c r="B412" s="18"/>
      <c r="C412" s="23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</row>
    <row r="413">
      <c r="B413" s="18"/>
      <c r="C413" s="23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</row>
    <row r="414">
      <c r="B414" s="18"/>
      <c r="C414" s="23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</row>
    <row r="415">
      <c r="B415" s="18"/>
      <c r="C415" s="23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</row>
    <row r="416">
      <c r="B416" s="18"/>
      <c r="C416" s="23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</row>
    <row r="417">
      <c r="B417" s="18"/>
      <c r="C417" s="23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</row>
    <row r="418">
      <c r="B418" s="18"/>
      <c r="C418" s="23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</row>
    <row r="419">
      <c r="B419" s="18"/>
      <c r="C419" s="23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</row>
    <row r="420">
      <c r="B420" s="18"/>
      <c r="C420" s="23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</row>
    <row r="421">
      <c r="B421" s="18"/>
      <c r="C421" s="23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</row>
    <row r="422">
      <c r="B422" s="18"/>
      <c r="C422" s="23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</row>
    <row r="423">
      <c r="B423" s="18"/>
      <c r="C423" s="23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</row>
    <row r="424">
      <c r="B424" s="18"/>
      <c r="C424" s="23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</row>
    <row r="425">
      <c r="B425" s="18"/>
      <c r="C425" s="23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</row>
    <row r="426">
      <c r="B426" s="18"/>
      <c r="C426" s="23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</row>
    <row r="427">
      <c r="B427" s="18"/>
      <c r="C427" s="23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</row>
    <row r="428">
      <c r="B428" s="18"/>
      <c r="C428" s="23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</row>
    <row r="429">
      <c r="B429" s="18"/>
      <c r="C429" s="23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</row>
    <row r="430">
      <c r="B430" s="18"/>
      <c r="C430" s="23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</row>
    <row r="431">
      <c r="B431" s="18"/>
      <c r="C431" s="23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</row>
    <row r="432">
      <c r="B432" s="18"/>
      <c r="C432" s="23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</row>
    <row r="433">
      <c r="B433" s="18"/>
      <c r="C433" s="23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</row>
    <row r="434">
      <c r="B434" s="18"/>
      <c r="C434" s="23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</row>
    <row r="435">
      <c r="B435" s="18"/>
      <c r="C435" s="23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</row>
    <row r="436">
      <c r="B436" s="18"/>
      <c r="C436" s="23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</row>
    <row r="437">
      <c r="B437" s="18"/>
      <c r="C437" s="23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</row>
    <row r="438">
      <c r="B438" s="18"/>
      <c r="C438" s="23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</row>
    <row r="439">
      <c r="B439" s="18"/>
      <c r="C439" s="23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</row>
    <row r="440">
      <c r="B440" s="18"/>
      <c r="C440" s="23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</row>
    <row r="441">
      <c r="B441" s="18"/>
      <c r="C441" s="23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</row>
    <row r="442">
      <c r="B442" s="18"/>
      <c r="C442" s="23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</row>
    <row r="443">
      <c r="B443" s="18"/>
      <c r="C443" s="23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</row>
    <row r="444">
      <c r="B444" s="18"/>
      <c r="C444" s="23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</row>
    <row r="445">
      <c r="B445" s="18"/>
      <c r="C445" s="23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</row>
    <row r="446">
      <c r="B446" s="18"/>
      <c r="C446" s="23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</row>
    <row r="447">
      <c r="B447" s="18"/>
      <c r="C447" s="23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</row>
    <row r="448">
      <c r="B448" s="18"/>
      <c r="C448" s="23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</row>
    <row r="449">
      <c r="B449" s="18"/>
      <c r="C449" s="23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</row>
    <row r="450">
      <c r="B450" s="18"/>
      <c r="C450" s="23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</row>
    <row r="451">
      <c r="B451" s="18"/>
      <c r="C451" s="23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</row>
    <row r="452">
      <c r="B452" s="18"/>
      <c r="C452" s="23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</row>
    <row r="453">
      <c r="B453" s="18"/>
      <c r="C453" s="23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</row>
    <row r="454">
      <c r="B454" s="18"/>
      <c r="C454" s="23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</row>
    <row r="455">
      <c r="B455" s="18"/>
      <c r="C455" s="23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</row>
    <row r="456">
      <c r="B456" s="18"/>
      <c r="C456" s="23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</row>
    <row r="457">
      <c r="B457" s="18"/>
      <c r="C457" s="23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</row>
    <row r="458">
      <c r="B458" s="18"/>
      <c r="C458" s="23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</row>
    <row r="459">
      <c r="B459" s="18"/>
      <c r="C459" s="23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</row>
    <row r="460">
      <c r="B460" s="18"/>
      <c r="C460" s="23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</row>
    <row r="461">
      <c r="B461" s="18"/>
      <c r="C461" s="23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</row>
    <row r="462">
      <c r="B462" s="18"/>
      <c r="C462" s="23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</row>
    <row r="463">
      <c r="B463" s="18"/>
      <c r="C463" s="23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</row>
    <row r="464">
      <c r="B464" s="18"/>
      <c r="C464" s="23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</row>
    <row r="465">
      <c r="B465" s="18"/>
      <c r="C465" s="23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</row>
    <row r="466">
      <c r="B466" s="18"/>
      <c r="C466" s="23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</row>
    <row r="467">
      <c r="B467" s="18"/>
      <c r="C467" s="23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</row>
    <row r="468">
      <c r="B468" s="18"/>
      <c r="C468" s="23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</row>
    <row r="469">
      <c r="B469" s="18"/>
      <c r="C469" s="23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</row>
    <row r="470">
      <c r="B470" s="18"/>
      <c r="C470" s="23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</row>
    <row r="471">
      <c r="B471" s="18"/>
      <c r="C471" s="23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</row>
    <row r="472">
      <c r="B472" s="18"/>
      <c r="C472" s="23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</row>
    <row r="473">
      <c r="B473" s="18"/>
      <c r="C473" s="23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</row>
    <row r="474">
      <c r="B474" s="18"/>
      <c r="C474" s="23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</row>
    <row r="475">
      <c r="B475" s="18"/>
      <c r="C475" s="23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</row>
    <row r="476">
      <c r="B476" s="18"/>
      <c r="C476" s="23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</row>
    <row r="477">
      <c r="B477" s="18"/>
      <c r="C477" s="23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</row>
    <row r="478">
      <c r="B478" s="18"/>
      <c r="C478" s="23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</row>
    <row r="479">
      <c r="B479" s="18"/>
      <c r="C479" s="23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</row>
    <row r="480">
      <c r="B480" s="18"/>
      <c r="C480" s="23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</row>
    <row r="481">
      <c r="B481" s="18"/>
      <c r="C481" s="23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</row>
    <row r="482">
      <c r="B482" s="18"/>
      <c r="C482" s="23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</row>
    <row r="483">
      <c r="B483" s="18"/>
      <c r="C483" s="23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</row>
    <row r="484">
      <c r="B484" s="18"/>
      <c r="C484" s="23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</row>
    <row r="485">
      <c r="B485" s="18"/>
      <c r="C485" s="23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</row>
    <row r="486">
      <c r="B486" s="18"/>
      <c r="C486" s="23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</row>
    <row r="487">
      <c r="B487" s="18"/>
      <c r="C487" s="23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</row>
    <row r="488">
      <c r="B488" s="18"/>
      <c r="C488" s="23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</row>
    <row r="489">
      <c r="B489" s="18"/>
      <c r="C489" s="23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</row>
    <row r="490">
      <c r="B490" s="18"/>
      <c r="C490" s="23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</row>
    <row r="491">
      <c r="B491" s="18"/>
      <c r="C491" s="23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</row>
    <row r="492">
      <c r="B492" s="18"/>
      <c r="C492" s="23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</row>
    <row r="493">
      <c r="B493" s="18"/>
      <c r="C493" s="23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</row>
    <row r="494">
      <c r="B494" s="18"/>
      <c r="C494" s="23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</row>
    <row r="495">
      <c r="B495" s="18"/>
      <c r="C495" s="23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</row>
    <row r="496">
      <c r="B496" s="18"/>
      <c r="C496" s="23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</row>
    <row r="497">
      <c r="B497" s="18"/>
      <c r="C497" s="23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</row>
    <row r="498">
      <c r="B498" s="18"/>
      <c r="C498" s="23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</row>
    <row r="499">
      <c r="B499" s="18"/>
      <c r="C499" s="23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</row>
    <row r="500">
      <c r="B500" s="18"/>
      <c r="C500" s="23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</row>
    <row r="501">
      <c r="B501" s="18"/>
      <c r="C501" s="23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</row>
    <row r="502">
      <c r="B502" s="18"/>
      <c r="C502" s="23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</row>
    <row r="503">
      <c r="B503" s="18"/>
      <c r="C503" s="23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</row>
    <row r="504">
      <c r="B504" s="18"/>
      <c r="C504" s="23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</row>
    <row r="505">
      <c r="B505" s="18"/>
      <c r="C505" s="23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</row>
    <row r="506">
      <c r="B506" s="18"/>
      <c r="C506" s="23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</row>
    <row r="507">
      <c r="B507" s="18"/>
      <c r="C507" s="23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</row>
    <row r="508">
      <c r="B508" s="18"/>
      <c r="C508" s="23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</row>
    <row r="509">
      <c r="B509" s="18"/>
      <c r="C509" s="23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</row>
    <row r="510">
      <c r="B510" s="18"/>
      <c r="C510" s="23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</row>
    <row r="511">
      <c r="B511" s="18"/>
      <c r="C511" s="23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</row>
    <row r="512">
      <c r="B512" s="18"/>
      <c r="C512" s="23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</row>
    <row r="513">
      <c r="B513" s="18"/>
      <c r="C513" s="23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</row>
    <row r="514">
      <c r="B514" s="18"/>
      <c r="C514" s="23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</row>
    <row r="515">
      <c r="B515" s="18"/>
      <c r="C515" s="23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</row>
    <row r="516">
      <c r="B516" s="18"/>
      <c r="C516" s="23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</row>
    <row r="517">
      <c r="B517" s="18"/>
      <c r="C517" s="23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</row>
    <row r="518">
      <c r="B518" s="18"/>
      <c r="C518" s="23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</row>
    <row r="519">
      <c r="B519" s="18"/>
      <c r="C519" s="23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</row>
    <row r="520">
      <c r="B520" s="18"/>
      <c r="C520" s="23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</row>
    <row r="521">
      <c r="B521" s="18"/>
      <c r="C521" s="23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</row>
    <row r="522">
      <c r="B522" s="18"/>
      <c r="C522" s="23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</row>
    <row r="523">
      <c r="B523" s="18"/>
      <c r="C523" s="23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</row>
    <row r="524">
      <c r="B524" s="18"/>
      <c r="C524" s="23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</row>
    <row r="525">
      <c r="B525" s="18"/>
      <c r="C525" s="23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</row>
    <row r="526">
      <c r="B526" s="18"/>
      <c r="C526" s="23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</row>
    <row r="527">
      <c r="B527" s="18"/>
      <c r="C527" s="23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</row>
    <row r="528">
      <c r="B528" s="18"/>
      <c r="C528" s="23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</row>
    <row r="529">
      <c r="B529" s="18"/>
      <c r="C529" s="23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</row>
    <row r="530">
      <c r="B530" s="18"/>
      <c r="C530" s="23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</row>
    <row r="531">
      <c r="B531" s="18"/>
      <c r="C531" s="23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</row>
    <row r="532">
      <c r="B532" s="18"/>
      <c r="C532" s="23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</row>
    <row r="533">
      <c r="B533" s="18"/>
      <c r="C533" s="23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</row>
    <row r="534">
      <c r="B534" s="18"/>
      <c r="C534" s="23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</row>
    <row r="535">
      <c r="B535" s="18"/>
      <c r="C535" s="23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</row>
    <row r="536">
      <c r="B536" s="18"/>
      <c r="C536" s="23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</row>
    <row r="537">
      <c r="B537" s="18"/>
      <c r="C537" s="23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</row>
    <row r="538">
      <c r="B538" s="18"/>
      <c r="C538" s="23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</row>
    <row r="539">
      <c r="B539" s="18"/>
      <c r="C539" s="23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</row>
    <row r="540">
      <c r="B540" s="18"/>
      <c r="C540" s="23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</row>
    <row r="541">
      <c r="B541" s="18"/>
      <c r="C541" s="23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</row>
    <row r="542">
      <c r="B542" s="18"/>
      <c r="C542" s="23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</row>
    <row r="543">
      <c r="B543" s="18"/>
      <c r="C543" s="23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</row>
    <row r="544">
      <c r="B544" s="18"/>
      <c r="C544" s="23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</row>
    <row r="545">
      <c r="B545" s="18"/>
      <c r="C545" s="23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</row>
    <row r="546">
      <c r="B546" s="18"/>
      <c r="C546" s="23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</row>
    <row r="547">
      <c r="B547" s="18"/>
      <c r="C547" s="23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</row>
    <row r="548">
      <c r="B548" s="18"/>
      <c r="C548" s="23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</row>
    <row r="549">
      <c r="B549" s="18"/>
      <c r="C549" s="23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</row>
    <row r="550">
      <c r="B550" s="18"/>
      <c r="C550" s="23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</row>
    <row r="551">
      <c r="B551" s="18"/>
      <c r="C551" s="23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</row>
    <row r="552">
      <c r="B552" s="18"/>
      <c r="C552" s="23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</row>
    <row r="553">
      <c r="B553" s="18"/>
      <c r="C553" s="23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</row>
    <row r="554">
      <c r="B554" s="18"/>
      <c r="C554" s="23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</row>
    <row r="555">
      <c r="B555" s="18"/>
      <c r="C555" s="23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</row>
    <row r="556">
      <c r="B556" s="18"/>
      <c r="C556" s="23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</row>
    <row r="557">
      <c r="B557" s="18"/>
      <c r="C557" s="23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</row>
    <row r="558">
      <c r="B558" s="18"/>
      <c r="C558" s="23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</row>
    <row r="559">
      <c r="B559" s="18"/>
      <c r="C559" s="23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</row>
    <row r="560">
      <c r="B560" s="18"/>
      <c r="C560" s="23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</row>
    <row r="561">
      <c r="B561" s="18"/>
      <c r="C561" s="23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</row>
    <row r="562">
      <c r="B562" s="18"/>
      <c r="C562" s="23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</row>
    <row r="563">
      <c r="B563" s="18"/>
      <c r="C563" s="23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</row>
    <row r="564">
      <c r="B564" s="18"/>
      <c r="C564" s="23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</row>
    <row r="565">
      <c r="B565" s="18"/>
      <c r="C565" s="23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</row>
    <row r="566">
      <c r="B566" s="18"/>
      <c r="C566" s="23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</row>
    <row r="567">
      <c r="B567" s="18"/>
      <c r="C567" s="23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</row>
    <row r="568">
      <c r="B568" s="18"/>
      <c r="C568" s="23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</row>
    <row r="569">
      <c r="B569" s="18"/>
      <c r="C569" s="23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</row>
    <row r="570">
      <c r="B570" s="18"/>
      <c r="C570" s="23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</row>
    <row r="571">
      <c r="B571" s="18"/>
      <c r="C571" s="23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</row>
    <row r="572">
      <c r="B572" s="18"/>
      <c r="C572" s="23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</row>
    <row r="573">
      <c r="B573" s="18"/>
      <c r="C573" s="23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</row>
    <row r="574">
      <c r="B574" s="18"/>
      <c r="C574" s="23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</row>
    <row r="575">
      <c r="B575" s="18"/>
      <c r="C575" s="23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</row>
    <row r="576">
      <c r="B576" s="18"/>
      <c r="C576" s="23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</row>
    <row r="577">
      <c r="B577" s="18"/>
      <c r="C577" s="23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</row>
    <row r="578">
      <c r="B578" s="18"/>
      <c r="C578" s="23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</row>
    <row r="579">
      <c r="B579" s="18"/>
      <c r="C579" s="23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</row>
    <row r="580">
      <c r="B580" s="18"/>
      <c r="C580" s="23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</row>
    <row r="581">
      <c r="B581" s="18"/>
      <c r="C581" s="23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</row>
    <row r="582">
      <c r="B582" s="18"/>
      <c r="C582" s="23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</row>
    <row r="583">
      <c r="B583" s="18"/>
      <c r="C583" s="23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</row>
    <row r="584">
      <c r="B584" s="18"/>
      <c r="C584" s="23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</row>
    <row r="585">
      <c r="B585" s="18"/>
      <c r="C585" s="23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</row>
    <row r="586">
      <c r="B586" s="18"/>
      <c r="C586" s="23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</row>
    <row r="587">
      <c r="B587" s="18"/>
      <c r="C587" s="23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</row>
    <row r="588">
      <c r="B588" s="18"/>
      <c r="C588" s="23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</row>
    <row r="589">
      <c r="B589" s="18"/>
      <c r="C589" s="23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</row>
    <row r="590">
      <c r="B590" s="18"/>
      <c r="C590" s="23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</row>
    <row r="591">
      <c r="B591" s="18"/>
      <c r="C591" s="23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</row>
    <row r="592">
      <c r="B592" s="18"/>
      <c r="C592" s="23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</row>
    <row r="593">
      <c r="B593" s="18"/>
      <c r="C593" s="23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</row>
    <row r="594">
      <c r="B594" s="18"/>
      <c r="C594" s="23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</row>
    <row r="595">
      <c r="B595" s="18"/>
      <c r="C595" s="23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</row>
    <row r="596">
      <c r="B596" s="18"/>
      <c r="C596" s="23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</row>
    <row r="597">
      <c r="B597" s="18"/>
      <c r="C597" s="23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</row>
    <row r="598">
      <c r="B598" s="18"/>
      <c r="C598" s="23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</row>
    <row r="599">
      <c r="B599" s="18"/>
      <c r="C599" s="23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</row>
    <row r="600">
      <c r="B600" s="18"/>
      <c r="C600" s="23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</row>
    <row r="601">
      <c r="B601" s="18"/>
      <c r="C601" s="23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</row>
    <row r="602">
      <c r="B602" s="18"/>
      <c r="C602" s="23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</row>
    <row r="603">
      <c r="B603" s="18"/>
      <c r="C603" s="23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</row>
    <row r="604">
      <c r="B604" s="18"/>
      <c r="C604" s="23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</row>
    <row r="605">
      <c r="B605" s="18"/>
      <c r="C605" s="23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</row>
    <row r="606">
      <c r="B606" s="18"/>
      <c r="C606" s="23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</row>
    <row r="607">
      <c r="B607" s="18"/>
      <c r="C607" s="23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</row>
    <row r="608">
      <c r="B608" s="18"/>
      <c r="C608" s="23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</row>
    <row r="609">
      <c r="B609" s="18"/>
      <c r="C609" s="23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</row>
    <row r="610">
      <c r="B610" s="18"/>
      <c r="C610" s="23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</row>
    <row r="611">
      <c r="B611" s="18"/>
      <c r="C611" s="23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</row>
    <row r="612">
      <c r="B612" s="18"/>
      <c r="C612" s="23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</row>
    <row r="613">
      <c r="B613" s="18"/>
      <c r="C613" s="23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</row>
    <row r="614">
      <c r="B614" s="18"/>
      <c r="C614" s="23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</row>
    <row r="615">
      <c r="B615" s="18"/>
      <c r="C615" s="23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</row>
    <row r="616">
      <c r="B616" s="18"/>
      <c r="C616" s="23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</row>
    <row r="617">
      <c r="B617" s="18"/>
      <c r="C617" s="23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</row>
    <row r="618">
      <c r="B618" s="18"/>
      <c r="C618" s="23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</row>
    <row r="619">
      <c r="B619" s="18"/>
      <c r="C619" s="23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</row>
    <row r="620">
      <c r="B620" s="18"/>
      <c r="C620" s="23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</row>
    <row r="621">
      <c r="B621" s="18"/>
      <c r="C621" s="23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</row>
    <row r="622">
      <c r="B622" s="18"/>
      <c r="C622" s="23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</row>
    <row r="623">
      <c r="B623" s="18"/>
      <c r="C623" s="23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</row>
    <row r="624">
      <c r="B624" s="18"/>
      <c r="C624" s="23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</row>
    <row r="625">
      <c r="B625" s="18"/>
      <c r="C625" s="23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</row>
    <row r="626">
      <c r="B626" s="18"/>
      <c r="C626" s="23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</row>
    <row r="627">
      <c r="B627" s="18"/>
      <c r="C627" s="23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</row>
    <row r="628">
      <c r="B628" s="18"/>
      <c r="C628" s="23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</row>
    <row r="629">
      <c r="B629" s="18"/>
      <c r="C629" s="23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</row>
    <row r="630">
      <c r="B630" s="18"/>
      <c r="C630" s="23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</row>
    <row r="631">
      <c r="B631" s="18"/>
      <c r="C631" s="23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</row>
    <row r="632">
      <c r="B632" s="18"/>
      <c r="C632" s="23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</row>
    <row r="633">
      <c r="B633" s="18"/>
      <c r="C633" s="23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</row>
    <row r="634">
      <c r="B634" s="18"/>
      <c r="C634" s="23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</row>
    <row r="635">
      <c r="B635" s="18"/>
      <c r="C635" s="23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</row>
    <row r="636">
      <c r="B636" s="18"/>
      <c r="C636" s="23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</row>
    <row r="637">
      <c r="B637" s="18"/>
      <c r="C637" s="23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</row>
    <row r="638">
      <c r="B638" s="18"/>
      <c r="C638" s="23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</row>
    <row r="639">
      <c r="B639" s="18"/>
      <c r="C639" s="23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</row>
    <row r="640">
      <c r="B640" s="18"/>
      <c r="C640" s="23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</row>
    <row r="641">
      <c r="B641" s="18"/>
      <c r="C641" s="23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</row>
    <row r="642">
      <c r="B642" s="18"/>
      <c r="C642" s="23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</row>
    <row r="643">
      <c r="B643" s="18"/>
      <c r="C643" s="23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</row>
    <row r="644">
      <c r="B644" s="18"/>
      <c r="C644" s="23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</row>
    <row r="645">
      <c r="B645" s="18"/>
      <c r="C645" s="23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</row>
    <row r="646">
      <c r="B646" s="18"/>
      <c r="C646" s="23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</row>
    <row r="647">
      <c r="B647" s="18"/>
      <c r="C647" s="23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</row>
    <row r="648">
      <c r="B648" s="18"/>
      <c r="C648" s="23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</row>
    <row r="649">
      <c r="B649" s="18"/>
      <c r="C649" s="23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</row>
    <row r="650">
      <c r="B650" s="18"/>
      <c r="C650" s="23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</row>
    <row r="651">
      <c r="B651" s="18"/>
      <c r="C651" s="23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</row>
    <row r="652">
      <c r="B652" s="18"/>
      <c r="C652" s="23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</row>
    <row r="653">
      <c r="B653" s="18"/>
      <c r="C653" s="23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</row>
    <row r="654">
      <c r="B654" s="18"/>
      <c r="C654" s="23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</row>
    <row r="655">
      <c r="B655" s="18"/>
      <c r="C655" s="23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</row>
    <row r="656">
      <c r="B656" s="18"/>
      <c r="C656" s="23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</row>
    <row r="657">
      <c r="B657" s="18"/>
      <c r="C657" s="23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</row>
    <row r="658">
      <c r="B658" s="18"/>
      <c r="C658" s="23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</row>
    <row r="659">
      <c r="B659" s="18"/>
      <c r="C659" s="23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</row>
    <row r="660">
      <c r="B660" s="18"/>
      <c r="C660" s="23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</row>
    <row r="661">
      <c r="B661" s="18"/>
      <c r="C661" s="23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</row>
    <row r="662">
      <c r="B662" s="18"/>
      <c r="C662" s="23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</row>
    <row r="663">
      <c r="B663" s="18"/>
      <c r="C663" s="23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</row>
    <row r="664">
      <c r="B664" s="18"/>
      <c r="C664" s="23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</row>
    <row r="665">
      <c r="B665" s="18"/>
      <c r="C665" s="23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</row>
    <row r="666">
      <c r="B666" s="18"/>
      <c r="C666" s="23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</row>
    <row r="667">
      <c r="B667" s="18"/>
      <c r="C667" s="23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</row>
    <row r="668">
      <c r="B668" s="18"/>
      <c r="C668" s="23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</row>
    <row r="669">
      <c r="B669" s="18"/>
      <c r="C669" s="23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</row>
    <row r="670">
      <c r="B670" s="18"/>
      <c r="C670" s="23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</row>
    <row r="671">
      <c r="B671" s="18"/>
      <c r="C671" s="23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</row>
    <row r="672">
      <c r="B672" s="18"/>
      <c r="C672" s="23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</row>
    <row r="673">
      <c r="B673" s="18"/>
      <c r="C673" s="23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</row>
    <row r="674">
      <c r="B674" s="18"/>
      <c r="C674" s="23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</row>
    <row r="675">
      <c r="B675" s="18"/>
      <c r="C675" s="23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</row>
    <row r="676">
      <c r="B676" s="18"/>
      <c r="C676" s="23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</row>
    <row r="677">
      <c r="B677" s="18"/>
      <c r="C677" s="23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</row>
    <row r="678">
      <c r="B678" s="18"/>
      <c r="C678" s="23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</row>
    <row r="679">
      <c r="B679" s="18"/>
      <c r="C679" s="23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</row>
    <row r="680">
      <c r="B680" s="18"/>
      <c r="C680" s="23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</row>
    <row r="681">
      <c r="B681" s="18"/>
      <c r="C681" s="23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</row>
    <row r="682">
      <c r="B682" s="18"/>
      <c r="C682" s="23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</row>
    <row r="683">
      <c r="B683" s="18"/>
      <c r="C683" s="23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</row>
    <row r="684">
      <c r="B684" s="18"/>
      <c r="C684" s="23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</row>
    <row r="685">
      <c r="B685" s="18"/>
      <c r="C685" s="23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</row>
    <row r="686">
      <c r="B686" s="18"/>
      <c r="C686" s="23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</row>
    <row r="687">
      <c r="B687" s="18"/>
      <c r="C687" s="23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</row>
    <row r="688">
      <c r="B688" s="18"/>
      <c r="C688" s="23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</row>
    <row r="689">
      <c r="B689" s="18"/>
      <c r="C689" s="23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</row>
    <row r="690">
      <c r="B690" s="18"/>
      <c r="C690" s="23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</row>
    <row r="691">
      <c r="B691" s="18"/>
      <c r="C691" s="23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</row>
    <row r="692">
      <c r="B692" s="18"/>
      <c r="C692" s="23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</row>
    <row r="693">
      <c r="B693" s="18"/>
      <c r="C693" s="23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</row>
    <row r="694">
      <c r="B694" s="18"/>
      <c r="C694" s="23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</row>
    <row r="695">
      <c r="B695" s="18"/>
      <c r="C695" s="23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</row>
    <row r="696">
      <c r="B696" s="18"/>
      <c r="C696" s="23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</row>
    <row r="697">
      <c r="B697" s="18"/>
      <c r="C697" s="23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</row>
    <row r="698">
      <c r="B698" s="18"/>
      <c r="C698" s="23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</row>
    <row r="699">
      <c r="B699" s="18"/>
      <c r="C699" s="23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</row>
    <row r="700">
      <c r="B700" s="18"/>
      <c r="C700" s="23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</row>
    <row r="701">
      <c r="B701" s="18"/>
      <c r="C701" s="23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</row>
    <row r="702">
      <c r="B702" s="18"/>
      <c r="C702" s="23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</row>
    <row r="703">
      <c r="B703" s="18"/>
      <c r="C703" s="23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</row>
    <row r="704">
      <c r="B704" s="18"/>
      <c r="C704" s="23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</row>
    <row r="705">
      <c r="B705" s="18"/>
      <c r="C705" s="23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</row>
    <row r="706">
      <c r="B706" s="18"/>
      <c r="C706" s="23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</row>
    <row r="707">
      <c r="B707" s="18"/>
      <c r="C707" s="23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</row>
    <row r="708">
      <c r="B708" s="18"/>
      <c r="C708" s="23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</row>
    <row r="709">
      <c r="B709" s="18"/>
      <c r="C709" s="23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</row>
    <row r="710">
      <c r="B710" s="18"/>
      <c r="C710" s="23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</row>
    <row r="711">
      <c r="B711" s="18"/>
      <c r="C711" s="23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</row>
    <row r="712">
      <c r="B712" s="18"/>
      <c r="C712" s="23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</row>
    <row r="713">
      <c r="B713" s="18"/>
      <c r="C713" s="23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</row>
    <row r="714">
      <c r="B714" s="18"/>
      <c r="C714" s="23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</row>
    <row r="715">
      <c r="B715" s="18"/>
      <c r="C715" s="23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</row>
    <row r="716">
      <c r="B716" s="18"/>
      <c r="C716" s="23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</row>
    <row r="717">
      <c r="B717" s="18"/>
      <c r="C717" s="23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</row>
    <row r="718">
      <c r="B718" s="18"/>
      <c r="C718" s="23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</row>
    <row r="719">
      <c r="B719" s="18"/>
      <c r="C719" s="23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</row>
    <row r="720">
      <c r="B720" s="18"/>
      <c r="C720" s="23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</row>
    <row r="721">
      <c r="B721" s="18"/>
      <c r="C721" s="23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</row>
    <row r="722">
      <c r="B722" s="18"/>
      <c r="C722" s="23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</row>
    <row r="723">
      <c r="B723" s="18"/>
      <c r="C723" s="23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</row>
    <row r="724">
      <c r="B724" s="18"/>
      <c r="C724" s="23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</row>
    <row r="725">
      <c r="B725" s="18"/>
      <c r="C725" s="23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</row>
    <row r="726">
      <c r="B726" s="18"/>
      <c r="C726" s="23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</row>
    <row r="727">
      <c r="B727" s="18"/>
      <c r="C727" s="23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</row>
    <row r="728">
      <c r="B728" s="18"/>
      <c r="C728" s="23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</row>
    <row r="729">
      <c r="B729" s="18"/>
      <c r="C729" s="23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</row>
    <row r="730">
      <c r="B730" s="18"/>
      <c r="C730" s="23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</row>
    <row r="731">
      <c r="B731" s="18"/>
      <c r="C731" s="23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</row>
    <row r="732">
      <c r="B732" s="18"/>
      <c r="C732" s="23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</row>
    <row r="733">
      <c r="B733" s="18"/>
      <c r="C733" s="23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</row>
    <row r="734">
      <c r="B734" s="18"/>
      <c r="C734" s="23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</row>
    <row r="735">
      <c r="B735" s="18"/>
      <c r="C735" s="23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</row>
    <row r="736">
      <c r="B736" s="18"/>
      <c r="C736" s="23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</row>
    <row r="737">
      <c r="B737" s="18"/>
      <c r="C737" s="23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</row>
    <row r="738">
      <c r="B738" s="18"/>
      <c r="C738" s="23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</row>
    <row r="739">
      <c r="B739" s="18"/>
      <c r="C739" s="23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</row>
    <row r="740">
      <c r="B740" s="18"/>
      <c r="C740" s="23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</row>
    <row r="741">
      <c r="B741" s="18"/>
      <c r="C741" s="23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</row>
    <row r="742">
      <c r="B742" s="18"/>
      <c r="C742" s="23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</row>
    <row r="743">
      <c r="B743" s="18"/>
      <c r="C743" s="23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</row>
    <row r="744">
      <c r="B744" s="18"/>
      <c r="C744" s="23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</row>
    <row r="745">
      <c r="B745" s="18"/>
      <c r="C745" s="23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</row>
    <row r="746">
      <c r="B746" s="18"/>
      <c r="C746" s="23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</row>
    <row r="747">
      <c r="B747" s="18"/>
      <c r="C747" s="23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</row>
    <row r="748">
      <c r="B748" s="18"/>
      <c r="C748" s="23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</row>
    <row r="749">
      <c r="B749" s="18"/>
      <c r="C749" s="23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</row>
    <row r="750">
      <c r="B750" s="18"/>
      <c r="C750" s="23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</row>
    <row r="751">
      <c r="B751" s="18"/>
      <c r="C751" s="23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</row>
    <row r="752">
      <c r="B752" s="18"/>
      <c r="C752" s="23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</row>
    <row r="753">
      <c r="B753" s="18"/>
      <c r="C753" s="23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</row>
    <row r="754">
      <c r="B754" s="18"/>
      <c r="C754" s="23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</row>
    <row r="755">
      <c r="B755" s="18"/>
      <c r="C755" s="23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</row>
    <row r="756">
      <c r="B756" s="18"/>
      <c r="C756" s="23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</row>
    <row r="757">
      <c r="B757" s="18"/>
      <c r="C757" s="23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</row>
    <row r="758">
      <c r="B758" s="18"/>
      <c r="C758" s="23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</row>
    <row r="759">
      <c r="B759" s="18"/>
      <c r="C759" s="23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</row>
    <row r="760">
      <c r="B760" s="18"/>
      <c r="C760" s="23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</row>
    <row r="761">
      <c r="B761" s="18"/>
      <c r="C761" s="23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</row>
    <row r="762">
      <c r="B762" s="18"/>
      <c r="C762" s="23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</row>
    <row r="763">
      <c r="B763" s="18"/>
      <c r="C763" s="23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</row>
    <row r="764">
      <c r="B764" s="18"/>
      <c r="C764" s="23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</row>
    <row r="765">
      <c r="B765" s="18"/>
      <c r="C765" s="23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</row>
    <row r="766">
      <c r="B766" s="18"/>
      <c r="C766" s="23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</row>
    <row r="767">
      <c r="B767" s="18"/>
      <c r="C767" s="23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</row>
    <row r="768">
      <c r="B768" s="18"/>
      <c r="C768" s="23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</row>
    <row r="769">
      <c r="B769" s="18"/>
      <c r="C769" s="23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</row>
    <row r="770">
      <c r="B770" s="18"/>
      <c r="C770" s="23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</row>
    <row r="771">
      <c r="B771" s="18"/>
      <c r="C771" s="23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</row>
    <row r="772">
      <c r="B772" s="18"/>
      <c r="C772" s="23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</row>
    <row r="773">
      <c r="B773" s="18"/>
      <c r="C773" s="23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</row>
    <row r="774">
      <c r="B774" s="18"/>
      <c r="C774" s="23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</row>
    <row r="775">
      <c r="B775" s="18"/>
      <c r="C775" s="23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</row>
    <row r="776">
      <c r="B776" s="18"/>
      <c r="C776" s="23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</row>
    <row r="777">
      <c r="B777" s="18"/>
      <c r="C777" s="23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</row>
    <row r="778">
      <c r="B778" s="18"/>
      <c r="C778" s="23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</row>
    <row r="779">
      <c r="B779" s="18"/>
      <c r="C779" s="23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</row>
    <row r="780">
      <c r="B780" s="18"/>
      <c r="C780" s="23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</row>
    <row r="781">
      <c r="B781" s="18"/>
      <c r="C781" s="23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</row>
    <row r="782">
      <c r="B782" s="18"/>
      <c r="C782" s="23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</row>
    <row r="783">
      <c r="B783" s="18"/>
      <c r="C783" s="23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</row>
    <row r="784">
      <c r="B784" s="18"/>
      <c r="C784" s="23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</row>
    <row r="785">
      <c r="B785" s="18"/>
      <c r="C785" s="23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</row>
    <row r="786">
      <c r="B786" s="18"/>
      <c r="C786" s="23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</row>
    <row r="787">
      <c r="B787" s="18"/>
      <c r="C787" s="23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</row>
    <row r="788">
      <c r="B788" s="18"/>
      <c r="C788" s="23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</row>
    <row r="789">
      <c r="B789" s="18"/>
      <c r="C789" s="23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</row>
    <row r="790">
      <c r="B790" s="18"/>
      <c r="C790" s="23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</row>
    <row r="791">
      <c r="B791" s="18"/>
      <c r="C791" s="23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</row>
    <row r="792">
      <c r="B792" s="18"/>
      <c r="C792" s="23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</row>
    <row r="793">
      <c r="B793" s="18"/>
      <c r="C793" s="23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</row>
    <row r="794">
      <c r="B794" s="18"/>
      <c r="C794" s="23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</row>
    <row r="795">
      <c r="B795" s="18"/>
      <c r="C795" s="23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</row>
    <row r="796">
      <c r="B796" s="18"/>
      <c r="C796" s="23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</row>
    <row r="797">
      <c r="B797" s="18"/>
      <c r="C797" s="23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</row>
    <row r="798">
      <c r="B798" s="18"/>
      <c r="C798" s="23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</row>
    <row r="799">
      <c r="B799" s="18"/>
      <c r="C799" s="23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</row>
    <row r="800">
      <c r="B800" s="18"/>
      <c r="C800" s="23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</row>
    <row r="801">
      <c r="B801" s="18"/>
      <c r="C801" s="23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</row>
    <row r="802">
      <c r="B802" s="18"/>
      <c r="C802" s="23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</row>
    <row r="803">
      <c r="B803" s="18"/>
      <c r="C803" s="23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</row>
    <row r="804">
      <c r="B804" s="18"/>
      <c r="C804" s="23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</row>
    <row r="805">
      <c r="B805" s="18"/>
      <c r="C805" s="23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</row>
    <row r="806">
      <c r="B806" s="18"/>
      <c r="C806" s="23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</row>
    <row r="807">
      <c r="B807" s="18"/>
      <c r="C807" s="23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</row>
    <row r="808">
      <c r="B808" s="18"/>
      <c r="C808" s="23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</row>
    <row r="809">
      <c r="B809" s="18"/>
      <c r="C809" s="23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</row>
    <row r="810">
      <c r="B810" s="18"/>
      <c r="C810" s="23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</row>
    <row r="811">
      <c r="B811" s="18"/>
      <c r="C811" s="23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</row>
    <row r="812">
      <c r="B812" s="18"/>
      <c r="C812" s="23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</row>
    <row r="813">
      <c r="B813" s="18"/>
      <c r="C813" s="23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</row>
    <row r="814">
      <c r="B814" s="18"/>
      <c r="C814" s="23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</row>
    <row r="815">
      <c r="B815" s="18"/>
      <c r="C815" s="23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</row>
    <row r="816">
      <c r="B816" s="18"/>
      <c r="C816" s="23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</row>
    <row r="817">
      <c r="B817" s="18"/>
      <c r="C817" s="23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</row>
    <row r="818">
      <c r="B818" s="18"/>
      <c r="C818" s="23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</row>
    <row r="819">
      <c r="B819" s="18"/>
      <c r="C819" s="23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</row>
    <row r="820">
      <c r="B820" s="18"/>
      <c r="C820" s="23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</row>
    <row r="821">
      <c r="B821" s="18"/>
      <c r="C821" s="23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</row>
    <row r="822">
      <c r="B822" s="18"/>
      <c r="C822" s="23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</row>
    <row r="823">
      <c r="B823" s="18"/>
      <c r="C823" s="23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</row>
    <row r="824">
      <c r="B824" s="18"/>
      <c r="C824" s="23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</row>
    <row r="825">
      <c r="B825" s="18"/>
      <c r="C825" s="23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</row>
    <row r="826">
      <c r="B826" s="18"/>
      <c r="C826" s="23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</row>
    <row r="827">
      <c r="B827" s="18"/>
      <c r="C827" s="23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</row>
    <row r="828">
      <c r="B828" s="18"/>
      <c r="C828" s="23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</row>
    <row r="829">
      <c r="B829" s="18"/>
      <c r="C829" s="23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</row>
    <row r="830">
      <c r="B830" s="18"/>
      <c r="C830" s="23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</row>
    <row r="831">
      <c r="B831" s="18"/>
      <c r="C831" s="23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</row>
    <row r="832">
      <c r="B832" s="18"/>
      <c r="C832" s="23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</row>
    <row r="833">
      <c r="B833" s="18"/>
      <c r="C833" s="23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</row>
    <row r="834">
      <c r="B834" s="18"/>
      <c r="C834" s="23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</row>
    <row r="835">
      <c r="B835" s="18"/>
      <c r="C835" s="23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</row>
    <row r="836">
      <c r="B836" s="18"/>
      <c r="C836" s="23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</row>
    <row r="837">
      <c r="B837" s="18"/>
      <c r="C837" s="23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</row>
    <row r="838">
      <c r="B838" s="18"/>
      <c r="C838" s="23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</row>
    <row r="839">
      <c r="B839" s="18"/>
      <c r="C839" s="23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</row>
    <row r="840">
      <c r="B840" s="18"/>
      <c r="C840" s="23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</row>
    <row r="841">
      <c r="B841" s="18"/>
      <c r="C841" s="23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</row>
    <row r="842">
      <c r="B842" s="18"/>
      <c r="C842" s="23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</row>
    <row r="843">
      <c r="B843" s="18"/>
      <c r="C843" s="23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</row>
    <row r="844">
      <c r="B844" s="18"/>
      <c r="C844" s="23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</row>
    <row r="845">
      <c r="B845" s="18"/>
      <c r="C845" s="23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</row>
    <row r="846">
      <c r="B846" s="18"/>
      <c r="C846" s="23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</row>
    <row r="847">
      <c r="B847" s="18"/>
      <c r="C847" s="23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</row>
    <row r="848">
      <c r="B848" s="18"/>
      <c r="C848" s="23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</row>
    <row r="849">
      <c r="B849" s="18"/>
      <c r="C849" s="23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</row>
    <row r="850">
      <c r="B850" s="18"/>
      <c r="C850" s="23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</row>
    <row r="851">
      <c r="B851" s="18"/>
      <c r="C851" s="23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</row>
    <row r="852">
      <c r="B852" s="18"/>
      <c r="C852" s="23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</row>
    <row r="853">
      <c r="B853" s="18"/>
      <c r="C853" s="23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4">
      <c r="B854" s="18"/>
      <c r="C854" s="23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</row>
    <row r="855">
      <c r="B855" s="18"/>
      <c r="C855" s="23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</row>
    <row r="856">
      <c r="B856" s="18"/>
      <c r="C856" s="23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</row>
    <row r="857">
      <c r="B857" s="18"/>
      <c r="C857" s="23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</row>
    <row r="858">
      <c r="B858" s="18"/>
      <c r="C858" s="23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</row>
    <row r="859">
      <c r="B859" s="18"/>
      <c r="C859" s="23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</row>
    <row r="860">
      <c r="B860" s="18"/>
      <c r="C860" s="23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</row>
    <row r="861">
      <c r="B861" s="18"/>
      <c r="C861" s="23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</row>
    <row r="862">
      <c r="B862" s="18"/>
      <c r="C862" s="23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</row>
    <row r="863">
      <c r="B863" s="18"/>
      <c r="C863" s="23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</row>
    <row r="864">
      <c r="B864" s="18"/>
      <c r="C864" s="23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</row>
    <row r="865">
      <c r="B865" s="18"/>
      <c r="C865" s="23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</row>
    <row r="866">
      <c r="B866" s="18"/>
      <c r="C866" s="23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</row>
    <row r="867">
      <c r="B867" s="18"/>
      <c r="C867" s="23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</row>
    <row r="868">
      <c r="B868" s="18"/>
      <c r="C868" s="23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</row>
    <row r="869">
      <c r="B869" s="18"/>
      <c r="C869" s="23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</row>
    <row r="870">
      <c r="B870" s="18"/>
      <c r="C870" s="23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</row>
    <row r="871">
      <c r="B871" s="18"/>
      <c r="C871" s="23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</row>
    <row r="872">
      <c r="B872" s="18"/>
      <c r="C872" s="23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</row>
    <row r="873">
      <c r="B873" s="18"/>
      <c r="C873" s="23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</row>
    <row r="874">
      <c r="B874" s="18"/>
      <c r="C874" s="23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</row>
    <row r="875">
      <c r="B875" s="18"/>
      <c r="C875" s="23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</row>
    <row r="876">
      <c r="B876" s="18"/>
      <c r="C876" s="23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</row>
    <row r="877">
      <c r="B877" s="18"/>
      <c r="C877" s="23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</row>
    <row r="878">
      <c r="B878" s="18"/>
      <c r="C878" s="23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</row>
    <row r="879">
      <c r="B879" s="18"/>
      <c r="C879" s="23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</row>
    <row r="880">
      <c r="B880" s="18"/>
      <c r="C880" s="23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</row>
    <row r="881">
      <c r="B881" s="18"/>
      <c r="C881" s="23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</row>
    <row r="882">
      <c r="B882" s="18"/>
      <c r="C882" s="23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</row>
    <row r="883">
      <c r="B883" s="18"/>
      <c r="C883" s="23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</row>
    <row r="884">
      <c r="B884" s="18"/>
      <c r="C884" s="23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</row>
    <row r="885">
      <c r="B885" s="18"/>
      <c r="C885" s="23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</row>
    <row r="886">
      <c r="B886" s="18"/>
      <c r="C886" s="23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</row>
    <row r="887">
      <c r="B887" s="18"/>
      <c r="C887" s="23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</row>
    <row r="888">
      <c r="B888" s="18"/>
      <c r="C888" s="23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</row>
    <row r="889">
      <c r="B889" s="18"/>
      <c r="C889" s="23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</row>
    <row r="890">
      <c r="B890" s="18"/>
      <c r="C890" s="23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</row>
    <row r="891">
      <c r="B891" s="18"/>
      <c r="C891" s="23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</row>
    <row r="892">
      <c r="B892" s="18"/>
      <c r="C892" s="23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</row>
    <row r="893">
      <c r="B893" s="18"/>
      <c r="C893" s="23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</row>
    <row r="894">
      <c r="B894" s="18"/>
      <c r="C894" s="23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</row>
    <row r="895">
      <c r="B895" s="18"/>
      <c r="C895" s="23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</row>
    <row r="896">
      <c r="B896" s="18"/>
      <c r="C896" s="23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</row>
    <row r="897">
      <c r="B897" s="18"/>
      <c r="C897" s="23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</row>
    <row r="898">
      <c r="B898" s="18"/>
      <c r="C898" s="23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</row>
    <row r="899">
      <c r="B899" s="18"/>
      <c r="C899" s="23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</row>
    <row r="900">
      <c r="B900" s="18"/>
      <c r="C900" s="23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</row>
    <row r="901">
      <c r="B901" s="18"/>
      <c r="C901" s="23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</row>
    <row r="902">
      <c r="B902" s="18"/>
      <c r="C902" s="23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</row>
    <row r="903">
      <c r="B903" s="18"/>
      <c r="C903" s="23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</row>
    <row r="904">
      <c r="B904" s="18"/>
      <c r="C904" s="23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</row>
    <row r="905">
      <c r="B905" s="18"/>
      <c r="C905" s="23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</row>
    <row r="906">
      <c r="B906" s="18"/>
      <c r="C906" s="23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</row>
    <row r="907">
      <c r="B907" s="18"/>
      <c r="C907" s="23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</row>
    <row r="908">
      <c r="B908" s="18"/>
      <c r="C908" s="23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</row>
    <row r="909">
      <c r="B909" s="18"/>
      <c r="C909" s="23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</row>
    <row r="910">
      <c r="B910" s="18"/>
      <c r="C910" s="23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</row>
    <row r="911">
      <c r="B911" s="18"/>
      <c r="C911" s="23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2">
      <c r="B912" s="18"/>
      <c r="C912" s="23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</row>
    <row r="913">
      <c r="B913" s="18"/>
      <c r="C913" s="23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</row>
    <row r="914">
      <c r="B914" s="18"/>
      <c r="C914" s="23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</row>
    <row r="915">
      <c r="B915" s="18"/>
      <c r="C915" s="23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</row>
    <row r="916">
      <c r="B916" s="18"/>
      <c r="C916" s="23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</row>
    <row r="917">
      <c r="B917" s="18"/>
      <c r="C917" s="23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</row>
    <row r="918">
      <c r="B918" s="18"/>
      <c r="C918" s="23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</row>
    <row r="919">
      <c r="B919" s="18"/>
      <c r="C919" s="23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</row>
    <row r="920">
      <c r="B920" s="18"/>
      <c r="C920" s="23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</row>
    <row r="921">
      <c r="B921" s="18"/>
      <c r="C921" s="23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</row>
    <row r="922">
      <c r="B922" s="18"/>
      <c r="C922" s="23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</row>
    <row r="923">
      <c r="B923" s="18"/>
      <c r="C923" s="23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</row>
    <row r="924">
      <c r="B924" s="18"/>
      <c r="C924" s="23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</row>
    <row r="925">
      <c r="B925" s="18"/>
      <c r="C925" s="23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</row>
    <row r="926">
      <c r="B926" s="18"/>
      <c r="C926" s="23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</row>
    <row r="927">
      <c r="B927" s="18"/>
      <c r="C927" s="23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</row>
    <row r="928">
      <c r="B928" s="18"/>
      <c r="C928" s="23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</row>
    <row r="929">
      <c r="B929" s="18"/>
      <c r="C929" s="23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</row>
    <row r="930">
      <c r="B930" s="18"/>
      <c r="C930" s="23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</row>
    <row r="931">
      <c r="B931" s="18"/>
      <c r="C931" s="23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</row>
    <row r="932">
      <c r="B932" s="18"/>
      <c r="C932" s="23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</row>
    <row r="933">
      <c r="B933" s="18"/>
      <c r="C933" s="23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</row>
    <row r="934">
      <c r="B934" s="18"/>
      <c r="C934" s="23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</row>
    <row r="935">
      <c r="B935" s="18"/>
      <c r="C935" s="23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</row>
    <row r="936">
      <c r="B936" s="18"/>
      <c r="C936" s="23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</row>
    <row r="937">
      <c r="B937" s="18"/>
      <c r="C937" s="23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</row>
    <row r="938">
      <c r="B938" s="18"/>
      <c r="C938" s="23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</row>
    <row r="939">
      <c r="B939" s="18"/>
      <c r="C939" s="23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</row>
    <row r="940">
      <c r="B940" s="18"/>
      <c r="C940" s="23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</row>
    <row r="941">
      <c r="B941" s="18"/>
      <c r="C941" s="23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</row>
    <row r="942">
      <c r="B942" s="18"/>
      <c r="C942" s="23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</row>
    <row r="943">
      <c r="B943" s="18"/>
      <c r="C943" s="23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</row>
    <row r="944">
      <c r="B944" s="18"/>
      <c r="C944" s="23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</row>
    <row r="945">
      <c r="B945" s="18"/>
      <c r="C945" s="23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</row>
    <row r="946">
      <c r="B946" s="18"/>
      <c r="C946" s="23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</row>
    <row r="947">
      <c r="B947" s="18"/>
      <c r="C947" s="23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</row>
    <row r="948">
      <c r="B948" s="18"/>
      <c r="C948" s="23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</row>
    <row r="949">
      <c r="B949" s="18"/>
      <c r="C949" s="23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</row>
    <row r="950">
      <c r="B950" s="18"/>
      <c r="C950" s="23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</row>
    <row r="951">
      <c r="B951" s="18"/>
      <c r="C951" s="23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</row>
    <row r="952">
      <c r="B952" s="18"/>
      <c r="C952" s="23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</row>
    <row r="953">
      <c r="B953" s="18"/>
      <c r="C953" s="23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</row>
    <row r="954">
      <c r="B954" s="18"/>
      <c r="C954" s="23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</row>
    <row r="955">
      <c r="B955" s="18"/>
      <c r="C955" s="23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</row>
    <row r="956">
      <c r="B956" s="18"/>
      <c r="C956" s="23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</row>
    <row r="957">
      <c r="B957" s="18"/>
      <c r="C957" s="23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</row>
    <row r="958">
      <c r="B958" s="18"/>
      <c r="C958" s="23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</row>
    <row r="959">
      <c r="B959" s="18"/>
      <c r="C959" s="23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</row>
    <row r="960">
      <c r="B960" s="18"/>
      <c r="C960" s="23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</row>
    <row r="961">
      <c r="B961" s="18"/>
      <c r="C961" s="23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</row>
    <row r="962">
      <c r="B962" s="18"/>
      <c r="C962" s="23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</row>
    <row r="963">
      <c r="B963" s="18"/>
      <c r="C963" s="23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</row>
    <row r="964">
      <c r="B964" s="18"/>
      <c r="C964" s="23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</row>
    <row r="965">
      <c r="B965" s="18"/>
      <c r="C965" s="23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</row>
    <row r="966">
      <c r="B966" s="18"/>
      <c r="C966" s="23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</row>
    <row r="967">
      <c r="B967" s="18"/>
      <c r="C967" s="23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</row>
    <row r="968">
      <c r="B968" s="18"/>
      <c r="C968" s="23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</row>
    <row r="969">
      <c r="B969" s="18"/>
      <c r="C969" s="23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</row>
    <row r="970">
      <c r="B970" s="18"/>
      <c r="C970" s="23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</row>
    <row r="971">
      <c r="B971" s="18"/>
      <c r="C971" s="23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</row>
    <row r="972">
      <c r="B972" s="18"/>
      <c r="C972" s="23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</row>
    <row r="973">
      <c r="B973" s="18"/>
      <c r="C973" s="23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</row>
    <row r="974">
      <c r="B974" s="18"/>
      <c r="C974" s="23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</row>
    <row r="975">
      <c r="B975" s="18"/>
      <c r="C975" s="23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</row>
    <row r="976">
      <c r="B976" s="18"/>
      <c r="C976" s="23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</row>
    <row r="977">
      <c r="B977" s="18"/>
      <c r="C977" s="23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</row>
    <row r="978">
      <c r="B978" s="18"/>
      <c r="C978" s="23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</row>
    <row r="979">
      <c r="B979" s="18"/>
      <c r="C979" s="23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</row>
    <row r="980">
      <c r="B980" s="18"/>
      <c r="C980" s="23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</row>
    <row r="981">
      <c r="B981" s="18"/>
      <c r="C981" s="23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</row>
    <row r="982">
      <c r="B982" s="18"/>
      <c r="C982" s="23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</row>
    <row r="983">
      <c r="B983" s="18"/>
      <c r="C983" s="23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</row>
    <row r="984">
      <c r="B984" s="18"/>
      <c r="C984" s="23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</row>
    <row r="985">
      <c r="B985" s="18"/>
      <c r="C985" s="23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>
      <c r="B986" s="18"/>
      <c r="C986" s="23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</row>
    <row r="987">
      <c r="B987" s="18"/>
      <c r="C987" s="23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</row>
    <row r="988">
      <c r="B988" s="18"/>
      <c r="C988" s="23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</row>
    <row r="989">
      <c r="B989" s="18"/>
      <c r="C989" s="23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</row>
    <row r="990">
      <c r="B990" s="18"/>
      <c r="C990" s="23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</row>
    <row r="991">
      <c r="B991" s="18"/>
      <c r="C991" s="23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</row>
    <row r="992">
      <c r="B992" s="18"/>
      <c r="C992" s="23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</row>
    <row r="993">
      <c r="B993" s="18"/>
      <c r="C993" s="23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4">
      <c r="B994" s="18"/>
      <c r="C994" s="23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</row>
    <row r="995">
      <c r="B995" s="18"/>
      <c r="C995" s="23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</row>
    <row r="996">
      <c r="B996" s="18"/>
      <c r="C996" s="23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</row>
    <row r="997">
      <c r="B997" s="18"/>
      <c r="C997" s="23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</row>
    <row r="998">
      <c r="B998" s="18"/>
      <c r="C998" s="23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</row>
    <row r="999">
      <c r="B999" s="18"/>
      <c r="C999" s="23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</row>
    <row r="1000">
      <c r="B1000" s="18"/>
      <c r="C1000" s="23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</row>
    <row r="1001">
      <c r="B1001" s="18"/>
      <c r="C1001" s="23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</row>
    <row r="1002">
      <c r="B1002" s="18"/>
      <c r="C1002" s="23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</row>
    <row r="1003">
      <c r="B1003" s="18"/>
      <c r="C1003" s="23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7.38"/>
    <col customWidth="1" min="3" max="17" width="16.75"/>
  </cols>
  <sheetData>
    <row r="1">
      <c r="A1" s="1" t="str">
        <f>Specs!D1</f>
        <v>ModularSwitch</v>
      </c>
      <c r="B1" s="2" t="s">
        <v>0</v>
      </c>
      <c r="C1" s="3" t="str">
        <f t="array" ref="C1">INDEX(D1:Q1, MATCH(1, D16:Q16, 0))</f>
        <v>C9600-LC-48YL=</v>
      </c>
      <c r="D1" s="30" t="s">
        <v>145</v>
      </c>
      <c r="E1" s="30" t="s">
        <v>146</v>
      </c>
      <c r="F1" s="30" t="s">
        <v>147</v>
      </c>
      <c r="G1" s="30" t="s">
        <v>148</v>
      </c>
      <c r="H1" s="6" t="s">
        <v>149</v>
      </c>
      <c r="I1" s="6" t="s">
        <v>150</v>
      </c>
      <c r="J1" s="6" t="s">
        <v>151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8" t="str">
        <f>Specs!D2</f>
        <v>Switching Bandwidth - Full Duplex (Gbps)</v>
      </c>
      <c r="B2" s="9" t="str">
        <f>IFERROR(__xludf.DUMMYFUNCTION("IMPORTRANGE(""https://docs.google.com/spreadsheets/d/18TjePryHG687L54fIGU6Od12DGyT3mPoblPemZTZRY4"",""SwitchCampus!B3:B10"")"),"")</f>
        <v/>
      </c>
      <c r="C2" s="10" t="str">
        <f>hlookup($C$1,$D$1:$Q$10,2,0)</f>
        <v/>
      </c>
      <c r="D2" s="34">
        <f>480*2</f>
        <v>960</v>
      </c>
      <c r="E2" s="34">
        <f>480*5</f>
        <v>2400</v>
      </c>
      <c r="F2" s="34">
        <f>480*8</f>
        <v>3840</v>
      </c>
      <c r="G2" s="34">
        <f>3200*4</f>
        <v>12800</v>
      </c>
      <c r="H2" s="13"/>
      <c r="I2" s="13"/>
      <c r="J2" s="13"/>
      <c r="K2" s="13"/>
      <c r="L2" s="13"/>
      <c r="M2" s="13"/>
      <c r="N2" s="13"/>
      <c r="O2" s="13"/>
      <c r="P2" s="13"/>
      <c r="Q2" s="13"/>
    </row>
    <row r="3">
      <c r="A3" s="8" t="str">
        <f>Specs!D3</f>
        <v>Forwarding Capacity (Mpps)</v>
      </c>
      <c r="B3" s="9"/>
      <c r="C3" s="10" t="str">
        <f>hlookup($C$1,$D$1:$Q$10,3,0)</f>
        <v/>
      </c>
      <c r="D3" s="34"/>
      <c r="E3" s="34"/>
      <c r="F3" s="34"/>
      <c r="G3" s="34"/>
      <c r="H3" s="13"/>
      <c r="I3" s="13"/>
      <c r="J3" s="13"/>
      <c r="K3" s="13"/>
      <c r="L3" s="13"/>
      <c r="M3" s="13"/>
      <c r="N3" s="13"/>
      <c r="O3" s="13"/>
      <c r="P3" s="13"/>
      <c r="Q3" s="13"/>
    </row>
    <row r="4">
      <c r="A4" s="8" t="str">
        <f>Specs!D4</f>
        <v>Số lượng cổng 1GE đồng</v>
      </c>
      <c r="B4" s="9"/>
      <c r="C4" s="10" t="str">
        <f>hlookup($C$1,$D$1:$Q$10,4,0)</f>
        <v/>
      </c>
      <c r="D4" s="34">
        <v>96.0</v>
      </c>
      <c r="E4" s="34">
        <v>240.0</v>
      </c>
      <c r="F4" s="34">
        <v>384.0</v>
      </c>
      <c r="G4" s="34">
        <v>192.0</v>
      </c>
      <c r="H4" s="13"/>
      <c r="I4" s="13">
        <v>48.0</v>
      </c>
      <c r="J4" s="13">
        <v>48.0</v>
      </c>
      <c r="K4" s="13"/>
      <c r="L4" s="13"/>
      <c r="M4" s="13">
        <v>48.0</v>
      </c>
      <c r="N4" s="13"/>
      <c r="O4" s="13"/>
      <c r="P4" s="13"/>
      <c r="Q4" s="13"/>
    </row>
    <row r="5">
      <c r="A5" s="8" t="str">
        <f>Specs!D5</f>
        <v>Số lượng cổng 1GE SFP</v>
      </c>
      <c r="B5" s="9"/>
      <c r="C5" s="10">
        <f>hlookup($C$1,$D$1:$Q$10,5,0)</f>
        <v>48</v>
      </c>
      <c r="D5" s="34">
        <v>96.0</v>
      </c>
      <c r="E5" s="34">
        <v>240.0</v>
      </c>
      <c r="F5" s="34">
        <v>384.0</v>
      </c>
      <c r="G5" s="34">
        <v>192.0</v>
      </c>
      <c r="H5" s="15"/>
      <c r="I5" s="13"/>
      <c r="J5" s="13"/>
      <c r="K5" s="13">
        <v>48.0</v>
      </c>
      <c r="L5" s="13">
        <v>48.0</v>
      </c>
      <c r="M5" s="15"/>
      <c r="N5" s="13">
        <v>48.0</v>
      </c>
      <c r="O5" s="13">
        <v>40.0</v>
      </c>
      <c r="P5" s="15"/>
      <c r="Q5" s="15"/>
    </row>
    <row r="6">
      <c r="A6" s="8" t="str">
        <f>Specs!D6</f>
        <v>Số lượng cổng 10GE đồng</v>
      </c>
      <c r="B6" s="16"/>
      <c r="C6" s="10" t="str">
        <f>hlookup($C$1,$D$1:$Q$10,6,0)</f>
        <v/>
      </c>
      <c r="D6" s="34">
        <v>96.0</v>
      </c>
      <c r="E6" s="34">
        <v>240.0</v>
      </c>
      <c r="F6" s="34">
        <v>384.0</v>
      </c>
      <c r="G6" s="34">
        <v>192.0</v>
      </c>
      <c r="H6" s="13"/>
      <c r="I6" s="15"/>
      <c r="J6" s="13">
        <v>48.0</v>
      </c>
      <c r="K6" s="15"/>
      <c r="L6" s="15"/>
      <c r="M6" s="13">
        <v>48.0</v>
      </c>
      <c r="N6" s="15"/>
      <c r="O6" s="15"/>
      <c r="P6" s="15"/>
      <c r="Q6" s="15"/>
    </row>
    <row r="7">
      <c r="A7" s="8" t="str">
        <f>Specs!D7</f>
        <v>Số lượng cổng 10GE quang</v>
      </c>
      <c r="B7" s="16">
        <f>IFERROR(__xludf.DUMMYFUNCTION("""COMPUTED_VALUE"""),48.0)</f>
        <v>48</v>
      </c>
      <c r="C7" s="10">
        <f>hlookup($C$1,$D$1:$Q$10,7,0)</f>
        <v>48</v>
      </c>
      <c r="D7" s="34">
        <v>96.0</v>
      </c>
      <c r="E7" s="34">
        <v>240.0</v>
      </c>
      <c r="F7" s="34">
        <v>384.0</v>
      </c>
      <c r="G7" s="34">
        <v>224.0</v>
      </c>
      <c r="H7" s="13"/>
      <c r="I7" s="15"/>
      <c r="J7" s="15"/>
      <c r="K7" s="15"/>
      <c r="L7" s="13">
        <v>48.0</v>
      </c>
      <c r="M7" s="15"/>
      <c r="N7" s="13">
        <v>48.0</v>
      </c>
      <c r="O7" s="13">
        <v>40.0</v>
      </c>
      <c r="P7" s="15"/>
      <c r="Q7" s="15"/>
    </row>
    <row r="8">
      <c r="A8" s="8" t="str">
        <f>Specs!D8</f>
        <v>Số lượng cổng 100GE</v>
      </c>
      <c r="B8" s="16"/>
      <c r="C8" s="10" t="str">
        <f>hlookup($C$1,$D$1:$Q$10,8,0)</f>
        <v/>
      </c>
      <c r="D8" s="34">
        <v>8.0</v>
      </c>
      <c r="E8" s="34">
        <v>20.0</v>
      </c>
      <c r="F8" s="34">
        <v>32.0</v>
      </c>
      <c r="G8" s="34">
        <v>128.0</v>
      </c>
      <c r="H8" s="13">
        <v>12.0</v>
      </c>
      <c r="I8" s="15"/>
      <c r="J8" s="15"/>
      <c r="K8" s="15"/>
      <c r="L8" s="15"/>
      <c r="M8" s="15"/>
      <c r="N8" s="15"/>
      <c r="O8" s="13">
        <v>4.0</v>
      </c>
      <c r="P8" s="13">
        <v>12.0</v>
      </c>
      <c r="Q8" s="15"/>
    </row>
    <row r="9">
      <c r="A9" s="8" t="str">
        <f>Specs!D9</f>
        <v>Stacking (Y/N)</v>
      </c>
      <c r="B9" s="16"/>
      <c r="C9" s="10" t="str">
        <f>hlookup($C$1,$D$1:$Q$10,9,0)</f>
        <v/>
      </c>
      <c r="D9" s="34" t="s">
        <v>128</v>
      </c>
      <c r="E9" s="34" t="s">
        <v>128</v>
      </c>
      <c r="F9" s="34" t="s">
        <v>128</v>
      </c>
      <c r="G9" s="34" t="s">
        <v>128</v>
      </c>
      <c r="H9" s="15"/>
      <c r="I9" s="15"/>
      <c r="J9" s="15"/>
      <c r="K9" s="15"/>
      <c r="L9" s="15"/>
      <c r="M9" s="15"/>
      <c r="N9" s="15"/>
      <c r="O9" s="15"/>
      <c r="P9" s="15"/>
      <c r="Q9" s="15"/>
    </row>
    <row r="10">
      <c r="A10" s="8" t="str">
        <f>Specs!D10</f>
        <v>PoE (Y/N)</v>
      </c>
      <c r="B10" s="16"/>
      <c r="C10" s="10" t="str">
        <f>hlookup($C$1,$D$1:$Q$10,10,0)</f>
        <v/>
      </c>
      <c r="D10" s="34" t="s">
        <v>128</v>
      </c>
      <c r="E10" s="34" t="s">
        <v>128</v>
      </c>
      <c r="F10" s="34" t="s">
        <v>128</v>
      </c>
      <c r="G10" s="34" t="s">
        <v>129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>
      <c r="A11" s="17" t="s">
        <v>130</v>
      </c>
      <c r="B11" s="18"/>
      <c r="C11" s="23" t="str">
        <f>hlookup($C$1,$D$1:$Q$11,11,0)</f>
        <v/>
      </c>
      <c r="D11" s="20" t="s">
        <v>25</v>
      </c>
      <c r="E11" s="20" t="s">
        <v>25</v>
      </c>
      <c r="F11" s="20" t="s">
        <v>25</v>
      </c>
      <c r="G11" s="20" t="s">
        <v>25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>
      <c r="A12" s="22"/>
      <c r="B12" s="18"/>
      <c r="C12" s="2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>
      <c r="A13" s="22" t="s">
        <v>26</v>
      </c>
      <c r="B13" s="18"/>
      <c r="C13" s="23">
        <f t="shared" ref="C13:Q13" si="1">sum(1*(C2&gt;=$B$2)+1*(C3&gt;=$B$3)+1*(C4&gt;=$B$4)+1*(C5&gt;=$B$5)+1*(C6&gt;=$B$6)+1*(C7&gt;=$B$7)+1*(C8&gt;=$B$8)+1*or(C9="Y",$B$9="N",$B$9="")+1*or(C10="Y",$B$10="N",$B$10=""))</f>
        <v>9</v>
      </c>
      <c r="D13" s="21">
        <f t="shared" si="1"/>
        <v>9</v>
      </c>
      <c r="E13" s="21">
        <f t="shared" si="1"/>
        <v>9</v>
      </c>
      <c r="F13" s="21">
        <f t="shared" si="1"/>
        <v>9</v>
      </c>
      <c r="G13" s="21">
        <f t="shared" si="1"/>
        <v>9</v>
      </c>
      <c r="H13" s="21">
        <f t="shared" si="1"/>
        <v>8</v>
      </c>
      <c r="I13" s="21">
        <f t="shared" si="1"/>
        <v>8</v>
      </c>
      <c r="J13" s="21">
        <f t="shared" si="1"/>
        <v>8</v>
      </c>
      <c r="K13" s="21">
        <f t="shared" si="1"/>
        <v>8</v>
      </c>
      <c r="L13" s="21">
        <f t="shared" si="1"/>
        <v>9</v>
      </c>
      <c r="M13" s="21">
        <f t="shared" si="1"/>
        <v>8</v>
      </c>
      <c r="N13" s="21">
        <f t="shared" si="1"/>
        <v>9</v>
      </c>
      <c r="O13" s="21">
        <f t="shared" si="1"/>
        <v>8</v>
      </c>
      <c r="P13" s="21">
        <f t="shared" si="1"/>
        <v>8</v>
      </c>
      <c r="Q13" s="21">
        <f t="shared" si="1"/>
        <v>8</v>
      </c>
    </row>
    <row r="14">
      <c r="A14" s="22" t="s">
        <v>27</v>
      </c>
      <c r="B14" s="18"/>
      <c r="C14" s="24">
        <f>iferror(vlookup(C1,AllListPrice!$A$2:$D$1000,4,0),0)</f>
        <v>28916.35</v>
      </c>
      <c r="D14" s="25">
        <f>iferror(vlookup(D1,AllListPrice!$A$2:$D$1000,4,0),0)</f>
        <v>117530.33</v>
      </c>
      <c r="E14" s="25">
        <f>iferror(vlookup(E1,AllListPrice!$A$2:$D$1000,4,0),0)</f>
        <v>136174.7</v>
      </c>
      <c r="F14" s="25">
        <f>iferror(vlookup(F1,AllListPrice!$A$2:$D$1000,4,0),0)</f>
        <v>144810.28</v>
      </c>
      <c r="G14" s="25">
        <f>iferror(vlookup(G1,AllListPrice!$A$2:$D$1000,4,0),0)</f>
        <v>246495.41</v>
      </c>
      <c r="H14" s="25">
        <f>iferror(vlookup(H1,AllListPrice!$A$2:$D$1000,4,0),0)</f>
        <v>38258</v>
      </c>
      <c r="I14" s="25">
        <f>iferror(vlookup(I1,AllListPrice!$A$2:$D$1000,4,0),0)</f>
        <v>8689.51</v>
      </c>
      <c r="J14" s="25">
        <f>iferror(vlookup(J1,AllListPrice!$A$2:$D$1000,4,0),0)</f>
        <v>19129</v>
      </c>
      <c r="K14" s="25">
        <f>iferror(vlookup(K1,AllListPrice!$A$2:$D$1000,4,0),0)</f>
        <v>30425.45</v>
      </c>
      <c r="L14" s="25">
        <f>iferror(vlookup(L1,AllListPrice!$A$2:$D$1000,4,0),0)</f>
        <v>47564</v>
      </c>
      <c r="M14" s="25">
        <f>iferror(vlookup(M1,AllListPrice!$A$2:$D$1000,4,0),0)</f>
        <v>28916.35</v>
      </c>
      <c r="N14" s="25">
        <f>iferror(vlookup(N1,AllListPrice!$A$2:$D$1000,4,0),0)</f>
        <v>28916.35</v>
      </c>
      <c r="O14" s="25">
        <f>iferror(vlookup(O1,AllListPrice!$A$2:$D$1000,4,0),0)</f>
        <v>34122</v>
      </c>
      <c r="P14" s="25">
        <f>iferror(vlookup(P1,AllListPrice!$A$2:$D$1000,4,0),0)</f>
        <v>32859.49</v>
      </c>
      <c r="Q14" s="25">
        <f>iferror(vlookup(Q1,Cisco!$A$2:$D$1000,4,0),0)</f>
        <v>0</v>
      </c>
    </row>
    <row r="15">
      <c r="A15" s="22" t="s">
        <v>28</v>
      </c>
      <c r="B15" s="18"/>
      <c r="C15" s="23">
        <f t="shared" ref="C15:Q15" si="2">1*(C13=max($D$13:$Q$13))</f>
        <v>1</v>
      </c>
      <c r="D15" s="21">
        <f t="shared" si="2"/>
        <v>1</v>
      </c>
      <c r="E15" s="21">
        <f t="shared" si="2"/>
        <v>1</v>
      </c>
      <c r="F15" s="21">
        <f t="shared" si="2"/>
        <v>1</v>
      </c>
      <c r="G15" s="21">
        <f t="shared" si="2"/>
        <v>1</v>
      </c>
      <c r="H15" s="21">
        <f t="shared" si="2"/>
        <v>0</v>
      </c>
      <c r="I15" s="21">
        <f t="shared" si="2"/>
        <v>0</v>
      </c>
      <c r="J15" s="21">
        <f t="shared" si="2"/>
        <v>0</v>
      </c>
      <c r="K15" s="21">
        <f t="shared" si="2"/>
        <v>0</v>
      </c>
      <c r="L15" s="21">
        <f t="shared" si="2"/>
        <v>1</v>
      </c>
      <c r="M15" s="21">
        <f t="shared" si="2"/>
        <v>0</v>
      </c>
      <c r="N15" s="21">
        <f t="shared" si="2"/>
        <v>1</v>
      </c>
      <c r="O15" s="21">
        <f t="shared" si="2"/>
        <v>0</v>
      </c>
      <c r="P15" s="21">
        <f t="shared" si="2"/>
        <v>0</v>
      </c>
      <c r="Q15" s="21">
        <f t="shared" si="2"/>
        <v>0</v>
      </c>
    </row>
    <row r="16">
      <c r="A16" s="22" t="s">
        <v>29</v>
      </c>
      <c r="B16" s="18"/>
      <c r="C16" s="23">
        <f t="shared" ref="C16:Q16" si="3">C15*(C14=minifs($D$14:$Q$14,$D$15:$Q$15,1))</f>
        <v>1</v>
      </c>
      <c r="D16" s="21">
        <f t="shared" si="3"/>
        <v>0</v>
      </c>
      <c r="E16" s="21">
        <f t="shared" si="3"/>
        <v>0</v>
      </c>
      <c r="F16" s="21">
        <f t="shared" si="3"/>
        <v>0</v>
      </c>
      <c r="G16" s="21">
        <f t="shared" si="3"/>
        <v>0</v>
      </c>
      <c r="H16" s="21">
        <f t="shared" si="3"/>
        <v>0</v>
      </c>
      <c r="I16" s="21">
        <f t="shared" si="3"/>
        <v>0</v>
      </c>
      <c r="J16" s="21">
        <f t="shared" si="3"/>
        <v>0</v>
      </c>
      <c r="K16" s="21">
        <f t="shared" si="3"/>
        <v>0</v>
      </c>
      <c r="L16" s="21">
        <f t="shared" si="3"/>
        <v>0</v>
      </c>
      <c r="M16" s="21">
        <f t="shared" si="3"/>
        <v>0</v>
      </c>
      <c r="N16" s="21">
        <f t="shared" si="3"/>
        <v>1</v>
      </c>
      <c r="O16" s="21">
        <f t="shared" si="3"/>
        <v>0</v>
      </c>
      <c r="P16" s="21">
        <f t="shared" si="3"/>
        <v>0</v>
      </c>
      <c r="Q16" s="21">
        <f t="shared" si="3"/>
        <v>0</v>
      </c>
    </row>
    <row r="17">
      <c r="A17" s="22" t="s">
        <v>30</v>
      </c>
      <c r="B17" s="18"/>
      <c r="C17" s="23">
        <f t="shared" ref="C17:Q17" si="4">(1-($C$1=C1))*(C15=1)</f>
        <v>0</v>
      </c>
      <c r="D17" s="21">
        <f t="shared" si="4"/>
        <v>1</v>
      </c>
      <c r="E17" s="21">
        <f t="shared" si="4"/>
        <v>1</v>
      </c>
      <c r="F17" s="21">
        <f t="shared" si="4"/>
        <v>1</v>
      </c>
      <c r="G17" s="21">
        <f t="shared" si="4"/>
        <v>1</v>
      </c>
      <c r="H17" s="21">
        <f t="shared" si="4"/>
        <v>0</v>
      </c>
      <c r="I17" s="21">
        <f t="shared" si="4"/>
        <v>0</v>
      </c>
      <c r="J17" s="21">
        <f t="shared" si="4"/>
        <v>0</v>
      </c>
      <c r="K17" s="21">
        <f t="shared" si="4"/>
        <v>0</v>
      </c>
      <c r="L17" s="21">
        <f t="shared" si="4"/>
        <v>1</v>
      </c>
      <c r="M17" s="21">
        <f t="shared" si="4"/>
        <v>0</v>
      </c>
      <c r="N17" s="21">
        <f t="shared" si="4"/>
        <v>0</v>
      </c>
      <c r="O17" s="21">
        <f t="shared" si="4"/>
        <v>0</v>
      </c>
      <c r="P17" s="21">
        <f t="shared" si="4"/>
        <v>0</v>
      </c>
      <c r="Q17" s="21">
        <f t="shared" si="4"/>
        <v>0</v>
      </c>
    </row>
    <row r="18">
      <c r="B18" s="18"/>
      <c r="C18" s="2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>
      <c r="A19" s="17" t="s">
        <v>31</v>
      </c>
      <c r="B19" s="26"/>
      <c r="C19" s="27" t="str">
        <f>IFERROR(__xludf.DUMMYFUNCTION("iferror(filter(D1:Q1,$D$17:$Q$17=1),"""")"),"C9404R")</f>
        <v>C9404R</v>
      </c>
      <c r="D19" s="28" t="str">
        <f>IFERROR(__xludf.DUMMYFUNCTION("""COMPUTED_VALUE"""),"C9407R")</f>
        <v>C9407R</v>
      </c>
      <c r="E19" s="28" t="str">
        <f>IFERROR(__xludf.DUMMYFUNCTION("""COMPUTED_VALUE"""),"C9410R")</f>
        <v>C9410R</v>
      </c>
      <c r="F19" s="28" t="str">
        <f>IFERROR(__xludf.DUMMYFUNCTION("""COMPUTED_VALUE"""),"C9606R")</f>
        <v>C9606R</v>
      </c>
      <c r="G19" s="28" t="str">
        <f>IFERROR(__xludf.DUMMYFUNCTION("""COMPUTED_VALUE"""),"C9400-LC-48XS=")</f>
        <v>C9400-LC-48XS=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>
      <c r="A20" s="29" t="str">
        <f t="shared" ref="A20:B20" si="5">A2</f>
        <v>Switching Bandwidth - Full Duplex (Gbps)</v>
      </c>
      <c r="B20" s="18" t="str">
        <f t="shared" si="5"/>
        <v/>
      </c>
      <c r="C20" s="23">
        <f>IFERROR(__xludf.DUMMYFUNCTION("iferror(filter(D2:Q2,$D$17:$Q$17=1),"""")"),960.0)</f>
        <v>960</v>
      </c>
      <c r="D20" s="21">
        <f>IFERROR(__xludf.DUMMYFUNCTION("""COMPUTED_VALUE"""),2400.0)</f>
        <v>2400</v>
      </c>
      <c r="E20" s="21">
        <f>IFERROR(__xludf.DUMMYFUNCTION("""COMPUTED_VALUE"""),3840.0)</f>
        <v>3840</v>
      </c>
      <c r="F20" s="21">
        <f>IFERROR(__xludf.DUMMYFUNCTION("""COMPUTED_VALUE"""),12800.0)</f>
        <v>12800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>
      <c r="A21" s="29" t="str">
        <f t="shared" ref="A21:B21" si="6">A3</f>
        <v>Forwarding Capacity (Mpps)</v>
      </c>
      <c r="B21" s="18" t="str">
        <f t="shared" si="6"/>
        <v/>
      </c>
      <c r="C21" s="23" t="str">
        <f>IFERROR(__xludf.DUMMYFUNCTION("iferror(filter(D3:Q3,$D$17:$Q$17=1),"""")"),"")</f>
        <v/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>
      <c r="A22" s="29" t="str">
        <f t="shared" ref="A22:B22" si="7">A4</f>
        <v>Số lượng cổng 1GE đồng</v>
      </c>
      <c r="B22" s="18" t="str">
        <f t="shared" si="7"/>
        <v/>
      </c>
      <c r="C22" s="23">
        <f>IFERROR(__xludf.DUMMYFUNCTION("iferror(filter(D4:Q4,$D$17:$Q$17=1),"""")"),96.0)</f>
        <v>96</v>
      </c>
      <c r="D22" s="21">
        <f>IFERROR(__xludf.DUMMYFUNCTION("""COMPUTED_VALUE"""),240.0)</f>
        <v>240</v>
      </c>
      <c r="E22" s="21">
        <f>IFERROR(__xludf.DUMMYFUNCTION("""COMPUTED_VALUE"""),384.0)</f>
        <v>384</v>
      </c>
      <c r="F22" s="21">
        <f>IFERROR(__xludf.DUMMYFUNCTION("""COMPUTED_VALUE"""),192.0)</f>
        <v>192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>
      <c r="A23" s="29" t="str">
        <f t="shared" ref="A23:B23" si="8">A5</f>
        <v>Số lượng cổng 1GE SFP</v>
      </c>
      <c r="B23" s="18" t="str">
        <f t="shared" si="8"/>
        <v/>
      </c>
      <c r="C23" s="23">
        <f>IFERROR(__xludf.DUMMYFUNCTION("iferror(filter(D5:Q5,$D$17:$Q$17=1),"""")"),96.0)</f>
        <v>96</v>
      </c>
      <c r="D23" s="21">
        <f>IFERROR(__xludf.DUMMYFUNCTION("""COMPUTED_VALUE"""),240.0)</f>
        <v>240</v>
      </c>
      <c r="E23" s="21">
        <f>IFERROR(__xludf.DUMMYFUNCTION("""COMPUTED_VALUE"""),384.0)</f>
        <v>384</v>
      </c>
      <c r="F23" s="21">
        <f>IFERROR(__xludf.DUMMYFUNCTION("""COMPUTED_VALUE"""),192.0)</f>
        <v>192</v>
      </c>
      <c r="G23" s="21">
        <f>IFERROR(__xludf.DUMMYFUNCTION("""COMPUTED_VALUE"""),48.0)</f>
        <v>48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>
      <c r="A24" s="29" t="str">
        <f t="shared" ref="A24:B24" si="9">A6</f>
        <v>Số lượng cổng 10GE đồng</v>
      </c>
      <c r="B24" s="18" t="str">
        <f t="shared" si="9"/>
        <v/>
      </c>
      <c r="C24" s="23">
        <f>IFERROR(__xludf.DUMMYFUNCTION("iferror(filter(D6:Q6,$D$17:$Q$17=1),"""")"),96.0)</f>
        <v>96</v>
      </c>
      <c r="D24" s="21">
        <f>IFERROR(__xludf.DUMMYFUNCTION("""COMPUTED_VALUE"""),240.0)</f>
        <v>240</v>
      </c>
      <c r="E24" s="21">
        <f>IFERROR(__xludf.DUMMYFUNCTION("""COMPUTED_VALUE"""),384.0)</f>
        <v>384</v>
      </c>
      <c r="F24" s="21">
        <f>IFERROR(__xludf.DUMMYFUNCTION("""COMPUTED_VALUE"""),192.0)</f>
        <v>192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>
      <c r="A25" s="29" t="str">
        <f t="shared" ref="A25:B25" si="10">A7</f>
        <v>Số lượng cổng 10GE quang</v>
      </c>
      <c r="B25" s="18">
        <f t="shared" si="10"/>
        <v>48</v>
      </c>
      <c r="C25" s="23">
        <f>IFERROR(__xludf.DUMMYFUNCTION("iferror(filter(D7:Q7,$D$17:$Q$17=1),"""")"),96.0)</f>
        <v>96</v>
      </c>
      <c r="D25" s="21">
        <f>IFERROR(__xludf.DUMMYFUNCTION("""COMPUTED_VALUE"""),240.0)</f>
        <v>240</v>
      </c>
      <c r="E25" s="21">
        <f>IFERROR(__xludf.DUMMYFUNCTION("""COMPUTED_VALUE"""),384.0)</f>
        <v>384</v>
      </c>
      <c r="F25" s="21">
        <f>IFERROR(__xludf.DUMMYFUNCTION("""COMPUTED_VALUE"""),224.0)</f>
        <v>224</v>
      </c>
      <c r="G25" s="21">
        <f>IFERROR(__xludf.DUMMYFUNCTION("""COMPUTED_VALUE"""),48.0)</f>
        <v>48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>
      <c r="A26" s="29" t="str">
        <f t="shared" ref="A26:B26" si="11">A8</f>
        <v>Số lượng cổng 100GE</v>
      </c>
      <c r="B26" s="18" t="str">
        <f t="shared" si="11"/>
        <v/>
      </c>
      <c r="C26" s="23">
        <f>IFERROR(__xludf.DUMMYFUNCTION("iferror(filter(D8:Q8,$D$17:$Q$17=1),"""")"),8.0)</f>
        <v>8</v>
      </c>
      <c r="D26" s="21">
        <f>IFERROR(__xludf.DUMMYFUNCTION("""COMPUTED_VALUE"""),20.0)</f>
        <v>20</v>
      </c>
      <c r="E26" s="21">
        <f>IFERROR(__xludf.DUMMYFUNCTION("""COMPUTED_VALUE"""),32.0)</f>
        <v>32</v>
      </c>
      <c r="F26" s="21">
        <f>IFERROR(__xludf.DUMMYFUNCTION("""COMPUTED_VALUE"""),128.0)</f>
        <v>128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>
      <c r="A27" s="29" t="str">
        <f t="shared" ref="A27:B27" si="12">A9</f>
        <v>Stacking (Y/N)</v>
      </c>
      <c r="B27" s="18" t="str">
        <f t="shared" si="12"/>
        <v/>
      </c>
      <c r="C27" s="23" t="str">
        <f>IFERROR(__xludf.DUMMYFUNCTION("iferror(filter(D9:Q9,$D$17:$Q$17=1),"""")"),"Y")</f>
        <v>Y</v>
      </c>
      <c r="D27" s="21" t="str">
        <f>IFERROR(__xludf.DUMMYFUNCTION("""COMPUTED_VALUE"""),"Y")</f>
        <v>Y</v>
      </c>
      <c r="E27" s="21" t="str">
        <f>IFERROR(__xludf.DUMMYFUNCTION("""COMPUTED_VALUE"""),"Y")</f>
        <v>Y</v>
      </c>
      <c r="F27" s="21" t="str">
        <f>IFERROR(__xludf.DUMMYFUNCTION("""COMPUTED_VALUE"""),"Y")</f>
        <v>Y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>
      <c r="A28" s="29" t="str">
        <f>A10</f>
        <v>PoE (Y/N)</v>
      </c>
      <c r="B28" s="18"/>
      <c r="C28" s="23" t="str">
        <f>IFERROR(__xludf.DUMMYFUNCTION("iferror(filter(D10:G10,$D$17:$G$17=1),"""")"),"Y")</f>
        <v>Y</v>
      </c>
      <c r="D28" s="21" t="str">
        <f>IFERROR(__xludf.DUMMYFUNCTION("""COMPUTED_VALUE"""),"Y")</f>
        <v>Y</v>
      </c>
      <c r="E28" s="21" t="str">
        <f>IFERROR(__xludf.DUMMYFUNCTION("""COMPUTED_VALUE"""),"Y")</f>
        <v>Y</v>
      </c>
      <c r="F28" s="21" t="str">
        <f>IFERROR(__xludf.DUMMYFUNCTION("""COMPUTED_VALUE"""),"N")</f>
        <v>N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>
      <c r="B29" s="18"/>
      <c r="C29" s="2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>
      <c r="B30" s="18"/>
      <c r="C30" s="2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>
      <c r="B31" s="18"/>
      <c r="C31" s="2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>
      <c r="B32" s="18"/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>
      <c r="B33" s="18"/>
      <c r="C33" s="2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>
      <c r="B34" s="18"/>
      <c r="C34" s="2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>
      <c r="B35" s="18"/>
      <c r="C35" s="2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>
      <c r="B36" s="18"/>
      <c r="C36" s="2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>
      <c r="B37" s="18"/>
      <c r="C37" s="2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>
      <c r="B38" s="18"/>
      <c r="C38" s="2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>
      <c r="B39" s="18"/>
      <c r="C39" s="2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>
      <c r="B40" s="18"/>
      <c r="C40" s="2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>
      <c r="B41" s="18"/>
      <c r="C41" s="2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>
      <c r="B42" s="18"/>
      <c r="C42" s="2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>
      <c r="B43" s="18"/>
      <c r="C43" s="2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>
      <c r="B44" s="18"/>
      <c r="C44" s="2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>
      <c r="B45" s="18"/>
      <c r="C45" s="2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>
      <c r="B46" s="18"/>
      <c r="C46" s="2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>
      <c r="B47" s="18"/>
      <c r="C47" s="2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>
      <c r="B48" s="18"/>
      <c r="C48" s="2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>
      <c r="B49" s="18"/>
      <c r="C49" s="2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>
      <c r="B50" s="18"/>
      <c r="C50" s="2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>
      <c r="B51" s="18"/>
      <c r="C51" s="2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>
      <c r="B52" s="18"/>
      <c r="C52" s="2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>
      <c r="B53" s="18"/>
      <c r="C53" s="2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>
      <c r="B54" s="18"/>
      <c r="C54" s="2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>
      <c r="B55" s="18"/>
      <c r="C55" s="2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>
      <c r="B56" s="18"/>
      <c r="C56" s="2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>
      <c r="B57" s="18"/>
      <c r="C57" s="2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>
      <c r="B58" s="18"/>
      <c r="C58" s="2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>
      <c r="B59" s="18"/>
      <c r="C59" s="2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>
      <c r="B60" s="18"/>
      <c r="C60" s="2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>
      <c r="B61" s="18"/>
      <c r="C61" s="2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>
      <c r="B62" s="18"/>
      <c r="C62" s="2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>
      <c r="B63" s="18"/>
      <c r="C63" s="2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>
      <c r="B64" s="18"/>
      <c r="C64" s="2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>
      <c r="B65" s="18"/>
      <c r="C65" s="2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>
      <c r="B66" s="18"/>
      <c r="C66" s="2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>
      <c r="B67" s="18"/>
      <c r="C67" s="2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>
      <c r="B68" s="18"/>
      <c r="C68" s="2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>
      <c r="B69" s="18"/>
      <c r="C69" s="2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>
      <c r="B70" s="18"/>
      <c r="C70" s="2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>
      <c r="B71" s="18"/>
      <c r="C71" s="2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>
      <c r="B72" s="18"/>
      <c r="C72" s="2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>
      <c r="B73" s="18"/>
      <c r="C73" s="2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>
      <c r="B74" s="18"/>
      <c r="C74" s="2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>
      <c r="B75" s="18"/>
      <c r="C75" s="2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>
      <c r="B76" s="18"/>
      <c r="C76" s="2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>
      <c r="B77" s="18"/>
      <c r="C77" s="2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>
      <c r="B78" s="18"/>
      <c r="C78" s="2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>
      <c r="B79" s="18"/>
      <c r="C79" s="2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>
      <c r="B80" s="18"/>
      <c r="C80" s="2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>
      <c r="B81" s="18"/>
      <c r="C81" s="2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>
      <c r="B82" s="18"/>
      <c r="C82" s="2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>
      <c r="B83" s="18"/>
      <c r="C83" s="2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>
      <c r="B84" s="18"/>
      <c r="C84" s="2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>
      <c r="B85" s="18"/>
      <c r="C85" s="2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>
      <c r="B86" s="18"/>
      <c r="C86" s="2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>
      <c r="B87" s="18"/>
      <c r="C87" s="2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>
      <c r="B88" s="18"/>
      <c r="C88" s="2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>
      <c r="B89" s="18"/>
      <c r="C89" s="2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>
      <c r="B90" s="18"/>
      <c r="C90" s="2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>
      <c r="B91" s="18"/>
      <c r="C91" s="2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>
      <c r="B92" s="18"/>
      <c r="C92" s="2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>
      <c r="B93" s="18"/>
      <c r="C93" s="2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>
      <c r="B94" s="18"/>
      <c r="C94" s="2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>
      <c r="B95" s="18"/>
      <c r="C95" s="2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  <row r="96">
      <c r="B96" s="18"/>
      <c r="C96" s="2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>
      <c r="B97" s="18"/>
      <c r="C97" s="2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>
      <c r="B98" s="18"/>
      <c r="C98" s="2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>
      <c r="B99" s="18"/>
      <c r="C99" s="2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>
      <c r="B100" s="18"/>
      <c r="C100" s="2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>
      <c r="B101" s="18"/>
      <c r="C101" s="2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>
      <c r="B102" s="18"/>
      <c r="C102" s="2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>
      <c r="B103" s="18"/>
      <c r="C103" s="2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>
      <c r="B104" s="18"/>
      <c r="C104" s="2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>
      <c r="B105" s="18"/>
      <c r="C105" s="2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>
      <c r="B106" s="18"/>
      <c r="C106" s="2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>
      <c r="B107" s="18"/>
      <c r="C107" s="2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>
      <c r="B108" s="18"/>
      <c r="C108" s="2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>
      <c r="B109" s="18"/>
      <c r="C109" s="2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>
      <c r="B110" s="18"/>
      <c r="C110" s="2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>
      <c r="B111" s="18"/>
      <c r="C111" s="2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>
      <c r="B112" s="18"/>
      <c r="C112" s="2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>
      <c r="B113" s="18"/>
      <c r="C113" s="2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>
      <c r="B114" s="18"/>
      <c r="C114" s="2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>
      <c r="B115" s="18"/>
      <c r="C115" s="2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  <row r="116">
      <c r="B116" s="18"/>
      <c r="C116" s="2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>
      <c r="B117" s="18"/>
      <c r="C117" s="2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</row>
    <row r="118">
      <c r="B118" s="18"/>
      <c r="C118" s="2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>
      <c r="B119" s="18"/>
      <c r="C119" s="2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</row>
    <row r="120">
      <c r="B120" s="18"/>
      <c r="C120" s="2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>
      <c r="B121" s="18"/>
      <c r="C121" s="2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</row>
    <row r="122">
      <c r="B122" s="18"/>
      <c r="C122" s="2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>
      <c r="B123" s="18"/>
      <c r="C123" s="2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</row>
    <row r="124">
      <c r="B124" s="18"/>
      <c r="C124" s="2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>
      <c r="B125" s="18"/>
      <c r="C125" s="2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</row>
    <row r="126">
      <c r="B126" s="18"/>
      <c r="C126" s="2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>
      <c r="B127" s="18"/>
      <c r="C127" s="2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</row>
    <row r="128">
      <c r="B128" s="18"/>
      <c r="C128" s="2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>
      <c r="B129" s="18"/>
      <c r="C129" s="2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</row>
    <row r="130">
      <c r="B130" s="18"/>
      <c r="C130" s="2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>
      <c r="B131" s="18"/>
      <c r="C131" s="2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</row>
    <row r="132">
      <c r="B132" s="18"/>
      <c r="C132" s="2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>
      <c r="B133" s="18"/>
      <c r="C133" s="2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</row>
    <row r="134">
      <c r="B134" s="18"/>
      <c r="C134" s="2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>
      <c r="B135" s="18"/>
      <c r="C135" s="2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>
      <c r="B136" s="18"/>
      <c r="C136" s="2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>
      <c r="B137" s="18"/>
      <c r="C137" s="2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</row>
    <row r="138">
      <c r="B138" s="18"/>
      <c r="C138" s="2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>
      <c r="B139" s="18"/>
      <c r="C139" s="2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</row>
    <row r="140">
      <c r="B140" s="18"/>
      <c r="C140" s="2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>
      <c r="B141" s="18"/>
      <c r="C141" s="2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</row>
    <row r="142">
      <c r="B142" s="18"/>
      <c r="C142" s="2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>
      <c r="B143" s="18"/>
      <c r="C143" s="2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</row>
    <row r="144">
      <c r="B144" s="18"/>
      <c r="C144" s="2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>
      <c r="B145" s="18"/>
      <c r="C145" s="2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  <row r="146">
      <c r="B146" s="18"/>
      <c r="C146" s="2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>
      <c r="B147" s="18"/>
      <c r="C147" s="2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</row>
    <row r="148">
      <c r="B148" s="18"/>
      <c r="C148" s="2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>
      <c r="B149" s="18"/>
      <c r="C149" s="2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</row>
    <row r="150">
      <c r="B150" s="18"/>
      <c r="C150" s="2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>
      <c r="B151" s="18"/>
      <c r="C151" s="2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>
      <c r="B152" s="18"/>
      <c r="C152" s="2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>
      <c r="B153" s="18"/>
      <c r="C153" s="2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4">
      <c r="B154" s="18"/>
      <c r="C154" s="2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>
      <c r="B155" s="18"/>
      <c r="C155" s="2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</row>
    <row r="156">
      <c r="B156" s="18"/>
      <c r="C156" s="2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>
      <c r="B157" s="18"/>
      <c r="C157" s="2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</row>
    <row r="158">
      <c r="B158" s="18"/>
      <c r="C158" s="2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>
      <c r="B159" s="18"/>
      <c r="C159" s="2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</row>
    <row r="160">
      <c r="B160" s="18"/>
      <c r="C160" s="2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>
      <c r="B161" s="18"/>
      <c r="C161" s="2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</row>
    <row r="162">
      <c r="B162" s="18"/>
      <c r="C162" s="2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>
      <c r="B163" s="18"/>
      <c r="C163" s="2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</row>
    <row r="164">
      <c r="B164" s="18"/>
      <c r="C164" s="2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>
      <c r="B165" s="18"/>
      <c r="C165" s="2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</row>
    <row r="166">
      <c r="B166" s="18"/>
      <c r="C166" s="2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>
      <c r="B167" s="18"/>
      <c r="C167" s="2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</row>
    <row r="168">
      <c r="B168" s="18"/>
      <c r="C168" s="2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>
      <c r="B169" s="18"/>
      <c r="C169" s="2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</row>
    <row r="170">
      <c r="B170" s="18"/>
      <c r="C170" s="2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>
      <c r="B171" s="18"/>
      <c r="C171" s="2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</row>
    <row r="172">
      <c r="B172" s="18"/>
      <c r="C172" s="2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>
      <c r="B173" s="18"/>
      <c r="C173" s="2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>
      <c r="B174" s="18"/>
      <c r="C174" s="2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>
      <c r="B175" s="18"/>
      <c r="C175" s="2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</row>
    <row r="176">
      <c r="B176" s="18"/>
      <c r="C176" s="2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>
      <c r="B177" s="18"/>
      <c r="C177" s="2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</row>
    <row r="178">
      <c r="B178" s="18"/>
      <c r="C178" s="2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>
      <c r="B179" s="18"/>
      <c r="C179" s="2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</row>
    <row r="180">
      <c r="B180" s="18"/>
      <c r="C180" s="2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>
      <c r="B181" s="18"/>
      <c r="C181" s="2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</row>
    <row r="182">
      <c r="B182" s="18"/>
      <c r="C182" s="2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>
      <c r="B183" s="18"/>
      <c r="C183" s="2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</row>
    <row r="184">
      <c r="B184" s="18"/>
      <c r="C184" s="2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>
      <c r="B185" s="18"/>
      <c r="C185" s="2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</row>
    <row r="186">
      <c r="B186" s="18"/>
      <c r="C186" s="2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>
      <c r="B187" s="18"/>
      <c r="C187" s="2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</row>
    <row r="188">
      <c r="B188" s="18"/>
      <c r="C188" s="2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>
      <c r="B189" s="18"/>
      <c r="C189" s="2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</row>
    <row r="190">
      <c r="B190" s="18"/>
      <c r="C190" s="2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>
      <c r="B191" s="18"/>
      <c r="C191" s="2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</row>
    <row r="192">
      <c r="B192" s="18"/>
      <c r="C192" s="2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>
      <c r="B193" s="18"/>
      <c r="C193" s="2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</row>
    <row r="194">
      <c r="B194" s="18"/>
      <c r="C194" s="2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>
      <c r="B195" s="18"/>
      <c r="C195" s="2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</row>
    <row r="196">
      <c r="B196" s="18"/>
      <c r="C196" s="2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>
      <c r="B197" s="18"/>
      <c r="C197" s="2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8">
      <c r="B198" s="18"/>
      <c r="C198" s="2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>
      <c r="B199" s="18"/>
      <c r="C199" s="2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0">
      <c r="B200" s="18"/>
      <c r="C200" s="2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>
      <c r="B201" s="18"/>
      <c r="C201" s="2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</row>
    <row r="202">
      <c r="B202" s="18"/>
      <c r="C202" s="2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>
      <c r="B203" s="18"/>
      <c r="C203" s="2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</row>
    <row r="204">
      <c r="B204" s="18"/>
      <c r="C204" s="2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>
      <c r="B205" s="18"/>
      <c r="C205" s="2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6">
      <c r="B206" s="18"/>
      <c r="C206" s="2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>
      <c r="B207" s="18"/>
      <c r="C207" s="2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</row>
    <row r="208">
      <c r="B208" s="18"/>
      <c r="C208" s="2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>
      <c r="B209" s="18"/>
      <c r="C209" s="2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</row>
    <row r="210">
      <c r="B210" s="18"/>
      <c r="C210" s="2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>
      <c r="B211" s="18"/>
      <c r="C211" s="2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>
      <c r="B212" s="18"/>
      <c r="C212" s="2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>
      <c r="B213" s="18"/>
      <c r="C213" s="2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</row>
    <row r="214">
      <c r="B214" s="18"/>
      <c r="C214" s="2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>
      <c r="B215" s="18"/>
      <c r="C215" s="2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</row>
    <row r="216">
      <c r="B216" s="18"/>
      <c r="C216" s="2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>
      <c r="B217" s="18"/>
      <c r="C217" s="2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</row>
    <row r="218">
      <c r="B218" s="18"/>
      <c r="C218" s="2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>
      <c r="B219" s="18"/>
      <c r="C219" s="2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</row>
    <row r="220">
      <c r="B220" s="18"/>
      <c r="C220" s="2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>
      <c r="B221" s="18"/>
      <c r="C221" s="2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</row>
    <row r="222">
      <c r="B222" s="18"/>
      <c r="C222" s="2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>
      <c r="B223" s="18"/>
      <c r="C223" s="2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</row>
    <row r="224">
      <c r="B224" s="18"/>
      <c r="C224" s="2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>
      <c r="B225" s="18"/>
      <c r="C225" s="2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</row>
    <row r="226">
      <c r="B226" s="18"/>
      <c r="C226" s="2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</row>
    <row r="227">
      <c r="B227" s="18"/>
      <c r="C227" s="2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</row>
    <row r="228">
      <c r="B228" s="18"/>
      <c r="C228" s="2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</row>
    <row r="229">
      <c r="B229" s="18"/>
      <c r="C229" s="2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</row>
    <row r="230">
      <c r="B230" s="18"/>
      <c r="C230" s="2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1">
      <c r="B231" s="18"/>
      <c r="C231" s="2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</row>
    <row r="232">
      <c r="B232" s="18"/>
      <c r="C232" s="2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</row>
    <row r="233">
      <c r="B233" s="18"/>
      <c r="C233" s="2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</row>
    <row r="234">
      <c r="B234" s="18"/>
      <c r="C234" s="2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</row>
    <row r="235">
      <c r="B235" s="18"/>
      <c r="C235" s="2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</row>
    <row r="236">
      <c r="B236" s="18"/>
      <c r="C236" s="2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</row>
    <row r="237">
      <c r="B237" s="18"/>
      <c r="C237" s="2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</row>
    <row r="238">
      <c r="B238" s="18"/>
      <c r="C238" s="2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</row>
    <row r="239">
      <c r="B239" s="18"/>
      <c r="C239" s="2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</row>
    <row r="240">
      <c r="B240" s="18"/>
      <c r="C240" s="2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</row>
    <row r="241">
      <c r="B241" s="18"/>
      <c r="C241" s="2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</row>
    <row r="242">
      <c r="B242" s="18"/>
      <c r="C242" s="2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</row>
    <row r="243">
      <c r="B243" s="18"/>
      <c r="C243" s="2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</row>
    <row r="244">
      <c r="B244" s="18"/>
      <c r="C244" s="2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</row>
    <row r="245">
      <c r="B245" s="18"/>
      <c r="C245" s="2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</row>
    <row r="246">
      <c r="B246" s="18"/>
      <c r="C246" s="2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</row>
    <row r="247">
      <c r="B247" s="18"/>
      <c r="C247" s="2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</row>
    <row r="248">
      <c r="B248" s="18"/>
      <c r="C248" s="2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</row>
    <row r="249">
      <c r="B249" s="18"/>
      <c r="C249" s="2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</row>
    <row r="250">
      <c r="B250" s="18"/>
      <c r="C250" s="2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</row>
    <row r="251">
      <c r="B251" s="18"/>
      <c r="C251" s="2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</row>
    <row r="252">
      <c r="B252" s="18"/>
      <c r="C252" s="2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</row>
    <row r="253">
      <c r="B253" s="18"/>
      <c r="C253" s="2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</row>
    <row r="254">
      <c r="B254" s="18"/>
      <c r="C254" s="2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</row>
    <row r="255">
      <c r="B255" s="18"/>
      <c r="C255" s="2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</row>
    <row r="256">
      <c r="B256" s="18"/>
      <c r="C256" s="2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</row>
    <row r="257">
      <c r="B257" s="18"/>
      <c r="C257" s="2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</row>
    <row r="258">
      <c r="B258" s="18"/>
      <c r="C258" s="23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</row>
    <row r="259">
      <c r="B259" s="18"/>
      <c r="C259" s="23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</row>
    <row r="260">
      <c r="B260" s="18"/>
      <c r="C260" s="23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</row>
    <row r="261">
      <c r="B261" s="18"/>
      <c r="C261" s="23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</row>
    <row r="262">
      <c r="B262" s="18"/>
      <c r="C262" s="23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</row>
    <row r="263">
      <c r="B263" s="18"/>
      <c r="C263" s="23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</row>
    <row r="264">
      <c r="B264" s="18"/>
      <c r="C264" s="23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</row>
    <row r="265">
      <c r="B265" s="18"/>
      <c r="C265" s="23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</row>
    <row r="266">
      <c r="B266" s="18"/>
      <c r="C266" s="23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</row>
    <row r="267">
      <c r="B267" s="18"/>
      <c r="C267" s="23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</row>
    <row r="268">
      <c r="B268" s="18"/>
      <c r="C268" s="23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</row>
    <row r="269">
      <c r="B269" s="18"/>
      <c r="C269" s="23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</row>
    <row r="270">
      <c r="B270" s="18"/>
      <c r="C270" s="23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</row>
    <row r="271">
      <c r="B271" s="18"/>
      <c r="C271" s="23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</row>
    <row r="272">
      <c r="B272" s="18"/>
      <c r="C272" s="23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</row>
    <row r="273">
      <c r="B273" s="18"/>
      <c r="C273" s="23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</row>
    <row r="274">
      <c r="B274" s="18"/>
      <c r="C274" s="23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</row>
    <row r="275">
      <c r="B275" s="18"/>
      <c r="C275" s="23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</row>
    <row r="276">
      <c r="B276" s="18"/>
      <c r="C276" s="23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</row>
    <row r="277">
      <c r="B277" s="18"/>
      <c r="C277" s="23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</row>
    <row r="278">
      <c r="B278" s="18"/>
      <c r="C278" s="23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</row>
    <row r="279">
      <c r="B279" s="18"/>
      <c r="C279" s="23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</row>
    <row r="280">
      <c r="B280" s="18"/>
      <c r="C280" s="23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</row>
    <row r="281">
      <c r="B281" s="18"/>
      <c r="C281" s="23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</row>
    <row r="282">
      <c r="B282" s="18"/>
      <c r="C282" s="23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</row>
    <row r="283">
      <c r="B283" s="18"/>
      <c r="C283" s="23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</row>
    <row r="284">
      <c r="B284" s="18"/>
      <c r="C284" s="23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</row>
    <row r="285">
      <c r="B285" s="18"/>
      <c r="C285" s="23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</row>
    <row r="286">
      <c r="B286" s="18"/>
      <c r="C286" s="23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</row>
    <row r="287">
      <c r="B287" s="18"/>
      <c r="C287" s="23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</row>
    <row r="288">
      <c r="B288" s="18"/>
      <c r="C288" s="23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</row>
    <row r="289">
      <c r="B289" s="18"/>
      <c r="C289" s="23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</row>
    <row r="290">
      <c r="B290" s="18"/>
      <c r="C290" s="23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</row>
    <row r="291">
      <c r="B291" s="18"/>
      <c r="C291" s="23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</row>
    <row r="292">
      <c r="B292" s="18"/>
      <c r="C292" s="23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</row>
    <row r="293">
      <c r="B293" s="18"/>
      <c r="C293" s="23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</row>
    <row r="294">
      <c r="B294" s="18"/>
      <c r="C294" s="23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</row>
    <row r="295">
      <c r="B295" s="18"/>
      <c r="C295" s="23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</row>
    <row r="296">
      <c r="B296" s="18"/>
      <c r="C296" s="23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</row>
    <row r="297">
      <c r="B297" s="18"/>
      <c r="C297" s="23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</row>
    <row r="298">
      <c r="B298" s="18"/>
      <c r="C298" s="23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</row>
    <row r="299">
      <c r="B299" s="18"/>
      <c r="C299" s="23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</row>
    <row r="300">
      <c r="B300" s="18"/>
      <c r="C300" s="23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</row>
    <row r="301">
      <c r="B301" s="18"/>
      <c r="C301" s="23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</row>
    <row r="302">
      <c r="B302" s="18"/>
      <c r="C302" s="23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</row>
    <row r="303">
      <c r="B303" s="18"/>
      <c r="C303" s="23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</row>
    <row r="304">
      <c r="B304" s="18"/>
      <c r="C304" s="23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</row>
    <row r="305">
      <c r="B305" s="18"/>
      <c r="C305" s="23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</row>
    <row r="306">
      <c r="B306" s="18"/>
      <c r="C306" s="23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</row>
    <row r="307">
      <c r="B307" s="18"/>
      <c r="C307" s="23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</row>
    <row r="308">
      <c r="B308" s="18"/>
      <c r="C308" s="23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</row>
    <row r="309">
      <c r="B309" s="18"/>
      <c r="C309" s="23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</row>
    <row r="310">
      <c r="B310" s="18"/>
      <c r="C310" s="23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</row>
    <row r="311">
      <c r="B311" s="18"/>
      <c r="C311" s="23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</row>
    <row r="312">
      <c r="B312" s="18"/>
      <c r="C312" s="23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</row>
    <row r="313">
      <c r="B313" s="18"/>
      <c r="C313" s="23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</row>
    <row r="314">
      <c r="B314" s="18"/>
      <c r="C314" s="23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</row>
    <row r="315">
      <c r="B315" s="18"/>
      <c r="C315" s="23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</row>
    <row r="316">
      <c r="B316" s="18"/>
      <c r="C316" s="23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</row>
    <row r="317">
      <c r="B317" s="18"/>
      <c r="C317" s="23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</row>
    <row r="318">
      <c r="B318" s="18"/>
      <c r="C318" s="23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</row>
    <row r="319">
      <c r="B319" s="18"/>
      <c r="C319" s="23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</row>
    <row r="320">
      <c r="B320" s="18"/>
      <c r="C320" s="23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</row>
    <row r="321">
      <c r="B321" s="18"/>
      <c r="C321" s="23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</row>
    <row r="322">
      <c r="B322" s="18"/>
      <c r="C322" s="23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</row>
    <row r="323">
      <c r="B323" s="18"/>
      <c r="C323" s="23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</row>
    <row r="324">
      <c r="B324" s="18"/>
      <c r="C324" s="23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</row>
    <row r="325">
      <c r="B325" s="18"/>
      <c r="C325" s="23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</row>
    <row r="326">
      <c r="B326" s="18"/>
      <c r="C326" s="23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</row>
    <row r="327">
      <c r="B327" s="18"/>
      <c r="C327" s="23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</row>
    <row r="328">
      <c r="B328" s="18"/>
      <c r="C328" s="23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</row>
    <row r="329">
      <c r="B329" s="18"/>
      <c r="C329" s="23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</row>
    <row r="330">
      <c r="B330" s="18"/>
      <c r="C330" s="23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</row>
    <row r="331">
      <c r="B331" s="18"/>
      <c r="C331" s="23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</row>
    <row r="332">
      <c r="B332" s="18"/>
      <c r="C332" s="23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</row>
    <row r="333">
      <c r="B333" s="18"/>
      <c r="C333" s="23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</row>
    <row r="334">
      <c r="B334" s="18"/>
      <c r="C334" s="23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</row>
    <row r="335">
      <c r="B335" s="18"/>
      <c r="C335" s="23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</row>
    <row r="336">
      <c r="B336" s="18"/>
      <c r="C336" s="23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</row>
    <row r="337">
      <c r="B337" s="18"/>
      <c r="C337" s="23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</row>
    <row r="338">
      <c r="B338" s="18"/>
      <c r="C338" s="23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</row>
    <row r="339">
      <c r="B339" s="18"/>
      <c r="C339" s="23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</row>
    <row r="340">
      <c r="B340" s="18"/>
      <c r="C340" s="23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</row>
    <row r="341">
      <c r="B341" s="18"/>
      <c r="C341" s="23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</row>
    <row r="342">
      <c r="B342" s="18"/>
      <c r="C342" s="23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</row>
    <row r="343">
      <c r="B343" s="18"/>
      <c r="C343" s="23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</row>
    <row r="344">
      <c r="B344" s="18"/>
      <c r="C344" s="23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</row>
    <row r="345">
      <c r="B345" s="18"/>
      <c r="C345" s="23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</row>
    <row r="346">
      <c r="B346" s="18"/>
      <c r="C346" s="23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</row>
    <row r="347">
      <c r="B347" s="18"/>
      <c r="C347" s="23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</row>
    <row r="348">
      <c r="B348" s="18"/>
      <c r="C348" s="23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</row>
    <row r="349">
      <c r="B349" s="18"/>
      <c r="C349" s="23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</row>
    <row r="350">
      <c r="B350" s="18"/>
      <c r="C350" s="23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</row>
    <row r="351">
      <c r="B351" s="18"/>
      <c r="C351" s="23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</row>
    <row r="352">
      <c r="B352" s="18"/>
      <c r="C352" s="23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</row>
    <row r="353">
      <c r="B353" s="18"/>
      <c r="C353" s="23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</row>
    <row r="354">
      <c r="B354" s="18"/>
      <c r="C354" s="23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</row>
    <row r="355">
      <c r="B355" s="18"/>
      <c r="C355" s="23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</row>
    <row r="356">
      <c r="B356" s="18"/>
      <c r="C356" s="23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</row>
    <row r="357">
      <c r="B357" s="18"/>
      <c r="C357" s="23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</row>
    <row r="358">
      <c r="B358" s="18"/>
      <c r="C358" s="23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</row>
    <row r="359">
      <c r="B359" s="18"/>
      <c r="C359" s="23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</row>
    <row r="360">
      <c r="B360" s="18"/>
      <c r="C360" s="23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</row>
    <row r="361">
      <c r="B361" s="18"/>
      <c r="C361" s="23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</row>
    <row r="362">
      <c r="B362" s="18"/>
      <c r="C362" s="23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</row>
    <row r="363">
      <c r="B363" s="18"/>
      <c r="C363" s="23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</row>
    <row r="364">
      <c r="B364" s="18"/>
      <c r="C364" s="23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</row>
    <row r="365">
      <c r="B365" s="18"/>
      <c r="C365" s="23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</row>
    <row r="366">
      <c r="B366" s="18"/>
      <c r="C366" s="23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</row>
    <row r="367">
      <c r="B367" s="18"/>
      <c r="C367" s="23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</row>
    <row r="368">
      <c r="B368" s="18"/>
      <c r="C368" s="23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</row>
    <row r="369">
      <c r="B369" s="18"/>
      <c r="C369" s="23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</row>
    <row r="370">
      <c r="B370" s="18"/>
      <c r="C370" s="23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</row>
    <row r="371">
      <c r="B371" s="18"/>
      <c r="C371" s="23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</row>
    <row r="372">
      <c r="B372" s="18"/>
      <c r="C372" s="23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</row>
    <row r="373">
      <c r="B373" s="18"/>
      <c r="C373" s="23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</row>
    <row r="374">
      <c r="B374" s="18"/>
      <c r="C374" s="23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</row>
    <row r="375">
      <c r="B375" s="18"/>
      <c r="C375" s="23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</row>
    <row r="376">
      <c r="B376" s="18"/>
      <c r="C376" s="23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</row>
    <row r="377">
      <c r="B377" s="18"/>
      <c r="C377" s="23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</row>
    <row r="378">
      <c r="B378" s="18"/>
      <c r="C378" s="23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</row>
    <row r="379">
      <c r="B379" s="18"/>
      <c r="C379" s="23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</row>
    <row r="380">
      <c r="B380" s="18"/>
      <c r="C380" s="23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</row>
    <row r="381">
      <c r="B381" s="18"/>
      <c r="C381" s="23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</row>
    <row r="382">
      <c r="B382" s="18"/>
      <c r="C382" s="23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</row>
    <row r="383">
      <c r="B383" s="18"/>
      <c r="C383" s="23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</row>
    <row r="384">
      <c r="B384" s="18"/>
      <c r="C384" s="23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</row>
    <row r="385">
      <c r="B385" s="18"/>
      <c r="C385" s="23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</row>
    <row r="386">
      <c r="B386" s="18"/>
      <c r="C386" s="23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</row>
    <row r="387">
      <c r="B387" s="18"/>
      <c r="C387" s="23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</row>
    <row r="388">
      <c r="B388" s="18"/>
      <c r="C388" s="23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</row>
    <row r="389">
      <c r="B389" s="18"/>
      <c r="C389" s="23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</row>
    <row r="390">
      <c r="B390" s="18"/>
      <c r="C390" s="23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</row>
    <row r="391">
      <c r="B391" s="18"/>
      <c r="C391" s="23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</row>
    <row r="392">
      <c r="B392" s="18"/>
      <c r="C392" s="23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</row>
    <row r="393">
      <c r="B393" s="18"/>
      <c r="C393" s="23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</row>
    <row r="394">
      <c r="B394" s="18"/>
      <c r="C394" s="23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</row>
    <row r="395">
      <c r="B395" s="18"/>
      <c r="C395" s="23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</row>
    <row r="396">
      <c r="B396" s="18"/>
      <c r="C396" s="23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</row>
    <row r="397">
      <c r="B397" s="18"/>
      <c r="C397" s="23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</row>
    <row r="398">
      <c r="B398" s="18"/>
      <c r="C398" s="23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</row>
    <row r="399">
      <c r="B399" s="18"/>
      <c r="C399" s="23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</row>
    <row r="400">
      <c r="B400" s="18"/>
      <c r="C400" s="23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</row>
    <row r="401">
      <c r="B401" s="18"/>
      <c r="C401" s="23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</row>
    <row r="402">
      <c r="B402" s="18"/>
      <c r="C402" s="23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</row>
    <row r="403">
      <c r="B403" s="18"/>
      <c r="C403" s="23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</row>
    <row r="404">
      <c r="B404" s="18"/>
      <c r="C404" s="23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</row>
    <row r="405">
      <c r="B405" s="18"/>
      <c r="C405" s="23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</row>
    <row r="406">
      <c r="B406" s="18"/>
      <c r="C406" s="23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</row>
    <row r="407">
      <c r="B407" s="18"/>
      <c r="C407" s="23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</row>
    <row r="408">
      <c r="B408" s="18"/>
      <c r="C408" s="23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</row>
    <row r="409">
      <c r="B409" s="18"/>
      <c r="C409" s="23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</row>
    <row r="410">
      <c r="B410" s="18"/>
      <c r="C410" s="23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</row>
    <row r="411">
      <c r="B411" s="18"/>
      <c r="C411" s="23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</row>
    <row r="412">
      <c r="B412" s="18"/>
      <c r="C412" s="23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</row>
    <row r="413">
      <c r="B413" s="18"/>
      <c r="C413" s="23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</row>
    <row r="414">
      <c r="B414" s="18"/>
      <c r="C414" s="23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</row>
    <row r="415">
      <c r="B415" s="18"/>
      <c r="C415" s="23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</row>
    <row r="416">
      <c r="B416" s="18"/>
      <c r="C416" s="23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</row>
    <row r="417">
      <c r="B417" s="18"/>
      <c r="C417" s="23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</row>
    <row r="418">
      <c r="B418" s="18"/>
      <c r="C418" s="23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</row>
    <row r="419">
      <c r="B419" s="18"/>
      <c r="C419" s="23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</row>
    <row r="420">
      <c r="B420" s="18"/>
      <c r="C420" s="23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</row>
    <row r="421">
      <c r="B421" s="18"/>
      <c r="C421" s="23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</row>
    <row r="422">
      <c r="B422" s="18"/>
      <c r="C422" s="23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</row>
    <row r="423">
      <c r="B423" s="18"/>
      <c r="C423" s="23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</row>
    <row r="424">
      <c r="B424" s="18"/>
      <c r="C424" s="23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</row>
    <row r="425">
      <c r="B425" s="18"/>
      <c r="C425" s="23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</row>
    <row r="426">
      <c r="B426" s="18"/>
      <c r="C426" s="23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</row>
    <row r="427">
      <c r="B427" s="18"/>
      <c r="C427" s="23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</row>
    <row r="428">
      <c r="B428" s="18"/>
      <c r="C428" s="23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</row>
    <row r="429">
      <c r="B429" s="18"/>
      <c r="C429" s="23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</row>
    <row r="430">
      <c r="B430" s="18"/>
      <c r="C430" s="23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</row>
    <row r="431">
      <c r="B431" s="18"/>
      <c r="C431" s="23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</row>
    <row r="432">
      <c r="B432" s="18"/>
      <c r="C432" s="23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</row>
    <row r="433">
      <c r="B433" s="18"/>
      <c r="C433" s="23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</row>
    <row r="434">
      <c r="B434" s="18"/>
      <c r="C434" s="23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</row>
    <row r="435">
      <c r="B435" s="18"/>
      <c r="C435" s="23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</row>
    <row r="436">
      <c r="B436" s="18"/>
      <c r="C436" s="23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</row>
    <row r="437">
      <c r="B437" s="18"/>
      <c r="C437" s="23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</row>
    <row r="438">
      <c r="B438" s="18"/>
      <c r="C438" s="23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</row>
    <row r="439">
      <c r="B439" s="18"/>
      <c r="C439" s="23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</row>
    <row r="440">
      <c r="B440" s="18"/>
      <c r="C440" s="23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</row>
    <row r="441">
      <c r="B441" s="18"/>
      <c r="C441" s="23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</row>
    <row r="442">
      <c r="B442" s="18"/>
      <c r="C442" s="23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</row>
    <row r="443">
      <c r="B443" s="18"/>
      <c r="C443" s="23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</row>
    <row r="444">
      <c r="B444" s="18"/>
      <c r="C444" s="23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</row>
    <row r="445">
      <c r="B445" s="18"/>
      <c r="C445" s="23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</row>
    <row r="446">
      <c r="B446" s="18"/>
      <c r="C446" s="23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</row>
    <row r="447">
      <c r="B447" s="18"/>
      <c r="C447" s="23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</row>
    <row r="448">
      <c r="B448" s="18"/>
      <c r="C448" s="23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</row>
    <row r="449">
      <c r="B449" s="18"/>
      <c r="C449" s="23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</row>
    <row r="450">
      <c r="B450" s="18"/>
      <c r="C450" s="23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</row>
    <row r="451">
      <c r="B451" s="18"/>
      <c r="C451" s="23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</row>
    <row r="452">
      <c r="B452" s="18"/>
      <c r="C452" s="23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</row>
    <row r="453">
      <c r="B453" s="18"/>
      <c r="C453" s="23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</row>
    <row r="454">
      <c r="B454" s="18"/>
      <c r="C454" s="23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</row>
    <row r="455">
      <c r="B455" s="18"/>
      <c r="C455" s="23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</row>
    <row r="456">
      <c r="B456" s="18"/>
      <c r="C456" s="23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</row>
    <row r="457">
      <c r="B457" s="18"/>
      <c r="C457" s="23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</row>
    <row r="458">
      <c r="B458" s="18"/>
      <c r="C458" s="23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</row>
    <row r="459">
      <c r="B459" s="18"/>
      <c r="C459" s="23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</row>
    <row r="460">
      <c r="B460" s="18"/>
      <c r="C460" s="23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</row>
    <row r="461">
      <c r="B461" s="18"/>
      <c r="C461" s="23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</row>
    <row r="462">
      <c r="B462" s="18"/>
      <c r="C462" s="23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</row>
    <row r="463">
      <c r="B463" s="18"/>
      <c r="C463" s="23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</row>
    <row r="464">
      <c r="B464" s="18"/>
      <c r="C464" s="23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</row>
    <row r="465">
      <c r="B465" s="18"/>
      <c r="C465" s="23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</row>
    <row r="466">
      <c r="B466" s="18"/>
      <c r="C466" s="23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</row>
    <row r="467">
      <c r="B467" s="18"/>
      <c r="C467" s="23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</row>
    <row r="468">
      <c r="B468" s="18"/>
      <c r="C468" s="23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</row>
    <row r="469">
      <c r="B469" s="18"/>
      <c r="C469" s="23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</row>
    <row r="470">
      <c r="B470" s="18"/>
      <c r="C470" s="23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</row>
    <row r="471">
      <c r="B471" s="18"/>
      <c r="C471" s="23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</row>
    <row r="472">
      <c r="B472" s="18"/>
      <c r="C472" s="23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</row>
    <row r="473">
      <c r="B473" s="18"/>
      <c r="C473" s="23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</row>
    <row r="474">
      <c r="B474" s="18"/>
      <c r="C474" s="23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</row>
    <row r="475">
      <c r="B475" s="18"/>
      <c r="C475" s="23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</row>
    <row r="476">
      <c r="B476" s="18"/>
      <c r="C476" s="23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</row>
    <row r="477">
      <c r="B477" s="18"/>
      <c r="C477" s="23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</row>
    <row r="478">
      <c r="B478" s="18"/>
      <c r="C478" s="23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</row>
    <row r="479">
      <c r="B479" s="18"/>
      <c r="C479" s="23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</row>
    <row r="480">
      <c r="B480" s="18"/>
      <c r="C480" s="23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</row>
    <row r="481">
      <c r="B481" s="18"/>
      <c r="C481" s="23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</row>
    <row r="482">
      <c r="B482" s="18"/>
      <c r="C482" s="23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</row>
    <row r="483">
      <c r="B483" s="18"/>
      <c r="C483" s="23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</row>
    <row r="484">
      <c r="B484" s="18"/>
      <c r="C484" s="23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</row>
    <row r="485">
      <c r="B485" s="18"/>
      <c r="C485" s="23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</row>
    <row r="486">
      <c r="B486" s="18"/>
      <c r="C486" s="23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</row>
    <row r="487">
      <c r="B487" s="18"/>
      <c r="C487" s="23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</row>
    <row r="488">
      <c r="B488" s="18"/>
      <c r="C488" s="23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</row>
    <row r="489">
      <c r="B489" s="18"/>
      <c r="C489" s="23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</row>
    <row r="490">
      <c r="B490" s="18"/>
      <c r="C490" s="23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</row>
    <row r="491">
      <c r="B491" s="18"/>
      <c r="C491" s="23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</row>
    <row r="492">
      <c r="B492" s="18"/>
      <c r="C492" s="23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</row>
    <row r="493">
      <c r="B493" s="18"/>
      <c r="C493" s="23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</row>
    <row r="494">
      <c r="B494" s="18"/>
      <c r="C494" s="23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</row>
    <row r="495">
      <c r="B495" s="18"/>
      <c r="C495" s="23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</row>
    <row r="496">
      <c r="B496" s="18"/>
      <c r="C496" s="23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</row>
    <row r="497">
      <c r="B497" s="18"/>
      <c r="C497" s="23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</row>
    <row r="498">
      <c r="B498" s="18"/>
      <c r="C498" s="23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</row>
    <row r="499">
      <c r="B499" s="18"/>
      <c r="C499" s="23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</row>
    <row r="500">
      <c r="B500" s="18"/>
      <c r="C500" s="23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</row>
    <row r="501">
      <c r="B501" s="18"/>
      <c r="C501" s="23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</row>
    <row r="502">
      <c r="B502" s="18"/>
      <c r="C502" s="23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</row>
    <row r="503">
      <c r="B503" s="18"/>
      <c r="C503" s="23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</row>
    <row r="504">
      <c r="B504" s="18"/>
      <c r="C504" s="23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</row>
    <row r="505">
      <c r="B505" s="18"/>
      <c r="C505" s="23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</row>
    <row r="506">
      <c r="B506" s="18"/>
      <c r="C506" s="23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</row>
    <row r="507">
      <c r="B507" s="18"/>
      <c r="C507" s="23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</row>
    <row r="508">
      <c r="B508" s="18"/>
      <c r="C508" s="23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</row>
    <row r="509">
      <c r="B509" s="18"/>
      <c r="C509" s="23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</row>
    <row r="510">
      <c r="B510" s="18"/>
      <c r="C510" s="23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</row>
    <row r="511">
      <c r="B511" s="18"/>
      <c r="C511" s="23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</row>
    <row r="512">
      <c r="B512" s="18"/>
      <c r="C512" s="23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</row>
    <row r="513">
      <c r="B513" s="18"/>
      <c r="C513" s="23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</row>
    <row r="514">
      <c r="B514" s="18"/>
      <c r="C514" s="23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</row>
    <row r="515">
      <c r="B515" s="18"/>
      <c r="C515" s="23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</row>
    <row r="516">
      <c r="B516" s="18"/>
      <c r="C516" s="23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</row>
    <row r="517">
      <c r="B517" s="18"/>
      <c r="C517" s="23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</row>
    <row r="518">
      <c r="B518" s="18"/>
      <c r="C518" s="23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</row>
    <row r="519">
      <c r="B519" s="18"/>
      <c r="C519" s="23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</row>
    <row r="520">
      <c r="B520" s="18"/>
      <c r="C520" s="23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</row>
    <row r="521">
      <c r="B521" s="18"/>
      <c r="C521" s="23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</row>
    <row r="522">
      <c r="B522" s="18"/>
      <c r="C522" s="23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</row>
    <row r="523">
      <c r="B523" s="18"/>
      <c r="C523" s="23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</row>
    <row r="524">
      <c r="B524" s="18"/>
      <c r="C524" s="23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</row>
    <row r="525">
      <c r="B525" s="18"/>
      <c r="C525" s="23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</row>
    <row r="526">
      <c r="B526" s="18"/>
      <c r="C526" s="23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</row>
    <row r="527">
      <c r="B527" s="18"/>
      <c r="C527" s="23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</row>
    <row r="528">
      <c r="B528" s="18"/>
      <c r="C528" s="23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</row>
    <row r="529">
      <c r="B529" s="18"/>
      <c r="C529" s="23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</row>
    <row r="530">
      <c r="B530" s="18"/>
      <c r="C530" s="23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</row>
    <row r="531">
      <c r="B531" s="18"/>
      <c r="C531" s="23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</row>
    <row r="532">
      <c r="B532" s="18"/>
      <c r="C532" s="23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</row>
    <row r="533">
      <c r="B533" s="18"/>
      <c r="C533" s="23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</row>
    <row r="534">
      <c r="B534" s="18"/>
      <c r="C534" s="23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</row>
    <row r="535">
      <c r="B535" s="18"/>
      <c r="C535" s="23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</row>
    <row r="536">
      <c r="B536" s="18"/>
      <c r="C536" s="23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</row>
    <row r="537">
      <c r="B537" s="18"/>
      <c r="C537" s="23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</row>
    <row r="538">
      <c r="B538" s="18"/>
      <c r="C538" s="23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</row>
    <row r="539">
      <c r="B539" s="18"/>
      <c r="C539" s="23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</row>
    <row r="540">
      <c r="B540" s="18"/>
      <c r="C540" s="23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</row>
    <row r="541">
      <c r="B541" s="18"/>
      <c r="C541" s="23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</row>
    <row r="542">
      <c r="B542" s="18"/>
      <c r="C542" s="23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</row>
    <row r="543">
      <c r="B543" s="18"/>
      <c r="C543" s="23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</row>
    <row r="544">
      <c r="B544" s="18"/>
      <c r="C544" s="23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</row>
    <row r="545">
      <c r="B545" s="18"/>
      <c r="C545" s="23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</row>
    <row r="546">
      <c r="B546" s="18"/>
      <c r="C546" s="23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</row>
    <row r="547">
      <c r="B547" s="18"/>
      <c r="C547" s="23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</row>
    <row r="548">
      <c r="B548" s="18"/>
      <c r="C548" s="23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</row>
    <row r="549">
      <c r="B549" s="18"/>
      <c r="C549" s="23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</row>
    <row r="550">
      <c r="B550" s="18"/>
      <c r="C550" s="23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</row>
    <row r="551">
      <c r="B551" s="18"/>
      <c r="C551" s="23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</row>
    <row r="552">
      <c r="B552" s="18"/>
      <c r="C552" s="23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</row>
    <row r="553">
      <c r="B553" s="18"/>
      <c r="C553" s="23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</row>
    <row r="554">
      <c r="B554" s="18"/>
      <c r="C554" s="23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</row>
    <row r="555">
      <c r="B555" s="18"/>
      <c r="C555" s="23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</row>
    <row r="556">
      <c r="B556" s="18"/>
      <c r="C556" s="23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</row>
    <row r="557">
      <c r="B557" s="18"/>
      <c r="C557" s="23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</row>
    <row r="558">
      <c r="B558" s="18"/>
      <c r="C558" s="23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</row>
    <row r="559">
      <c r="B559" s="18"/>
      <c r="C559" s="23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</row>
    <row r="560">
      <c r="B560" s="18"/>
      <c r="C560" s="23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</row>
    <row r="561">
      <c r="B561" s="18"/>
      <c r="C561" s="23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</row>
    <row r="562">
      <c r="B562" s="18"/>
      <c r="C562" s="23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</row>
    <row r="563">
      <c r="B563" s="18"/>
      <c r="C563" s="23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</row>
    <row r="564">
      <c r="B564" s="18"/>
      <c r="C564" s="23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</row>
    <row r="565">
      <c r="B565" s="18"/>
      <c r="C565" s="23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</row>
    <row r="566">
      <c r="B566" s="18"/>
      <c r="C566" s="23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</row>
    <row r="567">
      <c r="B567" s="18"/>
      <c r="C567" s="23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</row>
    <row r="568">
      <c r="B568" s="18"/>
      <c r="C568" s="23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</row>
    <row r="569">
      <c r="B569" s="18"/>
      <c r="C569" s="23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</row>
    <row r="570">
      <c r="B570" s="18"/>
      <c r="C570" s="23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</row>
    <row r="571">
      <c r="B571" s="18"/>
      <c r="C571" s="23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</row>
    <row r="572">
      <c r="B572" s="18"/>
      <c r="C572" s="23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</row>
    <row r="573">
      <c r="B573" s="18"/>
      <c r="C573" s="23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</row>
    <row r="574">
      <c r="B574" s="18"/>
      <c r="C574" s="23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</row>
    <row r="575">
      <c r="B575" s="18"/>
      <c r="C575" s="23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</row>
    <row r="576">
      <c r="B576" s="18"/>
      <c r="C576" s="23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</row>
    <row r="577">
      <c r="B577" s="18"/>
      <c r="C577" s="23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</row>
    <row r="578">
      <c r="B578" s="18"/>
      <c r="C578" s="23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</row>
    <row r="579">
      <c r="B579" s="18"/>
      <c r="C579" s="23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</row>
    <row r="580">
      <c r="B580" s="18"/>
      <c r="C580" s="23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</row>
    <row r="581">
      <c r="B581" s="18"/>
      <c r="C581" s="23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</row>
    <row r="582">
      <c r="B582" s="18"/>
      <c r="C582" s="23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</row>
    <row r="583">
      <c r="B583" s="18"/>
      <c r="C583" s="23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</row>
    <row r="584">
      <c r="B584" s="18"/>
      <c r="C584" s="23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</row>
    <row r="585">
      <c r="B585" s="18"/>
      <c r="C585" s="23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</row>
    <row r="586">
      <c r="B586" s="18"/>
      <c r="C586" s="23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</row>
    <row r="587">
      <c r="B587" s="18"/>
      <c r="C587" s="23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</row>
    <row r="588">
      <c r="B588" s="18"/>
      <c r="C588" s="23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</row>
    <row r="589">
      <c r="B589" s="18"/>
      <c r="C589" s="23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</row>
    <row r="590">
      <c r="B590" s="18"/>
      <c r="C590" s="23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</row>
    <row r="591">
      <c r="B591" s="18"/>
      <c r="C591" s="23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</row>
    <row r="592">
      <c r="B592" s="18"/>
      <c r="C592" s="23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</row>
    <row r="593">
      <c r="B593" s="18"/>
      <c r="C593" s="23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</row>
    <row r="594">
      <c r="B594" s="18"/>
      <c r="C594" s="23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</row>
    <row r="595">
      <c r="B595" s="18"/>
      <c r="C595" s="23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</row>
    <row r="596">
      <c r="B596" s="18"/>
      <c r="C596" s="23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</row>
    <row r="597">
      <c r="B597" s="18"/>
      <c r="C597" s="23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</row>
    <row r="598">
      <c r="B598" s="18"/>
      <c r="C598" s="23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</row>
    <row r="599">
      <c r="B599" s="18"/>
      <c r="C599" s="23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</row>
    <row r="600">
      <c r="B600" s="18"/>
      <c r="C600" s="23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</row>
    <row r="601">
      <c r="B601" s="18"/>
      <c r="C601" s="23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</row>
    <row r="602">
      <c r="B602" s="18"/>
      <c r="C602" s="23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</row>
    <row r="603">
      <c r="B603" s="18"/>
      <c r="C603" s="23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</row>
    <row r="604">
      <c r="B604" s="18"/>
      <c r="C604" s="23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</row>
    <row r="605">
      <c r="B605" s="18"/>
      <c r="C605" s="23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</row>
    <row r="606">
      <c r="B606" s="18"/>
      <c r="C606" s="23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</row>
    <row r="607">
      <c r="B607" s="18"/>
      <c r="C607" s="23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</row>
    <row r="608">
      <c r="B608" s="18"/>
      <c r="C608" s="23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</row>
    <row r="609">
      <c r="B609" s="18"/>
      <c r="C609" s="23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</row>
    <row r="610">
      <c r="B610" s="18"/>
      <c r="C610" s="23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</row>
    <row r="611">
      <c r="B611" s="18"/>
      <c r="C611" s="23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</row>
    <row r="612">
      <c r="B612" s="18"/>
      <c r="C612" s="23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</row>
    <row r="613">
      <c r="B613" s="18"/>
      <c r="C613" s="23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</row>
    <row r="614">
      <c r="B614" s="18"/>
      <c r="C614" s="23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</row>
    <row r="615">
      <c r="B615" s="18"/>
      <c r="C615" s="23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</row>
    <row r="616">
      <c r="B616" s="18"/>
      <c r="C616" s="23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</row>
    <row r="617">
      <c r="B617" s="18"/>
      <c r="C617" s="23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</row>
    <row r="618">
      <c r="B618" s="18"/>
      <c r="C618" s="23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</row>
    <row r="619">
      <c r="B619" s="18"/>
      <c r="C619" s="23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</row>
    <row r="620">
      <c r="B620" s="18"/>
      <c r="C620" s="23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</row>
    <row r="621">
      <c r="B621" s="18"/>
      <c r="C621" s="23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</row>
    <row r="622">
      <c r="B622" s="18"/>
      <c r="C622" s="23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</row>
    <row r="623">
      <c r="B623" s="18"/>
      <c r="C623" s="23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</row>
    <row r="624">
      <c r="B624" s="18"/>
      <c r="C624" s="23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</row>
    <row r="625">
      <c r="B625" s="18"/>
      <c r="C625" s="23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</row>
    <row r="626">
      <c r="B626" s="18"/>
      <c r="C626" s="23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</row>
    <row r="627">
      <c r="B627" s="18"/>
      <c r="C627" s="23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</row>
    <row r="628">
      <c r="B628" s="18"/>
      <c r="C628" s="23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</row>
    <row r="629">
      <c r="B629" s="18"/>
      <c r="C629" s="23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</row>
    <row r="630">
      <c r="B630" s="18"/>
      <c r="C630" s="23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</row>
    <row r="631">
      <c r="B631" s="18"/>
      <c r="C631" s="23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</row>
    <row r="632">
      <c r="B632" s="18"/>
      <c r="C632" s="23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</row>
    <row r="633">
      <c r="B633" s="18"/>
      <c r="C633" s="23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</row>
    <row r="634">
      <c r="B634" s="18"/>
      <c r="C634" s="23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</row>
    <row r="635">
      <c r="B635" s="18"/>
      <c r="C635" s="23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</row>
    <row r="636">
      <c r="B636" s="18"/>
      <c r="C636" s="23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</row>
    <row r="637">
      <c r="B637" s="18"/>
      <c r="C637" s="23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</row>
    <row r="638">
      <c r="B638" s="18"/>
      <c r="C638" s="23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</row>
    <row r="639">
      <c r="B639" s="18"/>
      <c r="C639" s="23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</row>
    <row r="640">
      <c r="B640" s="18"/>
      <c r="C640" s="23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</row>
    <row r="641">
      <c r="B641" s="18"/>
      <c r="C641" s="23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</row>
    <row r="642">
      <c r="B642" s="18"/>
      <c r="C642" s="23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</row>
    <row r="643">
      <c r="B643" s="18"/>
      <c r="C643" s="23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</row>
    <row r="644">
      <c r="B644" s="18"/>
      <c r="C644" s="23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</row>
    <row r="645">
      <c r="B645" s="18"/>
      <c r="C645" s="23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</row>
    <row r="646">
      <c r="B646" s="18"/>
      <c r="C646" s="23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</row>
    <row r="647">
      <c r="B647" s="18"/>
      <c r="C647" s="23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</row>
    <row r="648">
      <c r="B648" s="18"/>
      <c r="C648" s="23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</row>
    <row r="649">
      <c r="B649" s="18"/>
      <c r="C649" s="23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</row>
    <row r="650">
      <c r="B650" s="18"/>
      <c r="C650" s="23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</row>
    <row r="651">
      <c r="B651" s="18"/>
      <c r="C651" s="23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</row>
    <row r="652">
      <c r="B652" s="18"/>
      <c r="C652" s="23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</row>
    <row r="653">
      <c r="B653" s="18"/>
      <c r="C653" s="23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</row>
    <row r="654">
      <c r="B654" s="18"/>
      <c r="C654" s="23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</row>
    <row r="655">
      <c r="B655" s="18"/>
      <c r="C655" s="23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</row>
    <row r="656">
      <c r="B656" s="18"/>
      <c r="C656" s="23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</row>
    <row r="657">
      <c r="B657" s="18"/>
      <c r="C657" s="23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</row>
    <row r="658">
      <c r="B658" s="18"/>
      <c r="C658" s="23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</row>
    <row r="659">
      <c r="B659" s="18"/>
      <c r="C659" s="23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</row>
    <row r="660">
      <c r="B660" s="18"/>
      <c r="C660" s="23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</row>
    <row r="661">
      <c r="B661" s="18"/>
      <c r="C661" s="23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</row>
    <row r="662">
      <c r="B662" s="18"/>
      <c r="C662" s="23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</row>
    <row r="663">
      <c r="B663" s="18"/>
      <c r="C663" s="23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</row>
    <row r="664">
      <c r="B664" s="18"/>
      <c r="C664" s="23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</row>
    <row r="665">
      <c r="B665" s="18"/>
      <c r="C665" s="23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</row>
    <row r="666">
      <c r="B666" s="18"/>
      <c r="C666" s="23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</row>
    <row r="667">
      <c r="B667" s="18"/>
      <c r="C667" s="23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</row>
    <row r="668">
      <c r="B668" s="18"/>
      <c r="C668" s="23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</row>
    <row r="669">
      <c r="B669" s="18"/>
      <c r="C669" s="23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</row>
    <row r="670">
      <c r="B670" s="18"/>
      <c r="C670" s="23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</row>
    <row r="671">
      <c r="B671" s="18"/>
      <c r="C671" s="23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</row>
    <row r="672">
      <c r="B672" s="18"/>
      <c r="C672" s="23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</row>
    <row r="673">
      <c r="B673" s="18"/>
      <c r="C673" s="23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</row>
    <row r="674">
      <c r="B674" s="18"/>
      <c r="C674" s="23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</row>
    <row r="675">
      <c r="B675" s="18"/>
      <c r="C675" s="23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</row>
    <row r="676">
      <c r="B676" s="18"/>
      <c r="C676" s="23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</row>
    <row r="677">
      <c r="B677" s="18"/>
      <c r="C677" s="23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</row>
    <row r="678">
      <c r="B678" s="18"/>
      <c r="C678" s="23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</row>
    <row r="679">
      <c r="B679" s="18"/>
      <c r="C679" s="23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</row>
    <row r="680">
      <c r="B680" s="18"/>
      <c r="C680" s="23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</row>
    <row r="681">
      <c r="B681" s="18"/>
      <c r="C681" s="23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</row>
    <row r="682">
      <c r="B682" s="18"/>
      <c r="C682" s="23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</row>
    <row r="683">
      <c r="B683" s="18"/>
      <c r="C683" s="23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</row>
    <row r="684">
      <c r="B684" s="18"/>
      <c r="C684" s="23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</row>
    <row r="685">
      <c r="B685" s="18"/>
      <c r="C685" s="23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</row>
    <row r="686">
      <c r="B686" s="18"/>
      <c r="C686" s="23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</row>
    <row r="687">
      <c r="B687" s="18"/>
      <c r="C687" s="23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</row>
    <row r="688">
      <c r="B688" s="18"/>
      <c r="C688" s="23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</row>
    <row r="689">
      <c r="B689" s="18"/>
      <c r="C689" s="23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</row>
    <row r="690">
      <c r="B690" s="18"/>
      <c r="C690" s="23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</row>
    <row r="691">
      <c r="B691" s="18"/>
      <c r="C691" s="23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</row>
    <row r="692">
      <c r="B692" s="18"/>
      <c r="C692" s="23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</row>
    <row r="693">
      <c r="B693" s="18"/>
      <c r="C693" s="23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</row>
    <row r="694">
      <c r="B694" s="18"/>
      <c r="C694" s="23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</row>
    <row r="695">
      <c r="B695" s="18"/>
      <c r="C695" s="23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</row>
    <row r="696">
      <c r="B696" s="18"/>
      <c r="C696" s="23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</row>
    <row r="697">
      <c r="B697" s="18"/>
      <c r="C697" s="23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</row>
    <row r="698">
      <c r="B698" s="18"/>
      <c r="C698" s="23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</row>
    <row r="699">
      <c r="B699" s="18"/>
      <c r="C699" s="23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</row>
    <row r="700">
      <c r="B700" s="18"/>
      <c r="C700" s="23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</row>
    <row r="701">
      <c r="B701" s="18"/>
      <c r="C701" s="23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</row>
    <row r="702">
      <c r="B702" s="18"/>
      <c r="C702" s="23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</row>
    <row r="703">
      <c r="B703" s="18"/>
      <c r="C703" s="23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</row>
    <row r="704">
      <c r="B704" s="18"/>
      <c r="C704" s="23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</row>
    <row r="705">
      <c r="B705" s="18"/>
      <c r="C705" s="23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</row>
    <row r="706">
      <c r="B706" s="18"/>
      <c r="C706" s="23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</row>
    <row r="707">
      <c r="B707" s="18"/>
      <c r="C707" s="23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</row>
    <row r="708">
      <c r="B708" s="18"/>
      <c r="C708" s="23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</row>
    <row r="709">
      <c r="B709" s="18"/>
      <c r="C709" s="23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</row>
    <row r="710">
      <c r="B710" s="18"/>
      <c r="C710" s="23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</row>
    <row r="711">
      <c r="B711" s="18"/>
      <c r="C711" s="23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</row>
    <row r="712">
      <c r="B712" s="18"/>
      <c r="C712" s="23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</row>
    <row r="713">
      <c r="B713" s="18"/>
      <c r="C713" s="23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</row>
    <row r="714">
      <c r="B714" s="18"/>
      <c r="C714" s="23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</row>
    <row r="715">
      <c r="B715" s="18"/>
      <c r="C715" s="23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</row>
    <row r="716">
      <c r="B716" s="18"/>
      <c r="C716" s="23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</row>
    <row r="717">
      <c r="B717" s="18"/>
      <c r="C717" s="23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</row>
    <row r="718">
      <c r="B718" s="18"/>
      <c r="C718" s="23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</row>
    <row r="719">
      <c r="B719" s="18"/>
      <c r="C719" s="23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</row>
    <row r="720">
      <c r="B720" s="18"/>
      <c r="C720" s="23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</row>
    <row r="721">
      <c r="B721" s="18"/>
      <c r="C721" s="23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</row>
    <row r="722">
      <c r="B722" s="18"/>
      <c r="C722" s="23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</row>
    <row r="723">
      <c r="B723" s="18"/>
      <c r="C723" s="23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</row>
    <row r="724">
      <c r="B724" s="18"/>
      <c r="C724" s="23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</row>
    <row r="725">
      <c r="B725" s="18"/>
      <c r="C725" s="23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</row>
    <row r="726">
      <c r="B726" s="18"/>
      <c r="C726" s="23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</row>
    <row r="727">
      <c r="B727" s="18"/>
      <c r="C727" s="23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</row>
    <row r="728">
      <c r="B728" s="18"/>
      <c r="C728" s="23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</row>
    <row r="729">
      <c r="B729" s="18"/>
      <c r="C729" s="23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</row>
    <row r="730">
      <c r="B730" s="18"/>
      <c r="C730" s="23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</row>
    <row r="731">
      <c r="B731" s="18"/>
      <c r="C731" s="23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</row>
    <row r="732">
      <c r="B732" s="18"/>
      <c r="C732" s="23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</row>
    <row r="733">
      <c r="B733" s="18"/>
      <c r="C733" s="23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</row>
    <row r="734">
      <c r="B734" s="18"/>
      <c r="C734" s="23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</row>
    <row r="735">
      <c r="B735" s="18"/>
      <c r="C735" s="23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</row>
    <row r="736">
      <c r="B736" s="18"/>
      <c r="C736" s="23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</row>
    <row r="737">
      <c r="B737" s="18"/>
      <c r="C737" s="23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</row>
    <row r="738">
      <c r="B738" s="18"/>
      <c r="C738" s="23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</row>
    <row r="739">
      <c r="B739" s="18"/>
      <c r="C739" s="23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</row>
    <row r="740">
      <c r="B740" s="18"/>
      <c r="C740" s="23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</row>
    <row r="741">
      <c r="B741" s="18"/>
      <c r="C741" s="23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</row>
    <row r="742">
      <c r="B742" s="18"/>
      <c r="C742" s="23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</row>
    <row r="743">
      <c r="B743" s="18"/>
      <c r="C743" s="23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</row>
    <row r="744">
      <c r="B744" s="18"/>
      <c r="C744" s="23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</row>
    <row r="745">
      <c r="B745" s="18"/>
      <c r="C745" s="23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</row>
    <row r="746">
      <c r="B746" s="18"/>
      <c r="C746" s="23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</row>
    <row r="747">
      <c r="B747" s="18"/>
      <c r="C747" s="23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</row>
    <row r="748">
      <c r="B748" s="18"/>
      <c r="C748" s="23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</row>
    <row r="749">
      <c r="B749" s="18"/>
      <c r="C749" s="23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</row>
    <row r="750">
      <c r="B750" s="18"/>
      <c r="C750" s="23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</row>
    <row r="751">
      <c r="B751" s="18"/>
      <c r="C751" s="23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</row>
    <row r="752">
      <c r="B752" s="18"/>
      <c r="C752" s="23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</row>
    <row r="753">
      <c r="B753" s="18"/>
      <c r="C753" s="23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</row>
    <row r="754">
      <c r="B754" s="18"/>
      <c r="C754" s="23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</row>
    <row r="755">
      <c r="B755" s="18"/>
      <c r="C755" s="23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</row>
    <row r="756">
      <c r="B756" s="18"/>
      <c r="C756" s="23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</row>
    <row r="757">
      <c r="B757" s="18"/>
      <c r="C757" s="23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</row>
    <row r="758">
      <c r="B758" s="18"/>
      <c r="C758" s="23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</row>
    <row r="759">
      <c r="B759" s="18"/>
      <c r="C759" s="23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</row>
    <row r="760">
      <c r="B760" s="18"/>
      <c r="C760" s="23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</row>
    <row r="761">
      <c r="B761" s="18"/>
      <c r="C761" s="23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</row>
    <row r="762">
      <c r="B762" s="18"/>
      <c r="C762" s="23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</row>
    <row r="763">
      <c r="B763" s="18"/>
      <c r="C763" s="23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</row>
    <row r="764">
      <c r="B764" s="18"/>
      <c r="C764" s="23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</row>
    <row r="765">
      <c r="B765" s="18"/>
      <c r="C765" s="23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</row>
    <row r="766">
      <c r="B766" s="18"/>
      <c r="C766" s="23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</row>
    <row r="767">
      <c r="B767" s="18"/>
      <c r="C767" s="23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</row>
    <row r="768">
      <c r="B768" s="18"/>
      <c r="C768" s="23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</row>
    <row r="769">
      <c r="B769" s="18"/>
      <c r="C769" s="23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</row>
    <row r="770">
      <c r="B770" s="18"/>
      <c r="C770" s="23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</row>
    <row r="771">
      <c r="B771" s="18"/>
      <c r="C771" s="23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</row>
    <row r="772">
      <c r="B772" s="18"/>
      <c r="C772" s="23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</row>
    <row r="773">
      <c r="B773" s="18"/>
      <c r="C773" s="23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</row>
    <row r="774">
      <c r="B774" s="18"/>
      <c r="C774" s="23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</row>
    <row r="775">
      <c r="B775" s="18"/>
      <c r="C775" s="23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</row>
    <row r="776">
      <c r="B776" s="18"/>
      <c r="C776" s="23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</row>
    <row r="777">
      <c r="B777" s="18"/>
      <c r="C777" s="23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</row>
    <row r="778">
      <c r="B778" s="18"/>
      <c r="C778" s="23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</row>
    <row r="779">
      <c r="B779" s="18"/>
      <c r="C779" s="23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</row>
    <row r="780">
      <c r="B780" s="18"/>
      <c r="C780" s="23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</row>
    <row r="781">
      <c r="B781" s="18"/>
      <c r="C781" s="23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</row>
    <row r="782">
      <c r="B782" s="18"/>
      <c r="C782" s="23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</row>
    <row r="783">
      <c r="B783" s="18"/>
      <c r="C783" s="23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</row>
    <row r="784">
      <c r="B784" s="18"/>
      <c r="C784" s="23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</row>
    <row r="785">
      <c r="B785" s="18"/>
      <c r="C785" s="23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</row>
    <row r="786">
      <c r="B786" s="18"/>
      <c r="C786" s="23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</row>
    <row r="787">
      <c r="B787" s="18"/>
      <c r="C787" s="23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</row>
    <row r="788">
      <c r="B788" s="18"/>
      <c r="C788" s="23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</row>
    <row r="789">
      <c r="B789" s="18"/>
      <c r="C789" s="23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</row>
    <row r="790">
      <c r="B790" s="18"/>
      <c r="C790" s="23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</row>
    <row r="791">
      <c r="B791" s="18"/>
      <c r="C791" s="23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</row>
    <row r="792">
      <c r="B792" s="18"/>
      <c r="C792" s="23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</row>
    <row r="793">
      <c r="B793" s="18"/>
      <c r="C793" s="23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</row>
    <row r="794">
      <c r="B794" s="18"/>
      <c r="C794" s="23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</row>
    <row r="795">
      <c r="B795" s="18"/>
      <c r="C795" s="23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</row>
    <row r="796">
      <c r="B796" s="18"/>
      <c r="C796" s="23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</row>
    <row r="797">
      <c r="B797" s="18"/>
      <c r="C797" s="23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</row>
    <row r="798">
      <c r="B798" s="18"/>
      <c r="C798" s="23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</row>
    <row r="799">
      <c r="B799" s="18"/>
      <c r="C799" s="23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</row>
    <row r="800">
      <c r="B800" s="18"/>
      <c r="C800" s="23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</row>
    <row r="801">
      <c r="B801" s="18"/>
      <c r="C801" s="23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</row>
    <row r="802">
      <c r="B802" s="18"/>
      <c r="C802" s="23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</row>
    <row r="803">
      <c r="B803" s="18"/>
      <c r="C803" s="23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</row>
    <row r="804">
      <c r="B804" s="18"/>
      <c r="C804" s="23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</row>
    <row r="805">
      <c r="B805" s="18"/>
      <c r="C805" s="23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</row>
    <row r="806">
      <c r="B806" s="18"/>
      <c r="C806" s="23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</row>
    <row r="807">
      <c r="B807" s="18"/>
      <c r="C807" s="23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</row>
    <row r="808">
      <c r="B808" s="18"/>
      <c r="C808" s="23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</row>
    <row r="809">
      <c r="B809" s="18"/>
      <c r="C809" s="23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</row>
    <row r="810">
      <c r="B810" s="18"/>
      <c r="C810" s="23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</row>
    <row r="811">
      <c r="B811" s="18"/>
      <c r="C811" s="23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</row>
    <row r="812">
      <c r="B812" s="18"/>
      <c r="C812" s="23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</row>
    <row r="813">
      <c r="B813" s="18"/>
      <c r="C813" s="23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</row>
    <row r="814">
      <c r="B814" s="18"/>
      <c r="C814" s="23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</row>
    <row r="815">
      <c r="B815" s="18"/>
      <c r="C815" s="23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</row>
    <row r="816">
      <c r="B816" s="18"/>
      <c r="C816" s="23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</row>
    <row r="817">
      <c r="B817" s="18"/>
      <c r="C817" s="23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</row>
    <row r="818">
      <c r="B818" s="18"/>
      <c r="C818" s="23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</row>
    <row r="819">
      <c r="B819" s="18"/>
      <c r="C819" s="23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</row>
    <row r="820">
      <c r="B820" s="18"/>
      <c r="C820" s="23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</row>
    <row r="821">
      <c r="B821" s="18"/>
      <c r="C821" s="23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</row>
    <row r="822">
      <c r="B822" s="18"/>
      <c r="C822" s="23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</row>
    <row r="823">
      <c r="B823" s="18"/>
      <c r="C823" s="23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</row>
    <row r="824">
      <c r="B824" s="18"/>
      <c r="C824" s="23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</row>
    <row r="825">
      <c r="B825" s="18"/>
      <c r="C825" s="23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</row>
    <row r="826">
      <c r="B826" s="18"/>
      <c r="C826" s="23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</row>
    <row r="827">
      <c r="B827" s="18"/>
      <c r="C827" s="23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</row>
    <row r="828">
      <c r="B828" s="18"/>
      <c r="C828" s="23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</row>
    <row r="829">
      <c r="B829" s="18"/>
      <c r="C829" s="23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</row>
    <row r="830">
      <c r="B830" s="18"/>
      <c r="C830" s="23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</row>
    <row r="831">
      <c r="B831" s="18"/>
      <c r="C831" s="23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</row>
    <row r="832">
      <c r="B832" s="18"/>
      <c r="C832" s="23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</row>
    <row r="833">
      <c r="B833" s="18"/>
      <c r="C833" s="23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</row>
    <row r="834">
      <c r="B834" s="18"/>
      <c r="C834" s="23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</row>
    <row r="835">
      <c r="B835" s="18"/>
      <c r="C835" s="23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</row>
    <row r="836">
      <c r="B836" s="18"/>
      <c r="C836" s="23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</row>
    <row r="837">
      <c r="B837" s="18"/>
      <c r="C837" s="23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</row>
    <row r="838">
      <c r="B838" s="18"/>
      <c r="C838" s="23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</row>
    <row r="839">
      <c r="B839" s="18"/>
      <c r="C839" s="23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</row>
    <row r="840">
      <c r="B840" s="18"/>
      <c r="C840" s="23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</row>
    <row r="841">
      <c r="B841" s="18"/>
      <c r="C841" s="23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</row>
    <row r="842">
      <c r="B842" s="18"/>
      <c r="C842" s="23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</row>
    <row r="843">
      <c r="B843" s="18"/>
      <c r="C843" s="23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</row>
    <row r="844">
      <c r="B844" s="18"/>
      <c r="C844" s="23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</row>
    <row r="845">
      <c r="B845" s="18"/>
      <c r="C845" s="23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</row>
    <row r="846">
      <c r="B846" s="18"/>
      <c r="C846" s="23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</row>
    <row r="847">
      <c r="B847" s="18"/>
      <c r="C847" s="23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</row>
    <row r="848">
      <c r="B848" s="18"/>
      <c r="C848" s="23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</row>
    <row r="849">
      <c r="B849" s="18"/>
      <c r="C849" s="23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</row>
    <row r="850">
      <c r="B850" s="18"/>
      <c r="C850" s="23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</row>
    <row r="851">
      <c r="B851" s="18"/>
      <c r="C851" s="23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</row>
    <row r="852">
      <c r="B852" s="18"/>
      <c r="C852" s="23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</row>
    <row r="853">
      <c r="B853" s="18"/>
      <c r="C853" s="23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4">
      <c r="B854" s="18"/>
      <c r="C854" s="23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</row>
    <row r="855">
      <c r="B855" s="18"/>
      <c r="C855" s="23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</row>
    <row r="856">
      <c r="B856" s="18"/>
      <c r="C856" s="23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</row>
    <row r="857">
      <c r="B857" s="18"/>
      <c r="C857" s="23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</row>
    <row r="858">
      <c r="B858" s="18"/>
      <c r="C858" s="23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</row>
    <row r="859">
      <c r="B859" s="18"/>
      <c r="C859" s="23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</row>
    <row r="860">
      <c r="B860" s="18"/>
      <c r="C860" s="23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</row>
    <row r="861">
      <c r="B861" s="18"/>
      <c r="C861" s="23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</row>
    <row r="862">
      <c r="B862" s="18"/>
      <c r="C862" s="23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</row>
    <row r="863">
      <c r="B863" s="18"/>
      <c r="C863" s="23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</row>
    <row r="864">
      <c r="B864" s="18"/>
      <c r="C864" s="23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</row>
    <row r="865">
      <c r="B865" s="18"/>
      <c r="C865" s="23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</row>
    <row r="866">
      <c r="B866" s="18"/>
      <c r="C866" s="23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</row>
    <row r="867">
      <c r="B867" s="18"/>
      <c r="C867" s="23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</row>
    <row r="868">
      <c r="B868" s="18"/>
      <c r="C868" s="23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</row>
    <row r="869">
      <c r="B869" s="18"/>
      <c r="C869" s="23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</row>
    <row r="870">
      <c r="B870" s="18"/>
      <c r="C870" s="23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</row>
    <row r="871">
      <c r="B871" s="18"/>
      <c r="C871" s="23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</row>
    <row r="872">
      <c r="B872" s="18"/>
      <c r="C872" s="23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</row>
    <row r="873">
      <c r="B873" s="18"/>
      <c r="C873" s="23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</row>
    <row r="874">
      <c r="B874" s="18"/>
      <c r="C874" s="23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</row>
    <row r="875">
      <c r="B875" s="18"/>
      <c r="C875" s="23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</row>
    <row r="876">
      <c r="B876" s="18"/>
      <c r="C876" s="23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</row>
    <row r="877">
      <c r="B877" s="18"/>
      <c r="C877" s="23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</row>
    <row r="878">
      <c r="B878" s="18"/>
      <c r="C878" s="23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</row>
    <row r="879">
      <c r="B879" s="18"/>
      <c r="C879" s="23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</row>
    <row r="880">
      <c r="B880" s="18"/>
      <c r="C880" s="23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</row>
    <row r="881">
      <c r="B881" s="18"/>
      <c r="C881" s="23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</row>
    <row r="882">
      <c r="B882" s="18"/>
      <c r="C882" s="23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</row>
    <row r="883">
      <c r="B883" s="18"/>
      <c r="C883" s="23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</row>
    <row r="884">
      <c r="B884" s="18"/>
      <c r="C884" s="23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</row>
    <row r="885">
      <c r="B885" s="18"/>
      <c r="C885" s="23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</row>
    <row r="886">
      <c r="B886" s="18"/>
      <c r="C886" s="23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</row>
    <row r="887">
      <c r="B887" s="18"/>
      <c r="C887" s="23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</row>
    <row r="888">
      <c r="B888" s="18"/>
      <c r="C888" s="23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</row>
    <row r="889">
      <c r="B889" s="18"/>
      <c r="C889" s="23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</row>
    <row r="890">
      <c r="B890" s="18"/>
      <c r="C890" s="23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</row>
    <row r="891">
      <c r="B891" s="18"/>
      <c r="C891" s="23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</row>
    <row r="892">
      <c r="B892" s="18"/>
      <c r="C892" s="23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</row>
    <row r="893">
      <c r="B893" s="18"/>
      <c r="C893" s="23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</row>
    <row r="894">
      <c r="B894" s="18"/>
      <c r="C894" s="23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</row>
    <row r="895">
      <c r="B895" s="18"/>
      <c r="C895" s="23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</row>
    <row r="896">
      <c r="B896" s="18"/>
      <c r="C896" s="23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</row>
    <row r="897">
      <c r="B897" s="18"/>
      <c r="C897" s="23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</row>
    <row r="898">
      <c r="B898" s="18"/>
      <c r="C898" s="23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</row>
    <row r="899">
      <c r="B899" s="18"/>
      <c r="C899" s="23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</row>
    <row r="900">
      <c r="B900" s="18"/>
      <c r="C900" s="23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</row>
    <row r="901">
      <c r="B901" s="18"/>
      <c r="C901" s="23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</row>
    <row r="902">
      <c r="B902" s="18"/>
      <c r="C902" s="23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</row>
    <row r="903">
      <c r="B903" s="18"/>
      <c r="C903" s="23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</row>
    <row r="904">
      <c r="B904" s="18"/>
      <c r="C904" s="23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</row>
    <row r="905">
      <c r="B905" s="18"/>
      <c r="C905" s="23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</row>
    <row r="906">
      <c r="B906" s="18"/>
      <c r="C906" s="23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</row>
    <row r="907">
      <c r="B907" s="18"/>
      <c r="C907" s="23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</row>
    <row r="908">
      <c r="B908" s="18"/>
      <c r="C908" s="23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</row>
    <row r="909">
      <c r="B909" s="18"/>
      <c r="C909" s="23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</row>
    <row r="910">
      <c r="B910" s="18"/>
      <c r="C910" s="23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</row>
    <row r="911">
      <c r="B911" s="18"/>
      <c r="C911" s="23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2">
      <c r="B912" s="18"/>
      <c r="C912" s="23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</row>
    <row r="913">
      <c r="B913" s="18"/>
      <c r="C913" s="23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</row>
    <row r="914">
      <c r="B914" s="18"/>
      <c r="C914" s="23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</row>
    <row r="915">
      <c r="B915" s="18"/>
      <c r="C915" s="23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</row>
    <row r="916">
      <c r="B916" s="18"/>
      <c r="C916" s="23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</row>
    <row r="917">
      <c r="B917" s="18"/>
      <c r="C917" s="23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</row>
    <row r="918">
      <c r="B918" s="18"/>
      <c r="C918" s="23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</row>
    <row r="919">
      <c r="B919" s="18"/>
      <c r="C919" s="23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</row>
    <row r="920">
      <c r="B920" s="18"/>
      <c r="C920" s="23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</row>
    <row r="921">
      <c r="B921" s="18"/>
      <c r="C921" s="23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</row>
    <row r="922">
      <c r="B922" s="18"/>
      <c r="C922" s="23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</row>
    <row r="923">
      <c r="B923" s="18"/>
      <c r="C923" s="23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</row>
    <row r="924">
      <c r="B924" s="18"/>
      <c r="C924" s="23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</row>
    <row r="925">
      <c r="B925" s="18"/>
      <c r="C925" s="23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</row>
    <row r="926">
      <c r="B926" s="18"/>
      <c r="C926" s="23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</row>
    <row r="927">
      <c r="B927" s="18"/>
      <c r="C927" s="23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</row>
    <row r="928">
      <c r="B928" s="18"/>
      <c r="C928" s="23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</row>
    <row r="929">
      <c r="B929" s="18"/>
      <c r="C929" s="23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</row>
    <row r="930">
      <c r="B930" s="18"/>
      <c r="C930" s="23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</row>
    <row r="931">
      <c r="B931" s="18"/>
      <c r="C931" s="23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</row>
    <row r="932">
      <c r="B932" s="18"/>
      <c r="C932" s="23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</row>
    <row r="933">
      <c r="B933" s="18"/>
      <c r="C933" s="23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</row>
    <row r="934">
      <c r="B934" s="18"/>
      <c r="C934" s="23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</row>
    <row r="935">
      <c r="B935" s="18"/>
      <c r="C935" s="23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</row>
    <row r="936">
      <c r="B936" s="18"/>
      <c r="C936" s="23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</row>
    <row r="937">
      <c r="B937" s="18"/>
      <c r="C937" s="23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</row>
    <row r="938">
      <c r="B938" s="18"/>
      <c r="C938" s="23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</row>
    <row r="939">
      <c r="B939" s="18"/>
      <c r="C939" s="23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</row>
    <row r="940">
      <c r="B940" s="18"/>
      <c r="C940" s="23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</row>
    <row r="941">
      <c r="B941" s="18"/>
      <c r="C941" s="23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</row>
    <row r="942">
      <c r="B942" s="18"/>
      <c r="C942" s="23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</row>
    <row r="943">
      <c r="B943" s="18"/>
      <c r="C943" s="23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</row>
    <row r="944">
      <c r="B944" s="18"/>
      <c r="C944" s="23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</row>
    <row r="945">
      <c r="B945" s="18"/>
      <c r="C945" s="23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</row>
    <row r="946">
      <c r="B946" s="18"/>
      <c r="C946" s="23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</row>
    <row r="947">
      <c r="B947" s="18"/>
      <c r="C947" s="23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</row>
    <row r="948">
      <c r="B948" s="18"/>
      <c r="C948" s="23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</row>
    <row r="949">
      <c r="B949" s="18"/>
      <c r="C949" s="23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</row>
    <row r="950">
      <c r="B950" s="18"/>
      <c r="C950" s="23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</row>
    <row r="951">
      <c r="B951" s="18"/>
      <c r="C951" s="23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</row>
    <row r="952">
      <c r="B952" s="18"/>
      <c r="C952" s="23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</row>
    <row r="953">
      <c r="B953" s="18"/>
      <c r="C953" s="23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</row>
    <row r="954">
      <c r="B954" s="18"/>
      <c r="C954" s="23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</row>
    <row r="955">
      <c r="B955" s="18"/>
      <c r="C955" s="23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</row>
    <row r="956">
      <c r="B956" s="18"/>
      <c r="C956" s="23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</row>
    <row r="957">
      <c r="B957" s="18"/>
      <c r="C957" s="23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</row>
    <row r="958">
      <c r="B958" s="18"/>
      <c r="C958" s="23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</row>
    <row r="959">
      <c r="B959" s="18"/>
      <c r="C959" s="23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</row>
    <row r="960">
      <c r="B960" s="18"/>
      <c r="C960" s="23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</row>
    <row r="961">
      <c r="B961" s="18"/>
      <c r="C961" s="23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</row>
    <row r="962">
      <c r="B962" s="18"/>
      <c r="C962" s="23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</row>
    <row r="963">
      <c r="B963" s="18"/>
      <c r="C963" s="23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</row>
    <row r="964">
      <c r="B964" s="18"/>
      <c r="C964" s="23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</row>
    <row r="965">
      <c r="B965" s="18"/>
      <c r="C965" s="23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</row>
    <row r="966">
      <c r="B966" s="18"/>
      <c r="C966" s="23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</row>
    <row r="967">
      <c r="B967" s="18"/>
      <c r="C967" s="23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</row>
    <row r="968">
      <c r="B968" s="18"/>
      <c r="C968" s="23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</row>
    <row r="969">
      <c r="B969" s="18"/>
      <c r="C969" s="23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</row>
    <row r="970">
      <c r="B970" s="18"/>
      <c r="C970" s="23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</row>
    <row r="971">
      <c r="B971" s="18"/>
      <c r="C971" s="23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</row>
    <row r="972">
      <c r="B972" s="18"/>
      <c r="C972" s="23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</row>
    <row r="973">
      <c r="B973" s="18"/>
      <c r="C973" s="23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</row>
    <row r="974">
      <c r="B974" s="18"/>
      <c r="C974" s="23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</row>
    <row r="975">
      <c r="B975" s="18"/>
      <c r="C975" s="23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</row>
    <row r="976">
      <c r="B976" s="18"/>
      <c r="C976" s="23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</row>
    <row r="977">
      <c r="B977" s="18"/>
      <c r="C977" s="23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</row>
    <row r="978">
      <c r="B978" s="18"/>
      <c r="C978" s="23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</row>
    <row r="979">
      <c r="B979" s="18"/>
      <c r="C979" s="23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</row>
    <row r="980">
      <c r="B980" s="18"/>
      <c r="C980" s="23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</row>
    <row r="981">
      <c r="B981" s="18"/>
      <c r="C981" s="23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</row>
    <row r="982">
      <c r="B982" s="18"/>
      <c r="C982" s="23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</row>
    <row r="983">
      <c r="B983" s="18"/>
      <c r="C983" s="23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</row>
    <row r="984">
      <c r="B984" s="18"/>
      <c r="C984" s="23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</row>
    <row r="985">
      <c r="B985" s="18"/>
      <c r="C985" s="23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>
      <c r="B986" s="18"/>
      <c r="C986" s="23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</row>
    <row r="987">
      <c r="B987" s="18"/>
      <c r="C987" s="23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</row>
    <row r="988">
      <c r="B988" s="18"/>
      <c r="C988" s="23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</row>
    <row r="989">
      <c r="B989" s="18"/>
      <c r="C989" s="23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</row>
    <row r="990">
      <c r="B990" s="18"/>
      <c r="C990" s="23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</row>
    <row r="991">
      <c r="B991" s="18"/>
      <c r="C991" s="23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</row>
    <row r="992">
      <c r="B992" s="18"/>
      <c r="C992" s="23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</row>
    <row r="993">
      <c r="B993" s="18"/>
      <c r="C993" s="23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4">
      <c r="B994" s="18"/>
      <c r="C994" s="23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</row>
    <row r="995">
      <c r="B995" s="18"/>
      <c r="C995" s="23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</row>
    <row r="996">
      <c r="B996" s="18"/>
      <c r="C996" s="23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</row>
    <row r="997">
      <c r="B997" s="18"/>
      <c r="C997" s="23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</row>
    <row r="998">
      <c r="B998" s="18"/>
      <c r="C998" s="23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</row>
    <row r="999">
      <c r="B999" s="18"/>
      <c r="C999" s="23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</row>
    <row r="1000">
      <c r="B1000" s="18"/>
      <c r="C1000" s="23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</row>
    <row r="1001">
      <c r="B1001" s="18"/>
      <c r="C1001" s="23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</row>
    <row r="1002">
      <c r="B1002" s="18"/>
      <c r="C1002" s="23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</row>
    <row r="1003">
      <c r="B1003" s="18"/>
      <c r="C1003" s="23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0"/>
    <col customWidth="1" min="2" max="46" width="16.75"/>
  </cols>
  <sheetData>
    <row r="1">
      <c r="A1" s="1" t="str">
        <f>Specs!E1</f>
        <v>Wireless</v>
      </c>
      <c r="B1" s="30" t="s">
        <v>158</v>
      </c>
      <c r="C1" s="30" t="s">
        <v>159</v>
      </c>
      <c r="D1" s="30" t="s">
        <v>160</v>
      </c>
      <c r="E1" s="30" t="s">
        <v>161</v>
      </c>
      <c r="F1" s="30" t="s">
        <v>162</v>
      </c>
      <c r="G1" s="30" t="s">
        <v>163</v>
      </c>
      <c r="H1" s="30" t="s">
        <v>164</v>
      </c>
      <c r="I1" s="30" t="s">
        <v>165</v>
      </c>
      <c r="J1" s="30" t="s">
        <v>166</v>
      </c>
      <c r="K1" s="30" t="s">
        <v>167</v>
      </c>
      <c r="L1" s="30" t="s">
        <v>168</v>
      </c>
      <c r="M1" s="30" t="s">
        <v>169</v>
      </c>
      <c r="N1" s="30" t="s">
        <v>170</v>
      </c>
      <c r="O1" s="30" t="s">
        <v>171</v>
      </c>
      <c r="P1" s="30"/>
      <c r="Q1" s="30" t="s">
        <v>172</v>
      </c>
      <c r="R1" s="30" t="s">
        <v>173</v>
      </c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6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>
      <c r="A2" s="8" t="str">
        <f>Specs!E2</f>
        <v>Loại Access Point (indoor/outdoor)</v>
      </c>
      <c r="B2" s="34" t="s">
        <v>174</v>
      </c>
      <c r="C2" s="34" t="s">
        <v>174</v>
      </c>
      <c r="D2" s="34" t="s">
        <v>174</v>
      </c>
      <c r="E2" s="34" t="s">
        <v>174</v>
      </c>
      <c r="F2" s="34" t="s">
        <v>174</v>
      </c>
      <c r="G2" s="34" t="s">
        <v>174</v>
      </c>
      <c r="H2" s="34" t="s">
        <v>174</v>
      </c>
      <c r="I2" s="34" t="s">
        <v>174</v>
      </c>
      <c r="J2" s="34" t="s">
        <v>174</v>
      </c>
      <c r="K2" s="34" t="s">
        <v>174</v>
      </c>
      <c r="L2" s="34" t="s">
        <v>175</v>
      </c>
      <c r="M2" s="34" t="s">
        <v>175</v>
      </c>
      <c r="N2" s="34" t="s">
        <v>175</v>
      </c>
      <c r="O2" s="34" t="s">
        <v>175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13"/>
    </row>
    <row r="3">
      <c r="A3" s="8" t="str">
        <f>Specs!E3</f>
        <v>Công nghệ WiFi (WiFi6/WiFi7)</v>
      </c>
      <c r="B3" s="34" t="s">
        <v>176</v>
      </c>
      <c r="C3" s="34" t="s">
        <v>176</v>
      </c>
      <c r="D3" s="34" t="s">
        <v>176</v>
      </c>
      <c r="E3" s="34" t="s">
        <v>176</v>
      </c>
      <c r="F3" s="34" t="s">
        <v>176</v>
      </c>
      <c r="G3" s="34" t="s">
        <v>177</v>
      </c>
      <c r="H3" s="34" t="s">
        <v>177</v>
      </c>
      <c r="I3" s="34" t="s">
        <v>177</v>
      </c>
      <c r="J3" s="34" t="s">
        <v>177</v>
      </c>
      <c r="K3" s="34" t="s">
        <v>177</v>
      </c>
      <c r="L3" s="34" t="s">
        <v>178</v>
      </c>
      <c r="M3" s="34" t="s">
        <v>178</v>
      </c>
      <c r="N3" s="34" t="s">
        <v>178</v>
      </c>
      <c r="O3" s="34" t="s">
        <v>176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13"/>
    </row>
    <row r="4">
      <c r="A4" s="8" t="str">
        <f>Specs!E4</f>
        <v>Số lượng người dùng trong phạm vi phủ sóng 1 AP</v>
      </c>
      <c r="B4" s="38">
        <v>400.0</v>
      </c>
      <c r="C4" s="38">
        <v>400.0</v>
      </c>
      <c r="D4" s="38">
        <v>400.0</v>
      </c>
      <c r="E4" s="38">
        <v>400.0</v>
      </c>
      <c r="F4" s="38">
        <v>400.0</v>
      </c>
      <c r="G4" s="38">
        <v>256.0</v>
      </c>
      <c r="H4" s="38">
        <v>256.0</v>
      </c>
      <c r="I4" s="38">
        <v>400.0</v>
      </c>
      <c r="J4" s="38">
        <v>400.0</v>
      </c>
      <c r="K4" s="38">
        <v>400.0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13"/>
    </row>
    <row r="5">
      <c r="A5" s="8" t="str">
        <f>Specs!E5</f>
        <v>Bán kính phủ sóng (m)</v>
      </c>
      <c r="B5" s="54">
        <f t="shared" ref="B5:O5" si="1">roundup(1000*POWER(10,(((B18+B19-0-(-75)-30)-32.44-20*LOG10(6000))/20)),0)</f>
        <v>20</v>
      </c>
      <c r="C5" s="54">
        <f t="shared" si="1"/>
        <v>13</v>
      </c>
      <c r="D5" s="54">
        <f t="shared" si="1"/>
        <v>16</v>
      </c>
      <c r="E5" s="54">
        <f t="shared" si="1"/>
        <v>16</v>
      </c>
      <c r="F5" s="54">
        <f t="shared" si="1"/>
        <v>26</v>
      </c>
      <c r="G5" s="54">
        <f t="shared" si="1"/>
        <v>20</v>
      </c>
      <c r="H5" s="54">
        <f t="shared" si="1"/>
        <v>20</v>
      </c>
      <c r="I5" s="54">
        <f t="shared" si="1"/>
        <v>20</v>
      </c>
      <c r="J5" s="54">
        <f t="shared" si="1"/>
        <v>26</v>
      </c>
      <c r="K5" s="54">
        <f t="shared" si="1"/>
        <v>20</v>
      </c>
      <c r="L5" s="54">
        <f t="shared" si="1"/>
        <v>51</v>
      </c>
      <c r="M5" s="54">
        <f t="shared" si="1"/>
        <v>64</v>
      </c>
      <c r="N5" s="54">
        <f t="shared" si="1"/>
        <v>100</v>
      </c>
      <c r="O5" s="54">
        <f t="shared" si="1"/>
        <v>26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6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</row>
    <row r="6">
      <c r="A6" s="58" t="s">
        <v>179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15"/>
    </row>
    <row r="7">
      <c r="A7" s="58" t="s">
        <v>180</v>
      </c>
      <c r="B7" s="34">
        <v>2.0</v>
      </c>
      <c r="C7" s="34">
        <v>1.0</v>
      </c>
      <c r="D7" s="34">
        <v>1.0</v>
      </c>
      <c r="E7" s="34">
        <v>1.0</v>
      </c>
      <c r="F7" s="34">
        <v>1.0</v>
      </c>
      <c r="G7" s="34">
        <v>1.0</v>
      </c>
      <c r="H7" s="34">
        <v>1.0</v>
      </c>
      <c r="I7" s="34">
        <v>1.0</v>
      </c>
      <c r="J7" s="34">
        <v>1.0</v>
      </c>
      <c r="K7" s="34">
        <v>2.0</v>
      </c>
      <c r="L7" s="34">
        <v>1.0</v>
      </c>
      <c r="M7" s="34">
        <v>1.0</v>
      </c>
      <c r="N7" s="34">
        <v>1.0</v>
      </c>
      <c r="O7" s="34">
        <v>1.0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15"/>
    </row>
    <row r="8">
      <c r="A8" s="58" t="s">
        <v>181</v>
      </c>
      <c r="B8" s="34"/>
      <c r="C8" s="34"/>
      <c r="D8" s="34"/>
      <c r="E8" s="34"/>
      <c r="F8" s="34"/>
      <c r="G8" s="34"/>
      <c r="H8" s="34"/>
      <c r="I8" s="34">
        <v>1.0</v>
      </c>
      <c r="J8" s="34">
        <v>1.0</v>
      </c>
      <c r="K8" s="34">
        <v>2.0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15"/>
    </row>
    <row r="9">
      <c r="A9" s="58" t="s">
        <v>182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>
        <v>1.0</v>
      </c>
      <c r="M9" s="34">
        <v>1.0</v>
      </c>
      <c r="N9" s="34">
        <v>1.0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15"/>
    </row>
    <row r="10">
      <c r="A10" s="58" t="s">
        <v>183</v>
      </c>
      <c r="B10" s="34" t="s">
        <v>184</v>
      </c>
      <c r="C10" s="34" t="s">
        <v>184</v>
      </c>
      <c r="D10" s="34" t="s">
        <v>184</v>
      </c>
      <c r="E10" s="34" t="s">
        <v>184</v>
      </c>
      <c r="F10" s="34" t="s">
        <v>185</v>
      </c>
      <c r="G10" s="34" t="s">
        <v>184</v>
      </c>
      <c r="H10" s="34" t="s">
        <v>184</v>
      </c>
      <c r="I10" s="34" t="s">
        <v>184</v>
      </c>
      <c r="J10" s="34" t="s">
        <v>185</v>
      </c>
      <c r="K10" s="34" t="s">
        <v>184</v>
      </c>
      <c r="L10" s="34" t="s">
        <v>184</v>
      </c>
      <c r="M10" s="34" t="s">
        <v>185</v>
      </c>
      <c r="N10" s="34" t="s">
        <v>186</v>
      </c>
      <c r="O10" s="34" t="s">
        <v>186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15"/>
    </row>
    <row r="11">
      <c r="A11" s="22" t="s">
        <v>187</v>
      </c>
      <c r="B11" s="20" t="str">
        <f t="shared" ref="B11:P11" si="2">if(ISNUMBER(find("WiFi6",B3)),"Mid Range",if(ISNUMBER(find("WiFi7",B3)),"High End",""))</f>
        <v>Mid Range</v>
      </c>
      <c r="C11" s="20" t="str">
        <f t="shared" si="2"/>
        <v>Mid Range</v>
      </c>
      <c r="D11" s="20" t="str">
        <f t="shared" si="2"/>
        <v>Mid Range</v>
      </c>
      <c r="E11" s="20" t="str">
        <f t="shared" si="2"/>
        <v>Mid Range</v>
      </c>
      <c r="F11" s="20" t="str">
        <f t="shared" si="2"/>
        <v>Mid Range</v>
      </c>
      <c r="G11" s="20" t="str">
        <f t="shared" si="2"/>
        <v>High End</v>
      </c>
      <c r="H11" s="20" t="str">
        <f t="shared" si="2"/>
        <v>High End</v>
      </c>
      <c r="I11" s="20" t="str">
        <f t="shared" si="2"/>
        <v>High End</v>
      </c>
      <c r="J11" s="20" t="str">
        <f t="shared" si="2"/>
        <v>High End</v>
      </c>
      <c r="K11" s="20" t="str">
        <f t="shared" si="2"/>
        <v>High End</v>
      </c>
      <c r="L11" s="20" t="str">
        <f t="shared" si="2"/>
        <v>Mid Range</v>
      </c>
      <c r="M11" s="20" t="str">
        <f t="shared" si="2"/>
        <v>Mid Range</v>
      </c>
      <c r="N11" s="20" t="str">
        <f t="shared" si="2"/>
        <v>Mid Range</v>
      </c>
      <c r="O11" s="20" t="str">
        <f t="shared" si="2"/>
        <v>Mid Range</v>
      </c>
      <c r="P11" s="20" t="str">
        <f t="shared" si="2"/>
        <v/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 t="s">
        <v>25</v>
      </c>
      <c r="AR11" s="20" t="s">
        <v>25</v>
      </c>
      <c r="AS11" s="20" t="s">
        <v>25</v>
      </c>
      <c r="AT11" s="21"/>
    </row>
    <row r="12">
      <c r="A12" s="22" t="s">
        <v>27</v>
      </c>
      <c r="B12" s="25">
        <f>iferror(vlookup(B1,AllListPrice!$A$2:$D$1000,4,0),0)</f>
        <v>4892.02</v>
      </c>
      <c r="C12" s="25">
        <f>iferror(vlookup(C1,AllListPrice!$A$2:$D$1000,4,0),0)</f>
        <v>2476.36</v>
      </c>
      <c r="D12" s="25">
        <f>iferror(vlookup(D1,AllListPrice!$A$2:$D$1000,4,0),0)</f>
        <v>3786.46</v>
      </c>
      <c r="E12" s="25">
        <f>iferror(vlookup(E1,AllListPrice!$A$2:$D$1000,4,0),0)</f>
        <v>4201.05</v>
      </c>
      <c r="F12" s="25">
        <f>iferror(vlookup(F1,AllListPrice!$A$2:$D$1000,4,0),0)</f>
        <v>4615.63</v>
      </c>
      <c r="G12" s="25">
        <f>iferror(vlookup(G1,AllListPrice!$A$2:$D$1000,4,0),0)</f>
        <v>2643.68</v>
      </c>
      <c r="H12" s="25">
        <f>iferror(vlookup(H1,AllListPrice!$A$2:$D$1000,4,0),0)</f>
        <v>2350.28</v>
      </c>
      <c r="I12" s="25">
        <f>iferror(vlookup(I1,AllListPrice!$A$2:$D$1000,4,0),0)</f>
        <v>4414.06</v>
      </c>
      <c r="J12" s="25">
        <f>iferror(vlookup(J1,AllListPrice!$A$2:$D$1000,4,0),0)</f>
        <v>4854.66</v>
      </c>
      <c r="K12" s="25">
        <f>iferror(vlookup(K1,AllListPrice!$A$2:$D$1000,4,0),0)</f>
        <v>5149.29</v>
      </c>
      <c r="L12" s="25">
        <f>iferror(vlookup(L1,AllListPrice!$A$2:$D$1000,4,0),0)</f>
        <v>4605.48</v>
      </c>
      <c r="M12" s="25">
        <f>iferror(vlookup(M1,AllListPrice!$A$2:$D$1000,4,0),0)</f>
        <v>4933.2</v>
      </c>
      <c r="N12" s="25">
        <f>iferror(vlookup(N1,AllListPrice!$A$2:$D$1000,4,0),0)</f>
        <v>4933.2</v>
      </c>
      <c r="O12" s="25">
        <f>iferror(vlookup(O1,AllListPrice!$A$2:$D$1000,4,0),0)</f>
        <v>4041.49</v>
      </c>
      <c r="P12" s="25">
        <f>iferror(vlookup(P1,AllListPrice!$A$2:$D$1000,4,0),0)</f>
        <v>0</v>
      </c>
      <c r="Q12" s="25">
        <f>iferror(vlookup(Q1,AllListPrice!$A$2:$D$1000,4,0),0)</f>
        <v>483.4</v>
      </c>
      <c r="R12" s="25">
        <f>iferror(vlookup(R1,AllListPrice!$A$2:$D$1000,4,0),0)</f>
        <v>1292.5</v>
      </c>
      <c r="S12" s="25">
        <f>iferror(vlookup(S1,AllListPrice!$A$2:$D$1000,4,0),0)</f>
        <v>0</v>
      </c>
      <c r="T12" s="25">
        <f>iferror(vlookup(T1,AllListPrice!$A$2:$D$1000,4,0),0)</f>
        <v>0</v>
      </c>
      <c r="U12" s="25">
        <f>iferror(vlookup(U1,AllListPrice!$A$2:$D$1000,4,0),0)</f>
        <v>0</v>
      </c>
      <c r="V12" s="25">
        <f>iferror(vlookup(V1,AllListPrice!$A$2:$D$1000,4,0),0)</f>
        <v>0</v>
      </c>
      <c r="W12" s="25">
        <f>iferror(vlookup(W1,AllListPrice!$A$2:$D$1000,4,0),0)</f>
        <v>0</v>
      </c>
      <c r="X12" s="25">
        <f>iferror(vlookup(X1,AllListPrice!$A$2:$D$1000,4,0),0)</f>
        <v>0</v>
      </c>
      <c r="Y12" s="25">
        <f>iferror(vlookup(Y1,AllListPrice!$A$2:$D$1000,4,0),0)</f>
        <v>0</v>
      </c>
      <c r="Z12" s="25">
        <f>iferror(vlookup(Z1,AllListPrice!$A$2:$D$1000,4,0),0)</f>
        <v>0</v>
      </c>
      <c r="AA12" s="25">
        <f>iferror(vlookup(AA1,AllListPrice!$A$2:$D$1000,4,0),0)</f>
        <v>0</v>
      </c>
      <c r="AB12" s="25">
        <f>iferror(vlookup(AB1,AllListPrice!$A$2:$D$1000,4,0),0)</f>
        <v>0</v>
      </c>
      <c r="AC12" s="25">
        <f>iferror(vlookup(AC1,AllListPrice!$A$2:$D$1000,4,0),0)</f>
        <v>0</v>
      </c>
      <c r="AD12" s="25">
        <f>iferror(vlookup(AD1,AllListPrice!$A$2:$D$1000,4,0),0)</f>
        <v>0</v>
      </c>
      <c r="AE12" s="25">
        <f>iferror(vlookup(AE1,AllListPrice!$A$2:$D$1000,4,0),0)</f>
        <v>0</v>
      </c>
      <c r="AF12" s="25">
        <f>iferror(vlookup(AF1,AllListPrice!$A$2:$D$1000,4,0),0)</f>
        <v>0</v>
      </c>
      <c r="AG12" s="25">
        <f>iferror(vlookup(AG1,AllListPrice!$A$2:$D$1000,4,0),0)</f>
        <v>0</v>
      </c>
      <c r="AH12" s="25">
        <f>iferror(vlookup(AH1,AllListPrice!$A$2:$D$1000,4,0),0)</f>
        <v>0</v>
      </c>
      <c r="AI12" s="25">
        <f>iferror(vlookup(AI1,AllListPrice!$A$2:$D$1000,4,0),0)</f>
        <v>0</v>
      </c>
      <c r="AJ12" s="25">
        <f>iferror(vlookup(AJ1,AllListPrice!$A$2:$D$1000,4,0),0)</f>
        <v>0</v>
      </c>
      <c r="AK12" s="25">
        <f>iferror(vlookup(AK1,AllListPrice!$A$2:$D$1000,4,0),0)</f>
        <v>0</v>
      </c>
      <c r="AL12" s="25">
        <f>iferror(vlookup(AL1,AllListPrice!$A$2:$D$1000,4,0),0)</f>
        <v>0</v>
      </c>
      <c r="AM12" s="25">
        <f>iferror(vlookup(AM1,AllListPrice!$A$2:$D$1000,4,0),0)</f>
        <v>0</v>
      </c>
      <c r="AN12" s="25">
        <f>iferror(vlookup(AN1,AllListPrice!$A$2:$D$1000,4,0),0)</f>
        <v>0</v>
      </c>
      <c r="AO12" s="25">
        <f>iferror(vlookup(AO1,AllListPrice!$A$2:$D$1000,4,0),0)</f>
        <v>0</v>
      </c>
      <c r="AP12" s="25">
        <f>iferror(vlookup(AP1,AllListPrice!$A$2:$D$1000,4,0),0)</f>
        <v>0</v>
      </c>
      <c r="AQ12" s="21"/>
      <c r="AR12" s="21"/>
      <c r="AS12" s="21"/>
      <c r="AT12" s="21"/>
    </row>
    <row r="13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</row>
    <row r="14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</row>
    <row r="15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</row>
    <row r="16">
      <c r="A16" s="29" t="str">
        <f t="shared" ref="A16:A17" si="3">A9</f>
        <v>Số lượng cổng Uplink 1GE SFP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</row>
    <row r="17">
      <c r="A17" s="29" t="str">
        <f t="shared" si="3"/>
        <v>Antenna Type (Omni or Directional)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</row>
    <row r="18">
      <c r="A18" s="22" t="s">
        <v>188</v>
      </c>
      <c r="B18" s="20">
        <v>23.0</v>
      </c>
      <c r="C18" s="20">
        <v>20.0</v>
      </c>
      <c r="D18" s="20">
        <v>23.0</v>
      </c>
      <c r="E18" s="20">
        <v>23.0</v>
      </c>
      <c r="F18" s="20">
        <v>23.0</v>
      </c>
      <c r="G18" s="20">
        <v>23.0</v>
      </c>
      <c r="H18" s="20">
        <v>23.0</v>
      </c>
      <c r="I18" s="20">
        <v>23.0</v>
      </c>
      <c r="J18" s="20">
        <v>23.0</v>
      </c>
      <c r="K18" s="20">
        <v>23.0</v>
      </c>
      <c r="L18" s="20">
        <v>30.0</v>
      </c>
      <c r="M18" s="20">
        <v>30.0</v>
      </c>
      <c r="N18" s="20">
        <v>30.0</v>
      </c>
      <c r="O18" s="20">
        <v>23.0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</row>
    <row r="19">
      <c r="A19" s="22" t="s">
        <v>189</v>
      </c>
      <c r="B19" s="20">
        <v>6.0</v>
      </c>
      <c r="C19" s="20">
        <v>5.0</v>
      </c>
      <c r="D19" s="20">
        <v>4.0</v>
      </c>
      <c r="E19" s="20">
        <v>4.0</v>
      </c>
      <c r="F19" s="20">
        <v>8.0</v>
      </c>
      <c r="G19" s="20">
        <v>6.0</v>
      </c>
      <c r="H19" s="20">
        <v>6.0</v>
      </c>
      <c r="I19" s="20">
        <v>6.0</v>
      </c>
      <c r="J19" s="20">
        <v>8.0</v>
      </c>
      <c r="K19" s="20">
        <v>6.0</v>
      </c>
      <c r="L19" s="20">
        <v>7.0</v>
      </c>
      <c r="M19" s="20">
        <v>9.0</v>
      </c>
      <c r="N19" s="20">
        <v>13.0</v>
      </c>
      <c r="O19" s="20">
        <v>8.0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</row>
    <row r="20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</row>
    <row r="21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</row>
    <row r="22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</row>
    <row r="23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</row>
    <row r="24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</row>
    <row r="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</row>
    <row r="26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</row>
    <row r="27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</row>
    <row r="28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</row>
    <row r="29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</row>
    <row r="30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</row>
    <row r="31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</row>
    <row r="32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</row>
    <row r="33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</row>
    <row r="34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</row>
    <row r="35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</row>
    <row r="36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</row>
    <row r="37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</row>
    <row r="38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</row>
    <row r="39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</row>
    <row r="40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</row>
    <row r="41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</row>
    <row r="42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</row>
    <row r="44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</row>
    <row r="45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</row>
    <row r="46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</row>
    <row r="47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</row>
    <row r="48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</row>
    <row r="49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</row>
    <row r="50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</row>
    <row r="51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</row>
    <row r="52"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</row>
    <row r="53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</row>
    <row r="54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</row>
    <row r="55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</row>
    <row r="56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</row>
    <row r="57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</row>
    <row r="58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</row>
    <row r="59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</row>
    <row r="60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</row>
    <row r="61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</row>
    <row r="62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</row>
    <row r="63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</row>
    <row r="64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</row>
    <row r="65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</row>
    <row r="66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</row>
    <row r="67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</row>
    <row r="68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</row>
    <row r="69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</row>
    <row r="70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</row>
    <row r="71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</row>
    <row r="72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</row>
    <row r="73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</row>
    <row r="74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</row>
    <row r="75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</row>
    <row r="76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</row>
    <row r="77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</row>
    <row r="78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</row>
    <row r="79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</row>
    <row r="8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</row>
    <row r="81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</row>
    <row r="82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</row>
    <row r="83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</row>
    <row r="84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</row>
    <row r="8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</row>
    <row r="86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</row>
    <row r="87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</row>
    <row r="88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</row>
    <row r="89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</row>
    <row r="90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</row>
    <row r="91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</row>
    <row r="92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</row>
    <row r="93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</row>
    <row r="94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</row>
    <row r="95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</row>
    <row r="96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</row>
    <row r="97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</row>
    <row r="98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</row>
    <row r="99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</row>
    <row r="100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</row>
    <row r="101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</row>
    <row r="102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</row>
    <row r="103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</row>
    <row r="104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</row>
    <row r="105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</row>
    <row r="106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</row>
    <row r="107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</row>
    <row r="108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</row>
    <row r="109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</row>
    <row r="110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</row>
    <row r="111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</row>
    <row r="112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</row>
    <row r="113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</row>
    <row r="114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</row>
    <row r="115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</row>
    <row r="116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</row>
    <row r="117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</row>
    <row r="118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</row>
    <row r="119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</row>
    <row r="120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</row>
    <row r="121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</row>
    <row r="122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</row>
    <row r="123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</row>
    <row r="124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</row>
    <row r="125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</row>
    <row r="126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</row>
    <row r="127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</row>
    <row r="128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</row>
    <row r="129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</row>
    <row r="13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</row>
    <row r="131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</row>
    <row r="132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</row>
    <row r="133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</row>
    <row r="134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</row>
    <row r="135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</row>
    <row r="136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</row>
    <row r="137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</row>
    <row r="138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</row>
    <row r="139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</row>
    <row r="140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</row>
    <row r="141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</row>
    <row r="142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</row>
    <row r="143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</row>
    <row r="144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</row>
    <row r="145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</row>
    <row r="146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</row>
    <row r="147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</row>
    <row r="148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</row>
    <row r="149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</row>
    <row r="150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</row>
    <row r="151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</row>
    <row r="152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</row>
    <row r="153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</row>
    <row r="154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</row>
    <row r="155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</row>
    <row r="156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</row>
    <row r="157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</row>
    <row r="158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</row>
    <row r="159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</row>
    <row r="160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</row>
    <row r="161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</row>
    <row r="162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</row>
    <row r="163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</row>
    <row r="164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</row>
    <row r="165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</row>
    <row r="166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</row>
    <row r="167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</row>
    <row r="168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</row>
    <row r="169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</row>
    <row r="17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</row>
    <row r="171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</row>
    <row r="172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</row>
    <row r="173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</row>
    <row r="174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</row>
    <row r="175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</row>
    <row r="176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</row>
    <row r="177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</row>
    <row r="178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</row>
    <row r="179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</row>
    <row r="180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</row>
    <row r="181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</row>
    <row r="182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</row>
    <row r="183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</row>
    <row r="184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</row>
    <row r="185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</row>
    <row r="186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</row>
    <row r="187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</row>
    <row r="188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</row>
    <row r="189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</row>
    <row r="190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</row>
    <row r="191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</row>
    <row r="192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</row>
    <row r="193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</row>
    <row r="194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</row>
    <row r="195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</row>
    <row r="196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</row>
    <row r="197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</row>
    <row r="198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</row>
    <row r="199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</row>
    <row r="200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</row>
    <row r="201"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</row>
    <row r="202"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</row>
    <row r="203"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</row>
    <row r="204"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</row>
    <row r="205"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</row>
    <row r="206"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</row>
    <row r="207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</row>
    <row r="208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</row>
    <row r="209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</row>
    <row r="210"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</row>
    <row r="211"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</row>
    <row r="212"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</row>
    <row r="213"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</row>
    <row r="214"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</row>
    <row r="215"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</row>
    <row r="216"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</row>
    <row r="217"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</row>
    <row r="218"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</row>
    <row r="219"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</row>
    <row r="220"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</row>
    <row r="221"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</row>
    <row r="222"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</row>
    <row r="223"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</row>
    <row r="224"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</row>
    <row r="225"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</row>
    <row r="226"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</row>
    <row r="227"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</row>
    <row r="228"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</row>
    <row r="229"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</row>
    <row r="230"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</row>
    <row r="231"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</row>
    <row r="232"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</row>
    <row r="233"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</row>
    <row r="234"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</row>
    <row r="23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</row>
    <row r="236"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</row>
    <row r="237"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</row>
    <row r="238"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</row>
    <row r="239"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</row>
    <row r="240"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</row>
    <row r="241"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</row>
    <row r="242"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</row>
    <row r="243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</row>
    <row r="244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</row>
    <row r="245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</row>
    <row r="246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</row>
    <row r="247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</row>
    <row r="248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</row>
    <row r="249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</row>
    <row r="25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</row>
    <row r="251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</row>
    <row r="252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</row>
    <row r="253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</row>
    <row r="254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</row>
    <row r="255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</row>
    <row r="256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</row>
    <row r="257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</row>
    <row r="258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</row>
    <row r="259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</row>
    <row r="26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</row>
    <row r="261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</row>
    <row r="262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</row>
    <row r="263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</row>
    <row r="264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</row>
    <row r="265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</row>
    <row r="266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</row>
    <row r="267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</row>
    <row r="268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</row>
    <row r="269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</row>
    <row r="27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</row>
    <row r="271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</row>
    <row r="272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</row>
    <row r="273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</row>
    <row r="274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</row>
    <row r="275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</row>
    <row r="276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</row>
    <row r="277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</row>
    <row r="278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</row>
    <row r="279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</row>
    <row r="280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</row>
    <row r="281"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</row>
    <row r="282"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</row>
    <row r="283"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</row>
    <row r="284"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</row>
    <row r="285"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</row>
    <row r="286"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</row>
    <row r="287"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</row>
    <row r="288"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</row>
    <row r="289"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</row>
    <row r="290"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</row>
    <row r="291"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</row>
    <row r="292"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</row>
    <row r="293"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</row>
    <row r="294"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</row>
    <row r="295"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</row>
    <row r="296"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</row>
    <row r="297"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</row>
    <row r="298"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</row>
    <row r="299"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</row>
    <row r="300"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</row>
    <row r="301"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</row>
    <row r="302"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</row>
    <row r="303"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</row>
    <row r="304"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</row>
    <row r="305"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</row>
    <row r="306"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</row>
    <row r="307"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</row>
    <row r="308"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</row>
    <row r="309"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</row>
    <row r="310"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</row>
    <row r="311"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</row>
    <row r="312"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</row>
    <row r="313"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</row>
    <row r="314"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</row>
    <row r="315"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</row>
    <row r="316"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</row>
    <row r="317"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</row>
    <row r="318"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</row>
    <row r="319"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</row>
    <row r="320"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</row>
    <row r="321"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</row>
    <row r="322"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</row>
    <row r="323"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</row>
    <row r="324"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</row>
    <row r="32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</row>
    <row r="326"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</row>
    <row r="327"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</row>
    <row r="328"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</row>
    <row r="329"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</row>
    <row r="330"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</row>
    <row r="331"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</row>
    <row r="332"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</row>
    <row r="333"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</row>
    <row r="334"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</row>
    <row r="335"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</row>
    <row r="336"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</row>
    <row r="337"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</row>
    <row r="338"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</row>
    <row r="339"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</row>
    <row r="340"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</row>
    <row r="341"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</row>
    <row r="342"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</row>
    <row r="343"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</row>
    <row r="344"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</row>
    <row r="345"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</row>
    <row r="346"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</row>
    <row r="347"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</row>
    <row r="348"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</row>
    <row r="349"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</row>
    <row r="350"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</row>
    <row r="351"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</row>
    <row r="352"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</row>
    <row r="353"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</row>
    <row r="354"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</row>
    <row r="355"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</row>
    <row r="356"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</row>
    <row r="357"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</row>
    <row r="358"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</row>
    <row r="359"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</row>
    <row r="360"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</row>
    <row r="361"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</row>
    <row r="362"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</row>
    <row r="363"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</row>
    <row r="364"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</row>
    <row r="365"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</row>
    <row r="366"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</row>
    <row r="367"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</row>
    <row r="368"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</row>
    <row r="369"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</row>
    <row r="370"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</row>
    <row r="371"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</row>
    <row r="372"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</row>
    <row r="373"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</row>
    <row r="374"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</row>
    <row r="375"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</row>
    <row r="376"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</row>
    <row r="377"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</row>
    <row r="378"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</row>
    <row r="379"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</row>
    <row r="380"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</row>
    <row r="381"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</row>
    <row r="382"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</row>
    <row r="383"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</row>
    <row r="384"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</row>
    <row r="385"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</row>
    <row r="386"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</row>
    <row r="387"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</row>
    <row r="388"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</row>
    <row r="389"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</row>
    <row r="390"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</row>
    <row r="391"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</row>
    <row r="392"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</row>
    <row r="393"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</row>
    <row r="394"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</row>
    <row r="395"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</row>
    <row r="396"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</row>
    <row r="397"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</row>
    <row r="398"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</row>
    <row r="399"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</row>
    <row r="400"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</row>
    <row r="401"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</row>
    <row r="402"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</row>
    <row r="403"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</row>
    <row r="404"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</row>
    <row r="405"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</row>
    <row r="406"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</row>
    <row r="407"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</row>
    <row r="408"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</row>
    <row r="409"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</row>
    <row r="410"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</row>
    <row r="411"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</row>
    <row r="412"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</row>
    <row r="413"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</row>
    <row r="414"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</row>
    <row r="415"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</row>
    <row r="416"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</row>
    <row r="417"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</row>
    <row r="418"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</row>
    <row r="419"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</row>
    <row r="420"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</row>
    <row r="421"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</row>
    <row r="422"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</row>
    <row r="423"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</row>
    <row r="424"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</row>
    <row r="425"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</row>
    <row r="426"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</row>
    <row r="427"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</row>
    <row r="428"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</row>
    <row r="429"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</row>
    <row r="430"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</row>
    <row r="431"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</row>
    <row r="432"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</row>
    <row r="433"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</row>
    <row r="434"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</row>
    <row r="435"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</row>
    <row r="436"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</row>
    <row r="437"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</row>
    <row r="438"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</row>
    <row r="439"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</row>
    <row r="440"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</row>
    <row r="441"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</row>
    <row r="442"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</row>
    <row r="443"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</row>
    <row r="444"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</row>
    <row r="445"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</row>
    <row r="446"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</row>
    <row r="447"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</row>
    <row r="448"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</row>
    <row r="449"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</row>
    <row r="450"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</row>
    <row r="451"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</row>
    <row r="452"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</row>
    <row r="453"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</row>
    <row r="454"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</row>
    <row r="455"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</row>
    <row r="456"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</row>
    <row r="457"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</row>
    <row r="458"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</row>
    <row r="459"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</row>
    <row r="460"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</row>
    <row r="461"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</row>
    <row r="462"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</row>
    <row r="463"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</row>
    <row r="464"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</row>
    <row r="465"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</row>
    <row r="466"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</row>
    <row r="467"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</row>
    <row r="468"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</row>
    <row r="469"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</row>
    <row r="470"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</row>
    <row r="471"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</row>
    <row r="472"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</row>
    <row r="473"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</row>
    <row r="474"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</row>
    <row r="475"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</row>
    <row r="476"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</row>
    <row r="477"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</row>
    <row r="478"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</row>
    <row r="479"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</row>
    <row r="480"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</row>
    <row r="481"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</row>
    <row r="482"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</row>
    <row r="483"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</row>
    <row r="484"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</row>
    <row r="485"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</row>
    <row r="486"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</row>
    <row r="487"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</row>
    <row r="488"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</row>
    <row r="489"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</row>
    <row r="490"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</row>
    <row r="491"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</row>
    <row r="492"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</row>
    <row r="493"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</row>
    <row r="494"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</row>
    <row r="495"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</row>
    <row r="496"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</row>
    <row r="497"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</row>
    <row r="498"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</row>
    <row r="499"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</row>
    <row r="500"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</row>
    <row r="501"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</row>
    <row r="502"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</row>
    <row r="503"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</row>
    <row r="504"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</row>
    <row r="505"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</row>
    <row r="506"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</row>
    <row r="507"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</row>
    <row r="508"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</row>
    <row r="509"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</row>
    <row r="510"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</row>
    <row r="511"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</row>
    <row r="512"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</row>
    <row r="513"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</row>
    <row r="514"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</row>
    <row r="515"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</row>
    <row r="516"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</row>
    <row r="517"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</row>
    <row r="518"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</row>
    <row r="519"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</row>
    <row r="520"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</row>
    <row r="521"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</row>
    <row r="522"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</row>
    <row r="523"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</row>
    <row r="524"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</row>
    <row r="525"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</row>
    <row r="526"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</row>
    <row r="527"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</row>
    <row r="528"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</row>
    <row r="529"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</row>
    <row r="530"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</row>
    <row r="531"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</row>
    <row r="532"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</row>
    <row r="533"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</row>
    <row r="534"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</row>
    <row r="535"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</row>
    <row r="536"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</row>
    <row r="537"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</row>
    <row r="538"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</row>
    <row r="539"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</row>
    <row r="540"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</row>
    <row r="541"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</row>
    <row r="542"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</row>
    <row r="543"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</row>
    <row r="544"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</row>
    <row r="545"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</row>
    <row r="546"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</row>
    <row r="547"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</row>
    <row r="548"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</row>
    <row r="549"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</row>
    <row r="550"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</row>
    <row r="551"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</row>
    <row r="552"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</row>
    <row r="553"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</row>
    <row r="554"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</row>
    <row r="555"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</row>
    <row r="556"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</row>
    <row r="557"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</row>
    <row r="558"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</row>
    <row r="559"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</row>
    <row r="560"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</row>
    <row r="561"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</row>
    <row r="562"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</row>
    <row r="563"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</row>
    <row r="564"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</row>
    <row r="565"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</row>
    <row r="566"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</row>
    <row r="567"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</row>
    <row r="568"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</row>
    <row r="569"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</row>
    <row r="570"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</row>
    <row r="571"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</row>
    <row r="572"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</row>
    <row r="573"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</row>
    <row r="574"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</row>
    <row r="575"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</row>
    <row r="576"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</row>
    <row r="577"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</row>
    <row r="578"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</row>
    <row r="579"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</row>
    <row r="580"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</row>
    <row r="581"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</row>
    <row r="582"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</row>
    <row r="583"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</row>
    <row r="584"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</row>
    <row r="585"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</row>
    <row r="586"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</row>
    <row r="587"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</row>
    <row r="588"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</row>
    <row r="589"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</row>
    <row r="590"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</row>
    <row r="591"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</row>
    <row r="592"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</row>
    <row r="593"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</row>
    <row r="594"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</row>
    <row r="595"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</row>
    <row r="596"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</row>
    <row r="597"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</row>
    <row r="598"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</row>
    <row r="599"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</row>
    <row r="600"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</row>
    <row r="601"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</row>
    <row r="602"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</row>
    <row r="603"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</row>
    <row r="604"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</row>
    <row r="605"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</row>
    <row r="606"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</row>
    <row r="607"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</row>
    <row r="608"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</row>
    <row r="609"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</row>
    <row r="610"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</row>
    <row r="611"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</row>
    <row r="612"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</row>
    <row r="613"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</row>
    <row r="614"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</row>
    <row r="615"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</row>
    <row r="616"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</row>
    <row r="617"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</row>
    <row r="618"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</row>
    <row r="619"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</row>
    <row r="620"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</row>
    <row r="621"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</row>
    <row r="622"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</row>
    <row r="623"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</row>
    <row r="624"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</row>
    <row r="625"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</row>
    <row r="626"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</row>
    <row r="627"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</row>
    <row r="628"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</row>
    <row r="629"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</row>
    <row r="630"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</row>
    <row r="631"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</row>
    <row r="632"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</row>
    <row r="633"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</row>
    <row r="634"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</row>
    <row r="635"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</row>
    <row r="636"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</row>
    <row r="637"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</row>
    <row r="638"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</row>
    <row r="639"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</row>
    <row r="640"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</row>
    <row r="641"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</row>
    <row r="642"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</row>
    <row r="643"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</row>
    <row r="644"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</row>
    <row r="645"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</row>
    <row r="646"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</row>
    <row r="647"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</row>
    <row r="648"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</row>
    <row r="649"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</row>
    <row r="650"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</row>
    <row r="651"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</row>
    <row r="652"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</row>
    <row r="653"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</row>
    <row r="654"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</row>
    <row r="655"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</row>
    <row r="656"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</row>
    <row r="657"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</row>
    <row r="658"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</row>
    <row r="659"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</row>
    <row r="660"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</row>
    <row r="661"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</row>
    <row r="662"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</row>
    <row r="663"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</row>
    <row r="664"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</row>
    <row r="665"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</row>
    <row r="666"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</row>
    <row r="667"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</row>
    <row r="668"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</row>
    <row r="669"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</row>
    <row r="670"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</row>
    <row r="671"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</row>
    <row r="672"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</row>
    <row r="673"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</row>
    <row r="674"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</row>
    <row r="675"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</row>
    <row r="676"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</row>
    <row r="677"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</row>
    <row r="678"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</row>
    <row r="679"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</row>
    <row r="680"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</row>
    <row r="681"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</row>
    <row r="682"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</row>
    <row r="683"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</row>
    <row r="684"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</row>
    <row r="685"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</row>
    <row r="686"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</row>
    <row r="687"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</row>
    <row r="688"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</row>
    <row r="689"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</row>
    <row r="690"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</row>
    <row r="691"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</row>
    <row r="692"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</row>
    <row r="693"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</row>
    <row r="694"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</row>
    <row r="695"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</row>
    <row r="696"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</row>
    <row r="697"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</row>
    <row r="698"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</row>
    <row r="699"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</row>
    <row r="700"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</row>
    <row r="701"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</row>
    <row r="702"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</row>
    <row r="703"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</row>
    <row r="704"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</row>
    <row r="705"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</row>
    <row r="706"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</row>
    <row r="707"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</row>
    <row r="708"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</row>
    <row r="709"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</row>
    <row r="710"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</row>
    <row r="711"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</row>
    <row r="712"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</row>
    <row r="713"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</row>
    <row r="714"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</row>
    <row r="715"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</row>
    <row r="716"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</row>
    <row r="717"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</row>
    <row r="718"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</row>
    <row r="719"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</row>
    <row r="720"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</row>
    <row r="721"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</row>
    <row r="722"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</row>
    <row r="723"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</row>
    <row r="724"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</row>
    <row r="725"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</row>
    <row r="726"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</row>
    <row r="727"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</row>
    <row r="728"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</row>
    <row r="729"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</row>
    <row r="730"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</row>
    <row r="731"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</row>
    <row r="732"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</row>
    <row r="733"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</row>
    <row r="734"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</row>
    <row r="735"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</row>
    <row r="736"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</row>
    <row r="737"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</row>
    <row r="738"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</row>
    <row r="739"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</row>
    <row r="740"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</row>
    <row r="741"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</row>
    <row r="742"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</row>
    <row r="743"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</row>
    <row r="744"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</row>
    <row r="745"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</row>
    <row r="746"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</row>
    <row r="747"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</row>
    <row r="748"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</row>
    <row r="749"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</row>
    <row r="750"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</row>
    <row r="751"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</row>
    <row r="752"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</row>
    <row r="753"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</row>
    <row r="754"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</row>
    <row r="755"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</row>
    <row r="756"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</row>
    <row r="757"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</row>
    <row r="758"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</row>
    <row r="759"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</row>
    <row r="760"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</row>
    <row r="761"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</row>
    <row r="762"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</row>
    <row r="763"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</row>
    <row r="764"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</row>
    <row r="765"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</row>
    <row r="766"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</row>
    <row r="767"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</row>
    <row r="768"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</row>
    <row r="769"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</row>
    <row r="770"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</row>
    <row r="771"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</row>
    <row r="772"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</row>
    <row r="773"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</row>
    <row r="774"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</row>
    <row r="775"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</row>
    <row r="776"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</row>
    <row r="777"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</row>
    <row r="778"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</row>
    <row r="779"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</row>
    <row r="780"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</row>
    <row r="781"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</row>
    <row r="782"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</row>
    <row r="783"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</row>
    <row r="784"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</row>
    <row r="785"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</row>
    <row r="786"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</row>
    <row r="787"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</row>
    <row r="788"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</row>
    <row r="789"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</row>
    <row r="790"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</row>
    <row r="791"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</row>
    <row r="792"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</row>
    <row r="793"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</row>
    <row r="794"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</row>
    <row r="795"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</row>
    <row r="796"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</row>
    <row r="797"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</row>
    <row r="798"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</row>
    <row r="799"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</row>
    <row r="800"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</row>
    <row r="801"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</row>
    <row r="802"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</row>
    <row r="803"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</row>
    <row r="804"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</row>
    <row r="805"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</row>
    <row r="806"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</row>
    <row r="807"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</row>
    <row r="808"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</row>
    <row r="809"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</row>
    <row r="810"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</row>
    <row r="811"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</row>
    <row r="812"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</row>
    <row r="813"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</row>
    <row r="814"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</row>
    <row r="815"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</row>
    <row r="816"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</row>
    <row r="817"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</row>
    <row r="818"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</row>
    <row r="819"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</row>
    <row r="820"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</row>
    <row r="821"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</row>
    <row r="822"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</row>
    <row r="823"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</row>
    <row r="824"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</row>
    <row r="825"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</row>
    <row r="826"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</row>
    <row r="827"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</row>
    <row r="828"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</row>
    <row r="829"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</row>
    <row r="830"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</row>
    <row r="831"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</row>
    <row r="832"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</row>
    <row r="833"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</row>
    <row r="834"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</row>
    <row r="835"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</row>
    <row r="836"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</row>
    <row r="837"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</row>
    <row r="838"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</row>
    <row r="839"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</row>
    <row r="840"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</row>
    <row r="841"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</row>
    <row r="842"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</row>
    <row r="843"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</row>
    <row r="844"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</row>
    <row r="845"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</row>
    <row r="846"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</row>
    <row r="847"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</row>
    <row r="848"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</row>
    <row r="849"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</row>
    <row r="850"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</row>
    <row r="851"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</row>
    <row r="852"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</row>
    <row r="853"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</row>
    <row r="854"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</row>
    <row r="855"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</row>
    <row r="856"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</row>
    <row r="857"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</row>
    <row r="858"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</row>
    <row r="859"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</row>
    <row r="860"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</row>
    <row r="861"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</row>
    <row r="862"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</row>
    <row r="863"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</row>
    <row r="864"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</row>
    <row r="865"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</row>
    <row r="866"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</row>
    <row r="867"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</row>
    <row r="868"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</row>
    <row r="869"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</row>
    <row r="870"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</row>
    <row r="871"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</row>
    <row r="872"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</row>
    <row r="873"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</row>
    <row r="874"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</row>
    <row r="875"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</row>
    <row r="876"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</row>
    <row r="877"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</row>
    <row r="878"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</row>
    <row r="879"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</row>
    <row r="880"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</row>
    <row r="881"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</row>
    <row r="882"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</row>
    <row r="883"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</row>
    <row r="884"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</row>
    <row r="885"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</row>
    <row r="886"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</row>
    <row r="887"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</row>
    <row r="888"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</row>
    <row r="889"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</row>
    <row r="890"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</row>
    <row r="891"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</row>
    <row r="892"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</row>
    <row r="893"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</row>
    <row r="894"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</row>
    <row r="895"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</row>
    <row r="896"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</row>
    <row r="897"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</row>
    <row r="898"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</row>
    <row r="899"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</row>
    <row r="900"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</row>
    <row r="901"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</row>
    <row r="902"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</row>
    <row r="903"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</row>
    <row r="904"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</row>
    <row r="905"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</row>
    <row r="906"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</row>
    <row r="907"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</row>
    <row r="908"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</row>
    <row r="909"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</row>
    <row r="910"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</row>
    <row r="911"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</row>
    <row r="912"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</row>
    <row r="913"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</row>
    <row r="914"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</row>
    <row r="915"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</row>
    <row r="916"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</row>
    <row r="917"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</row>
    <row r="918"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</row>
    <row r="919"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</row>
    <row r="920"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</row>
    <row r="921"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</row>
    <row r="922"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</row>
    <row r="923"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</row>
    <row r="924"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</row>
    <row r="925"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</row>
    <row r="926"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</row>
    <row r="927"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</row>
    <row r="928"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</row>
    <row r="929"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</row>
    <row r="930"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</row>
    <row r="931"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</row>
    <row r="932"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</row>
    <row r="933"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</row>
    <row r="934"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</row>
    <row r="935"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</row>
    <row r="936"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</row>
    <row r="937"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</row>
    <row r="938"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</row>
    <row r="939"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</row>
    <row r="940"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</row>
    <row r="941"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</row>
    <row r="942"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</row>
    <row r="943"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</row>
    <row r="944"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</row>
    <row r="945"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</row>
    <row r="946"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</row>
    <row r="947"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</row>
    <row r="948"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</row>
    <row r="949"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</row>
    <row r="950"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</row>
    <row r="951"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</row>
    <row r="952"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</row>
    <row r="953"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</row>
    <row r="954"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</row>
    <row r="955"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</row>
    <row r="956"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</row>
    <row r="957"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</row>
    <row r="958"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</row>
    <row r="959"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</row>
    <row r="960"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</row>
    <row r="961"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</row>
    <row r="962"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</row>
    <row r="963"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</row>
    <row r="964"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</row>
    <row r="965"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</row>
    <row r="966"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</row>
    <row r="967"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</row>
    <row r="968"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</row>
    <row r="969"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</row>
    <row r="970"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</row>
    <row r="971"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</row>
    <row r="972"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</row>
    <row r="973"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</row>
    <row r="974"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</row>
    <row r="975"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</row>
    <row r="976"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</row>
    <row r="977"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</row>
    <row r="978"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</row>
    <row r="979"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</row>
    <row r="980"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</row>
    <row r="981"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</row>
    <row r="982"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</row>
    <row r="983"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</row>
    <row r="984"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</row>
    <row r="985"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</row>
    <row r="986"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</row>
    <row r="987"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</row>
    <row r="988"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</row>
    <row r="989"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</row>
    <row r="990"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</row>
    <row r="991"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</row>
    <row r="992"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63"/>
    <col customWidth="1" min="2" max="4" width="12.63"/>
    <col customWidth="1" min="5" max="7" width="13.5"/>
    <col customWidth="1" min="8" max="10" width="14.38"/>
    <col customWidth="1" min="11" max="13" width="12.5"/>
    <col customWidth="1" min="14" max="14" width="12.38"/>
    <col customWidth="1" min="15" max="15" width="13.5"/>
    <col customWidth="1" min="16" max="22" width="11.75"/>
    <col customWidth="1" min="23" max="23" width="16.5"/>
    <col customWidth="1" min="24" max="25" width="17.63"/>
    <col customWidth="1" min="26" max="26" width="16.5"/>
  </cols>
  <sheetData>
    <row r="1">
      <c r="A1" s="59" t="str">
        <f>Specs!I1</f>
        <v>SFP</v>
      </c>
      <c r="B1" s="6" t="s">
        <v>190</v>
      </c>
      <c r="C1" s="6" t="s">
        <v>191</v>
      </c>
      <c r="D1" s="6" t="s">
        <v>192</v>
      </c>
      <c r="E1" s="6" t="s">
        <v>193</v>
      </c>
      <c r="F1" s="6" t="s">
        <v>194</v>
      </c>
      <c r="G1" s="6" t="s">
        <v>195</v>
      </c>
      <c r="H1" s="6" t="s">
        <v>196</v>
      </c>
      <c r="I1" s="6" t="s">
        <v>197</v>
      </c>
      <c r="J1" s="6" t="s">
        <v>198</v>
      </c>
      <c r="K1" s="6" t="s">
        <v>199</v>
      </c>
      <c r="L1" s="6" t="s">
        <v>200</v>
      </c>
      <c r="M1" s="6" t="s">
        <v>201</v>
      </c>
      <c r="N1" s="6" t="s">
        <v>202</v>
      </c>
      <c r="O1" s="6" t="s">
        <v>203</v>
      </c>
      <c r="P1" s="6" t="s">
        <v>204</v>
      </c>
      <c r="Q1" s="6" t="s">
        <v>205</v>
      </c>
      <c r="R1" s="6" t="s">
        <v>206</v>
      </c>
      <c r="S1" s="6" t="s">
        <v>207</v>
      </c>
      <c r="T1" s="6" t="s">
        <v>208</v>
      </c>
      <c r="U1" s="6" t="s">
        <v>209</v>
      </c>
      <c r="V1" s="6" t="s">
        <v>210</v>
      </c>
      <c r="W1" s="6" t="s">
        <v>211</v>
      </c>
      <c r="X1" s="6" t="s">
        <v>212</v>
      </c>
      <c r="Y1" s="6" t="s">
        <v>213</v>
      </c>
      <c r="Z1" s="6" t="s">
        <v>214</v>
      </c>
      <c r="AA1" s="21"/>
      <c r="AB1" s="21"/>
      <c r="AC1" s="21"/>
      <c r="AD1" s="21"/>
      <c r="AE1" s="21"/>
      <c r="AF1" s="21"/>
      <c r="AG1" s="21"/>
    </row>
    <row r="2">
      <c r="A2" s="60" t="str">
        <f>Specs!I2</f>
        <v>Tốc độ (1G/10G/100G)</v>
      </c>
      <c r="B2" s="13">
        <v>1.0</v>
      </c>
      <c r="C2" s="13">
        <v>1.0</v>
      </c>
      <c r="D2" s="13">
        <v>1.0</v>
      </c>
      <c r="E2" s="13">
        <v>10.0</v>
      </c>
      <c r="F2" s="13">
        <v>10.0</v>
      </c>
      <c r="G2" s="13">
        <v>10.0</v>
      </c>
      <c r="H2" s="13">
        <v>100.0</v>
      </c>
      <c r="I2" s="13">
        <v>100.0</v>
      </c>
      <c r="J2" s="13">
        <v>100.0</v>
      </c>
      <c r="K2" s="13">
        <v>1.0</v>
      </c>
      <c r="L2" s="13">
        <v>1.0</v>
      </c>
      <c r="M2" s="13">
        <v>1.0</v>
      </c>
      <c r="N2" s="13">
        <v>1.0</v>
      </c>
      <c r="O2" s="13">
        <v>10.0</v>
      </c>
      <c r="P2" s="13">
        <v>10.0</v>
      </c>
      <c r="Q2" s="13">
        <v>10.0</v>
      </c>
      <c r="R2" s="13">
        <v>10.0</v>
      </c>
      <c r="S2" s="13">
        <v>10.0</v>
      </c>
      <c r="T2" s="13">
        <v>10.0</v>
      </c>
      <c r="U2" s="13">
        <v>10.0</v>
      </c>
      <c r="V2" s="13">
        <v>10.0</v>
      </c>
      <c r="W2" s="13">
        <v>100.0</v>
      </c>
      <c r="X2" s="13">
        <v>100.0</v>
      </c>
      <c r="Y2" s="13">
        <v>100.0</v>
      </c>
      <c r="Z2" s="13">
        <v>100.0</v>
      </c>
      <c r="AA2" s="21"/>
      <c r="AB2" s="21"/>
      <c r="AC2" s="21"/>
      <c r="AD2" s="21"/>
      <c r="AE2" s="21"/>
      <c r="AF2" s="21"/>
      <c r="AG2" s="21"/>
    </row>
    <row r="3">
      <c r="A3" s="60" t="str">
        <f>Specs!I3</f>
        <v>Khoảng cách truyền (km)</v>
      </c>
      <c r="B3" s="13">
        <v>10.0</v>
      </c>
      <c r="C3" s="13">
        <v>40.0</v>
      </c>
      <c r="D3" s="13">
        <v>80.0</v>
      </c>
      <c r="E3" s="13">
        <v>10.0</v>
      </c>
      <c r="F3" s="13">
        <v>40.0</v>
      </c>
      <c r="G3" s="13">
        <v>80.0</v>
      </c>
      <c r="H3" s="13">
        <v>10.0</v>
      </c>
      <c r="I3" s="13">
        <v>40.0</v>
      </c>
      <c r="J3" s="13">
        <v>80.0</v>
      </c>
      <c r="K3" s="13">
        <v>0.5</v>
      </c>
      <c r="L3" s="13">
        <v>10.0</v>
      </c>
      <c r="M3" s="13">
        <v>40.0</v>
      </c>
      <c r="N3" s="13">
        <v>70.0</v>
      </c>
      <c r="O3" s="13">
        <v>0.5</v>
      </c>
      <c r="P3" s="13">
        <v>0.5</v>
      </c>
      <c r="Q3" s="13">
        <v>10.0</v>
      </c>
      <c r="R3" s="13">
        <v>10.0</v>
      </c>
      <c r="S3" s="13">
        <v>40.0</v>
      </c>
      <c r="T3" s="13">
        <v>40.0</v>
      </c>
      <c r="U3" s="13">
        <v>80.0</v>
      </c>
      <c r="V3" s="13">
        <v>80.0</v>
      </c>
      <c r="W3" s="13">
        <v>10.0</v>
      </c>
      <c r="X3" s="13">
        <v>10.0</v>
      </c>
      <c r="Y3" s="13">
        <v>40.0</v>
      </c>
      <c r="Z3" s="13">
        <v>80.0</v>
      </c>
      <c r="AA3" s="21"/>
      <c r="AB3" s="21"/>
      <c r="AC3" s="21"/>
      <c r="AD3" s="21"/>
      <c r="AE3" s="21"/>
      <c r="AF3" s="21"/>
      <c r="AG3" s="21"/>
    </row>
    <row r="4">
      <c r="A4" s="61" t="s">
        <v>215</v>
      </c>
      <c r="B4" s="20" t="s">
        <v>23</v>
      </c>
      <c r="C4" s="20" t="s">
        <v>23</v>
      </c>
      <c r="D4" s="20" t="s">
        <v>23</v>
      </c>
      <c r="E4" s="20" t="s">
        <v>23</v>
      </c>
      <c r="F4" s="20" t="s">
        <v>23</v>
      </c>
      <c r="G4" s="20" t="s">
        <v>23</v>
      </c>
      <c r="H4" s="20" t="s">
        <v>23</v>
      </c>
      <c r="I4" s="20" t="s">
        <v>23</v>
      </c>
      <c r="J4" s="20" t="s">
        <v>23</v>
      </c>
      <c r="K4" s="20" t="s">
        <v>25</v>
      </c>
      <c r="L4" s="20" t="s">
        <v>25</v>
      </c>
      <c r="M4" s="20" t="s">
        <v>25</v>
      </c>
      <c r="N4" s="20" t="s">
        <v>25</v>
      </c>
      <c r="O4" s="20" t="s">
        <v>25</v>
      </c>
      <c r="P4" s="20" t="s">
        <v>25</v>
      </c>
      <c r="Q4" s="20" t="s">
        <v>25</v>
      </c>
      <c r="R4" s="20" t="s">
        <v>25</v>
      </c>
      <c r="S4" s="20" t="s">
        <v>25</v>
      </c>
      <c r="T4" s="20" t="s">
        <v>25</v>
      </c>
      <c r="U4" s="20" t="s">
        <v>25</v>
      </c>
      <c r="V4" s="20" t="s">
        <v>25</v>
      </c>
      <c r="W4" s="20" t="s">
        <v>25</v>
      </c>
      <c r="X4" s="20" t="s">
        <v>25</v>
      </c>
      <c r="Y4" s="20" t="s">
        <v>25</v>
      </c>
      <c r="Z4" s="20" t="s">
        <v>25</v>
      </c>
      <c r="AA4" s="21"/>
      <c r="AB4" s="21"/>
      <c r="AC4" s="21"/>
      <c r="AD4" s="21"/>
      <c r="AE4" s="21"/>
      <c r="AF4" s="21"/>
      <c r="AG4" s="21"/>
    </row>
    <row r="5">
      <c r="A5" s="61" t="s">
        <v>27</v>
      </c>
      <c r="B5" s="25">
        <f>iferror(vlookup(B1,AllListPrice!$A$2:$D$1000,4,0),0)</f>
        <v>9</v>
      </c>
      <c r="C5" s="25">
        <f>iferror(vlookup(C1,AllListPrice!$A$2:$D$1000,4,0),0)</f>
        <v>21</v>
      </c>
      <c r="D5" s="25">
        <f>iferror(vlookup(D1,AllListPrice!$A$2:$D$1000,4,0),0)</f>
        <v>35</v>
      </c>
      <c r="E5" s="25">
        <f>iferror(vlookup(E1,AllListPrice!$A$2:$D$1000,4,0),0)</f>
        <v>32</v>
      </c>
      <c r="F5" s="25">
        <f>iferror(vlookup(F1,AllListPrice!$A$2:$D$1000,4,0),0)</f>
        <v>150</v>
      </c>
      <c r="G5" s="25">
        <f>iferror(vlookup(G1,AllListPrice!$A$2:$D$1000,4,0),0)</f>
        <v>290</v>
      </c>
      <c r="H5" s="25">
        <f>iferror(vlookup(H1,AllListPrice!$A$2:$D$1000,4,0),0)</f>
        <v>500</v>
      </c>
      <c r="I5" s="25">
        <f>iferror(vlookup(I1,AllListPrice!$A$2:$D$1000,4,0),0)</f>
        <v>800</v>
      </c>
      <c r="J5" s="25">
        <f>iferror(vlookup(J1,AllListPrice!$A$2:$D$1000,4,0),0)</f>
        <v>1000</v>
      </c>
      <c r="K5" s="25">
        <f>iferror(vlookup(K1,AllListPrice!$A$2:$D$1000,4,0),0)</f>
        <v>608.51</v>
      </c>
      <c r="L5" s="25">
        <f>iferror(vlookup(L1,AllListPrice!$A$2:$D$1000,4,0),0)</f>
        <v>1210.94</v>
      </c>
      <c r="M5" s="25">
        <f>iferror(vlookup(M1,AllListPrice!$A$2:$D$1000,4,0),0)</f>
        <v>2427.96</v>
      </c>
      <c r="N5" s="25">
        <f>iferror(vlookup(N1,AllListPrice!$A$2:$D$1000,4,0),0)</f>
        <v>4861.99</v>
      </c>
      <c r="O5" s="25">
        <f>iferror(vlookup(O1,AllListPrice!$A$2:$D$1000,4,0),0)</f>
        <v>851.91</v>
      </c>
      <c r="P5" s="25">
        <f>iferror(vlookup(P1,AllListPrice!$A$2:$D$1000,4,0),0)</f>
        <v>1210.94</v>
      </c>
      <c r="Q5" s="25">
        <f>iferror(vlookup(Q1,AllListPrice!$A$2:$D$1000,4,0),0)</f>
        <v>2434.04</v>
      </c>
      <c r="R5" s="25">
        <f>iferror(vlookup(R1,AllListPrice!$A$2:$D$1000,4,0),0)</f>
        <v>4861.99</v>
      </c>
      <c r="S5" s="25">
        <f>iferror(vlookup(S1,AllListPrice!$A$2:$D$1000,4,0),0)</f>
        <v>9614.44</v>
      </c>
      <c r="T5" s="25">
        <f>iferror(vlookup(T1,AllListPrice!$A$2:$D$1000,4,0),0)</f>
        <v>12170.18</v>
      </c>
      <c r="U5" s="25">
        <f>iferror(vlookup(U1,AllListPrice!$A$2:$D$1000,4,0),0)</f>
        <v>13265.5</v>
      </c>
      <c r="V5" s="25">
        <f>iferror(vlookup(V1,AllListPrice!$A$2:$D$1000,4,0),0)</f>
        <v>19472.29</v>
      </c>
      <c r="W5" s="25">
        <f>iferror(vlookup("100GQSFP-LR4-4=",AllListPrice!$A$2:$D$1000,4,0)/4,0)</f>
        <v>9127.635</v>
      </c>
      <c r="X5" s="25">
        <f>iferror(vlookup(X1,AllListPrice!$A$2:$D$1000,4,0),0)</f>
        <v>4130.83</v>
      </c>
      <c r="Y5" s="25">
        <f>iferror(vlookup(Y1,AllListPrice!$A$2:$D$1000,4,0),0)</f>
        <v>91270.27</v>
      </c>
      <c r="Z5" s="25">
        <f>iferror(vlookup(Z1,AllListPrice!$A$2:$D$1000,4,0),0)</f>
        <v>36190</v>
      </c>
      <c r="AA5" s="21"/>
      <c r="AB5" s="21"/>
      <c r="AC5" s="21"/>
      <c r="AD5" s="21"/>
      <c r="AE5" s="21"/>
      <c r="AF5" s="21"/>
      <c r="AG5" s="21"/>
    </row>
    <row r="6">
      <c r="A6" s="62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>
      <c r="A7" s="62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>
      <c r="A8" s="62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>
      <c r="A9" s="62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>
      <c r="A10" s="62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>
      <c r="A11" s="62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>
      <c r="A12" s="62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>
      <c r="A13" s="6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>
      <c r="A14" s="62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>
      <c r="A15" s="62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>
      <c r="A16" s="62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>
      <c r="A17" s="62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>
      <c r="A18" s="62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>
      <c r="A19" s="62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>
      <c r="A20" s="62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>
      <c r="A21" s="62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>
      <c r="A22" s="62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>
      <c r="A23" s="62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>
      <c r="A24" s="62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>
      <c r="A25" s="62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>
      <c r="A26" s="62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>
      <c r="A27" s="62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>
      <c r="A28" s="62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>
      <c r="A29" s="62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>
      <c r="A30" s="62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>
      <c r="A31" s="62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>
      <c r="A32" s="62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>
      <c r="A33" s="62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>
      <c r="A34" s="62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>
      <c r="A35" s="62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>
      <c r="A36" s="62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>
      <c r="A37" s="62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>
      <c r="A38" s="62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>
      <c r="A39" s="62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>
      <c r="A40" s="62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>
      <c r="A41" s="62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</row>
    <row r="42">
      <c r="A42" s="62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>
      <c r="A43" s="62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>
      <c r="A44" s="62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>
      <c r="A45" s="62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>
      <c r="A46" s="62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>
      <c r="A47" s="62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>
      <c r="A48" s="62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>
      <c r="A49" s="62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>
      <c r="A50" s="62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>
      <c r="A51" s="62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>
      <c r="A52" s="62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>
      <c r="A53" s="62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>
      <c r="A54" s="62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>
      <c r="A55" s="62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>
      <c r="A56" s="62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>
      <c r="A57" s="62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>
      <c r="A58" s="62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>
      <c r="A59" s="62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>
      <c r="A60" s="62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>
      <c r="A61" s="62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>
      <c r="A62" s="62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>
      <c r="A63" s="62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>
      <c r="A64" s="62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>
      <c r="A65" s="62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>
      <c r="A66" s="62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>
      <c r="A67" s="62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>
      <c r="A68" s="62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>
      <c r="A69" s="62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>
      <c r="A70" s="62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>
      <c r="A71" s="62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>
      <c r="A72" s="62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>
      <c r="A73" s="62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>
      <c r="A74" s="62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>
      <c r="A75" s="62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>
      <c r="A76" s="62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>
      <c r="A77" s="62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>
      <c r="A78" s="62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>
      <c r="A79" s="62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>
      <c r="A80" s="62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>
      <c r="A81" s="62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>
      <c r="A82" s="62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>
      <c r="A83" s="62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>
      <c r="A84" s="62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>
      <c r="A85" s="62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>
      <c r="A86" s="62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>
      <c r="A87" s="62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>
      <c r="A88" s="62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>
      <c r="A89" s="62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>
      <c r="A90" s="62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>
      <c r="A91" s="62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>
      <c r="A92" s="62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>
      <c r="A93" s="62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>
      <c r="A94" s="62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>
      <c r="A95" s="62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>
      <c r="A96" s="62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>
      <c r="A97" s="62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>
      <c r="A98" s="62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>
      <c r="A99" s="62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>
      <c r="A100" s="62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>
      <c r="A101" s="62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>
      <c r="A102" s="62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>
      <c r="A103" s="62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>
      <c r="A104" s="62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>
      <c r="A105" s="62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>
      <c r="A106" s="62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>
      <c r="A107" s="62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>
      <c r="A108" s="62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>
      <c r="A109" s="62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>
      <c r="A110" s="62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>
      <c r="A111" s="62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>
      <c r="A112" s="62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>
      <c r="A113" s="62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>
      <c r="A114" s="62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>
      <c r="A115" s="62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>
      <c r="A116" s="62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>
      <c r="A117" s="62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>
      <c r="A118" s="62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>
      <c r="A119" s="62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>
      <c r="A120" s="62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>
      <c r="A121" s="62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>
      <c r="A122" s="62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>
      <c r="A123" s="62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>
      <c r="A124" s="62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>
      <c r="A125" s="62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>
      <c r="A126" s="62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>
      <c r="A127" s="62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>
      <c r="A128" s="62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>
      <c r="A129" s="62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>
      <c r="A130" s="62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>
      <c r="A131" s="62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>
      <c r="A132" s="62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>
      <c r="A133" s="62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>
      <c r="A134" s="62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>
      <c r="A135" s="62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>
      <c r="A136" s="62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>
      <c r="A137" s="62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>
      <c r="A138" s="62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>
      <c r="A139" s="62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>
      <c r="A140" s="62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>
      <c r="A141" s="62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>
      <c r="A142" s="62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>
      <c r="A143" s="62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>
      <c r="A144" s="62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>
      <c r="A145" s="62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>
      <c r="A146" s="62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>
      <c r="A147" s="62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>
      <c r="A148" s="62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>
      <c r="A149" s="62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>
      <c r="A150" s="62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>
      <c r="A151" s="62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>
      <c r="A152" s="62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>
      <c r="A153" s="62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>
      <c r="A154" s="62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>
      <c r="A155" s="62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>
      <c r="A156" s="62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>
      <c r="A157" s="62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>
      <c r="A158" s="62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>
      <c r="A159" s="62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>
      <c r="A160" s="62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>
      <c r="A161" s="62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>
      <c r="A162" s="62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>
      <c r="A163" s="62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>
      <c r="A164" s="62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>
      <c r="A165" s="62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>
      <c r="A166" s="62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>
      <c r="A167" s="62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>
      <c r="A168" s="62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>
      <c r="A169" s="62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>
      <c r="A170" s="62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>
      <c r="A171" s="62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>
      <c r="A172" s="62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>
      <c r="A173" s="62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>
      <c r="A174" s="62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>
      <c r="A175" s="62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>
      <c r="A176" s="62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>
      <c r="A177" s="62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>
      <c r="A178" s="62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>
      <c r="A179" s="62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>
      <c r="A180" s="62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>
      <c r="A181" s="62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>
      <c r="A182" s="62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>
      <c r="A183" s="62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>
      <c r="A184" s="62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>
      <c r="A185" s="62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>
      <c r="A186" s="62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>
      <c r="A187" s="62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>
      <c r="A188" s="62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>
      <c r="A189" s="62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>
      <c r="A190" s="62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>
      <c r="A191" s="62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>
      <c r="A192" s="62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>
      <c r="A193" s="62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>
      <c r="A194" s="62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>
      <c r="A195" s="62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>
      <c r="A196" s="62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>
      <c r="A197" s="62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>
      <c r="A198" s="62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>
      <c r="A199" s="62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>
      <c r="A200" s="62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>
      <c r="A201" s="62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>
      <c r="A202" s="62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>
      <c r="A203" s="62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>
      <c r="A204" s="62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>
      <c r="A205" s="62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>
      <c r="A206" s="62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>
      <c r="A207" s="62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>
      <c r="A208" s="62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>
      <c r="A209" s="62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>
      <c r="A210" s="62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>
      <c r="A211" s="62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>
      <c r="A212" s="62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>
      <c r="A213" s="62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>
      <c r="A214" s="62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>
      <c r="A215" s="62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>
      <c r="A216" s="62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>
      <c r="A217" s="62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>
      <c r="A218" s="62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>
      <c r="A219" s="62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>
      <c r="A220" s="62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>
      <c r="A221" s="62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>
      <c r="A222" s="62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>
      <c r="A223" s="62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>
      <c r="A224" s="62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>
      <c r="A225" s="62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>
      <c r="A226" s="62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</row>
    <row r="227">
      <c r="A227" s="62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</row>
    <row r="228">
      <c r="A228" s="62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>
      <c r="A229" s="62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</row>
    <row r="230">
      <c r="A230" s="62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</row>
    <row r="231">
      <c r="A231" s="62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</row>
    <row r="232">
      <c r="A232" s="62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</row>
    <row r="233">
      <c r="A233" s="62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>
      <c r="A234" s="62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</row>
    <row r="235">
      <c r="A235" s="62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</row>
    <row r="236">
      <c r="A236" s="62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</row>
    <row r="237">
      <c r="A237" s="62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</row>
    <row r="238">
      <c r="A238" s="62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</row>
    <row r="239">
      <c r="A239" s="62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</row>
    <row r="240">
      <c r="A240" s="62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</row>
    <row r="241">
      <c r="A241" s="62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</row>
    <row r="242">
      <c r="A242" s="62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</row>
    <row r="243">
      <c r="A243" s="62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>
      <c r="A244" s="62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>
      <c r="A245" s="62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</row>
    <row r="246">
      <c r="A246" s="62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</row>
    <row r="247">
      <c r="A247" s="62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</row>
    <row r="248">
      <c r="A248" s="62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</row>
    <row r="249">
      <c r="A249" s="62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</row>
    <row r="250">
      <c r="A250" s="62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</row>
    <row r="251">
      <c r="A251" s="62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</row>
    <row r="252">
      <c r="A252" s="62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</row>
    <row r="253">
      <c r="A253" s="62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</row>
    <row r="254">
      <c r="A254" s="62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</row>
    <row r="255">
      <c r="A255" s="62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</row>
    <row r="256">
      <c r="A256" s="62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</row>
    <row r="257">
      <c r="A257" s="62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</row>
    <row r="258">
      <c r="A258" s="62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</row>
    <row r="259">
      <c r="A259" s="62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</row>
    <row r="260">
      <c r="A260" s="62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</row>
    <row r="261">
      <c r="A261" s="62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</row>
    <row r="262">
      <c r="A262" s="62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</row>
    <row r="263">
      <c r="A263" s="62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</row>
    <row r="264">
      <c r="A264" s="62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</row>
    <row r="265">
      <c r="A265" s="62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</row>
    <row r="266">
      <c r="A266" s="62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</row>
    <row r="267">
      <c r="A267" s="62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</row>
    <row r="268">
      <c r="A268" s="62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</row>
    <row r="269">
      <c r="A269" s="62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>
      <c r="A270" s="62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</row>
    <row r="271">
      <c r="A271" s="62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>
      <c r="A272" s="62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</row>
    <row r="273">
      <c r="A273" s="62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</row>
    <row r="274">
      <c r="A274" s="62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</row>
    <row r="275">
      <c r="A275" s="62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</row>
    <row r="276">
      <c r="A276" s="62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</row>
    <row r="277">
      <c r="A277" s="62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</row>
    <row r="278">
      <c r="A278" s="62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</row>
    <row r="279">
      <c r="A279" s="62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</row>
    <row r="280">
      <c r="A280" s="62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</row>
    <row r="281">
      <c r="A281" s="62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</row>
    <row r="282">
      <c r="A282" s="62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>
      <c r="A283" s="62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>
      <c r="A284" s="62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>
      <c r="A285" s="62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>
      <c r="A286" s="62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>
      <c r="A287" s="62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>
      <c r="A288" s="62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>
      <c r="A289" s="62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>
      <c r="A290" s="62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>
      <c r="A291" s="62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>
      <c r="A292" s="62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>
      <c r="A293" s="62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>
      <c r="A294" s="62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>
      <c r="A295" s="62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>
      <c r="A296" s="62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>
      <c r="A297" s="62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>
      <c r="A298" s="62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>
      <c r="A299" s="62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>
      <c r="A300" s="62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>
      <c r="A301" s="62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>
      <c r="A302" s="62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>
      <c r="A303" s="62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>
      <c r="A304" s="62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>
      <c r="A305" s="62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>
      <c r="A306" s="62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>
      <c r="A307" s="62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>
      <c r="A308" s="62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>
      <c r="A309" s="62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>
      <c r="A310" s="62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>
      <c r="A311" s="62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>
      <c r="A312" s="62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>
      <c r="A313" s="62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>
      <c r="A314" s="62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>
      <c r="A315" s="62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>
      <c r="A316" s="62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>
      <c r="A317" s="62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>
      <c r="A318" s="62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>
      <c r="A319" s="62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>
      <c r="A320" s="62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>
      <c r="A321" s="62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>
      <c r="A322" s="62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>
      <c r="A323" s="62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>
      <c r="A324" s="62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>
      <c r="A325" s="62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>
      <c r="A326" s="62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>
      <c r="A327" s="62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>
      <c r="A328" s="62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>
      <c r="A329" s="62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>
      <c r="A330" s="62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>
      <c r="A331" s="62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>
      <c r="A332" s="62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>
      <c r="A333" s="62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>
      <c r="A334" s="62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>
      <c r="A335" s="62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>
      <c r="A336" s="62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>
      <c r="A337" s="62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>
      <c r="A338" s="62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>
      <c r="A339" s="62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>
      <c r="A340" s="62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>
      <c r="A341" s="62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>
      <c r="A342" s="62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>
      <c r="A343" s="62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>
      <c r="A344" s="62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>
      <c r="A345" s="62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>
      <c r="A346" s="62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>
      <c r="A347" s="62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>
      <c r="A348" s="62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>
      <c r="A349" s="62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>
      <c r="A350" s="62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>
      <c r="A351" s="62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>
      <c r="A352" s="62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>
      <c r="A353" s="62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>
      <c r="A354" s="62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>
      <c r="A355" s="62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>
      <c r="A356" s="62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>
      <c r="A357" s="62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>
      <c r="A358" s="62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>
      <c r="A359" s="62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>
      <c r="A360" s="62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>
      <c r="A361" s="62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>
      <c r="A362" s="62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>
      <c r="A363" s="62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>
      <c r="A364" s="62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>
      <c r="A365" s="62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>
      <c r="A366" s="62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>
      <c r="A367" s="62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>
      <c r="A368" s="62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>
      <c r="A369" s="62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>
      <c r="A370" s="62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>
      <c r="A371" s="62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>
      <c r="A372" s="62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>
      <c r="A373" s="62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>
      <c r="A374" s="62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>
      <c r="A375" s="62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>
      <c r="A376" s="62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>
      <c r="A377" s="62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>
      <c r="A378" s="62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>
      <c r="A379" s="62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>
      <c r="A380" s="62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>
      <c r="A381" s="62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>
      <c r="A382" s="62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>
      <c r="A383" s="62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>
      <c r="A384" s="62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>
      <c r="A385" s="62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>
      <c r="A386" s="62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>
      <c r="A387" s="62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>
      <c r="A388" s="62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>
      <c r="A389" s="62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>
      <c r="A390" s="62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>
      <c r="A391" s="62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>
      <c r="A392" s="62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>
      <c r="A393" s="62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>
      <c r="A394" s="62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>
      <c r="A395" s="62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>
      <c r="A396" s="62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>
      <c r="A397" s="62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>
      <c r="A398" s="62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>
      <c r="A399" s="62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>
      <c r="A400" s="62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>
      <c r="A401" s="62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>
      <c r="A402" s="62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>
      <c r="A403" s="62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>
      <c r="A404" s="62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>
      <c r="A405" s="62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>
      <c r="A406" s="62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>
      <c r="A407" s="62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>
      <c r="A408" s="62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>
      <c r="A409" s="62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>
      <c r="A410" s="62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>
      <c r="A411" s="62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>
      <c r="A412" s="62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>
      <c r="A413" s="62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>
      <c r="A414" s="62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>
      <c r="A415" s="62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>
      <c r="A416" s="62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>
      <c r="A417" s="62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>
      <c r="A418" s="62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>
      <c r="A419" s="62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>
      <c r="A420" s="62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>
      <c r="A421" s="62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>
      <c r="A422" s="62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>
      <c r="A423" s="62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>
      <c r="A424" s="62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>
      <c r="A425" s="62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>
      <c r="A426" s="62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>
      <c r="A427" s="62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>
      <c r="A428" s="62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>
      <c r="A429" s="62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>
      <c r="A430" s="62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>
      <c r="A431" s="62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>
      <c r="A432" s="62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>
      <c r="A433" s="62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>
      <c r="A434" s="62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>
      <c r="A435" s="62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>
      <c r="A436" s="62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>
      <c r="A437" s="62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>
      <c r="A438" s="62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>
      <c r="A439" s="62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>
      <c r="A440" s="62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>
      <c r="A441" s="62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>
      <c r="A442" s="62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>
      <c r="A443" s="62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>
      <c r="A444" s="62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>
      <c r="A445" s="62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>
      <c r="A446" s="62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>
      <c r="A447" s="62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>
      <c r="A448" s="62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>
      <c r="A449" s="62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>
      <c r="A450" s="62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>
      <c r="A451" s="62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>
      <c r="A452" s="62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>
      <c r="A453" s="62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>
      <c r="A454" s="62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>
      <c r="A455" s="62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>
      <c r="A456" s="62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>
      <c r="A457" s="62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>
      <c r="A458" s="62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>
      <c r="A459" s="62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>
      <c r="A460" s="62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>
      <c r="A461" s="62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>
      <c r="A462" s="62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>
      <c r="A463" s="62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>
      <c r="A464" s="62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>
      <c r="A465" s="62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>
      <c r="A466" s="62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>
      <c r="A467" s="62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>
      <c r="A468" s="62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>
      <c r="A469" s="62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>
      <c r="A470" s="62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>
      <c r="A471" s="62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>
      <c r="A472" s="62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>
      <c r="A473" s="62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>
      <c r="A474" s="62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>
      <c r="A475" s="62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>
      <c r="A476" s="62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>
      <c r="A477" s="62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>
      <c r="A478" s="62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>
      <c r="A479" s="62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>
      <c r="A480" s="62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>
      <c r="A481" s="62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>
      <c r="A482" s="62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>
      <c r="A483" s="62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>
      <c r="A484" s="62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>
      <c r="A485" s="62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>
      <c r="A486" s="62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>
      <c r="A487" s="62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>
      <c r="A488" s="62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>
      <c r="A489" s="62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>
      <c r="A490" s="62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>
      <c r="A491" s="62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>
      <c r="A492" s="62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>
      <c r="A493" s="62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>
      <c r="A494" s="62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>
      <c r="A495" s="62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>
      <c r="A496" s="62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>
      <c r="A497" s="62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>
      <c r="A498" s="62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>
      <c r="A499" s="62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>
      <c r="A500" s="62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>
      <c r="A501" s="62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>
      <c r="A502" s="62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>
      <c r="A503" s="62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>
      <c r="A504" s="62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>
      <c r="A505" s="62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>
      <c r="A506" s="62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>
      <c r="A507" s="62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>
      <c r="A508" s="62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>
      <c r="A509" s="62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>
      <c r="A510" s="62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>
      <c r="A511" s="62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>
      <c r="A512" s="62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>
      <c r="A513" s="62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>
      <c r="A514" s="62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>
      <c r="A515" s="62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>
      <c r="A516" s="62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>
      <c r="A517" s="62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>
      <c r="A518" s="62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>
      <c r="A519" s="62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>
      <c r="A520" s="62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>
      <c r="A521" s="62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>
      <c r="A522" s="62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>
      <c r="A523" s="62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>
      <c r="A524" s="62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>
      <c r="A525" s="62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>
      <c r="A526" s="62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>
      <c r="A527" s="62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>
      <c r="A528" s="62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>
      <c r="A529" s="62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>
      <c r="A530" s="62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>
      <c r="A531" s="62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>
      <c r="A532" s="62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>
      <c r="A533" s="62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>
      <c r="A534" s="62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>
      <c r="A535" s="62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>
      <c r="A536" s="62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>
      <c r="A537" s="62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>
      <c r="A538" s="62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>
      <c r="A539" s="62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>
      <c r="A540" s="62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>
      <c r="A541" s="62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>
      <c r="A542" s="62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>
      <c r="A543" s="62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>
      <c r="A544" s="62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>
      <c r="A545" s="62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>
      <c r="A546" s="62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>
      <c r="A547" s="62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>
      <c r="A548" s="62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>
      <c r="A549" s="62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>
      <c r="A550" s="62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>
      <c r="A551" s="62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>
      <c r="A552" s="62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>
      <c r="A553" s="62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>
      <c r="A554" s="62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>
      <c r="A555" s="62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>
      <c r="A556" s="62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>
      <c r="A557" s="62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>
      <c r="A558" s="62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>
      <c r="A559" s="62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>
      <c r="A560" s="62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>
      <c r="A561" s="62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>
      <c r="A562" s="62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>
      <c r="A563" s="62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>
      <c r="A564" s="62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>
      <c r="A565" s="62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>
      <c r="A566" s="62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>
      <c r="A567" s="62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>
      <c r="A568" s="62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>
      <c r="A569" s="62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>
      <c r="A570" s="62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>
      <c r="A571" s="62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>
      <c r="A572" s="62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>
      <c r="A573" s="62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>
      <c r="A574" s="62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>
      <c r="A575" s="62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>
      <c r="A576" s="62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>
      <c r="A577" s="62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>
      <c r="A578" s="62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>
      <c r="A579" s="62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>
      <c r="A580" s="62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>
      <c r="A581" s="62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>
      <c r="A582" s="62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>
      <c r="A583" s="62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>
      <c r="A584" s="62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>
      <c r="A585" s="62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>
      <c r="A586" s="62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>
      <c r="A587" s="62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>
      <c r="A588" s="62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>
      <c r="A589" s="62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>
      <c r="A590" s="62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>
      <c r="A591" s="62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>
      <c r="A592" s="62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>
      <c r="A593" s="62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>
      <c r="A594" s="62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>
      <c r="A595" s="62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>
      <c r="A596" s="62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>
      <c r="A597" s="62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>
      <c r="A598" s="62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>
      <c r="A599" s="62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>
      <c r="A600" s="62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>
      <c r="A601" s="62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>
      <c r="A602" s="62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>
      <c r="A603" s="62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>
      <c r="A604" s="62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>
      <c r="A605" s="62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>
      <c r="A606" s="62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>
      <c r="A607" s="62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>
      <c r="A608" s="62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>
      <c r="A609" s="62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>
      <c r="A610" s="62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>
      <c r="A611" s="62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>
      <c r="A612" s="62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>
      <c r="A613" s="62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>
      <c r="A614" s="62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>
      <c r="A615" s="62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>
      <c r="A616" s="62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>
      <c r="A617" s="62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>
      <c r="A618" s="62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>
      <c r="A619" s="62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>
      <c r="A620" s="62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>
      <c r="A621" s="62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>
      <c r="A622" s="62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>
      <c r="A623" s="62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>
      <c r="A624" s="62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>
      <c r="A625" s="62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>
      <c r="A626" s="62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>
      <c r="A627" s="62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>
      <c r="A628" s="62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>
      <c r="A629" s="62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>
      <c r="A630" s="62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>
      <c r="A631" s="62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>
      <c r="A632" s="62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>
      <c r="A633" s="62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>
      <c r="A634" s="62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>
      <c r="A635" s="62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>
      <c r="A636" s="62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>
      <c r="A637" s="62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>
      <c r="A638" s="62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>
      <c r="A639" s="62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>
      <c r="A640" s="62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>
      <c r="A641" s="62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>
      <c r="A642" s="62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>
      <c r="A643" s="62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>
      <c r="A644" s="62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>
      <c r="A645" s="62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>
      <c r="A646" s="62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>
      <c r="A647" s="62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>
      <c r="A648" s="62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>
      <c r="A649" s="62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>
      <c r="A650" s="62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>
      <c r="A651" s="62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>
      <c r="A652" s="62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>
      <c r="A653" s="62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>
      <c r="A654" s="62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>
      <c r="A655" s="62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>
      <c r="A656" s="62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>
      <c r="A657" s="62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>
      <c r="A658" s="62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>
      <c r="A659" s="62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>
      <c r="A660" s="62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>
      <c r="A661" s="62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>
      <c r="A662" s="62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>
      <c r="A663" s="62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>
      <c r="A664" s="62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>
      <c r="A665" s="62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>
      <c r="A666" s="62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>
      <c r="A667" s="62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>
      <c r="A668" s="62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>
      <c r="A669" s="62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>
      <c r="A670" s="62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>
      <c r="A671" s="62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>
      <c r="A672" s="62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>
      <c r="A673" s="62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>
      <c r="A674" s="62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>
      <c r="A675" s="62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>
      <c r="A676" s="62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>
      <c r="A677" s="62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>
      <c r="A678" s="62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>
      <c r="A679" s="62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>
      <c r="A680" s="62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>
      <c r="A681" s="62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>
      <c r="A682" s="62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>
      <c r="A683" s="62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>
      <c r="A684" s="62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>
      <c r="A685" s="62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>
      <c r="A686" s="62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>
      <c r="A687" s="62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>
      <c r="A688" s="62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>
      <c r="A689" s="62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>
      <c r="A690" s="62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>
      <c r="A691" s="62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>
      <c r="A692" s="62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>
      <c r="A693" s="62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>
      <c r="A694" s="62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>
      <c r="A695" s="62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>
      <c r="A696" s="62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>
      <c r="A697" s="62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>
      <c r="A698" s="62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>
      <c r="A699" s="62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>
      <c r="A700" s="62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>
      <c r="A701" s="62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>
      <c r="A702" s="62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>
      <c r="A703" s="62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>
      <c r="A704" s="62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>
      <c r="A705" s="62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>
      <c r="A706" s="62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>
      <c r="A707" s="62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>
      <c r="A708" s="62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>
      <c r="A709" s="62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>
      <c r="A710" s="62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>
      <c r="A711" s="62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>
      <c r="A712" s="62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>
      <c r="A713" s="62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>
      <c r="A714" s="62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>
      <c r="A715" s="62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>
      <c r="A716" s="62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>
      <c r="A717" s="62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>
      <c r="A718" s="62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>
      <c r="A719" s="62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>
      <c r="A720" s="62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>
      <c r="A721" s="62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>
      <c r="A722" s="62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>
      <c r="A723" s="62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>
      <c r="A724" s="62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>
      <c r="A725" s="62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>
      <c r="A726" s="62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>
      <c r="A727" s="62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>
      <c r="A728" s="62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>
      <c r="A729" s="62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>
      <c r="A730" s="62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>
      <c r="A731" s="62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>
      <c r="A732" s="62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>
      <c r="A733" s="62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>
      <c r="A734" s="62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>
      <c r="A735" s="62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>
      <c r="A736" s="62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>
      <c r="A737" s="62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>
      <c r="A738" s="62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>
      <c r="A739" s="62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>
      <c r="A740" s="62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>
      <c r="A741" s="62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>
      <c r="A742" s="62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>
      <c r="A743" s="62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>
      <c r="A744" s="62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>
      <c r="A745" s="62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>
      <c r="A746" s="62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>
      <c r="A747" s="62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>
      <c r="A748" s="62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>
      <c r="A749" s="62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>
      <c r="A750" s="62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>
      <c r="A751" s="62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>
      <c r="A752" s="62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>
      <c r="A753" s="62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>
      <c r="A754" s="62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>
      <c r="A755" s="62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>
      <c r="A756" s="62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>
      <c r="A757" s="62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>
      <c r="A758" s="62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>
      <c r="A759" s="62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>
      <c r="A760" s="62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>
      <c r="A761" s="62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>
      <c r="A762" s="62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>
      <c r="A763" s="62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>
      <c r="A764" s="62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>
      <c r="A765" s="62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>
      <c r="A766" s="62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>
      <c r="A767" s="62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>
      <c r="A768" s="62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>
      <c r="A769" s="62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>
      <c r="A770" s="62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>
      <c r="A771" s="62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>
      <c r="A772" s="62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>
      <c r="A773" s="62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>
      <c r="A774" s="62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>
      <c r="A775" s="62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>
      <c r="A776" s="62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>
      <c r="A777" s="62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>
      <c r="A778" s="62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>
      <c r="A779" s="62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>
      <c r="A780" s="62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>
      <c r="A781" s="62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>
      <c r="A782" s="62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>
      <c r="A783" s="62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>
      <c r="A784" s="62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>
      <c r="A785" s="62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>
      <c r="A786" s="62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>
      <c r="A787" s="62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>
      <c r="A788" s="62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>
      <c r="A789" s="62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>
      <c r="A790" s="62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>
      <c r="A791" s="62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>
      <c r="A792" s="62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>
      <c r="A793" s="62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>
      <c r="A794" s="62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>
      <c r="A795" s="62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>
      <c r="A796" s="62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>
      <c r="A797" s="62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>
      <c r="A798" s="62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>
      <c r="A799" s="62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>
      <c r="A800" s="62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>
      <c r="A801" s="62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>
      <c r="A802" s="62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>
      <c r="A803" s="62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>
      <c r="A804" s="62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>
      <c r="A805" s="62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>
      <c r="A806" s="62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>
      <c r="A807" s="62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>
      <c r="A808" s="62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>
      <c r="A809" s="62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>
      <c r="A810" s="62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>
      <c r="A811" s="62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>
      <c r="A812" s="62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>
      <c r="A813" s="62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>
      <c r="A814" s="62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>
      <c r="A815" s="62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>
      <c r="A816" s="62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>
      <c r="A817" s="62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>
      <c r="A818" s="62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>
      <c r="A819" s="62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>
      <c r="A820" s="62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>
      <c r="A821" s="62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>
      <c r="A822" s="62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>
      <c r="A823" s="62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>
      <c r="A824" s="62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>
      <c r="A825" s="62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>
      <c r="A826" s="62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>
      <c r="A827" s="62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>
      <c r="A828" s="62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>
      <c r="A829" s="62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>
      <c r="A830" s="62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>
      <c r="A831" s="62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>
      <c r="A832" s="62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>
      <c r="A833" s="62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>
      <c r="A834" s="62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>
      <c r="A835" s="62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>
      <c r="A836" s="62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>
      <c r="A837" s="62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>
      <c r="A838" s="62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>
      <c r="A839" s="62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>
      <c r="A840" s="62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>
      <c r="A841" s="62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>
      <c r="A842" s="62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>
      <c r="A843" s="62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>
      <c r="A844" s="62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>
      <c r="A845" s="62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>
      <c r="A846" s="62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>
      <c r="A847" s="62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>
      <c r="A848" s="62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>
      <c r="A849" s="62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>
      <c r="A850" s="62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>
      <c r="A851" s="62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>
      <c r="A852" s="62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>
      <c r="A853" s="62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>
      <c r="A854" s="62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>
      <c r="A855" s="62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>
      <c r="A856" s="62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>
      <c r="A857" s="62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>
      <c r="A858" s="62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>
      <c r="A859" s="62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>
      <c r="A860" s="62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>
      <c r="A861" s="62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>
      <c r="A862" s="62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>
      <c r="A863" s="62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>
      <c r="A864" s="62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>
      <c r="A865" s="62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>
      <c r="A866" s="62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>
      <c r="A867" s="62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>
      <c r="A868" s="62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>
      <c r="A869" s="62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>
      <c r="A870" s="62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>
      <c r="A871" s="62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>
      <c r="A872" s="62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>
      <c r="A873" s="62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>
      <c r="A874" s="62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>
      <c r="A875" s="62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>
      <c r="A876" s="62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>
      <c r="A877" s="62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>
      <c r="A878" s="62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>
      <c r="A879" s="62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>
      <c r="A880" s="62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>
      <c r="A881" s="62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>
      <c r="A882" s="62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>
      <c r="A883" s="62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>
      <c r="A884" s="62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>
      <c r="A885" s="62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>
      <c r="A886" s="62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>
      <c r="A887" s="62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>
      <c r="A888" s="62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>
      <c r="A889" s="62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>
      <c r="A890" s="62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>
      <c r="A891" s="62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>
      <c r="A892" s="62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>
      <c r="A893" s="62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>
      <c r="A894" s="62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>
      <c r="A895" s="62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>
      <c r="A896" s="62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>
      <c r="A897" s="62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>
      <c r="A898" s="62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>
      <c r="A899" s="62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>
      <c r="A900" s="62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>
      <c r="A901" s="62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>
      <c r="A902" s="62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>
      <c r="A903" s="62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>
      <c r="A904" s="62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>
      <c r="A905" s="62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>
      <c r="A906" s="62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>
      <c r="A907" s="62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>
      <c r="A908" s="62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>
      <c r="A909" s="62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>
      <c r="A910" s="62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>
      <c r="A911" s="62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>
      <c r="A912" s="62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>
      <c r="A913" s="62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>
      <c r="A914" s="62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>
      <c r="A915" s="62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>
      <c r="A916" s="62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>
      <c r="A917" s="62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>
      <c r="A918" s="62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>
      <c r="A919" s="62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>
      <c r="A920" s="62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>
      <c r="A921" s="62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>
      <c r="A922" s="62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>
      <c r="A923" s="62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>
      <c r="A924" s="62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>
      <c r="A925" s="62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>
      <c r="A926" s="62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>
      <c r="A927" s="62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>
      <c r="A928" s="62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>
      <c r="A929" s="62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>
      <c r="A930" s="62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>
      <c r="A931" s="62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>
      <c r="A932" s="62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>
      <c r="A933" s="62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>
      <c r="A934" s="62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>
      <c r="A935" s="62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>
      <c r="A936" s="62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>
      <c r="A937" s="62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>
      <c r="A938" s="62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>
      <c r="A939" s="62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>
      <c r="A940" s="62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>
      <c r="A941" s="62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>
      <c r="A942" s="62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>
      <c r="A943" s="62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>
      <c r="A944" s="62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>
      <c r="A945" s="62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>
      <c r="A946" s="62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>
      <c r="A947" s="62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>
      <c r="A948" s="62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>
      <c r="A949" s="62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>
      <c r="A950" s="62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>
      <c r="A951" s="62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>
      <c r="A952" s="62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>
      <c r="A953" s="62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>
      <c r="A954" s="62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>
      <c r="A955" s="62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>
      <c r="A956" s="62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>
      <c r="A957" s="62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>
      <c r="A958" s="62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>
      <c r="A959" s="62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>
      <c r="A960" s="62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>
      <c r="A961" s="62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>
      <c r="A962" s="62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>
      <c r="A963" s="62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>
      <c r="A964" s="62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>
      <c r="A965" s="62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>
      <c r="A966" s="62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>
      <c r="A967" s="62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>
      <c r="A968" s="62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>
      <c r="A969" s="62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>
      <c r="A970" s="62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>
      <c r="A971" s="62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>
      <c r="A972" s="62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>
      <c r="A973" s="62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>
      <c r="A974" s="62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>
      <c r="A975" s="62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>
      <c r="A976" s="62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>
      <c r="A977" s="62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>
      <c r="A978" s="62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>
      <c r="A979" s="62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>
      <c r="A980" s="62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>
      <c r="A981" s="62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>
      <c r="A982" s="62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>
      <c r="A983" s="62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>
      <c r="A984" s="62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>
      <c r="A985" s="62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>
      <c r="A986" s="62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>
      <c r="A987" s="62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>
      <c r="A988" s="62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>
      <c r="A989" s="62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>
      <c r="A990" s="62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>
      <c r="A991" s="62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>
      <c r="A992" s="62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>
      <c r="A993" s="62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>
      <c r="A994" s="62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>
      <c r="A995" s="62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22.13"/>
  </cols>
  <sheetData>
    <row r="1">
      <c r="A1" s="63" t="s">
        <v>216</v>
      </c>
      <c r="B1" s="63" t="s">
        <v>217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tr">
        <f>IFERROR(__xludf.DUMMYFUNCTION("transpose(HSTACK(
FILTER(Router!D1:EA1, Router!D1:EA1&lt;&gt;""""),
FILTER(SwitchCampus!D1:DO1, SwitchCampus!D1:DO1&lt;&gt;""""),
FILTER(NexusSwitch!D1:CY1, NexusSwitch!D1:CY1&lt;&gt;""""),
FILTER(ModularSwitch!D1:CX1, ModularSwitch!D1:CX1&lt;&gt;""""),
FILTER(WiFi!D1:CO1, WiFi!"&amp;"D1:CO1&lt;&gt;""""),
FILTER(SFP!D1:CP1, SFP!D1:CP1&lt;&gt;"""")
))"),"C1161-8P")</f>
        <v>C1161-8P</v>
      </c>
      <c r="B2" s="21">
        <f>if(A2&lt;&gt;"",countif(AllListPrice!A:A,A2),"")</f>
        <v>1</v>
      </c>
    </row>
    <row r="3">
      <c r="A3" s="29" t="str">
        <f>IFERROR(__xludf.DUMMYFUNCTION("""COMPUTED_VALUE"""),"C1161X-8P")</f>
        <v>C1161X-8P</v>
      </c>
      <c r="B3" s="21">
        <f>if(A3&lt;&gt;"",countif(AllListPrice!A:A,A3),"")</f>
        <v>1</v>
      </c>
    </row>
    <row r="4">
      <c r="A4" s="29" t="str">
        <f>IFERROR(__xludf.DUMMYFUNCTION("""COMPUTED_VALUE"""),"C1131-8PWS")</f>
        <v>C1131-8PWS</v>
      </c>
      <c r="B4" s="21">
        <f>if(A4&lt;&gt;"",countif(AllListPrice!A:A,A4),"")</f>
        <v>1</v>
      </c>
    </row>
    <row r="5">
      <c r="A5" s="29" t="str">
        <f>IFERROR(__xludf.DUMMYFUNCTION("""COMPUTED_VALUE"""),"C1131X-8PWS")</f>
        <v>C1131X-8PWS</v>
      </c>
      <c r="B5" s="21">
        <f>if(A5&lt;&gt;"",countif(AllListPrice!A:A,A5),"")</f>
        <v>1</v>
      </c>
    </row>
    <row r="6">
      <c r="A6" s="29" t="str">
        <f>IFERROR(__xludf.DUMMYFUNCTION("""COMPUTED_VALUE"""),"C1121-4P")</f>
        <v>C1121-4P</v>
      </c>
      <c r="B6" s="21">
        <f>if(A6&lt;&gt;"",countif(AllListPrice!A:A,A6),"")</f>
        <v>1</v>
      </c>
    </row>
    <row r="7">
      <c r="A7" s="29" t="str">
        <f>IFERROR(__xludf.DUMMYFUNCTION("""COMPUTED_VALUE"""),"C1121-8P")</f>
        <v>C1121-8P</v>
      </c>
      <c r="B7" s="21">
        <f>if(A7&lt;&gt;"",countif(AllListPrice!A:A,A7),"")</f>
        <v>1</v>
      </c>
    </row>
    <row r="8">
      <c r="A8" s="29" t="str">
        <f>IFERROR(__xludf.DUMMYFUNCTION("""COMPUTED_VALUE"""),"C1127-8PLTEP")</f>
        <v>C1127-8PLTEP</v>
      </c>
      <c r="B8" s="21">
        <f>if(A8&lt;&gt;"",countif(AllListPrice!A:A,A8),"")</f>
        <v>1</v>
      </c>
    </row>
    <row r="9">
      <c r="A9" s="29" t="str">
        <f>IFERROR(__xludf.DUMMYFUNCTION("""COMPUTED_VALUE"""),"C1116-4P")</f>
        <v>C1116-4P</v>
      </c>
      <c r="B9" s="21">
        <f>if(A9&lt;&gt;"",countif(AllListPrice!A:A,A9),"")</f>
        <v>1</v>
      </c>
    </row>
    <row r="10">
      <c r="A10" s="29" t="str">
        <f>IFERROR(__xludf.DUMMYFUNCTION("""COMPUTED_VALUE"""),"C1117-4P")</f>
        <v>C1117-4P</v>
      </c>
      <c r="B10" s="21">
        <f>if(A10&lt;&gt;"",countif(AllListPrice!A:A,A10),"")</f>
        <v>1</v>
      </c>
    </row>
    <row r="11">
      <c r="A11" s="29" t="str">
        <f>IFERROR(__xludf.DUMMYFUNCTION("""COMPUTED_VALUE"""),"C1112-8P")</f>
        <v>C1112-8P</v>
      </c>
      <c r="B11" s="21">
        <f>if(A11&lt;&gt;"",countif(AllListPrice!A:A,A11),"")</f>
        <v>1</v>
      </c>
    </row>
    <row r="12">
      <c r="A12" s="29" t="str">
        <f>IFERROR(__xludf.DUMMYFUNCTION("""COMPUTED_VALUE"""),"C1109-4PLTE2P")</f>
        <v>C1109-4PLTE2P</v>
      </c>
      <c r="B12" s="21">
        <f>if(A12&lt;&gt;"",countif(AllListPrice!A:A,A12),"")</f>
        <v>1</v>
      </c>
    </row>
    <row r="13">
      <c r="A13" s="29" t="str">
        <f>IFERROR(__xludf.DUMMYFUNCTION("""COMPUTED_VALUE"""),"C8200L-1N-4T")</f>
        <v>C8200L-1N-4T</v>
      </c>
      <c r="B13" s="21">
        <f>if(A13&lt;&gt;"",countif(AllListPrice!A:A,A13),"")</f>
        <v>1</v>
      </c>
    </row>
    <row r="14">
      <c r="A14" s="29" t="str">
        <f>IFERROR(__xludf.DUMMYFUNCTION("""COMPUTED_VALUE"""),"C8200-1N-4T")</f>
        <v>C8200-1N-4T</v>
      </c>
      <c r="B14" s="21">
        <f>if(A14&lt;&gt;"",countif(AllListPrice!A:A,A14),"")</f>
        <v>1</v>
      </c>
    </row>
    <row r="15">
      <c r="A15" s="29" t="str">
        <f>IFERROR(__xludf.DUMMYFUNCTION("""COMPUTED_VALUE"""),"C8300-1N1S-6T")</f>
        <v>C8300-1N1S-6T</v>
      </c>
      <c r="B15" s="21">
        <f>if(A15&lt;&gt;"",countif(AllListPrice!A:A,A15),"")</f>
        <v>1</v>
      </c>
    </row>
    <row r="16">
      <c r="A16" s="29" t="str">
        <f>IFERROR(__xludf.DUMMYFUNCTION("""COMPUTED_VALUE"""),"C8300-2N2S-6T")</f>
        <v>C8300-2N2S-6T</v>
      </c>
      <c r="B16" s="21">
        <f>if(A16&lt;&gt;"",countif(AllListPrice!A:A,A16),"")</f>
        <v>1</v>
      </c>
    </row>
    <row r="17">
      <c r="A17" s="29" t="str">
        <f>IFERROR(__xludf.DUMMYFUNCTION("""COMPUTED_VALUE"""),"C8300-1N1S-4T2X")</f>
        <v>C8300-1N1S-4T2X</v>
      </c>
      <c r="B17" s="21">
        <f>if(A17&lt;&gt;"",countif(AllListPrice!A:A,A17),"")</f>
        <v>1</v>
      </c>
    </row>
    <row r="18">
      <c r="A18" s="29" t="str">
        <f>IFERROR(__xludf.DUMMYFUNCTION("""COMPUTED_VALUE"""),"C8300-2N2S-4T2X")</f>
        <v>C8300-2N2S-4T2X</v>
      </c>
      <c r="B18" s="21">
        <f>if(A18&lt;&gt;"",countif(AllListPrice!A:A,A18),"")</f>
        <v>1</v>
      </c>
    </row>
    <row r="19">
      <c r="A19" s="29" t="str">
        <f>IFERROR(__xludf.DUMMYFUNCTION("""COMPUTED_VALUE"""),"C8500L-8S4X")</f>
        <v>C8500L-8S4X</v>
      </c>
      <c r="B19" s="21">
        <f>if(A19&lt;&gt;"",countif(AllListPrice!A:A,A19),"")</f>
        <v>1</v>
      </c>
    </row>
    <row r="20">
      <c r="A20" s="29" t="str">
        <f>IFERROR(__xludf.DUMMYFUNCTION("""COMPUTED_VALUE"""),"C8500-12X")</f>
        <v>C8500-12X</v>
      </c>
      <c r="B20" s="21">
        <f>if(A20&lt;&gt;"",countif(AllListPrice!A:A,A20),"")</f>
        <v>1</v>
      </c>
    </row>
    <row r="21">
      <c r="A21" s="29" t="str">
        <f>IFERROR(__xludf.DUMMYFUNCTION("""COMPUTED_VALUE"""),"C8500-12X4QC")</f>
        <v>C8500-12X4QC</v>
      </c>
      <c r="B21" s="21">
        <f>if(A21&lt;&gt;"",countif(AllListPrice!A:A,A21),"")</f>
        <v>1</v>
      </c>
    </row>
    <row r="22">
      <c r="A22" s="29" t="str">
        <f>IFERROR(__xludf.DUMMYFUNCTION("""COMPUTED_VALUE"""),"C8500-20X6C")</f>
        <v>C8500-20X6C</v>
      </c>
      <c r="B22" s="21">
        <f>if(A22&lt;&gt;"",countif(AllListPrice!A:A,A22),"")</f>
        <v>1</v>
      </c>
    </row>
    <row r="23">
      <c r="A23" s="29" t="str">
        <f>IFERROR(__xludf.DUMMYFUNCTION("""COMPUTED_VALUE"""),"C1300-8T-E-2G")</f>
        <v>C1300-8T-E-2G</v>
      </c>
      <c r="B23" s="21">
        <f>if(A23&lt;&gt;"",countif(AllListPrice!A:A,A23),"")</f>
        <v>1</v>
      </c>
    </row>
    <row r="24">
      <c r="A24" s="29" t="str">
        <f>IFERROR(__xludf.DUMMYFUNCTION("""COMPUTED_VALUE"""),"C1300-8P-E-2G")</f>
        <v>C1300-8P-E-2G</v>
      </c>
      <c r="B24" s="21">
        <f>if(A24&lt;&gt;"",countif(AllListPrice!A:A,A24),"")</f>
        <v>1</v>
      </c>
    </row>
    <row r="25">
      <c r="A25" s="29" t="str">
        <f>IFERROR(__xludf.DUMMYFUNCTION("""COMPUTED_VALUE"""),"C1300-8FP-2G")</f>
        <v>C1300-8FP-2G</v>
      </c>
      <c r="B25" s="21">
        <f>if(A25&lt;&gt;"",countif(AllListPrice!A:A,A25),"")</f>
        <v>1</v>
      </c>
    </row>
    <row r="26">
      <c r="A26" s="29" t="str">
        <f>IFERROR(__xludf.DUMMYFUNCTION("""COMPUTED_VALUE"""),"C1300-16T-2G")</f>
        <v>C1300-16T-2G</v>
      </c>
      <c r="B26" s="21">
        <f>if(A26&lt;&gt;"",countif(AllListPrice!A:A,A26),"")</f>
        <v>1</v>
      </c>
    </row>
    <row r="27">
      <c r="A27" s="29" t="str">
        <f>IFERROR(__xludf.DUMMYFUNCTION("""COMPUTED_VALUE"""),"C1300-16P-2G")</f>
        <v>C1300-16P-2G</v>
      </c>
      <c r="B27" s="21">
        <f>if(A27&lt;&gt;"",countif(AllListPrice!A:A,A27),"")</f>
        <v>1</v>
      </c>
    </row>
    <row r="28">
      <c r="A28" s="29" t="str">
        <f>IFERROR(__xludf.DUMMYFUNCTION("""COMPUTED_VALUE"""),"C1300-16FP-2G")</f>
        <v>C1300-16FP-2G</v>
      </c>
      <c r="B28" s="21">
        <f>if(A28&lt;&gt;"",countif(AllListPrice!A:A,A28),"")</f>
        <v>1</v>
      </c>
    </row>
    <row r="29">
      <c r="A29" s="29" t="str">
        <f>IFERROR(__xludf.DUMMYFUNCTION("""COMPUTED_VALUE"""),"C1300-24T-4G")</f>
        <v>C1300-24T-4G</v>
      </c>
      <c r="B29" s="21">
        <f>if(A29&lt;&gt;"",countif(AllListPrice!A:A,A29),"")</f>
        <v>1</v>
      </c>
    </row>
    <row r="30">
      <c r="A30" s="29" t="str">
        <f>IFERROR(__xludf.DUMMYFUNCTION("""COMPUTED_VALUE"""),"C1300-24P-4G")</f>
        <v>C1300-24P-4G</v>
      </c>
      <c r="B30" s="21">
        <f>if(A30&lt;&gt;"",countif(AllListPrice!A:A,A30),"")</f>
        <v>1</v>
      </c>
    </row>
    <row r="31">
      <c r="A31" s="29" t="str">
        <f>IFERROR(__xludf.DUMMYFUNCTION("""COMPUTED_VALUE"""),"C1300-24FP-4G")</f>
        <v>C1300-24FP-4G</v>
      </c>
      <c r="B31" s="21">
        <f>if(A31&lt;&gt;"",countif(AllListPrice!A:A,A31),"")</f>
        <v>1</v>
      </c>
    </row>
    <row r="32">
      <c r="A32" s="29" t="str">
        <f>IFERROR(__xludf.DUMMYFUNCTION("""COMPUTED_VALUE"""),"C1300-48T-4G")</f>
        <v>C1300-48T-4G</v>
      </c>
      <c r="B32" s="21">
        <f>if(A32&lt;&gt;"",countif(AllListPrice!A:A,A32),"")</f>
        <v>1</v>
      </c>
    </row>
    <row r="33">
      <c r="A33" s="29" t="str">
        <f>IFERROR(__xludf.DUMMYFUNCTION("""COMPUTED_VALUE"""),"C1300-48P-4G")</f>
        <v>C1300-48P-4G</v>
      </c>
      <c r="B33" s="21">
        <f>if(A33&lt;&gt;"",countif(AllListPrice!A:A,A33),"")</f>
        <v>1</v>
      </c>
    </row>
    <row r="34">
      <c r="A34" s="29" t="str">
        <f>IFERROR(__xludf.DUMMYFUNCTION("""COMPUTED_VALUE"""),"C1300-48FP-4G")</f>
        <v>C1300-48FP-4G</v>
      </c>
      <c r="B34" s="21">
        <f>if(A34&lt;&gt;"",countif(AllListPrice!A:A,A34),"")</f>
        <v>1</v>
      </c>
    </row>
    <row r="35">
      <c r="A35" s="29" t="str">
        <f>IFERROR(__xludf.DUMMYFUNCTION("""COMPUTED_VALUE"""),"C1300-16P-4X")</f>
        <v>C1300-16P-4X</v>
      </c>
      <c r="B35" s="21">
        <f>if(A35&lt;&gt;"",countif(AllListPrice!A:A,A35),"")</f>
        <v>1</v>
      </c>
    </row>
    <row r="36">
      <c r="A36" s="29" t="str">
        <f>IFERROR(__xludf.DUMMYFUNCTION("""COMPUTED_VALUE"""),"C1300-24T-4X")</f>
        <v>C1300-24T-4X</v>
      </c>
      <c r="B36" s="21">
        <f>if(A36&lt;&gt;"",countif(AllListPrice!A:A,A36),"")</f>
        <v>1</v>
      </c>
    </row>
    <row r="37">
      <c r="A37" s="29" t="str">
        <f>IFERROR(__xludf.DUMMYFUNCTION("""COMPUTED_VALUE"""),"C1300-24P-4X")</f>
        <v>C1300-24P-4X</v>
      </c>
      <c r="B37" s="21">
        <f>if(A37&lt;&gt;"",countif(AllListPrice!A:A,A37),"")</f>
        <v>1</v>
      </c>
    </row>
    <row r="38">
      <c r="A38" s="29" t="str">
        <f>IFERROR(__xludf.DUMMYFUNCTION("""COMPUTED_VALUE"""),"C1300-24FP-4X")</f>
        <v>C1300-24FP-4X</v>
      </c>
      <c r="B38" s="21">
        <f>if(A38&lt;&gt;"",countif(AllListPrice!A:A,A38),"")</f>
        <v>1</v>
      </c>
    </row>
    <row r="39">
      <c r="A39" s="29" t="str">
        <f>IFERROR(__xludf.DUMMYFUNCTION("""COMPUTED_VALUE"""),"C1300-48T-4X")</f>
        <v>C1300-48T-4X</v>
      </c>
      <c r="B39" s="21">
        <f>if(A39&lt;&gt;"",countif(AllListPrice!A:A,A39),"")</f>
        <v>1</v>
      </c>
    </row>
    <row r="40">
      <c r="A40" s="29" t="str">
        <f>IFERROR(__xludf.DUMMYFUNCTION("""COMPUTED_VALUE"""),"C1300-48P-4X")</f>
        <v>C1300-48P-4X</v>
      </c>
      <c r="B40" s="21">
        <f>if(A40&lt;&gt;"",countif(AllListPrice!A:A,A40),"")</f>
        <v>1</v>
      </c>
    </row>
    <row r="41">
      <c r="A41" s="29" t="str">
        <f>IFERROR(__xludf.DUMMYFUNCTION("""COMPUTED_VALUE"""),"C1300-48FP-4X")</f>
        <v>C1300-48FP-4X</v>
      </c>
      <c r="B41" s="21">
        <f>if(A41&lt;&gt;"",countif(AllListPrice!A:A,A41),"")</f>
        <v>1</v>
      </c>
    </row>
    <row r="42">
      <c r="A42" s="29" t="str">
        <f>IFERROR(__xludf.DUMMYFUNCTION("""COMPUTED_VALUE"""),"C1300-12XT-2X")</f>
        <v>C1300-12XT-2X</v>
      </c>
      <c r="B42" s="21">
        <f>if(A42&lt;&gt;"",countif(AllListPrice!A:A,A42),"")</f>
        <v>1</v>
      </c>
    </row>
    <row r="43">
      <c r="A43" s="29" t="str">
        <f>IFERROR(__xludf.DUMMYFUNCTION("""COMPUTED_VALUE"""),"C1300-12XS")</f>
        <v>C1300-12XS</v>
      </c>
      <c r="B43" s="21">
        <f>if(A43&lt;&gt;"",countif(AllListPrice!A:A,A43),"")</f>
        <v>1</v>
      </c>
    </row>
    <row r="44">
      <c r="A44" s="29" t="str">
        <f>IFERROR(__xludf.DUMMYFUNCTION("""COMPUTED_VALUE"""),"C1300-16XTS")</f>
        <v>C1300-16XTS</v>
      </c>
      <c r="B44" s="21">
        <f>if(A44&lt;&gt;"",countif(AllListPrice!A:A,A44),"")</f>
        <v>1</v>
      </c>
    </row>
    <row r="45">
      <c r="A45" s="29" t="str">
        <f>IFERROR(__xludf.DUMMYFUNCTION("""COMPUTED_VALUE"""),"C1300-24XS")</f>
        <v>C1300-24XS</v>
      </c>
      <c r="B45" s="21">
        <f>if(A45&lt;&gt;"",countif(AllListPrice!A:A,A45),"")</f>
        <v>1</v>
      </c>
    </row>
    <row r="46">
      <c r="A46" s="29" t="str">
        <f>IFERROR(__xludf.DUMMYFUNCTION("""COMPUTED_VALUE"""),"C1300-24XT")</f>
        <v>C1300-24XT</v>
      </c>
      <c r="B46" s="21">
        <f>if(A46&lt;&gt;"",countif(AllListPrice!A:A,A46),"")</f>
        <v>1</v>
      </c>
    </row>
    <row r="47">
      <c r="A47" s="29" t="str">
        <f>IFERROR(__xludf.DUMMYFUNCTION("""COMPUTED_VALUE"""),"C1300-24XTS")</f>
        <v>C1300-24XTS</v>
      </c>
      <c r="B47" s="21">
        <f>if(A47&lt;&gt;"",countif(AllListPrice!A:A,A47),"")</f>
        <v>1</v>
      </c>
    </row>
    <row r="48">
      <c r="A48" s="29" t="str">
        <f>IFERROR(__xludf.DUMMYFUNCTION("""COMPUTED_VALUE"""),"C1300X-24T-4X")</f>
        <v>C1300X-24T-4X</v>
      </c>
      <c r="B48" s="21">
        <f>if(A48&lt;&gt;"",countif(AllListPrice!A:A,A48),"")</f>
        <v>1</v>
      </c>
    </row>
    <row r="49">
      <c r="A49" s="29" t="str">
        <f>IFERROR(__xludf.DUMMYFUNCTION("""COMPUTED_VALUE"""),"C1300X-48T-4X")</f>
        <v>C1300X-48T-4X</v>
      </c>
      <c r="B49" s="21">
        <f>if(A49&lt;&gt;"",countif(AllListPrice!A:A,A49),"")</f>
        <v>1</v>
      </c>
    </row>
    <row r="50">
      <c r="A50" s="29" t="str">
        <f>IFERROR(__xludf.DUMMYFUNCTION("""COMPUTED_VALUE"""),"C1300X-24P-4X")</f>
        <v>C1300X-24P-4X</v>
      </c>
      <c r="B50" s="21">
        <f>if(A50&lt;&gt;"",countif(AllListPrice!A:A,A50),"")</f>
        <v>1</v>
      </c>
    </row>
    <row r="51">
      <c r="A51" s="29" t="str">
        <f>IFERROR(__xludf.DUMMYFUNCTION("""COMPUTED_VALUE"""),"C1300X-48P-4X")</f>
        <v>C1300X-48P-4X</v>
      </c>
      <c r="B51" s="21">
        <f>if(A51&lt;&gt;"",countif(AllListPrice!A:A,A51),"")</f>
        <v>1</v>
      </c>
    </row>
    <row r="52">
      <c r="A52" s="29" t="str">
        <f>IFERROR(__xludf.DUMMYFUNCTION("""COMPUTED_VALUE"""),"C9200-24T")</f>
        <v>C9200-24T</v>
      </c>
      <c r="B52" s="21">
        <f>if(A52&lt;&gt;"",countif(AllListPrice!A:A,A52),"")</f>
        <v>1</v>
      </c>
    </row>
    <row r="53">
      <c r="A53" s="29" t="str">
        <f>IFERROR(__xludf.DUMMYFUNCTION("""COMPUTED_VALUE"""),"C9200-24P")</f>
        <v>C9200-24P</v>
      </c>
      <c r="B53" s="21">
        <f>if(A53&lt;&gt;"",countif(AllListPrice!A:A,A53),"")</f>
        <v>1</v>
      </c>
    </row>
    <row r="54">
      <c r="A54" s="29" t="str">
        <f>IFERROR(__xludf.DUMMYFUNCTION("""COMPUTED_VALUE"""),"C9200-48T")</f>
        <v>C9200-48T</v>
      </c>
      <c r="B54" s="21">
        <f>if(A54&lt;&gt;"",countif(AllListPrice!A:A,A54),"")</f>
        <v>1</v>
      </c>
    </row>
    <row r="55">
      <c r="A55" s="29" t="str">
        <f>IFERROR(__xludf.DUMMYFUNCTION("""COMPUTED_VALUE"""),"C9200-48P")</f>
        <v>C9200-48P</v>
      </c>
      <c r="B55" s="21">
        <f>if(A55&lt;&gt;"",countif(AllListPrice!A:A,A55),"")</f>
        <v>1</v>
      </c>
    </row>
    <row r="56">
      <c r="A56" s="29" t="str">
        <f>IFERROR(__xludf.DUMMYFUNCTION("""COMPUTED_VALUE"""),"C9200L-24T-4G")</f>
        <v>C9200L-24T-4G</v>
      </c>
      <c r="B56" s="21">
        <f>if(A56&lt;&gt;"",countif(AllListPrice!A:A,A56),"")</f>
        <v>1</v>
      </c>
    </row>
    <row r="57">
      <c r="A57" s="29" t="str">
        <f>IFERROR(__xludf.DUMMYFUNCTION("""COMPUTED_VALUE"""),"C9200L-24P-4G")</f>
        <v>C9200L-24P-4G</v>
      </c>
      <c r="B57" s="21">
        <f>if(A57&lt;&gt;"",countif(AllListPrice!A:A,A57),"")</f>
        <v>1</v>
      </c>
    </row>
    <row r="58">
      <c r="A58" s="29" t="str">
        <f>IFERROR(__xludf.DUMMYFUNCTION("""COMPUTED_VALUE"""),"C9200L-48T-4G")</f>
        <v>C9200L-48T-4G</v>
      </c>
      <c r="B58" s="21">
        <f>if(A58&lt;&gt;"",countif(AllListPrice!A:A,A58),"")</f>
        <v>1</v>
      </c>
    </row>
    <row r="59">
      <c r="A59" s="29" t="str">
        <f>IFERROR(__xludf.DUMMYFUNCTION("""COMPUTED_VALUE"""),"C9200L-48P-4G")</f>
        <v>C9200L-48P-4G</v>
      </c>
      <c r="B59" s="21">
        <f>if(A59&lt;&gt;"",countif(AllListPrice!A:A,A59),"")</f>
        <v>1</v>
      </c>
    </row>
    <row r="60">
      <c r="A60" s="29" t="str">
        <f>IFERROR(__xludf.DUMMYFUNCTION("""COMPUTED_VALUE"""),"C9200L-24T-4X")</f>
        <v>C9200L-24T-4X</v>
      </c>
      <c r="B60" s="21">
        <f>if(A60&lt;&gt;"",countif(AllListPrice!A:A,A60),"")</f>
        <v>1</v>
      </c>
    </row>
    <row r="61">
      <c r="A61" s="29" t="str">
        <f>IFERROR(__xludf.DUMMYFUNCTION("""COMPUTED_VALUE"""),"C9200L-24P-4X")</f>
        <v>C9200L-24P-4X</v>
      </c>
      <c r="B61" s="21">
        <f>if(A61&lt;&gt;"",countif(AllListPrice!A:A,A61),"")</f>
        <v>1</v>
      </c>
    </row>
    <row r="62">
      <c r="A62" s="29" t="str">
        <f>IFERROR(__xludf.DUMMYFUNCTION("""COMPUTED_VALUE"""),"C9200L-48T-4X")</f>
        <v>C9200L-48T-4X</v>
      </c>
      <c r="B62" s="21">
        <f>if(A62&lt;&gt;"",countif(AllListPrice!A:A,A62),"")</f>
        <v>1</v>
      </c>
    </row>
    <row r="63">
      <c r="A63" s="29" t="str">
        <f>IFERROR(__xludf.DUMMYFUNCTION("""COMPUTED_VALUE"""),"C9200L-48P-4X")</f>
        <v>C9200L-48P-4X</v>
      </c>
      <c r="B63" s="21">
        <f>if(A63&lt;&gt;"",countif(AllListPrice!A:A,A63),"")</f>
        <v>1</v>
      </c>
    </row>
    <row r="64">
      <c r="A64" s="29" t="str">
        <f>IFERROR(__xludf.DUMMYFUNCTION("""COMPUTED_VALUE"""),"C9200CX-8P-2X2G")</f>
        <v>C9200CX-8P-2X2G</v>
      </c>
      <c r="B64" s="21">
        <f>if(A64&lt;&gt;"",countif(AllListPrice!A:A,A64),"")</f>
        <v>1</v>
      </c>
    </row>
    <row r="65">
      <c r="A65" s="29" t="str">
        <f>IFERROR(__xludf.DUMMYFUNCTION("""COMPUTED_VALUE"""),"C9200CX-12T-2X2G")</f>
        <v>C9200CX-12T-2X2G</v>
      </c>
      <c r="B65" s="21">
        <f>if(A65&lt;&gt;"",countif(AllListPrice!A:A,A65),"")</f>
        <v>1</v>
      </c>
    </row>
    <row r="66">
      <c r="A66" s="29" t="str">
        <f>IFERROR(__xludf.DUMMYFUNCTION("""COMPUTED_VALUE"""),"C9200CX-12P-2X2G")</f>
        <v>C9200CX-12P-2X2G</v>
      </c>
      <c r="B66" s="21">
        <f>if(A66&lt;&gt;"",countif(AllListPrice!A:A,A66),"")</f>
        <v>1</v>
      </c>
    </row>
    <row r="67">
      <c r="A67" s="29" t="str">
        <f>IFERROR(__xludf.DUMMYFUNCTION("""COMPUTED_VALUE"""),"C9300X-48HX")</f>
        <v>C9300X-48HX</v>
      </c>
      <c r="B67" s="21">
        <f>if(A67&lt;&gt;"",countif(AllListPrice!A:A,A67),"")</f>
        <v>1</v>
      </c>
    </row>
    <row r="68">
      <c r="A68" s="29" t="str">
        <f>IFERROR(__xludf.DUMMYFUNCTION("""COMPUTED_VALUE"""),"C9300X-48TX")</f>
        <v>C9300X-48TX</v>
      </c>
      <c r="B68" s="21">
        <f>if(A68&lt;&gt;"",countif(AllListPrice!A:A,A68),"")</f>
        <v>1</v>
      </c>
    </row>
    <row r="69">
      <c r="A69" s="29" t="str">
        <f>IFERROR(__xludf.DUMMYFUNCTION("""COMPUTED_VALUE"""),"C9300X-48HXN")</f>
        <v>C9300X-48HXN</v>
      </c>
      <c r="B69" s="21">
        <f>if(A69&lt;&gt;"",countif(AllListPrice!A:A,A69),"")</f>
        <v>1</v>
      </c>
    </row>
    <row r="70">
      <c r="A70" s="29" t="str">
        <f>IFERROR(__xludf.DUMMYFUNCTION("""COMPUTED_VALUE"""),"C9300X-24HX")</f>
        <v>C9300X-24HX</v>
      </c>
      <c r="B70" s="21">
        <f>if(A70&lt;&gt;"",countif(AllListPrice!A:A,A70),"")</f>
        <v>1</v>
      </c>
    </row>
    <row r="71">
      <c r="A71" s="29" t="str">
        <f>IFERROR(__xludf.DUMMYFUNCTION("""COMPUTED_VALUE"""),"C9300X-12Y")</f>
        <v>C9300X-12Y</v>
      </c>
      <c r="B71" s="21">
        <f>if(A71&lt;&gt;"",countif(AllListPrice!A:A,A71),"")</f>
        <v>1</v>
      </c>
    </row>
    <row r="72">
      <c r="A72" s="29" t="str">
        <f>IFERROR(__xludf.DUMMYFUNCTION("""COMPUTED_VALUE"""),"C9300X-24Y")</f>
        <v>C9300X-24Y</v>
      </c>
      <c r="B72" s="21">
        <f>if(A72&lt;&gt;"",countif(AllListPrice!A:A,A72),"")</f>
        <v>1</v>
      </c>
    </row>
    <row r="73">
      <c r="A73" s="29" t="str">
        <f>IFERROR(__xludf.DUMMYFUNCTION("""COMPUTED_VALUE"""),"C9300L-24T-4G")</f>
        <v>C9300L-24T-4G</v>
      </c>
      <c r="B73" s="21">
        <f>if(A73&lt;&gt;"",countif(AllListPrice!A:A,A73),"")</f>
        <v>1</v>
      </c>
    </row>
    <row r="74">
      <c r="A74" s="29" t="str">
        <f>IFERROR(__xludf.DUMMYFUNCTION("""COMPUTED_VALUE"""),"C9300L-24P-4G")</f>
        <v>C9300L-24P-4G</v>
      </c>
      <c r="B74" s="21">
        <f>if(A74&lt;&gt;"",countif(AllListPrice!A:A,A74),"")</f>
        <v>1</v>
      </c>
    </row>
    <row r="75">
      <c r="A75" s="29" t="str">
        <f>IFERROR(__xludf.DUMMYFUNCTION("""COMPUTED_VALUE"""),"C9300L-24T-4X")</f>
        <v>C9300L-24T-4X</v>
      </c>
      <c r="B75" s="21">
        <f>if(A75&lt;&gt;"",countif(AllListPrice!A:A,A75),"")</f>
        <v>1</v>
      </c>
    </row>
    <row r="76">
      <c r="A76" s="29" t="str">
        <f>IFERROR(__xludf.DUMMYFUNCTION("""COMPUTED_VALUE"""),"C9300L-24P-4X")</f>
        <v>C9300L-24P-4X</v>
      </c>
      <c r="B76" s="21">
        <f>if(A76&lt;&gt;"",countif(AllListPrice!A:A,A76),"")</f>
        <v>1</v>
      </c>
    </row>
    <row r="77">
      <c r="A77" s="29" t="str">
        <f>IFERROR(__xludf.DUMMYFUNCTION("""COMPUTED_VALUE"""),"C9300L-48T-4G")</f>
        <v>C9300L-48T-4G</v>
      </c>
      <c r="B77" s="21">
        <f>if(A77&lt;&gt;"",countif(AllListPrice!A:A,A77),"")</f>
        <v>1</v>
      </c>
    </row>
    <row r="78">
      <c r="A78" s="29" t="str">
        <f>IFERROR(__xludf.DUMMYFUNCTION("""COMPUTED_VALUE"""),"C9300L-48P-4G")</f>
        <v>C9300L-48P-4G</v>
      </c>
      <c r="B78" s="21">
        <f>if(A78&lt;&gt;"",countif(AllListPrice!A:A,A78),"")</f>
        <v>1</v>
      </c>
    </row>
    <row r="79">
      <c r="A79" s="29" t="str">
        <f>IFERROR(__xludf.DUMMYFUNCTION("""COMPUTED_VALUE"""),"C9300L-48T-4X")</f>
        <v>C9300L-48T-4X</v>
      </c>
      <c r="B79" s="21">
        <f>if(A79&lt;&gt;"",countif(AllListPrice!A:A,A79),"")</f>
        <v>1</v>
      </c>
    </row>
    <row r="80">
      <c r="A80" s="29" t="str">
        <f>IFERROR(__xludf.DUMMYFUNCTION("""COMPUTED_VALUE"""),"C9300L-48P-4X")</f>
        <v>C9300L-48P-4X</v>
      </c>
      <c r="B80" s="21">
        <f>if(A80&lt;&gt;"",countif(AllListPrice!A:A,A80),"")</f>
        <v>1</v>
      </c>
    </row>
    <row r="81">
      <c r="A81" s="29" t="str">
        <f>IFERROR(__xludf.DUMMYFUNCTION("""COMPUTED_VALUE"""),"C9300-24T")</f>
        <v>C9300-24T</v>
      </c>
      <c r="B81" s="21">
        <f>if(A81&lt;&gt;"",countif(AllListPrice!A:A,A81),"")</f>
        <v>1</v>
      </c>
    </row>
    <row r="82">
      <c r="A82" s="29" t="str">
        <f>IFERROR(__xludf.DUMMYFUNCTION("""COMPUTED_VALUE"""),"C9300-24P")</f>
        <v>C9300-24P</v>
      </c>
      <c r="B82" s="21">
        <f>if(A82&lt;&gt;"",countif(AllListPrice!A:A,A82),"")</f>
        <v>1</v>
      </c>
    </row>
    <row r="83">
      <c r="A83" s="29" t="str">
        <f>IFERROR(__xludf.DUMMYFUNCTION("""COMPUTED_VALUE"""),"C9300-24U")</f>
        <v>C9300-24U</v>
      </c>
      <c r="B83" s="21">
        <f>if(A83&lt;&gt;"",countif(AllListPrice!A:A,A83),"")</f>
        <v>1</v>
      </c>
    </row>
    <row r="84">
      <c r="A84" s="29" t="str">
        <f>IFERROR(__xludf.DUMMYFUNCTION("""COMPUTED_VALUE"""),"C9300-24H")</f>
        <v>C9300-24H</v>
      </c>
      <c r="B84" s="21">
        <f>if(A84&lt;&gt;"",countif(AllListPrice!A:A,A84),"")</f>
        <v>1</v>
      </c>
    </row>
    <row r="85">
      <c r="A85" s="29" t="str">
        <f>IFERROR(__xludf.DUMMYFUNCTION("""COMPUTED_VALUE"""),"C9300-24S")</f>
        <v>C9300-24S</v>
      </c>
      <c r="B85" s="21">
        <f>if(A85&lt;&gt;"",countif(AllListPrice!A:A,A85),"")</f>
        <v>1</v>
      </c>
    </row>
    <row r="86">
      <c r="A86" s="29" t="str">
        <f>IFERROR(__xludf.DUMMYFUNCTION("""COMPUTED_VALUE"""),"C9300-24UB")</f>
        <v>C9300-24UB</v>
      </c>
      <c r="B86" s="21">
        <f>if(A86&lt;&gt;"",countif(AllListPrice!A:A,A86),"")</f>
        <v>1</v>
      </c>
    </row>
    <row r="87">
      <c r="A87" s="29" t="str">
        <f>IFERROR(__xludf.DUMMYFUNCTION("""COMPUTED_VALUE"""),"C9300-48T")</f>
        <v>C9300-48T</v>
      </c>
      <c r="B87" s="21">
        <f>if(A87&lt;&gt;"",countif(AllListPrice!A:A,A87),"")</f>
        <v>1</v>
      </c>
    </row>
    <row r="88">
      <c r="A88" s="29" t="str">
        <f>IFERROR(__xludf.DUMMYFUNCTION("""COMPUTED_VALUE"""),"C9300-48P")</f>
        <v>C9300-48P</v>
      </c>
      <c r="B88" s="21">
        <f>if(A88&lt;&gt;"",countif(AllListPrice!A:A,A88),"")</f>
        <v>1</v>
      </c>
    </row>
    <row r="89">
      <c r="A89" s="29" t="str">
        <f>IFERROR(__xludf.DUMMYFUNCTION("""COMPUTED_VALUE"""),"C9300-48U")</f>
        <v>C9300-48U</v>
      </c>
      <c r="B89" s="21">
        <f>if(A89&lt;&gt;"",countif(AllListPrice!A:A,A89),"")</f>
        <v>1</v>
      </c>
    </row>
    <row r="90">
      <c r="A90" s="29" t="str">
        <f>IFERROR(__xludf.DUMMYFUNCTION("""COMPUTED_VALUE"""),"C9300-48H")</f>
        <v>C9300-48H</v>
      </c>
      <c r="B90" s="21">
        <f>if(A90&lt;&gt;"",countif(AllListPrice!A:A,A90),"")</f>
        <v>1</v>
      </c>
    </row>
    <row r="91">
      <c r="A91" s="29" t="str">
        <f>IFERROR(__xludf.DUMMYFUNCTION("""COMPUTED_VALUE"""),"C9300-48S")</f>
        <v>C9300-48S</v>
      </c>
      <c r="B91" s="21">
        <f>if(A91&lt;&gt;"",countif(AllListPrice!A:A,A91),"")</f>
        <v>1</v>
      </c>
    </row>
    <row r="92">
      <c r="A92" s="29" t="str">
        <f>IFERROR(__xludf.DUMMYFUNCTION("""COMPUTED_VALUE"""),"C9300-48UB")</f>
        <v>C9300-48UB</v>
      </c>
      <c r="B92" s="21">
        <f>if(A92&lt;&gt;"",countif(AllListPrice!A:A,A92),"")</f>
        <v>1</v>
      </c>
    </row>
    <row r="93">
      <c r="A93" s="29" t="str">
        <f>IFERROR(__xludf.DUMMYFUNCTION("""COMPUTED_VALUE"""),"C9500-32C")</f>
        <v>C9500-32C</v>
      </c>
      <c r="B93" s="21">
        <f>if(A93&lt;&gt;"",countif(AllListPrice!A:A,A93),"")</f>
        <v>1</v>
      </c>
    </row>
    <row r="94">
      <c r="A94" s="29" t="str">
        <f>IFERROR(__xludf.DUMMYFUNCTION("""COMPUTED_VALUE"""),"C9500-32QC")</f>
        <v>C9500-32QC</v>
      </c>
      <c r="B94" s="21">
        <f>if(A94&lt;&gt;"",countif(AllListPrice!A:A,A94),"")</f>
        <v>1</v>
      </c>
    </row>
    <row r="95">
      <c r="A95" s="29" t="str">
        <f>IFERROR(__xludf.DUMMYFUNCTION("""COMPUTED_VALUE"""),"C9500-48Y4C")</f>
        <v>C9500-48Y4C</v>
      </c>
      <c r="B95" s="21">
        <f>if(A95&lt;&gt;"",countif(AllListPrice!A:A,A95),"")</f>
        <v>1</v>
      </c>
    </row>
    <row r="96">
      <c r="A96" s="29" t="str">
        <f>IFERROR(__xludf.DUMMYFUNCTION("""COMPUTED_VALUE"""),"C9500-24Y4C")</f>
        <v>C9500-24Y4C</v>
      </c>
      <c r="B96" s="21">
        <f>if(A96&lt;&gt;"",countif(AllListPrice!A:A,A96),"")</f>
        <v>1</v>
      </c>
    </row>
    <row r="97">
      <c r="A97" s="29" t="str">
        <f>IFERROR(__xludf.DUMMYFUNCTION("""COMPUTED_VALUE"""),"C9500X-28C8D")</f>
        <v>C9500X-28C8D</v>
      </c>
      <c r="B97" s="21">
        <f>if(A97&lt;&gt;"",countif(AllListPrice!A:A,A97),"")</f>
        <v>1</v>
      </c>
    </row>
    <row r="98">
      <c r="A98" s="29" t="str">
        <f>IFERROR(__xludf.DUMMYFUNCTION("""COMPUTED_VALUE"""),"C9500X-60L4D")</f>
        <v>C9500X-60L4D</v>
      </c>
      <c r="B98" s="21">
        <f>if(A98&lt;&gt;"",countif(AllListPrice!A:A,A98),"")</f>
        <v>1</v>
      </c>
    </row>
    <row r="99">
      <c r="A99" s="29" t="str">
        <f>IFERROR(__xludf.DUMMYFUNCTION("""COMPUTED_VALUE"""),"C1200-8T-D")</f>
        <v>C1200-8T-D</v>
      </c>
      <c r="B99" s="21">
        <f>if(A99&lt;&gt;"",countif(AllListPrice!A:A,A99),"")</f>
        <v>1</v>
      </c>
    </row>
    <row r="100">
      <c r="A100" s="29" t="str">
        <f>IFERROR(__xludf.DUMMYFUNCTION("""COMPUTED_VALUE"""),"C1200-8T-E-2G")</f>
        <v>C1200-8T-E-2G</v>
      </c>
      <c r="B100" s="21">
        <f>if(A100&lt;&gt;"",countif(AllListPrice!A:A,A100),"")</f>
        <v>1</v>
      </c>
    </row>
    <row r="101">
      <c r="A101" s="29" t="str">
        <f>IFERROR(__xludf.DUMMYFUNCTION("""COMPUTED_VALUE"""),"C1200-8P-E-2G")</f>
        <v>C1200-8P-E-2G</v>
      </c>
      <c r="B101" s="21">
        <f>if(A101&lt;&gt;"",countif(AllListPrice!A:A,A101),"")</f>
        <v>1</v>
      </c>
    </row>
    <row r="102">
      <c r="A102" s="29" t="str">
        <f>IFERROR(__xludf.DUMMYFUNCTION("""COMPUTED_VALUE"""),"C1200-8FP-2G")</f>
        <v>C1200-8FP-2G</v>
      </c>
      <c r="B102" s="21">
        <f>if(A102&lt;&gt;"",countif(AllListPrice!A:A,A102),"")</f>
        <v>1</v>
      </c>
    </row>
    <row r="103">
      <c r="A103" s="29" t="str">
        <f>IFERROR(__xludf.DUMMYFUNCTION("""COMPUTED_VALUE"""),"C1200-16T-2G")</f>
        <v>C1200-16T-2G</v>
      </c>
      <c r="B103" s="21">
        <f>if(A103&lt;&gt;"",countif(AllListPrice!A:A,A103),"")</f>
        <v>1</v>
      </c>
    </row>
    <row r="104">
      <c r="A104" s="29" t="str">
        <f>IFERROR(__xludf.DUMMYFUNCTION("""COMPUTED_VALUE"""),"C1200-16P-2G")</f>
        <v>C1200-16P-2G</v>
      </c>
      <c r="B104" s="21">
        <f>if(A104&lt;&gt;"",countif(AllListPrice!A:A,A104),"")</f>
        <v>1</v>
      </c>
    </row>
    <row r="105">
      <c r="A105" s="29" t="str">
        <f>IFERROR(__xludf.DUMMYFUNCTION("""COMPUTED_VALUE"""),"C1200-24T-4G")</f>
        <v>C1200-24T-4G</v>
      </c>
      <c r="B105" s="21">
        <f>if(A105&lt;&gt;"",countif(AllListPrice!A:A,A105),"")</f>
        <v>1</v>
      </c>
    </row>
    <row r="106">
      <c r="A106" s="29" t="str">
        <f>IFERROR(__xludf.DUMMYFUNCTION("""COMPUTED_VALUE"""),"C1200-24P-4G")</f>
        <v>C1200-24P-4G</v>
      </c>
      <c r="B106" s="21">
        <f>if(A106&lt;&gt;"",countif(AllListPrice!A:A,A106),"")</f>
        <v>1</v>
      </c>
    </row>
    <row r="107">
      <c r="A107" s="29" t="str">
        <f>IFERROR(__xludf.DUMMYFUNCTION("""COMPUTED_VALUE"""),"C1200-24FP-4G")</f>
        <v>C1200-24FP-4G</v>
      </c>
      <c r="B107" s="21">
        <f>if(A107&lt;&gt;"",countif(AllListPrice!A:A,A107),"")</f>
        <v>1</v>
      </c>
    </row>
    <row r="108">
      <c r="A108" s="29" t="str">
        <f>IFERROR(__xludf.DUMMYFUNCTION("""COMPUTED_VALUE"""),"C1200-48T-4G")</f>
        <v>C1200-48T-4G</v>
      </c>
      <c r="B108" s="21">
        <f>if(A108&lt;&gt;"",countif(AllListPrice!A:A,A108),"")</f>
        <v>1</v>
      </c>
    </row>
    <row r="109">
      <c r="A109" s="29" t="str">
        <f>IFERROR(__xludf.DUMMYFUNCTION("""COMPUTED_VALUE"""),"C1200-48P-4G")</f>
        <v>C1200-48P-4G</v>
      </c>
      <c r="B109" s="21">
        <f>if(A109&lt;&gt;"",countif(AllListPrice!A:A,A109),"")</f>
        <v>1</v>
      </c>
    </row>
    <row r="110">
      <c r="A110" s="29" t="str">
        <f>IFERROR(__xludf.DUMMYFUNCTION("""COMPUTED_VALUE"""),"C1200-24T-4X")</f>
        <v>C1200-24T-4X</v>
      </c>
      <c r="B110" s="21">
        <f>if(A110&lt;&gt;"",countif(AllListPrice!A:A,A110),"")</f>
        <v>1</v>
      </c>
    </row>
    <row r="111">
      <c r="A111" s="29" t="str">
        <f>IFERROR(__xludf.DUMMYFUNCTION("""COMPUTED_VALUE"""),"C1200-24P-4X")</f>
        <v>C1200-24P-4X</v>
      </c>
      <c r="B111" s="21">
        <f>if(A111&lt;&gt;"",countif(AllListPrice!A:A,A111),"")</f>
        <v>1</v>
      </c>
    </row>
    <row r="112">
      <c r="A112" s="29" t="str">
        <f>IFERROR(__xludf.DUMMYFUNCTION("""COMPUTED_VALUE"""),"C1200-24FP-4X")</f>
        <v>C1200-24FP-4X</v>
      </c>
      <c r="B112" s="21">
        <f>if(A112&lt;&gt;"",countif(AllListPrice!A:A,A112),"")</f>
        <v>1</v>
      </c>
    </row>
    <row r="113">
      <c r="A113" s="29" t="str">
        <f>IFERROR(__xludf.DUMMYFUNCTION("""COMPUTED_VALUE"""),"C1200-48T-4X")</f>
        <v>C1200-48T-4X</v>
      </c>
      <c r="B113" s="21">
        <f>if(A113&lt;&gt;"",countif(AllListPrice!A:A,A113),"")</f>
        <v>1</v>
      </c>
    </row>
    <row r="114">
      <c r="A114" s="29" t="str">
        <f>IFERROR(__xludf.DUMMYFUNCTION("""COMPUTED_VALUE"""),"C1200-48P-4X")</f>
        <v>C1200-48P-4X</v>
      </c>
      <c r="B114" s="21">
        <f>if(A114&lt;&gt;"",countif(AllListPrice!A:A,A114),"")</f>
        <v>1</v>
      </c>
    </row>
    <row r="115">
      <c r="A115" s="29" t="str">
        <f>IFERROR(__xludf.DUMMYFUNCTION("""COMPUTED_VALUE"""),"EX4200-24T")</f>
        <v>EX4200-24T</v>
      </c>
      <c r="B115" s="21">
        <f>if(A115&lt;&gt;"",countif(AllListPrice!A:A,A115),"")</f>
        <v>1</v>
      </c>
    </row>
    <row r="116">
      <c r="A116" s="29" t="str">
        <f>IFERROR(__xludf.DUMMYFUNCTION("""COMPUTED_VALUE"""),"EX4300-48S")</f>
        <v>EX4300-48S</v>
      </c>
      <c r="B116" s="21">
        <f>if(A116&lt;&gt;"",countif(AllListPrice!A:A,A116),"")</f>
        <v>1</v>
      </c>
    </row>
    <row r="117">
      <c r="A117" s="29" t="str">
        <f>IFERROR(__xludf.DUMMYFUNCTION("""COMPUTED_VALUE"""),"EX4600")</f>
        <v>EX4600</v>
      </c>
      <c r="B117" s="21">
        <f>if(A117&lt;&gt;"",countif(AllListPrice!A:A,A117),"")</f>
        <v>1</v>
      </c>
    </row>
    <row r="118">
      <c r="A118" s="29" t="str">
        <f>IFERROR(__xludf.DUMMYFUNCTION("""COMPUTED_VALUE"""),"N9K-C9504")</f>
        <v>N9K-C9504</v>
      </c>
      <c r="B118" s="21">
        <f>if(A118&lt;&gt;"",countif(AllListPrice!A:A,A118),"")</f>
        <v>1</v>
      </c>
    </row>
    <row r="119">
      <c r="A119" s="29" t="str">
        <f>IFERROR(__xludf.DUMMYFUNCTION("""COMPUTED_VALUE"""),"N9K-C9508")</f>
        <v>N9K-C9508</v>
      </c>
      <c r="B119" s="21">
        <f>if(A119&lt;&gt;"",countif(AllListPrice!A:A,A119),"")</f>
        <v>1</v>
      </c>
    </row>
    <row r="120">
      <c r="A120" s="29" t="str">
        <f>IFERROR(__xludf.DUMMYFUNCTION("""COMPUTED_VALUE"""),"N9K-C9516")</f>
        <v>N9K-C9516</v>
      </c>
      <c r="B120" s="21">
        <f>if(A120&lt;&gt;"",countif(AllListPrice!A:A,A120),"")</f>
        <v>1</v>
      </c>
    </row>
    <row r="121">
      <c r="A121" s="29" t="str">
        <f>IFERROR(__xludf.DUMMYFUNCTION("""COMPUTED_VALUE"""),"N9K-C9348GC-FX3")</f>
        <v>N9K-C9348GC-FX3</v>
      </c>
      <c r="B121" s="21">
        <f>if(A121&lt;&gt;"",countif(AllListPrice!A:A,A121),"")</f>
        <v>1</v>
      </c>
    </row>
    <row r="122">
      <c r="A122" s="29" t="str">
        <f>IFERROR(__xludf.DUMMYFUNCTION("""COMPUTED_VALUE"""),"N9K-C93108TC-FX3")</f>
        <v>N9K-C93108TC-FX3</v>
      </c>
      <c r="B122" s="21">
        <f>if(A122&lt;&gt;"",countif(AllListPrice!A:A,A122),"")</f>
        <v>1</v>
      </c>
    </row>
    <row r="123">
      <c r="A123" s="29" t="str">
        <f>IFERROR(__xludf.DUMMYFUNCTION("""COMPUTED_VALUE"""),"N9K-C93216TC-FX2")</f>
        <v>N9K-C93216TC-FX2</v>
      </c>
      <c r="B123" s="21">
        <f>if(A123&lt;&gt;"",countif(AllListPrice!A:A,A123),"")</f>
        <v>1</v>
      </c>
    </row>
    <row r="124">
      <c r="A124" s="29" t="str">
        <f>IFERROR(__xludf.DUMMYFUNCTION("""COMPUTED_VALUE"""),"N9K-C93360YC-FX2")</f>
        <v>N9K-C93360YC-FX2</v>
      </c>
      <c r="B124" s="21">
        <f>if(A124&lt;&gt;"",countif(AllListPrice!A:A,A124),"")</f>
        <v>1</v>
      </c>
    </row>
    <row r="125">
      <c r="A125" s="29" t="str">
        <f>IFERROR(__xludf.DUMMYFUNCTION("""COMPUTED_VALUE"""),"N9K-C93240YC-FX2")</f>
        <v>N9K-C93240YC-FX2</v>
      </c>
      <c r="B125" s="21">
        <f>if(A125&lt;&gt;"",countif(AllListPrice!A:A,A125),"")</f>
        <v>1</v>
      </c>
    </row>
    <row r="126">
      <c r="A126" s="29" t="str">
        <f>IFERROR(__xludf.DUMMYFUNCTION("""COMPUTED_VALUE"""),"N9K-C93180YC-FX3")</f>
        <v>N9K-C93180YC-FX3</v>
      </c>
      <c r="B126" s="21">
        <f>if(A126&lt;&gt;"",countif(AllListPrice!A:A,A126),"")</f>
        <v>1</v>
      </c>
    </row>
    <row r="127">
      <c r="A127" s="29" t="str">
        <f>IFERROR(__xludf.DUMMYFUNCTION("""COMPUTED_VALUE"""),"N9K-C93600CD-GX")</f>
        <v>N9K-C93600CD-GX</v>
      </c>
      <c r="B127" s="21">
        <f>if(A127&lt;&gt;"",countif(AllListPrice!A:A,A127),"")</f>
        <v>1</v>
      </c>
    </row>
    <row r="128">
      <c r="A128" s="29" t="str">
        <f>IFERROR(__xludf.DUMMYFUNCTION("""COMPUTED_VALUE"""),"N9K-C9316D-GX")</f>
        <v>N9K-C9316D-GX</v>
      </c>
      <c r="B128" s="21">
        <f>if(A128&lt;&gt;"",countif(AllListPrice!A:A,A128),"")</f>
        <v>1</v>
      </c>
    </row>
    <row r="129">
      <c r="A129" s="29" t="str">
        <f>IFERROR(__xludf.DUMMYFUNCTION("""COMPUTED_VALUE"""),"N9K-C9364C-GX")</f>
        <v>N9K-C9364C-GX</v>
      </c>
      <c r="B129" s="21">
        <f>if(A129&lt;&gt;"",countif(AllListPrice!A:A,A129),"")</f>
        <v>1</v>
      </c>
    </row>
    <row r="130">
      <c r="A130" s="29" t="str">
        <f>IFERROR(__xludf.DUMMYFUNCTION("""COMPUTED_VALUE"""),"N9K-X9736C-FX3=")</f>
        <v>N9K-X9736C-FX3=</v>
      </c>
      <c r="B130" s="21">
        <f>if(A130&lt;&gt;"",countif(AllListPrice!A:A,A130),"")</f>
        <v>1</v>
      </c>
    </row>
    <row r="131">
      <c r="A131" s="29" t="str">
        <f>IFERROR(__xludf.DUMMYFUNCTION("""COMPUTED_VALUE"""),"C9404R")</f>
        <v>C9404R</v>
      </c>
      <c r="B131" s="21">
        <f>if(A131&lt;&gt;"",countif(AllListPrice!A:A,A131),"")</f>
        <v>1</v>
      </c>
    </row>
    <row r="132">
      <c r="A132" s="29" t="str">
        <f>IFERROR(__xludf.DUMMYFUNCTION("""COMPUTED_VALUE"""),"C9407R")</f>
        <v>C9407R</v>
      </c>
      <c r="B132" s="21">
        <f>if(A132&lt;&gt;"",countif(AllListPrice!A:A,A132),"")</f>
        <v>1</v>
      </c>
    </row>
    <row r="133">
      <c r="A133" s="29" t="str">
        <f>IFERROR(__xludf.DUMMYFUNCTION("""COMPUTED_VALUE"""),"C9410R")</f>
        <v>C9410R</v>
      </c>
      <c r="B133" s="21">
        <f>if(A133&lt;&gt;"",countif(AllListPrice!A:A,A133),"")</f>
        <v>1</v>
      </c>
    </row>
    <row r="134">
      <c r="A134" s="29" t="str">
        <f>IFERROR(__xludf.DUMMYFUNCTION("""COMPUTED_VALUE"""),"C9606R")</f>
        <v>C9606R</v>
      </c>
      <c r="B134" s="21">
        <f>if(A134&lt;&gt;"",countif(AllListPrice!A:A,A134),"")</f>
        <v>1</v>
      </c>
    </row>
    <row r="135">
      <c r="A135" s="29" t="str">
        <f>IFERROR(__xludf.DUMMYFUNCTION("""COMPUTED_VALUE"""),"C9400-LC-12QC=")</f>
        <v>C9400-LC-12QC=</v>
      </c>
      <c r="B135" s="21">
        <f>if(A135&lt;&gt;"",countif(AllListPrice!A:A,A135),"")</f>
        <v>1</v>
      </c>
    </row>
    <row r="136">
      <c r="A136" s="29" t="str">
        <f>IFERROR(__xludf.DUMMYFUNCTION("""COMPUTED_VALUE"""),"C9400-LC-48T=")</f>
        <v>C9400-LC-48T=</v>
      </c>
      <c r="B136" s="21">
        <f>if(A136&lt;&gt;"",countif(AllListPrice!A:A,A136),"")</f>
        <v>1</v>
      </c>
    </row>
    <row r="137">
      <c r="A137" s="29" t="str">
        <f>IFERROR(__xludf.DUMMYFUNCTION("""COMPUTED_VALUE"""),"C9400-LC-48TX=")</f>
        <v>C9400-LC-48TX=</v>
      </c>
      <c r="B137" s="21">
        <f>if(A137&lt;&gt;"",countif(AllListPrice!A:A,A137),"")</f>
        <v>1</v>
      </c>
    </row>
    <row r="138">
      <c r="A138" s="29" t="str">
        <f>IFERROR(__xludf.DUMMYFUNCTION("""COMPUTED_VALUE"""),"C9400-LC-48S=")</f>
        <v>C9400-LC-48S=</v>
      </c>
      <c r="B138" s="21">
        <f>if(A138&lt;&gt;"",countif(AllListPrice!A:A,A138),"")</f>
        <v>1</v>
      </c>
    </row>
    <row r="139">
      <c r="A139" s="29" t="str">
        <f>IFERROR(__xludf.DUMMYFUNCTION("""COMPUTED_VALUE"""),"C9400-LC-48XS=")</f>
        <v>C9400-LC-48XS=</v>
      </c>
      <c r="B139" s="21">
        <f>if(A139&lt;&gt;"",countif(AllListPrice!A:A,A139),"")</f>
        <v>1</v>
      </c>
    </row>
    <row r="140">
      <c r="A140" s="29" t="str">
        <f>IFERROR(__xludf.DUMMYFUNCTION("""COMPUTED_VALUE"""),"C9600-LC-48TX=")</f>
        <v>C9600-LC-48TX=</v>
      </c>
      <c r="B140" s="21">
        <f>if(A140&lt;&gt;"",countif(AllListPrice!A:A,A140),"")</f>
        <v>1</v>
      </c>
    </row>
    <row r="141">
      <c r="A141" s="29" t="str">
        <f>IFERROR(__xludf.DUMMYFUNCTION("""COMPUTED_VALUE"""),"C9600-LC-48YL=")</f>
        <v>C9600-LC-48YL=</v>
      </c>
      <c r="B141" s="21">
        <f>if(A141&lt;&gt;"",countif(AllListPrice!A:A,A141),"")</f>
        <v>1</v>
      </c>
    </row>
    <row r="142">
      <c r="A142" s="29" t="str">
        <f>IFERROR(__xludf.DUMMYFUNCTION("""COMPUTED_VALUE"""),"C9600-LC-40YL4CD=")</f>
        <v>C9600-LC-40YL4CD=</v>
      </c>
      <c r="B142" s="21">
        <f>if(A142&lt;&gt;"",countif(AllListPrice!A:A,A142),"")</f>
        <v>1</v>
      </c>
    </row>
    <row r="143">
      <c r="A143" s="29" t="str">
        <f>IFERROR(__xludf.DUMMYFUNCTION("""COMPUTED_VALUE"""),"C9600-LC-24C=")</f>
        <v>C9600-LC-24C=</v>
      </c>
      <c r="B143" s="21">
        <f>if(A143&lt;&gt;"",countif(AllListPrice!A:A,A143),"")</f>
        <v>1</v>
      </c>
    </row>
    <row r="144">
      <c r="A144" s="29" t="str">
        <f>IFERROR(__xludf.DUMMYFUNCTION("""COMPUTED_VALUE"""),"CW9164I")</f>
        <v>CW9164I</v>
      </c>
      <c r="B144" s="21">
        <f>if(A144&lt;&gt;"",countif(AllListPrice!A:A,A144),"")</f>
        <v>1</v>
      </c>
    </row>
    <row r="145">
      <c r="A145" s="29" t="str">
        <f>IFERROR(__xludf.DUMMYFUNCTION("""COMPUTED_VALUE"""),"CW9166I")</f>
        <v>CW9166I</v>
      </c>
      <c r="B145" s="21">
        <f>if(A145&lt;&gt;"",countif(AllListPrice!A:A,A145),"")</f>
        <v>1</v>
      </c>
    </row>
    <row r="146">
      <c r="A146" s="29" t="str">
        <f>IFERROR(__xludf.DUMMYFUNCTION("""COMPUTED_VALUE"""),"CW9166D1")</f>
        <v>CW9166D1</v>
      </c>
      <c r="B146" s="21">
        <f>if(A146&lt;&gt;"",countif(AllListPrice!A:A,A146),"")</f>
        <v>1</v>
      </c>
    </row>
    <row r="147">
      <c r="A147" s="29" t="str">
        <f>IFERROR(__xludf.DUMMYFUNCTION("""COMPUTED_VALUE"""),"CW9172I")</f>
        <v>CW9172I</v>
      </c>
      <c r="B147" s="21">
        <f>if(A147&lt;&gt;"",countif(AllListPrice!A:A,A147),"")</f>
        <v>1</v>
      </c>
    </row>
    <row r="148">
      <c r="A148" s="29" t="str">
        <f>IFERROR(__xludf.DUMMYFUNCTION("""COMPUTED_VALUE"""),"CW9172H")</f>
        <v>CW9172H</v>
      </c>
      <c r="B148" s="21">
        <f>if(A148&lt;&gt;"",countif(AllListPrice!A:A,A148),"")</f>
        <v>1</v>
      </c>
    </row>
    <row r="149">
      <c r="A149" s="29" t="str">
        <f>IFERROR(__xludf.DUMMYFUNCTION("""COMPUTED_VALUE"""),"CW9176I")</f>
        <v>CW9176I</v>
      </c>
      <c r="B149" s="21">
        <f>if(A149&lt;&gt;"",countif(AllListPrice!A:A,A149),"")</f>
        <v>1</v>
      </c>
    </row>
    <row r="150">
      <c r="A150" s="29" t="str">
        <f>IFERROR(__xludf.DUMMYFUNCTION("""COMPUTED_VALUE"""),"CW9176D1")</f>
        <v>CW9176D1</v>
      </c>
      <c r="B150" s="21">
        <f>if(A150&lt;&gt;"",countif(AllListPrice!A:A,A150),"")</f>
        <v>1</v>
      </c>
    </row>
    <row r="151">
      <c r="A151" s="29" t="str">
        <f>IFERROR(__xludf.DUMMYFUNCTION("""COMPUTED_VALUE"""),"CW9178I")</f>
        <v>CW9178I</v>
      </c>
      <c r="B151" s="21">
        <f>if(A151&lt;&gt;"",countif(AllListPrice!A:A,A151),"")</f>
        <v>1</v>
      </c>
    </row>
    <row r="152">
      <c r="A152" s="29" t="str">
        <f>IFERROR(__xludf.DUMMYFUNCTION("""COMPUTED_VALUE"""),"C9124AXI")</f>
        <v>C9124AXI</v>
      </c>
      <c r="B152" s="21">
        <f>if(A152&lt;&gt;"",countif(AllListPrice!A:A,A152),"")</f>
        <v>1</v>
      </c>
    </row>
    <row r="153">
      <c r="A153" s="29" t="str">
        <f>IFERROR(__xludf.DUMMYFUNCTION("""COMPUTED_VALUE"""),"C9124AXD")</f>
        <v>C9124AXD</v>
      </c>
      <c r="B153" s="21">
        <f>if(A153&lt;&gt;"",countif(AllListPrice!A:A,A153),"")</f>
        <v>1</v>
      </c>
    </row>
    <row r="154">
      <c r="A154" s="29" t="str">
        <f>IFERROR(__xludf.DUMMYFUNCTION("""COMPUTED_VALUE"""),"C9124AXE")</f>
        <v>C9124AXE</v>
      </c>
      <c r="B154" s="21">
        <f>if(A154&lt;&gt;"",countif(AllListPrice!A:A,A154),"")</f>
        <v>1</v>
      </c>
    </row>
    <row r="155">
      <c r="A155" s="29" t="str">
        <f>IFERROR(__xludf.DUMMYFUNCTION("""COMPUTED_VALUE"""),"CW9163E")</f>
        <v>CW9163E</v>
      </c>
      <c r="B155" s="21">
        <f>if(A155&lt;&gt;"",countif(AllListPrice!A:A,A155),"")</f>
        <v>1</v>
      </c>
    </row>
    <row r="156">
      <c r="A156" s="29" t="str">
        <f>IFERROR(__xludf.DUMMYFUNCTION("""COMPUTED_VALUE"""),"AIR-PWRINJ7=")</f>
        <v>AIR-PWRINJ7=</v>
      </c>
      <c r="B156" s="21">
        <f>if(A156&lt;&gt;"",countif(AllListPrice!A:A,A156),"")</f>
        <v>1</v>
      </c>
    </row>
    <row r="157">
      <c r="A157" s="29" t="str">
        <f>IFERROR(__xludf.DUMMYFUNCTION("""COMPUTED_VALUE"""),"IW-PWRINJ-60RGDMG=")</f>
        <v>IW-PWRINJ-60RGDMG=</v>
      </c>
      <c r="B157" s="21">
        <f>if(A157&lt;&gt;"",countif(AllListPrice!A:A,A157),"")</f>
        <v>1</v>
      </c>
    </row>
    <row r="158">
      <c r="A158" s="29" t="str">
        <f>IFERROR(__xludf.DUMMYFUNCTION("""COMPUTED_VALUE"""),"Ficer-1G-80km")</f>
        <v>Ficer-1G-80km</v>
      </c>
      <c r="B158" s="21">
        <f>if(A158&lt;&gt;"",countif(AllListPrice!A:A,A158),"")</f>
        <v>1</v>
      </c>
    </row>
    <row r="159">
      <c r="A159" s="29" t="str">
        <f>IFERROR(__xludf.DUMMYFUNCTION("""COMPUTED_VALUE"""),"Ficer-10G-10km")</f>
        <v>Ficer-10G-10km</v>
      </c>
      <c r="B159" s="21">
        <f>if(A159&lt;&gt;"",countif(AllListPrice!A:A,A159),"")</f>
        <v>1</v>
      </c>
    </row>
    <row r="160">
      <c r="A160" s="29" t="str">
        <f>IFERROR(__xludf.DUMMYFUNCTION("""COMPUTED_VALUE"""),"Ficer-10G-40km")</f>
        <v>Ficer-10G-40km</v>
      </c>
      <c r="B160" s="21">
        <f>if(A160&lt;&gt;"",countif(AllListPrice!A:A,A160),"")</f>
        <v>1</v>
      </c>
    </row>
    <row r="161">
      <c r="A161" s="29" t="str">
        <f>IFERROR(__xludf.DUMMYFUNCTION("""COMPUTED_VALUE"""),"Ficer-10G-80km")</f>
        <v>Ficer-10G-80km</v>
      </c>
      <c r="B161" s="21">
        <f>if(A161&lt;&gt;"",countif(AllListPrice!A:A,A161),"")</f>
        <v>1</v>
      </c>
    </row>
    <row r="162">
      <c r="A162" s="29" t="str">
        <f>IFERROR(__xludf.DUMMYFUNCTION("""COMPUTED_VALUE"""),"Ficer-100G-10km")</f>
        <v>Ficer-100G-10km</v>
      </c>
      <c r="B162" s="21">
        <f>if(A162&lt;&gt;"",countif(AllListPrice!A:A,A162),"")</f>
        <v>1</v>
      </c>
    </row>
    <row r="163">
      <c r="A163" s="29" t="str">
        <f>IFERROR(__xludf.DUMMYFUNCTION("""COMPUTED_VALUE"""),"Ficer-100G-40km")</f>
        <v>Ficer-100G-40km</v>
      </c>
      <c r="B163" s="21">
        <f>if(A163&lt;&gt;"",countif(AllListPrice!A:A,A163),"")</f>
        <v>1</v>
      </c>
    </row>
    <row r="164">
      <c r="A164" s="29" t="str">
        <f>IFERROR(__xludf.DUMMYFUNCTION("""COMPUTED_VALUE"""),"Ficer-100G-80km")</f>
        <v>Ficer-100G-80km</v>
      </c>
      <c r="B164" s="21">
        <f>if(A164&lt;&gt;"",countif(AllListPrice!A:A,A164),"")</f>
        <v>1</v>
      </c>
    </row>
    <row r="165">
      <c r="A165" s="29" t="str">
        <f>IFERROR(__xludf.DUMMYFUNCTION("""COMPUTED_VALUE"""),"GLC-SX-MMD=")</f>
        <v>GLC-SX-MMD=</v>
      </c>
      <c r="B165" s="21">
        <f>if(A165&lt;&gt;"",countif(AllListPrice!A:A,A165),"")</f>
        <v>1</v>
      </c>
    </row>
    <row r="166">
      <c r="A166" s="29" t="str">
        <f>IFERROR(__xludf.DUMMYFUNCTION("""COMPUTED_VALUE"""),"GLC-LH-SMD=")</f>
        <v>GLC-LH-SMD=</v>
      </c>
      <c r="B166" s="21">
        <f>if(A166&lt;&gt;"",countif(AllListPrice!A:A,A166),"")</f>
        <v>1</v>
      </c>
    </row>
    <row r="167">
      <c r="A167" s="29" t="str">
        <f>IFERROR(__xludf.DUMMYFUNCTION("""COMPUTED_VALUE"""),"GLC-EX-SMD=")</f>
        <v>GLC-EX-SMD=</v>
      </c>
      <c r="B167" s="21">
        <f>if(A167&lt;&gt;"",countif(AllListPrice!A:A,A167),"")</f>
        <v>1</v>
      </c>
    </row>
    <row r="168">
      <c r="A168" s="29" t="str">
        <f>IFERROR(__xludf.DUMMYFUNCTION("""COMPUTED_VALUE"""),"GLC-ZX-SMD=")</f>
        <v>GLC-ZX-SMD=</v>
      </c>
      <c r="B168" s="21">
        <f>if(A168&lt;&gt;"",countif(AllListPrice!A:A,A168),"")</f>
        <v>1</v>
      </c>
    </row>
    <row r="169">
      <c r="A169" s="29" t="str">
        <f>IFERROR(__xludf.DUMMYFUNCTION("""COMPUTED_VALUE"""),"SFP-10G-SR-S=")</f>
        <v>SFP-10G-SR-S=</v>
      </c>
      <c r="B169" s="21">
        <f>if(A169&lt;&gt;"",countif(AllListPrice!A:A,A169),"")</f>
        <v>1</v>
      </c>
    </row>
    <row r="170">
      <c r="A170" s="29" t="str">
        <f>IFERROR(__xludf.DUMMYFUNCTION("""COMPUTED_VALUE"""),"SFP-10G-SR=")</f>
        <v>SFP-10G-SR=</v>
      </c>
      <c r="B170" s="21">
        <f>if(A170&lt;&gt;"",countif(AllListPrice!A:A,A170),"")</f>
        <v>1</v>
      </c>
    </row>
    <row r="171">
      <c r="A171" s="29" t="str">
        <f>IFERROR(__xludf.DUMMYFUNCTION("""COMPUTED_VALUE"""),"SFP-10G-LR-S=")</f>
        <v>SFP-10G-LR-S=</v>
      </c>
      <c r="B171" s="21">
        <f>if(A171&lt;&gt;"",countif(AllListPrice!A:A,A171),"")</f>
        <v>1</v>
      </c>
    </row>
    <row r="172">
      <c r="A172" s="29" t="str">
        <f>IFERROR(__xludf.DUMMYFUNCTION("""COMPUTED_VALUE"""),"SFP-10G-LR=")</f>
        <v>SFP-10G-LR=</v>
      </c>
      <c r="B172" s="21">
        <f>if(A172&lt;&gt;"",countif(AllListPrice!A:A,A172),"")</f>
        <v>1</v>
      </c>
    </row>
    <row r="173">
      <c r="A173" s="29" t="str">
        <f>IFERROR(__xludf.DUMMYFUNCTION("""COMPUTED_VALUE"""),"SFP-10G-ER-S=")</f>
        <v>SFP-10G-ER-S=</v>
      </c>
      <c r="B173" s="21">
        <f>if(A173&lt;&gt;"",countif(AllListPrice!A:A,A173),"")</f>
        <v>1</v>
      </c>
    </row>
    <row r="174">
      <c r="A174" s="29" t="str">
        <f>IFERROR(__xludf.DUMMYFUNCTION("""COMPUTED_VALUE"""),"SFP-10G-ER=")</f>
        <v>SFP-10G-ER=</v>
      </c>
      <c r="B174" s="21">
        <f>if(A174&lt;&gt;"",countif(AllListPrice!A:A,A174),"")</f>
        <v>1</v>
      </c>
    </row>
    <row r="175">
      <c r="A175" s="29" t="str">
        <f>IFERROR(__xludf.DUMMYFUNCTION("""COMPUTED_VALUE"""),"SFP-10G-ZR-S=")</f>
        <v>SFP-10G-ZR-S=</v>
      </c>
      <c r="B175" s="21">
        <f>if(A175&lt;&gt;"",countif(AllListPrice!A:A,A175),"")</f>
        <v>1</v>
      </c>
    </row>
    <row r="176">
      <c r="A176" s="29" t="str">
        <f>IFERROR(__xludf.DUMMYFUNCTION("""COMPUTED_VALUE"""),"SFP-10G-ZR=")</f>
        <v>SFP-10G-ZR=</v>
      </c>
      <c r="B176" s="21">
        <f>if(A176&lt;&gt;"",countif(AllListPrice!A:A,A176),"")</f>
        <v>1</v>
      </c>
    </row>
    <row r="177">
      <c r="A177" s="29" t="str">
        <f>IFERROR(__xludf.DUMMYFUNCTION("""COMPUTED_VALUE"""),"QSFP-100G-LR4-S")</f>
        <v>QSFP-100G-LR4-S</v>
      </c>
      <c r="B177" s="21">
        <f>if(A177&lt;&gt;"",countif(AllListPrice!A:A,A177),"")</f>
        <v>0</v>
      </c>
    </row>
    <row r="178">
      <c r="A178" s="29" t="str">
        <f>IFERROR(__xludf.DUMMYFUNCTION("""COMPUTED_VALUE"""),"QSFP-100G-LR-S=")</f>
        <v>QSFP-100G-LR-S=</v>
      </c>
      <c r="B178" s="21">
        <f>if(A178&lt;&gt;"",countif(AllListPrice!A:A,A178),"")</f>
        <v>1</v>
      </c>
    </row>
    <row r="179">
      <c r="A179" s="29" t="str">
        <f>IFERROR(__xludf.DUMMYFUNCTION("""COMPUTED_VALUE"""),"QSFP-100G-ER4L-S=")</f>
        <v>QSFP-100G-ER4L-S=</v>
      </c>
      <c r="B179" s="21">
        <f>if(A179&lt;&gt;"",countif(AllListPrice!A:A,A179),"")</f>
        <v>1</v>
      </c>
    </row>
    <row r="180">
      <c r="A180" s="29" t="str">
        <f>IFERROR(__xludf.DUMMYFUNCTION("""COMPUTED_VALUE"""),"QSFP-100G-ZR4-S=")</f>
        <v>QSFP-100G-ZR4-S=</v>
      </c>
      <c r="B180" s="21">
        <f>if(A180&lt;&gt;"",countif(AllListPrice!A:A,A180),"")</f>
        <v>1</v>
      </c>
    </row>
    <row r="181">
      <c r="B181" s="21" t="str">
        <f>if(A181&lt;&gt;"",countif(AllListPrice!A:A,A181),"")</f>
        <v/>
      </c>
    </row>
    <row r="182">
      <c r="B182" s="21" t="str">
        <f>if(A182&lt;&gt;"",countif(AllListPrice!A:A,A182),"")</f>
        <v/>
      </c>
    </row>
    <row r="183">
      <c r="B183" s="21" t="str">
        <f>if(A183&lt;&gt;"",countif(AllListPrice!A:A,A183),"")</f>
        <v/>
      </c>
    </row>
    <row r="184">
      <c r="B184" s="21" t="str">
        <f>if(A184&lt;&gt;"",countif(AllListPrice!A:A,A184),"")</f>
        <v/>
      </c>
    </row>
    <row r="185">
      <c r="B185" s="21" t="str">
        <f>if(A185&lt;&gt;"",countif(AllListPrice!A:A,A185),"")</f>
        <v/>
      </c>
    </row>
    <row r="186">
      <c r="B186" s="21" t="str">
        <f>if(A186&lt;&gt;"",countif(AllListPrice!A:A,A186),"")</f>
        <v/>
      </c>
    </row>
    <row r="187">
      <c r="B187" s="21" t="str">
        <f>if(A187&lt;&gt;"",countif(AllListPrice!A:A,A187),"")</f>
        <v/>
      </c>
    </row>
    <row r="188">
      <c r="B188" s="21" t="str">
        <f>if(A188&lt;&gt;"",countif(AllListPrice!A:A,A188),"")</f>
        <v/>
      </c>
    </row>
    <row r="189">
      <c r="B189" s="21" t="str">
        <f>if(A189&lt;&gt;"",countif(AllListPrice!A:A,A189),"")</f>
        <v/>
      </c>
    </row>
    <row r="190">
      <c r="B190" s="21" t="str">
        <f>if(A190&lt;&gt;"",countif(AllListPrice!A:A,A190),"")</f>
        <v/>
      </c>
    </row>
    <row r="191">
      <c r="B191" s="21" t="str">
        <f>if(A191&lt;&gt;"",countif(AllListPrice!A:A,A191),"")</f>
        <v/>
      </c>
    </row>
    <row r="192">
      <c r="B192" s="21" t="str">
        <f>if(A192&lt;&gt;"",countif(AllListPrice!A:A,A192),"")</f>
        <v/>
      </c>
    </row>
    <row r="193">
      <c r="B193" s="21" t="str">
        <f>if(A193&lt;&gt;"",countif(AllListPrice!A:A,A193),"")</f>
        <v/>
      </c>
    </row>
    <row r="194">
      <c r="B194" s="21" t="str">
        <f>if(A194&lt;&gt;"",countif(AllListPrice!A:A,A194),"")</f>
        <v/>
      </c>
    </row>
    <row r="195">
      <c r="B195" s="21" t="str">
        <f>if(A195&lt;&gt;"",countif(AllListPrice!A:A,A195),"")</f>
        <v/>
      </c>
    </row>
    <row r="196">
      <c r="B196" s="21" t="str">
        <f>if(A196&lt;&gt;"",countif(AllListPrice!A:A,A196),"")</f>
        <v/>
      </c>
    </row>
    <row r="197">
      <c r="B197" s="21" t="str">
        <f>if(A197&lt;&gt;"",countif(AllListPrice!A:A,A197),"")</f>
        <v/>
      </c>
    </row>
    <row r="198">
      <c r="B198" s="21" t="str">
        <f>if(A198&lt;&gt;"",countif(AllListPrice!A:A,A198),"")</f>
        <v/>
      </c>
    </row>
    <row r="199">
      <c r="B199" s="21" t="str">
        <f>if(A199&lt;&gt;"",countif(AllListPrice!A:A,A199),"")</f>
        <v/>
      </c>
    </row>
    <row r="200">
      <c r="B200" s="21" t="str">
        <f>if(A200&lt;&gt;"",countif(AllListPrice!A:A,A200),"")</f>
        <v/>
      </c>
    </row>
    <row r="201">
      <c r="B201" s="21" t="str">
        <f>if(A201&lt;&gt;"",countif(AllListPrice!A:A,A201),"")</f>
        <v/>
      </c>
    </row>
    <row r="202">
      <c r="B202" s="21" t="str">
        <f>if(A202&lt;&gt;"",countif(AllListPrice!A:A,A202),"")</f>
        <v/>
      </c>
    </row>
    <row r="203">
      <c r="B203" s="21" t="str">
        <f>if(A203&lt;&gt;"",countif(AllListPrice!A:A,A203),"")</f>
        <v/>
      </c>
    </row>
    <row r="204">
      <c r="B204" s="21" t="str">
        <f>if(A204&lt;&gt;"",countif(AllListPrice!A:A,A204),"")</f>
        <v/>
      </c>
    </row>
    <row r="205">
      <c r="B205" s="21" t="str">
        <f>if(A205&lt;&gt;"",countif(AllListPrice!A:A,A205),"")</f>
        <v/>
      </c>
    </row>
    <row r="206">
      <c r="B206" s="21" t="str">
        <f>if(A206&lt;&gt;"",countif(AllListPrice!A:A,A206),"")</f>
        <v/>
      </c>
    </row>
    <row r="207">
      <c r="B207" s="21" t="str">
        <f>if(A207&lt;&gt;"",countif(AllListPrice!A:A,A207),"")</f>
        <v/>
      </c>
    </row>
    <row r="208">
      <c r="B208" s="21" t="str">
        <f>if(A208&lt;&gt;"",countif(AllListPrice!A:A,A208),"")</f>
        <v/>
      </c>
    </row>
    <row r="209">
      <c r="B209" s="21" t="str">
        <f>if(A209&lt;&gt;"",countif(AllListPrice!A:A,A209),"")</f>
        <v/>
      </c>
    </row>
    <row r="210">
      <c r="B210" s="21" t="str">
        <f>if(A210&lt;&gt;"",countif(AllListPrice!A:A,A210),"")</f>
        <v/>
      </c>
    </row>
    <row r="211">
      <c r="B211" s="21" t="str">
        <f>if(A211&lt;&gt;"",countif(AllListPrice!A:A,A211),"")</f>
        <v/>
      </c>
    </row>
    <row r="212">
      <c r="B212" s="21" t="str">
        <f>if(A212&lt;&gt;"",countif(AllListPrice!A:A,A212),"")</f>
        <v/>
      </c>
    </row>
    <row r="213">
      <c r="B213" s="21" t="str">
        <f>if(A213&lt;&gt;"",countif(AllListPrice!A:A,A213),"")</f>
        <v/>
      </c>
    </row>
    <row r="214">
      <c r="B214" s="21" t="str">
        <f>if(A214&lt;&gt;"",countif(AllListPrice!A:A,A214),"")</f>
        <v/>
      </c>
    </row>
    <row r="215">
      <c r="B215" s="21" t="str">
        <f>if(A215&lt;&gt;"",countif(AllListPrice!A:A,A215),"")</f>
        <v/>
      </c>
    </row>
    <row r="216">
      <c r="B216" s="21" t="str">
        <f>if(A216&lt;&gt;"",countif(AllListPrice!A:A,A216),"")</f>
        <v/>
      </c>
    </row>
    <row r="217">
      <c r="B217" s="21" t="str">
        <f>if(A217&lt;&gt;"",countif(AllListPrice!A:A,A217),"")</f>
        <v/>
      </c>
    </row>
    <row r="218">
      <c r="B218" s="21" t="str">
        <f>if(A218&lt;&gt;"",countif(AllListPrice!A:A,A218),"")</f>
        <v/>
      </c>
    </row>
    <row r="219">
      <c r="B219" s="21" t="str">
        <f>if(A219&lt;&gt;"",countif(AllListPrice!A:A,A219),"")</f>
        <v/>
      </c>
    </row>
    <row r="220">
      <c r="B220" s="21" t="str">
        <f>if(A220&lt;&gt;"",countif(AllListPrice!A:A,A220),"")</f>
        <v/>
      </c>
    </row>
    <row r="221">
      <c r="B221" s="21" t="str">
        <f>if(A221&lt;&gt;"",countif(AllListPrice!A:A,A221),"")</f>
        <v/>
      </c>
    </row>
    <row r="222">
      <c r="B222" s="21" t="str">
        <f>if(A222&lt;&gt;"",countif(AllListPrice!A:A,A222),"")</f>
        <v/>
      </c>
    </row>
    <row r="223">
      <c r="B223" s="21" t="str">
        <f>if(A223&lt;&gt;"",countif(AllListPrice!A:A,A223),"")</f>
        <v/>
      </c>
    </row>
    <row r="224">
      <c r="B224" s="21" t="str">
        <f>if(A224&lt;&gt;"",countif(AllListPrice!A:A,A224),"")</f>
        <v/>
      </c>
    </row>
    <row r="225">
      <c r="B225" s="21" t="str">
        <f>if(A225&lt;&gt;"",countif(AllListPrice!A:A,A225),"")</f>
        <v/>
      </c>
    </row>
    <row r="226">
      <c r="B226" s="21" t="str">
        <f>if(A226&lt;&gt;"",countif(AllListPrice!A:A,A226),"")</f>
        <v/>
      </c>
    </row>
    <row r="227">
      <c r="B227" s="21" t="str">
        <f>if(A227&lt;&gt;"",countif(AllListPrice!A:A,A227),"")</f>
        <v/>
      </c>
    </row>
    <row r="228">
      <c r="B228" s="21" t="str">
        <f>if(A228&lt;&gt;"",countif(AllListPrice!A:A,A228),"")</f>
        <v/>
      </c>
    </row>
    <row r="229">
      <c r="B229" s="21" t="str">
        <f>if(A229&lt;&gt;"",countif(AllListPrice!A:A,A229),"")</f>
        <v/>
      </c>
    </row>
    <row r="230">
      <c r="B230" s="21" t="str">
        <f>if(A230&lt;&gt;"",countif(AllListPrice!A:A,A230),"")</f>
        <v/>
      </c>
    </row>
    <row r="231">
      <c r="B231" s="21" t="str">
        <f>if(A231&lt;&gt;"",countif(AllListPrice!A:A,A231),"")</f>
        <v/>
      </c>
    </row>
    <row r="232">
      <c r="B232" s="21" t="str">
        <f>if(A232&lt;&gt;"",countif(AllListPrice!A:A,A232),"")</f>
        <v/>
      </c>
    </row>
    <row r="233">
      <c r="B233" s="21" t="str">
        <f>if(A233&lt;&gt;"",countif(AllListPrice!A:A,A233),"")</f>
        <v/>
      </c>
    </row>
    <row r="234">
      <c r="B234" s="21" t="str">
        <f>if(A234&lt;&gt;"",countif(AllListPrice!A:A,A234),"")</f>
        <v/>
      </c>
    </row>
    <row r="235">
      <c r="B235" s="21" t="str">
        <f>if(A235&lt;&gt;"",countif(AllListPrice!A:A,A235),"")</f>
        <v/>
      </c>
    </row>
    <row r="236">
      <c r="B236" s="21" t="str">
        <f>if(A236&lt;&gt;"",countif(AllListPrice!A:A,A236),"")</f>
        <v/>
      </c>
    </row>
    <row r="237">
      <c r="B237" s="21" t="str">
        <f>if(A237&lt;&gt;"",countif(AllListPrice!A:A,A237),"")</f>
        <v/>
      </c>
    </row>
    <row r="238">
      <c r="B238" s="21" t="str">
        <f>if(A238&lt;&gt;"",countif(AllListPrice!A:A,A238),"")</f>
        <v/>
      </c>
    </row>
    <row r="239">
      <c r="B239" s="21" t="str">
        <f>if(A239&lt;&gt;"",countif(AllListPrice!A:A,A239),"")</f>
        <v/>
      </c>
    </row>
    <row r="240">
      <c r="B240" s="21" t="str">
        <f>if(A240&lt;&gt;"",countif(AllListPrice!A:A,A240),"")</f>
        <v/>
      </c>
    </row>
    <row r="241">
      <c r="B241" s="21" t="str">
        <f>if(A241&lt;&gt;"",countif(AllListPrice!A:A,A241),"")</f>
        <v/>
      </c>
    </row>
    <row r="242">
      <c r="B242" s="21" t="str">
        <f>if(A242&lt;&gt;"",countif(AllListPrice!A:A,A242),"")</f>
        <v/>
      </c>
    </row>
    <row r="243">
      <c r="B243" s="21" t="str">
        <f>if(A243&lt;&gt;"",countif(AllListPrice!A:A,A243),"")</f>
        <v/>
      </c>
    </row>
    <row r="244">
      <c r="B244" s="21" t="str">
        <f>if(A244&lt;&gt;"",countif(AllListPrice!A:A,A244),"")</f>
        <v/>
      </c>
    </row>
    <row r="245">
      <c r="B245" s="21" t="str">
        <f>if(A245&lt;&gt;"",countif(AllListPrice!A:A,A245),"")</f>
        <v/>
      </c>
    </row>
    <row r="246">
      <c r="B246" s="21" t="str">
        <f>if(A246&lt;&gt;"",countif(AllListPrice!A:A,A246),"")</f>
        <v/>
      </c>
    </row>
    <row r="247">
      <c r="B247" s="21" t="str">
        <f>if(A247&lt;&gt;"",countif(AllListPrice!A:A,A247),"")</f>
        <v/>
      </c>
    </row>
    <row r="248">
      <c r="B248" s="21" t="str">
        <f>if(A248&lt;&gt;"",countif(AllListPrice!A:A,A248),"")</f>
        <v/>
      </c>
    </row>
    <row r="249">
      <c r="B249" s="21" t="str">
        <f>if(A249&lt;&gt;"",countif(AllListPrice!A:A,A249),"")</f>
        <v/>
      </c>
    </row>
    <row r="250">
      <c r="B250" s="21" t="str">
        <f>if(A250&lt;&gt;"",countif(AllListPrice!A:A,A250),"")</f>
        <v/>
      </c>
    </row>
    <row r="251">
      <c r="B251" s="21" t="str">
        <f>if(A251&lt;&gt;"",countif(AllListPrice!A:A,A251),"")</f>
        <v/>
      </c>
    </row>
    <row r="252">
      <c r="B252" s="21" t="str">
        <f>if(A252&lt;&gt;"",countif(AllListPrice!A:A,A252),"")</f>
        <v/>
      </c>
    </row>
    <row r="253">
      <c r="B253" s="21" t="str">
        <f>if(A253&lt;&gt;"",countif(AllListPrice!A:A,A253),"")</f>
        <v/>
      </c>
    </row>
    <row r="254">
      <c r="B254" s="21" t="str">
        <f>if(A254&lt;&gt;"",countif(AllListPrice!A:A,A254),"")</f>
        <v/>
      </c>
    </row>
    <row r="255">
      <c r="B255" s="21" t="str">
        <f>if(A255&lt;&gt;"",countif(AllListPrice!A:A,A255),"")</f>
        <v/>
      </c>
    </row>
    <row r="256">
      <c r="B256" s="21" t="str">
        <f>if(A256&lt;&gt;"",countif(AllListPrice!A:A,A256),"")</f>
        <v/>
      </c>
    </row>
    <row r="257">
      <c r="B257" s="21" t="str">
        <f>if(A257&lt;&gt;"",countif(AllListPrice!A:A,A257),"")</f>
        <v/>
      </c>
    </row>
    <row r="258">
      <c r="B258" s="21" t="str">
        <f>if(A258&lt;&gt;"",countif(AllListPrice!A:A,A258),"")</f>
        <v/>
      </c>
    </row>
    <row r="259">
      <c r="B259" s="21" t="str">
        <f>if(A259&lt;&gt;"",countif(AllListPrice!A:A,A259),"")</f>
        <v/>
      </c>
    </row>
    <row r="260">
      <c r="B260" s="21" t="str">
        <f>if(A260&lt;&gt;"",countif(AllListPrice!A:A,A260),"")</f>
        <v/>
      </c>
    </row>
    <row r="261">
      <c r="B261" s="21" t="str">
        <f>if(A261&lt;&gt;"",countif(AllListPrice!A:A,A261),"")</f>
        <v/>
      </c>
    </row>
    <row r="262">
      <c r="B262" s="21" t="str">
        <f>if(A262&lt;&gt;"",countif(AllListPrice!A:A,A262),"")</f>
        <v/>
      </c>
    </row>
    <row r="263">
      <c r="B263" s="21" t="str">
        <f>if(A263&lt;&gt;"",countif(AllListPrice!A:A,A263),"")</f>
        <v/>
      </c>
    </row>
    <row r="264">
      <c r="B264" s="21" t="str">
        <f>if(A264&lt;&gt;"",countif(AllListPrice!A:A,A264),"")</f>
        <v/>
      </c>
    </row>
    <row r="265">
      <c r="B265" s="21" t="str">
        <f>if(A265&lt;&gt;"",countif(AllListPrice!A:A,A265),"")</f>
        <v/>
      </c>
    </row>
    <row r="266">
      <c r="B266" s="21" t="str">
        <f>if(A266&lt;&gt;"",countif(AllListPrice!A:A,A266),"")</f>
        <v/>
      </c>
    </row>
    <row r="267">
      <c r="B267" s="21" t="str">
        <f>if(A267&lt;&gt;"",countif(AllListPrice!A:A,A267),"")</f>
        <v/>
      </c>
    </row>
    <row r="268">
      <c r="B268" s="21" t="str">
        <f>if(A268&lt;&gt;"",countif(AllListPrice!A:A,A268),"")</f>
        <v/>
      </c>
    </row>
    <row r="269">
      <c r="B269" s="21" t="str">
        <f>if(A269&lt;&gt;"",countif(AllListPrice!A:A,A269),"")</f>
        <v/>
      </c>
    </row>
    <row r="270">
      <c r="B270" s="21" t="str">
        <f>if(A270&lt;&gt;"",countif(AllListPrice!A:A,A270),"")</f>
        <v/>
      </c>
    </row>
    <row r="271">
      <c r="B271" s="21" t="str">
        <f>if(A271&lt;&gt;"",countif(AllListPrice!A:A,A271),"")</f>
        <v/>
      </c>
    </row>
    <row r="272">
      <c r="B272" s="21" t="str">
        <f>if(A272&lt;&gt;"",countif(AllListPrice!A:A,A272),"")</f>
        <v/>
      </c>
    </row>
    <row r="273">
      <c r="B273" s="21" t="str">
        <f>if(A273&lt;&gt;"",countif(AllListPrice!A:A,A273),"")</f>
        <v/>
      </c>
    </row>
    <row r="274">
      <c r="B274" s="21" t="str">
        <f>if(A274&lt;&gt;"",countif(AllListPrice!A:A,A274),"")</f>
        <v/>
      </c>
    </row>
    <row r="275">
      <c r="B275" s="21" t="str">
        <f>if(A275&lt;&gt;"",countif(AllListPrice!A:A,A275),"")</f>
        <v/>
      </c>
    </row>
    <row r="276">
      <c r="B276" s="21" t="str">
        <f>if(A276&lt;&gt;"",countif(AllListPrice!A:A,A276),"")</f>
        <v/>
      </c>
    </row>
    <row r="277">
      <c r="B277" s="21" t="str">
        <f>if(A277&lt;&gt;"",countif(AllListPrice!A:A,A277),"")</f>
        <v/>
      </c>
    </row>
    <row r="278">
      <c r="B278" s="21" t="str">
        <f>if(A278&lt;&gt;"",countif(AllListPrice!A:A,A278),"")</f>
        <v/>
      </c>
    </row>
    <row r="279">
      <c r="B279" s="21" t="str">
        <f>if(A279&lt;&gt;"",countif(AllListPrice!A:A,A279),"")</f>
        <v/>
      </c>
    </row>
    <row r="280">
      <c r="B280" s="21" t="str">
        <f>if(A280&lt;&gt;"",countif(AllListPrice!A:A,A280),"")</f>
        <v/>
      </c>
    </row>
    <row r="281">
      <c r="B281" s="21" t="str">
        <f>if(A281&lt;&gt;"",countif(AllListPrice!A:A,A281),"")</f>
        <v/>
      </c>
    </row>
    <row r="282">
      <c r="B282" s="21" t="str">
        <f>if(A282&lt;&gt;"",countif(AllListPrice!A:A,A282),"")</f>
        <v/>
      </c>
    </row>
    <row r="283">
      <c r="B283" s="21" t="str">
        <f>if(A283&lt;&gt;"",countif(AllListPrice!A:A,A283),"")</f>
        <v/>
      </c>
    </row>
    <row r="284">
      <c r="B284" s="21" t="str">
        <f>if(A284&lt;&gt;"",countif(AllListPrice!A:A,A284),"")</f>
        <v/>
      </c>
    </row>
    <row r="285">
      <c r="B285" s="21" t="str">
        <f>if(A285&lt;&gt;"",countif(AllListPrice!A:A,A285),"")</f>
        <v/>
      </c>
    </row>
    <row r="286">
      <c r="B286" s="21" t="str">
        <f>if(A286&lt;&gt;"",countif(AllListPrice!A:A,A286),"")</f>
        <v/>
      </c>
    </row>
    <row r="287">
      <c r="B287" s="21" t="str">
        <f>if(A287&lt;&gt;"",countif(AllListPrice!A:A,A287),"")</f>
        <v/>
      </c>
    </row>
    <row r="288">
      <c r="B288" s="21" t="str">
        <f>if(A288&lt;&gt;"",countif(AllListPrice!A:A,A288),"")</f>
        <v/>
      </c>
    </row>
    <row r="289">
      <c r="B289" s="21" t="str">
        <f>if(A289&lt;&gt;"",countif(AllListPrice!A:A,A289),"")</f>
        <v/>
      </c>
    </row>
    <row r="290">
      <c r="B290" s="21" t="str">
        <f>if(A290&lt;&gt;"",countif(AllListPrice!A:A,A290),"")</f>
        <v/>
      </c>
    </row>
    <row r="291">
      <c r="B291" s="21" t="str">
        <f>if(A291&lt;&gt;"",countif(AllListPrice!A:A,A291),"")</f>
        <v/>
      </c>
    </row>
    <row r="292">
      <c r="B292" s="21" t="str">
        <f>if(A292&lt;&gt;"",countif(AllListPrice!A:A,A292),"")</f>
        <v/>
      </c>
    </row>
    <row r="293">
      <c r="B293" s="21" t="str">
        <f>if(A293&lt;&gt;"",countif(AllListPrice!A:A,A293),"")</f>
        <v/>
      </c>
    </row>
    <row r="294">
      <c r="B294" s="21" t="str">
        <f>if(A294&lt;&gt;"",countif(AllListPrice!A:A,A294),"")</f>
        <v/>
      </c>
    </row>
    <row r="295">
      <c r="B295" s="21" t="str">
        <f>if(A295&lt;&gt;"",countif(AllListPrice!A:A,A295),"")</f>
        <v/>
      </c>
    </row>
    <row r="296">
      <c r="B296" s="21" t="str">
        <f>if(A296&lt;&gt;"",countif(AllListPrice!A:A,A296),"")</f>
        <v/>
      </c>
    </row>
    <row r="297">
      <c r="B297" s="21" t="str">
        <f>if(A297&lt;&gt;"",countif(AllListPrice!A:A,A297),"")</f>
        <v/>
      </c>
    </row>
    <row r="298">
      <c r="B298" s="21" t="str">
        <f>if(A298&lt;&gt;"",countif(AllListPrice!A:A,A298),"")</f>
        <v/>
      </c>
    </row>
    <row r="299">
      <c r="B299" s="21" t="str">
        <f>if(A299&lt;&gt;"",countif(AllListPrice!A:A,A299),"")</f>
        <v/>
      </c>
    </row>
    <row r="300">
      <c r="B300" s="21" t="str">
        <f>if(A300&lt;&gt;"",countif(AllListPrice!A:A,A300),"")</f>
        <v/>
      </c>
    </row>
    <row r="301">
      <c r="B301" s="21" t="str">
        <f>if(A301&lt;&gt;"",countif(AllListPrice!A:A,A301),"")</f>
        <v/>
      </c>
    </row>
    <row r="302">
      <c r="B302" s="21" t="str">
        <f>if(A302&lt;&gt;"",countif(AllListPrice!A:A,A302),"")</f>
        <v/>
      </c>
    </row>
    <row r="303">
      <c r="B303" s="21" t="str">
        <f>if(A303&lt;&gt;"",countif(AllListPrice!A:A,A303),"")</f>
        <v/>
      </c>
    </row>
    <row r="304">
      <c r="B304" s="21" t="str">
        <f>if(A304&lt;&gt;"",countif(AllListPrice!A:A,A304),"")</f>
        <v/>
      </c>
    </row>
    <row r="305">
      <c r="B305" s="21" t="str">
        <f>if(A305&lt;&gt;"",countif(AllListPrice!A:A,A305),"")</f>
        <v/>
      </c>
    </row>
    <row r="306">
      <c r="B306" s="21" t="str">
        <f>if(A306&lt;&gt;"",countif(AllListPrice!A:A,A306),"")</f>
        <v/>
      </c>
    </row>
    <row r="307">
      <c r="B307" s="21" t="str">
        <f>if(A307&lt;&gt;"",countif(AllListPrice!A:A,A307),"")</f>
        <v/>
      </c>
    </row>
    <row r="308">
      <c r="B308" s="21" t="str">
        <f>if(A308&lt;&gt;"",countif(AllListPrice!A:A,A308),"")</f>
        <v/>
      </c>
    </row>
    <row r="309">
      <c r="B309" s="21" t="str">
        <f>if(A309&lt;&gt;"",countif(AllListPrice!A:A,A309),"")</f>
        <v/>
      </c>
    </row>
    <row r="310">
      <c r="B310" s="21" t="str">
        <f>if(A310&lt;&gt;"",countif(AllListPrice!A:A,A310),"")</f>
        <v/>
      </c>
    </row>
    <row r="311">
      <c r="B311" s="21" t="str">
        <f>if(A311&lt;&gt;"",countif(AllListPrice!A:A,A311),"")</f>
        <v/>
      </c>
    </row>
    <row r="312">
      <c r="B312" s="21" t="str">
        <f>if(A312&lt;&gt;"",countif(AllListPrice!A:A,A312),"")</f>
        <v/>
      </c>
    </row>
    <row r="313">
      <c r="B313" s="21" t="str">
        <f>if(A313&lt;&gt;"",countif(AllListPrice!A:A,A313),"")</f>
        <v/>
      </c>
    </row>
    <row r="314">
      <c r="B314" s="21" t="str">
        <f>if(A314&lt;&gt;"",countif(AllListPrice!A:A,A314),"")</f>
        <v/>
      </c>
    </row>
    <row r="315">
      <c r="B315" s="21" t="str">
        <f>if(A315&lt;&gt;"",countif(AllListPrice!A:A,A315),"")</f>
        <v/>
      </c>
    </row>
    <row r="316">
      <c r="B316" s="21" t="str">
        <f>if(A316&lt;&gt;"",countif(AllListPrice!A:A,A316),"")</f>
        <v/>
      </c>
    </row>
    <row r="317">
      <c r="B317" s="21" t="str">
        <f>if(A317&lt;&gt;"",countif(AllListPrice!A:A,A317),"")</f>
        <v/>
      </c>
    </row>
    <row r="318">
      <c r="B318" s="21" t="str">
        <f>if(A318&lt;&gt;"",countif(AllListPrice!A:A,A318),"")</f>
        <v/>
      </c>
    </row>
    <row r="319">
      <c r="B319" s="21" t="str">
        <f>if(A319&lt;&gt;"",countif(AllListPrice!A:A,A319),"")</f>
        <v/>
      </c>
    </row>
    <row r="320">
      <c r="B320" s="21" t="str">
        <f>if(A320&lt;&gt;"",countif(AllListPrice!A:A,A320),"")</f>
        <v/>
      </c>
    </row>
    <row r="321">
      <c r="B321" s="21" t="str">
        <f>if(A321&lt;&gt;"",countif(AllListPrice!A:A,A321),"")</f>
        <v/>
      </c>
    </row>
    <row r="322">
      <c r="B322" s="21" t="str">
        <f>if(A322&lt;&gt;"",countif(AllListPrice!A:A,A322),"")</f>
        <v/>
      </c>
    </row>
    <row r="323">
      <c r="B323" s="21" t="str">
        <f>if(A323&lt;&gt;"",countif(AllListPrice!A:A,A323),"")</f>
        <v/>
      </c>
    </row>
    <row r="324">
      <c r="B324" s="21" t="str">
        <f>if(A324&lt;&gt;"",countif(AllListPrice!A:A,A324),"")</f>
        <v/>
      </c>
    </row>
    <row r="325">
      <c r="B325" s="21" t="str">
        <f>if(A325&lt;&gt;"",countif(AllListPrice!A:A,A325),"")</f>
        <v/>
      </c>
    </row>
    <row r="326">
      <c r="B326" s="21" t="str">
        <f>if(A326&lt;&gt;"",countif(AllListPrice!A:A,A326),"")</f>
        <v/>
      </c>
    </row>
    <row r="327">
      <c r="B327" s="21" t="str">
        <f>if(A327&lt;&gt;"",countif(AllListPrice!A:A,A327),"")</f>
        <v/>
      </c>
    </row>
    <row r="328">
      <c r="B328" s="21" t="str">
        <f>if(A328&lt;&gt;"",countif(AllListPrice!A:A,A328),"")</f>
        <v/>
      </c>
    </row>
    <row r="329">
      <c r="B329" s="21" t="str">
        <f>if(A329&lt;&gt;"",countif(AllListPrice!A:A,A329),"")</f>
        <v/>
      </c>
    </row>
    <row r="330">
      <c r="B330" s="21" t="str">
        <f>if(A330&lt;&gt;"",countif(AllListPrice!A:A,A330),"")</f>
        <v/>
      </c>
    </row>
    <row r="331">
      <c r="B331" s="21" t="str">
        <f>if(A331&lt;&gt;"",countif(AllListPrice!A:A,A331),"")</f>
        <v/>
      </c>
    </row>
    <row r="332">
      <c r="B332" s="21" t="str">
        <f>if(A332&lt;&gt;"",countif(AllListPrice!A:A,A332),"")</f>
        <v/>
      </c>
    </row>
    <row r="333">
      <c r="B333" s="21" t="str">
        <f>if(A333&lt;&gt;"",countif(AllListPrice!A:A,A333),"")</f>
        <v/>
      </c>
    </row>
    <row r="334">
      <c r="B334" s="21" t="str">
        <f>if(A334&lt;&gt;"",countif(AllListPrice!A:A,A334),"")</f>
        <v/>
      </c>
    </row>
    <row r="335">
      <c r="B335" s="21" t="str">
        <f>if(A335&lt;&gt;"",countif(AllListPrice!A:A,A335),"")</f>
        <v/>
      </c>
    </row>
    <row r="336">
      <c r="B336" s="21" t="str">
        <f>if(A336&lt;&gt;"",countif(AllListPrice!A:A,A336),"")</f>
        <v/>
      </c>
    </row>
    <row r="337">
      <c r="B337" s="21" t="str">
        <f>if(A337&lt;&gt;"",countif(AllListPrice!A:A,A337),"")</f>
        <v/>
      </c>
    </row>
    <row r="338">
      <c r="B338" s="21" t="str">
        <f>if(A338&lt;&gt;"",countif(AllListPrice!A:A,A338),"")</f>
        <v/>
      </c>
    </row>
    <row r="339">
      <c r="B339" s="21" t="str">
        <f>if(A339&lt;&gt;"",countif(AllListPrice!A:A,A339),"")</f>
        <v/>
      </c>
    </row>
    <row r="340">
      <c r="B340" s="21" t="str">
        <f>if(A340&lt;&gt;"",countif(AllListPrice!A:A,A340),"")</f>
        <v/>
      </c>
    </row>
    <row r="341">
      <c r="B341" s="21" t="str">
        <f>if(A341&lt;&gt;"",countif(AllListPrice!A:A,A341),"")</f>
        <v/>
      </c>
    </row>
    <row r="342">
      <c r="B342" s="21" t="str">
        <f>if(A342&lt;&gt;"",countif(AllListPrice!A:A,A342),"")</f>
        <v/>
      </c>
    </row>
    <row r="343">
      <c r="B343" s="21" t="str">
        <f>if(A343&lt;&gt;"",countif(AllListPrice!A:A,A343),"")</f>
        <v/>
      </c>
    </row>
    <row r="344">
      <c r="B344" s="21" t="str">
        <f>if(A344&lt;&gt;"",countif(AllListPrice!A:A,A344),"")</f>
        <v/>
      </c>
    </row>
    <row r="345">
      <c r="B345" s="21" t="str">
        <f>if(A345&lt;&gt;"",countif(AllListPrice!A:A,A345),"")</f>
        <v/>
      </c>
    </row>
    <row r="346">
      <c r="B346" s="21" t="str">
        <f>if(A346&lt;&gt;"",countif(AllListPrice!A:A,A346),"")</f>
        <v/>
      </c>
    </row>
    <row r="347">
      <c r="B347" s="21" t="str">
        <f>if(A347&lt;&gt;"",countif(AllListPrice!A:A,A347),"")</f>
        <v/>
      </c>
    </row>
    <row r="348">
      <c r="B348" s="21" t="str">
        <f>if(A348&lt;&gt;"",countif(AllListPrice!A:A,A348),"")</f>
        <v/>
      </c>
    </row>
    <row r="349">
      <c r="B349" s="21" t="str">
        <f>if(A349&lt;&gt;"",countif(AllListPrice!A:A,A349),"")</f>
        <v/>
      </c>
    </row>
    <row r="350">
      <c r="B350" s="21" t="str">
        <f>if(A350&lt;&gt;"",countif(AllListPrice!A:A,A350),"")</f>
        <v/>
      </c>
    </row>
    <row r="351">
      <c r="B351" s="21" t="str">
        <f>if(A351&lt;&gt;"",countif(AllListPrice!A:A,A351),"")</f>
        <v/>
      </c>
    </row>
    <row r="352">
      <c r="B352" s="21" t="str">
        <f>if(A352&lt;&gt;"",countif(AllListPrice!A:A,A352),"")</f>
        <v/>
      </c>
    </row>
    <row r="353">
      <c r="B353" s="21" t="str">
        <f>if(A353&lt;&gt;"",countif(AllListPrice!A:A,A353),"")</f>
        <v/>
      </c>
    </row>
    <row r="354">
      <c r="B354" s="21" t="str">
        <f>if(A354&lt;&gt;"",countif(AllListPrice!A:A,A354),"")</f>
        <v/>
      </c>
    </row>
    <row r="355">
      <c r="B355" s="21" t="str">
        <f>if(A355&lt;&gt;"",countif(AllListPrice!A:A,A355),"")</f>
        <v/>
      </c>
    </row>
    <row r="356">
      <c r="B356" s="21" t="str">
        <f>if(A356&lt;&gt;"",countif(AllListPrice!A:A,A356),"")</f>
        <v/>
      </c>
    </row>
    <row r="357">
      <c r="B357" s="21" t="str">
        <f>if(A357&lt;&gt;"",countif(AllListPrice!A:A,A357),"")</f>
        <v/>
      </c>
    </row>
    <row r="358">
      <c r="B358" s="21" t="str">
        <f>if(A358&lt;&gt;"",countif(AllListPrice!A:A,A358),"")</f>
        <v/>
      </c>
    </row>
    <row r="359">
      <c r="B359" s="21" t="str">
        <f>if(A359&lt;&gt;"",countif(AllListPrice!A:A,A359),"")</f>
        <v/>
      </c>
    </row>
    <row r="360">
      <c r="B360" s="21" t="str">
        <f>if(A360&lt;&gt;"",countif(AllListPrice!A:A,A360),"")</f>
        <v/>
      </c>
    </row>
    <row r="361">
      <c r="B361" s="21" t="str">
        <f>if(A361&lt;&gt;"",countif(AllListPrice!A:A,A361),"")</f>
        <v/>
      </c>
    </row>
    <row r="362">
      <c r="B362" s="21" t="str">
        <f>if(A362&lt;&gt;"",countif(AllListPrice!A:A,A362),"")</f>
        <v/>
      </c>
    </row>
    <row r="363">
      <c r="B363" s="21" t="str">
        <f>if(A363&lt;&gt;"",countif(AllListPrice!A:A,A363),"")</f>
        <v/>
      </c>
    </row>
    <row r="364">
      <c r="B364" s="21" t="str">
        <f>if(A364&lt;&gt;"",countif(AllListPrice!A:A,A364),"")</f>
        <v/>
      </c>
    </row>
    <row r="365">
      <c r="B365" s="21" t="str">
        <f>if(A365&lt;&gt;"",countif(AllListPrice!A:A,A365),"")</f>
        <v/>
      </c>
    </row>
    <row r="366">
      <c r="B366" s="21" t="str">
        <f>if(A366&lt;&gt;"",countif(AllListPrice!A:A,A366),"")</f>
        <v/>
      </c>
    </row>
    <row r="367">
      <c r="B367" s="21" t="str">
        <f>if(A367&lt;&gt;"",countif(AllListPrice!A:A,A367),"")</f>
        <v/>
      </c>
    </row>
    <row r="368">
      <c r="B368" s="21" t="str">
        <f>if(A368&lt;&gt;"",countif(AllListPrice!A:A,A368),"")</f>
        <v/>
      </c>
    </row>
    <row r="369">
      <c r="B369" s="21" t="str">
        <f>if(A369&lt;&gt;"",countif(AllListPrice!A:A,A369),"")</f>
        <v/>
      </c>
    </row>
    <row r="370">
      <c r="B370" s="21" t="str">
        <f>if(A370&lt;&gt;"",countif(AllListPrice!A:A,A370),"")</f>
        <v/>
      </c>
    </row>
    <row r="371">
      <c r="B371" s="21" t="str">
        <f>if(A371&lt;&gt;"",countif(AllListPrice!A:A,A371),"")</f>
        <v/>
      </c>
    </row>
    <row r="372">
      <c r="B372" s="21" t="str">
        <f>if(A372&lt;&gt;"",countif(AllListPrice!A:A,A372),"")</f>
        <v/>
      </c>
    </row>
    <row r="373">
      <c r="B373" s="21" t="str">
        <f>if(A373&lt;&gt;"",countif(AllListPrice!A:A,A373),"")</f>
        <v/>
      </c>
    </row>
    <row r="374">
      <c r="B374" s="21" t="str">
        <f>if(A374&lt;&gt;"",countif(AllListPrice!A:A,A374),"")</f>
        <v/>
      </c>
    </row>
    <row r="375">
      <c r="B375" s="21" t="str">
        <f>if(A375&lt;&gt;"",countif(AllListPrice!A:A,A375),"")</f>
        <v/>
      </c>
    </row>
    <row r="376">
      <c r="B376" s="21" t="str">
        <f>if(A376&lt;&gt;"",countif(AllListPrice!A:A,A376),"")</f>
        <v/>
      </c>
    </row>
    <row r="377">
      <c r="B377" s="21" t="str">
        <f>if(A377&lt;&gt;"",countif(AllListPrice!A:A,A377),"")</f>
        <v/>
      </c>
    </row>
    <row r="378">
      <c r="B378" s="21" t="str">
        <f>if(A378&lt;&gt;"",countif(AllListPrice!A:A,A378),"")</f>
        <v/>
      </c>
    </row>
    <row r="379">
      <c r="B379" s="21" t="str">
        <f>if(A379&lt;&gt;"",countif(AllListPrice!A:A,A379),"")</f>
        <v/>
      </c>
    </row>
    <row r="380">
      <c r="B380" s="21" t="str">
        <f>if(A380&lt;&gt;"",countif(AllListPrice!A:A,A380),"")</f>
        <v/>
      </c>
    </row>
    <row r="381">
      <c r="B381" s="21" t="str">
        <f>if(A381&lt;&gt;"",countif(AllListPrice!A:A,A381),"")</f>
        <v/>
      </c>
    </row>
    <row r="382">
      <c r="B382" s="21" t="str">
        <f>if(A382&lt;&gt;"",countif(AllListPrice!A:A,A382),"")</f>
        <v/>
      </c>
    </row>
    <row r="383">
      <c r="B383" s="21" t="str">
        <f>if(A383&lt;&gt;"",countif(AllListPrice!A:A,A383),"")</f>
        <v/>
      </c>
    </row>
    <row r="384">
      <c r="B384" s="21" t="str">
        <f>if(A384&lt;&gt;"",countif(AllListPrice!A:A,A384),"")</f>
        <v/>
      </c>
    </row>
    <row r="385">
      <c r="B385" s="21" t="str">
        <f>if(A385&lt;&gt;"",countif(AllListPrice!A:A,A385),"")</f>
        <v/>
      </c>
    </row>
    <row r="386">
      <c r="B386" s="21" t="str">
        <f>if(A386&lt;&gt;"",countif(AllListPrice!A:A,A386),"")</f>
        <v/>
      </c>
    </row>
    <row r="387">
      <c r="B387" s="21" t="str">
        <f>if(A387&lt;&gt;"",countif(AllListPrice!A:A,A387),"")</f>
        <v/>
      </c>
    </row>
    <row r="388">
      <c r="B388" s="21" t="str">
        <f>if(A388&lt;&gt;"",countif(AllListPrice!A:A,A388),"")</f>
        <v/>
      </c>
    </row>
    <row r="389">
      <c r="B389" s="21" t="str">
        <f>if(A389&lt;&gt;"",countif(AllListPrice!A:A,A389),"")</f>
        <v/>
      </c>
    </row>
    <row r="390">
      <c r="B390" s="21" t="str">
        <f>if(A390&lt;&gt;"",countif(AllListPrice!A:A,A390),"")</f>
        <v/>
      </c>
    </row>
    <row r="391">
      <c r="B391" s="21" t="str">
        <f>if(A391&lt;&gt;"",countif(AllListPrice!A:A,A391),"")</f>
        <v/>
      </c>
    </row>
    <row r="392">
      <c r="B392" s="21" t="str">
        <f>if(A392&lt;&gt;"",countif(AllListPrice!A:A,A392),"")</f>
        <v/>
      </c>
    </row>
    <row r="393">
      <c r="B393" s="21" t="str">
        <f>if(A393&lt;&gt;"",countif(AllListPrice!A:A,A393),"")</f>
        <v/>
      </c>
    </row>
    <row r="394">
      <c r="B394" s="21" t="str">
        <f>if(A394&lt;&gt;"",countif(AllListPrice!A:A,A394),"")</f>
        <v/>
      </c>
    </row>
    <row r="395">
      <c r="B395" s="21" t="str">
        <f>if(A395&lt;&gt;"",countif(AllListPrice!A:A,A395),"")</f>
        <v/>
      </c>
    </row>
    <row r="396">
      <c r="B396" s="21" t="str">
        <f>if(A396&lt;&gt;"",countif(AllListPrice!A:A,A396),"")</f>
        <v/>
      </c>
    </row>
    <row r="397">
      <c r="B397" s="21" t="str">
        <f>if(A397&lt;&gt;"",countif(AllListPrice!A:A,A397),"")</f>
        <v/>
      </c>
    </row>
    <row r="398">
      <c r="B398" s="21" t="str">
        <f>if(A398&lt;&gt;"",countif(AllListPrice!A:A,A398),"")</f>
        <v/>
      </c>
    </row>
    <row r="399">
      <c r="B399" s="21" t="str">
        <f>if(A399&lt;&gt;"",countif(AllListPrice!A:A,A399),"")</f>
        <v/>
      </c>
    </row>
    <row r="400">
      <c r="B400" s="21" t="str">
        <f>if(A400&lt;&gt;"",countif(AllListPrice!A:A,A400),"")</f>
        <v/>
      </c>
    </row>
    <row r="401">
      <c r="B401" s="21" t="str">
        <f>if(A401&lt;&gt;"",countif(AllListPrice!A:A,A401),"")</f>
        <v/>
      </c>
    </row>
    <row r="402">
      <c r="B402" s="21" t="str">
        <f>if(A402&lt;&gt;"",countif(AllListPrice!A:A,A402),"")</f>
        <v/>
      </c>
    </row>
    <row r="403">
      <c r="B403" s="21" t="str">
        <f>if(A403&lt;&gt;"",countif(AllListPrice!A:A,A403),"")</f>
        <v/>
      </c>
    </row>
    <row r="404">
      <c r="B404" s="21" t="str">
        <f>if(A404&lt;&gt;"",countif(AllListPrice!A:A,A404),"")</f>
        <v/>
      </c>
    </row>
    <row r="405">
      <c r="B405" s="21" t="str">
        <f>if(A405&lt;&gt;"",countif(AllListPrice!A:A,A405),"")</f>
        <v/>
      </c>
    </row>
    <row r="406">
      <c r="B406" s="21" t="str">
        <f>if(A406&lt;&gt;"",countif(AllListPrice!A:A,A406),"")</f>
        <v/>
      </c>
    </row>
    <row r="407">
      <c r="B407" s="21" t="str">
        <f>if(A407&lt;&gt;"",countif(AllListPrice!A:A,A407),"")</f>
        <v/>
      </c>
    </row>
    <row r="408">
      <c r="B408" s="21" t="str">
        <f>if(A408&lt;&gt;"",countif(AllListPrice!A:A,A408),"")</f>
        <v/>
      </c>
    </row>
    <row r="409">
      <c r="B409" s="21" t="str">
        <f>if(A409&lt;&gt;"",countif(AllListPrice!A:A,A409),"")</f>
        <v/>
      </c>
    </row>
    <row r="410">
      <c r="B410" s="21" t="str">
        <f>if(A410&lt;&gt;"",countif(AllListPrice!A:A,A410),"")</f>
        <v/>
      </c>
    </row>
    <row r="411">
      <c r="B411" s="21" t="str">
        <f>if(A411&lt;&gt;"",countif(AllListPrice!A:A,A411),"")</f>
        <v/>
      </c>
    </row>
    <row r="412">
      <c r="B412" s="21" t="str">
        <f>if(A412&lt;&gt;"",countif(AllListPrice!A:A,A412),"")</f>
        <v/>
      </c>
    </row>
    <row r="413">
      <c r="B413" s="21" t="str">
        <f>if(A413&lt;&gt;"",countif(AllListPrice!A:A,A413),"")</f>
        <v/>
      </c>
    </row>
    <row r="414">
      <c r="B414" s="21" t="str">
        <f>if(A414&lt;&gt;"",countif(AllListPrice!A:A,A414),"")</f>
        <v/>
      </c>
    </row>
    <row r="415">
      <c r="B415" s="21" t="str">
        <f>if(A415&lt;&gt;"",countif(AllListPrice!A:A,A415),"")</f>
        <v/>
      </c>
    </row>
    <row r="416">
      <c r="B416" s="21" t="str">
        <f>if(A416&lt;&gt;"",countif(AllListPrice!A:A,A416),"")</f>
        <v/>
      </c>
    </row>
    <row r="417">
      <c r="B417" s="21" t="str">
        <f>if(A417&lt;&gt;"",countif(AllListPrice!A:A,A417),"")</f>
        <v/>
      </c>
    </row>
    <row r="418">
      <c r="B418" s="21" t="str">
        <f>if(A418&lt;&gt;"",countif(AllListPrice!A:A,A418),"")</f>
        <v/>
      </c>
    </row>
    <row r="419">
      <c r="B419" s="21" t="str">
        <f>if(A419&lt;&gt;"",countif(AllListPrice!A:A,A419),"")</f>
        <v/>
      </c>
    </row>
    <row r="420">
      <c r="B420" s="21" t="str">
        <f>if(A420&lt;&gt;"",countif(AllListPrice!A:A,A420),"")</f>
        <v/>
      </c>
    </row>
    <row r="421">
      <c r="B421" s="21" t="str">
        <f>if(A421&lt;&gt;"",countif(AllListPrice!A:A,A421),"")</f>
        <v/>
      </c>
    </row>
    <row r="422">
      <c r="B422" s="21" t="str">
        <f>if(A422&lt;&gt;"",countif(AllListPrice!A:A,A422),"")</f>
        <v/>
      </c>
    </row>
    <row r="423">
      <c r="B423" s="21" t="str">
        <f>if(A423&lt;&gt;"",countif(AllListPrice!A:A,A423),"")</f>
        <v/>
      </c>
    </row>
    <row r="424">
      <c r="B424" s="21" t="str">
        <f>if(A424&lt;&gt;"",countif(AllListPrice!A:A,A424),"")</f>
        <v/>
      </c>
    </row>
    <row r="425">
      <c r="B425" s="21" t="str">
        <f>if(A425&lt;&gt;"",countif(AllListPrice!A:A,A425),"")</f>
        <v/>
      </c>
    </row>
    <row r="426">
      <c r="B426" s="21" t="str">
        <f>if(A426&lt;&gt;"",countif(AllListPrice!A:A,A426),"")</f>
        <v/>
      </c>
    </row>
    <row r="427">
      <c r="B427" s="21" t="str">
        <f>if(A427&lt;&gt;"",countif(AllListPrice!A:A,A427),"")</f>
        <v/>
      </c>
    </row>
    <row r="428">
      <c r="B428" s="21" t="str">
        <f>if(A428&lt;&gt;"",countif(AllListPrice!A:A,A428),"")</f>
        <v/>
      </c>
    </row>
    <row r="429">
      <c r="B429" s="21" t="str">
        <f>if(A429&lt;&gt;"",countif(AllListPrice!A:A,A429),"")</f>
        <v/>
      </c>
    </row>
    <row r="430">
      <c r="B430" s="21" t="str">
        <f>if(A430&lt;&gt;"",countif(AllListPrice!A:A,A430),"")</f>
        <v/>
      </c>
    </row>
    <row r="431">
      <c r="B431" s="21" t="str">
        <f>if(A431&lt;&gt;"",countif(AllListPrice!A:A,A431),"")</f>
        <v/>
      </c>
    </row>
    <row r="432">
      <c r="B432" s="21" t="str">
        <f>if(A432&lt;&gt;"",countif(AllListPrice!A:A,A432),"")</f>
        <v/>
      </c>
    </row>
    <row r="433">
      <c r="B433" s="21" t="str">
        <f>if(A433&lt;&gt;"",countif(AllListPrice!A:A,A433),"")</f>
        <v/>
      </c>
    </row>
    <row r="434">
      <c r="B434" s="21" t="str">
        <f>if(A434&lt;&gt;"",countif(AllListPrice!A:A,A434),"")</f>
        <v/>
      </c>
    </row>
    <row r="435">
      <c r="B435" s="21" t="str">
        <f>if(A435&lt;&gt;"",countif(AllListPrice!A:A,A435),"")</f>
        <v/>
      </c>
    </row>
    <row r="436">
      <c r="B436" s="21" t="str">
        <f>if(A436&lt;&gt;"",countif(AllListPrice!A:A,A436),"")</f>
        <v/>
      </c>
    </row>
    <row r="437">
      <c r="B437" s="21" t="str">
        <f>if(A437&lt;&gt;"",countif(AllListPrice!A:A,A437),"")</f>
        <v/>
      </c>
    </row>
    <row r="438">
      <c r="B438" s="21" t="str">
        <f>if(A438&lt;&gt;"",countif(AllListPrice!A:A,A438),"")</f>
        <v/>
      </c>
    </row>
    <row r="439">
      <c r="B439" s="21" t="str">
        <f>if(A439&lt;&gt;"",countif(AllListPrice!A:A,A439),"")</f>
        <v/>
      </c>
    </row>
    <row r="440">
      <c r="B440" s="21" t="str">
        <f>if(A440&lt;&gt;"",countif(AllListPrice!A:A,A440),"")</f>
        <v/>
      </c>
    </row>
    <row r="441">
      <c r="B441" s="21" t="str">
        <f>if(A441&lt;&gt;"",countif(AllListPrice!A:A,A441),"")</f>
        <v/>
      </c>
    </row>
    <row r="442">
      <c r="B442" s="21" t="str">
        <f>if(A442&lt;&gt;"",countif(AllListPrice!A:A,A442),"")</f>
        <v/>
      </c>
    </row>
    <row r="443">
      <c r="B443" s="21" t="str">
        <f>if(A443&lt;&gt;"",countif(AllListPrice!A:A,A443),"")</f>
        <v/>
      </c>
    </row>
    <row r="444">
      <c r="B444" s="21" t="str">
        <f>if(A444&lt;&gt;"",countif(AllListPrice!A:A,A444),"")</f>
        <v/>
      </c>
    </row>
    <row r="445">
      <c r="B445" s="21" t="str">
        <f>if(A445&lt;&gt;"",countif(AllListPrice!A:A,A445),"")</f>
        <v/>
      </c>
    </row>
    <row r="446">
      <c r="B446" s="21" t="str">
        <f>if(A446&lt;&gt;"",countif(AllListPrice!A:A,A446),"")</f>
        <v/>
      </c>
    </row>
    <row r="447">
      <c r="B447" s="21" t="str">
        <f>if(A447&lt;&gt;"",countif(AllListPrice!A:A,A447),"")</f>
        <v/>
      </c>
    </row>
    <row r="448">
      <c r="B448" s="21" t="str">
        <f>if(A448&lt;&gt;"",countif(AllListPrice!A:A,A448),"")</f>
        <v/>
      </c>
    </row>
    <row r="449">
      <c r="B449" s="21" t="str">
        <f>if(A449&lt;&gt;"",countif(AllListPrice!A:A,A449),"")</f>
        <v/>
      </c>
    </row>
    <row r="450">
      <c r="B450" s="21" t="str">
        <f>if(A450&lt;&gt;"",countif(AllListPrice!A:A,A450),"")</f>
        <v/>
      </c>
    </row>
    <row r="451">
      <c r="B451" s="21" t="str">
        <f>if(A451&lt;&gt;"",countif(AllListPrice!A:A,A451),"")</f>
        <v/>
      </c>
    </row>
    <row r="452">
      <c r="B452" s="21" t="str">
        <f>if(A452&lt;&gt;"",countif(AllListPrice!A:A,A452),"")</f>
        <v/>
      </c>
    </row>
    <row r="453">
      <c r="B453" s="21" t="str">
        <f>if(A453&lt;&gt;"",countif(AllListPrice!A:A,A453),"")</f>
        <v/>
      </c>
    </row>
    <row r="454">
      <c r="B454" s="21" t="str">
        <f>if(A454&lt;&gt;"",countif(AllListPrice!A:A,A454),"")</f>
        <v/>
      </c>
    </row>
    <row r="455">
      <c r="B455" s="21" t="str">
        <f>if(A455&lt;&gt;"",countif(AllListPrice!A:A,A455),"")</f>
        <v/>
      </c>
    </row>
    <row r="456">
      <c r="B456" s="21" t="str">
        <f>if(A456&lt;&gt;"",countif(AllListPrice!A:A,A456),"")</f>
        <v/>
      </c>
    </row>
    <row r="457">
      <c r="B457" s="21" t="str">
        <f>if(A457&lt;&gt;"",countif(AllListPrice!A:A,A457),"")</f>
        <v/>
      </c>
    </row>
    <row r="458">
      <c r="B458" s="21" t="str">
        <f>if(A458&lt;&gt;"",countif(AllListPrice!A:A,A458),"")</f>
        <v/>
      </c>
    </row>
    <row r="459">
      <c r="B459" s="21" t="str">
        <f>if(A459&lt;&gt;"",countif(AllListPrice!A:A,A459),"")</f>
        <v/>
      </c>
    </row>
    <row r="460">
      <c r="B460" s="21" t="str">
        <f>if(A460&lt;&gt;"",countif(AllListPrice!A:A,A460),"")</f>
        <v/>
      </c>
    </row>
    <row r="461">
      <c r="B461" s="21" t="str">
        <f>if(A461&lt;&gt;"",countif(AllListPrice!A:A,A461),"")</f>
        <v/>
      </c>
    </row>
    <row r="462">
      <c r="B462" s="21" t="str">
        <f>if(A462&lt;&gt;"",countif(AllListPrice!A:A,A462),"")</f>
        <v/>
      </c>
    </row>
    <row r="463">
      <c r="B463" s="21" t="str">
        <f>if(A463&lt;&gt;"",countif(AllListPrice!A:A,A463),"")</f>
        <v/>
      </c>
    </row>
    <row r="464">
      <c r="B464" s="21" t="str">
        <f>if(A464&lt;&gt;"",countif(AllListPrice!A:A,A464),"")</f>
        <v/>
      </c>
    </row>
    <row r="465">
      <c r="B465" s="21" t="str">
        <f>if(A465&lt;&gt;"",countif(AllListPrice!A:A,A465),"")</f>
        <v/>
      </c>
    </row>
    <row r="466">
      <c r="B466" s="21" t="str">
        <f>if(A466&lt;&gt;"",countif(AllListPrice!A:A,A466),"")</f>
        <v/>
      </c>
    </row>
    <row r="467">
      <c r="B467" s="21" t="str">
        <f>if(A467&lt;&gt;"",countif(AllListPrice!A:A,A467),"")</f>
        <v/>
      </c>
    </row>
    <row r="468">
      <c r="B468" s="21" t="str">
        <f>if(A468&lt;&gt;"",countif(AllListPrice!A:A,A468),"")</f>
        <v/>
      </c>
    </row>
    <row r="469">
      <c r="B469" s="21" t="str">
        <f>if(A469&lt;&gt;"",countif(AllListPrice!A:A,A469),"")</f>
        <v/>
      </c>
    </row>
    <row r="470">
      <c r="B470" s="21" t="str">
        <f>if(A470&lt;&gt;"",countif(AllListPrice!A:A,A470),"")</f>
        <v/>
      </c>
    </row>
    <row r="471">
      <c r="B471" s="21" t="str">
        <f>if(A471&lt;&gt;"",countif(AllListPrice!A:A,A471),"")</f>
        <v/>
      </c>
    </row>
    <row r="472">
      <c r="B472" s="21" t="str">
        <f>if(A472&lt;&gt;"",countif(AllListPrice!A:A,A472),"")</f>
        <v/>
      </c>
    </row>
    <row r="473">
      <c r="B473" s="21" t="str">
        <f>if(A473&lt;&gt;"",countif(AllListPrice!A:A,A473),"")</f>
        <v/>
      </c>
    </row>
    <row r="474">
      <c r="B474" s="21" t="str">
        <f>if(A474&lt;&gt;"",countif(AllListPrice!A:A,A474),"")</f>
        <v/>
      </c>
    </row>
    <row r="475">
      <c r="B475" s="21" t="str">
        <f>if(A475&lt;&gt;"",countif(AllListPrice!A:A,A475),"")</f>
        <v/>
      </c>
    </row>
    <row r="476">
      <c r="B476" s="21" t="str">
        <f>if(A476&lt;&gt;"",countif(AllListPrice!A:A,A476),"")</f>
        <v/>
      </c>
    </row>
    <row r="477">
      <c r="B477" s="21" t="str">
        <f>if(A477&lt;&gt;"",countif(AllListPrice!A:A,A477),"")</f>
        <v/>
      </c>
    </row>
    <row r="478">
      <c r="B478" s="21" t="str">
        <f>if(A478&lt;&gt;"",countif(AllListPrice!A:A,A478),"")</f>
        <v/>
      </c>
    </row>
    <row r="479">
      <c r="B479" s="21" t="str">
        <f>if(A479&lt;&gt;"",countif(AllListPrice!A:A,A479),"")</f>
        <v/>
      </c>
    </row>
    <row r="480">
      <c r="B480" s="21" t="str">
        <f>if(A480&lt;&gt;"",countif(AllListPrice!A:A,A480),"")</f>
        <v/>
      </c>
    </row>
    <row r="481">
      <c r="B481" s="21" t="str">
        <f>if(A481&lt;&gt;"",countif(AllListPrice!A:A,A481),"")</f>
        <v/>
      </c>
    </row>
    <row r="482">
      <c r="B482" s="21" t="str">
        <f>if(A482&lt;&gt;"",countif(AllListPrice!A:A,A482),"")</f>
        <v/>
      </c>
    </row>
    <row r="483">
      <c r="B483" s="21" t="str">
        <f>if(A483&lt;&gt;"",countif(AllListPrice!A:A,A483),"")</f>
        <v/>
      </c>
    </row>
    <row r="484">
      <c r="B484" s="21" t="str">
        <f>if(A484&lt;&gt;"",countif(AllListPrice!A:A,A484),"")</f>
        <v/>
      </c>
    </row>
    <row r="485">
      <c r="B485" s="21" t="str">
        <f>if(A485&lt;&gt;"",countif(AllListPrice!A:A,A485),"")</f>
        <v/>
      </c>
    </row>
    <row r="486">
      <c r="B486" s="21" t="str">
        <f>if(A486&lt;&gt;"",countif(AllListPrice!A:A,A486),"")</f>
        <v/>
      </c>
    </row>
    <row r="487">
      <c r="B487" s="21" t="str">
        <f>if(A487&lt;&gt;"",countif(AllListPrice!A:A,A487),"")</f>
        <v/>
      </c>
    </row>
    <row r="488">
      <c r="B488" s="21" t="str">
        <f>if(A488&lt;&gt;"",countif(AllListPrice!A:A,A488),"")</f>
        <v/>
      </c>
    </row>
    <row r="489">
      <c r="B489" s="21" t="str">
        <f>if(A489&lt;&gt;"",countif(AllListPrice!A:A,A489),"")</f>
        <v/>
      </c>
    </row>
    <row r="490">
      <c r="B490" s="21" t="str">
        <f>if(A490&lt;&gt;"",countif(AllListPrice!A:A,A490),"")</f>
        <v/>
      </c>
    </row>
    <row r="491">
      <c r="B491" s="21" t="str">
        <f>if(A491&lt;&gt;"",countif(AllListPrice!A:A,A491),"")</f>
        <v/>
      </c>
    </row>
    <row r="492">
      <c r="B492" s="21" t="str">
        <f>if(A492&lt;&gt;"",countif(AllListPrice!A:A,A492),"")</f>
        <v/>
      </c>
    </row>
    <row r="493">
      <c r="B493" s="21" t="str">
        <f>if(A493&lt;&gt;"",countif(AllListPrice!A:A,A493),"")</f>
        <v/>
      </c>
    </row>
    <row r="494">
      <c r="B494" s="21" t="str">
        <f>if(A494&lt;&gt;"",countif(AllListPrice!A:A,A494),"")</f>
        <v/>
      </c>
    </row>
    <row r="495">
      <c r="B495" s="21" t="str">
        <f>if(A495&lt;&gt;"",countif(AllListPrice!A:A,A495),"")</f>
        <v/>
      </c>
    </row>
    <row r="496">
      <c r="B496" s="21" t="str">
        <f>if(A496&lt;&gt;"",countif(AllListPrice!A:A,A496),"")</f>
        <v/>
      </c>
    </row>
    <row r="497">
      <c r="B497" s="21" t="str">
        <f>if(A497&lt;&gt;"",countif(AllListPrice!A:A,A497),"")</f>
        <v/>
      </c>
    </row>
    <row r="498">
      <c r="B498" s="21" t="str">
        <f>if(A498&lt;&gt;"",countif(AllListPrice!A:A,A498),"")</f>
        <v/>
      </c>
    </row>
    <row r="499">
      <c r="B499" s="21" t="str">
        <f>if(A499&lt;&gt;"",countif(AllListPrice!A:A,A499),"")</f>
        <v/>
      </c>
    </row>
    <row r="500">
      <c r="B500" s="21" t="str">
        <f>if(A500&lt;&gt;"",countif(AllListPrice!A:A,A500),"")</f>
        <v/>
      </c>
    </row>
    <row r="501">
      <c r="B501" s="21" t="str">
        <f>if(A501&lt;&gt;"",countif(AllListPrice!A:A,A501),"")</f>
        <v/>
      </c>
    </row>
    <row r="502">
      <c r="B502" s="21" t="str">
        <f>if(A502&lt;&gt;"",countif(AllListPrice!A:A,A502),"")</f>
        <v/>
      </c>
    </row>
    <row r="503">
      <c r="B503" s="21" t="str">
        <f>if(A503&lt;&gt;"",countif(AllListPrice!A:A,A503),"")</f>
        <v/>
      </c>
    </row>
    <row r="504">
      <c r="B504" s="21" t="str">
        <f>if(A504&lt;&gt;"",countif(AllListPrice!A:A,A504),"")</f>
        <v/>
      </c>
    </row>
    <row r="505">
      <c r="B505" s="21" t="str">
        <f>if(A505&lt;&gt;"",countif(AllListPrice!A:A,A505),"")</f>
        <v/>
      </c>
    </row>
    <row r="506">
      <c r="B506" s="21" t="str">
        <f>if(A506&lt;&gt;"",countif(AllListPrice!A:A,A506),"")</f>
        <v/>
      </c>
    </row>
    <row r="507">
      <c r="B507" s="21" t="str">
        <f>if(A507&lt;&gt;"",countif(AllListPrice!A:A,A507),"")</f>
        <v/>
      </c>
    </row>
    <row r="508">
      <c r="B508" s="21" t="str">
        <f>if(A508&lt;&gt;"",countif(AllListPrice!A:A,A508),"")</f>
        <v/>
      </c>
    </row>
    <row r="509">
      <c r="B509" s="21" t="str">
        <f>if(A509&lt;&gt;"",countif(AllListPrice!A:A,A509),"")</f>
        <v/>
      </c>
    </row>
    <row r="510">
      <c r="B510" s="21" t="str">
        <f>if(A510&lt;&gt;"",countif(AllListPrice!A:A,A510),"")</f>
        <v/>
      </c>
    </row>
    <row r="511">
      <c r="B511" s="21" t="str">
        <f>if(A511&lt;&gt;"",countif(AllListPrice!A:A,A511),"")</f>
        <v/>
      </c>
    </row>
    <row r="512">
      <c r="B512" s="21" t="str">
        <f>if(A512&lt;&gt;"",countif(AllListPrice!A:A,A512),"")</f>
        <v/>
      </c>
    </row>
    <row r="513">
      <c r="B513" s="21" t="str">
        <f>if(A513&lt;&gt;"",countif(AllListPrice!A:A,A513),"")</f>
        <v/>
      </c>
    </row>
    <row r="514">
      <c r="B514" s="21" t="str">
        <f>if(A514&lt;&gt;"",countif(AllListPrice!A:A,A514),"")</f>
        <v/>
      </c>
    </row>
    <row r="515">
      <c r="B515" s="21" t="str">
        <f>if(A515&lt;&gt;"",countif(AllListPrice!A:A,A515),"")</f>
        <v/>
      </c>
    </row>
    <row r="516">
      <c r="B516" s="21" t="str">
        <f>if(A516&lt;&gt;"",countif(AllListPrice!A:A,A516),"")</f>
        <v/>
      </c>
    </row>
    <row r="517">
      <c r="B517" s="21" t="str">
        <f>if(A517&lt;&gt;"",countif(AllListPrice!A:A,A517),"")</f>
        <v/>
      </c>
    </row>
    <row r="518">
      <c r="B518" s="21" t="str">
        <f>if(A518&lt;&gt;"",countif(AllListPrice!A:A,A518),"")</f>
        <v/>
      </c>
    </row>
    <row r="519">
      <c r="B519" s="21" t="str">
        <f>if(A519&lt;&gt;"",countif(AllListPrice!A:A,A519),"")</f>
        <v/>
      </c>
    </row>
    <row r="520">
      <c r="B520" s="21" t="str">
        <f>if(A520&lt;&gt;"",countif(AllListPrice!A:A,A520),"")</f>
        <v/>
      </c>
    </row>
    <row r="521">
      <c r="B521" s="21" t="str">
        <f>if(A521&lt;&gt;"",countif(AllListPrice!A:A,A521),"")</f>
        <v/>
      </c>
    </row>
    <row r="522">
      <c r="B522" s="21" t="str">
        <f>if(A522&lt;&gt;"",countif(AllListPrice!A:A,A522),"")</f>
        <v/>
      </c>
    </row>
    <row r="523">
      <c r="B523" s="21" t="str">
        <f>if(A523&lt;&gt;"",countif(AllListPrice!A:A,A523),"")</f>
        <v/>
      </c>
    </row>
    <row r="524">
      <c r="B524" s="21" t="str">
        <f>if(A524&lt;&gt;"",countif(AllListPrice!A:A,A524),"")</f>
        <v/>
      </c>
    </row>
    <row r="525">
      <c r="B525" s="21" t="str">
        <f>if(A525&lt;&gt;"",countif(AllListPrice!A:A,A525),"")</f>
        <v/>
      </c>
    </row>
    <row r="526">
      <c r="B526" s="21" t="str">
        <f>if(A526&lt;&gt;"",countif(AllListPrice!A:A,A526),"")</f>
        <v/>
      </c>
    </row>
    <row r="527">
      <c r="B527" s="21" t="str">
        <f>if(A527&lt;&gt;"",countif(AllListPrice!A:A,A527),"")</f>
        <v/>
      </c>
    </row>
    <row r="528">
      <c r="B528" s="21" t="str">
        <f>if(A528&lt;&gt;"",countif(AllListPrice!A:A,A528),"")</f>
        <v/>
      </c>
    </row>
    <row r="529">
      <c r="B529" s="21" t="str">
        <f>if(A529&lt;&gt;"",countif(AllListPrice!A:A,A529),"")</f>
        <v/>
      </c>
    </row>
    <row r="530">
      <c r="B530" s="21" t="str">
        <f>if(A530&lt;&gt;"",countif(AllListPrice!A:A,A530),"")</f>
        <v/>
      </c>
    </row>
    <row r="531">
      <c r="B531" s="21" t="str">
        <f>if(A531&lt;&gt;"",countif(AllListPrice!A:A,A531),"")</f>
        <v/>
      </c>
    </row>
    <row r="532">
      <c r="B532" s="21" t="str">
        <f>if(A532&lt;&gt;"",countif(AllListPrice!A:A,A532),"")</f>
        <v/>
      </c>
    </row>
    <row r="533">
      <c r="B533" s="21" t="str">
        <f>if(A533&lt;&gt;"",countif(AllListPrice!A:A,A533),"")</f>
        <v/>
      </c>
    </row>
    <row r="534">
      <c r="B534" s="21" t="str">
        <f>if(A534&lt;&gt;"",countif(AllListPrice!A:A,A534),"")</f>
        <v/>
      </c>
    </row>
    <row r="535">
      <c r="B535" s="21" t="str">
        <f>if(A535&lt;&gt;"",countif(AllListPrice!A:A,A535),"")</f>
        <v/>
      </c>
    </row>
    <row r="536">
      <c r="B536" s="21" t="str">
        <f>if(A536&lt;&gt;"",countif(AllListPrice!A:A,A536),"")</f>
        <v/>
      </c>
    </row>
    <row r="537">
      <c r="B537" s="21" t="str">
        <f>if(A537&lt;&gt;"",countif(AllListPrice!A:A,A537),"")</f>
        <v/>
      </c>
    </row>
    <row r="538">
      <c r="B538" s="21" t="str">
        <f>if(A538&lt;&gt;"",countif(AllListPrice!A:A,A538),"")</f>
        <v/>
      </c>
    </row>
    <row r="539">
      <c r="B539" s="21" t="str">
        <f>if(A539&lt;&gt;"",countif(AllListPrice!A:A,A539),"")</f>
        <v/>
      </c>
    </row>
    <row r="540">
      <c r="B540" s="21" t="str">
        <f>if(A540&lt;&gt;"",countif(AllListPrice!A:A,A540),"")</f>
        <v/>
      </c>
    </row>
    <row r="541">
      <c r="B541" s="21" t="str">
        <f>if(A541&lt;&gt;"",countif(AllListPrice!A:A,A541),"")</f>
        <v/>
      </c>
    </row>
    <row r="542">
      <c r="B542" s="21" t="str">
        <f>if(A542&lt;&gt;"",countif(AllListPrice!A:A,A542),"")</f>
        <v/>
      </c>
    </row>
    <row r="543">
      <c r="B543" s="21" t="str">
        <f>if(A543&lt;&gt;"",countif(AllListPrice!A:A,A543),"")</f>
        <v/>
      </c>
    </row>
    <row r="544">
      <c r="B544" s="21" t="str">
        <f>if(A544&lt;&gt;"",countif(AllListPrice!A:A,A544),"")</f>
        <v/>
      </c>
    </row>
    <row r="545">
      <c r="B545" s="21" t="str">
        <f>if(A545&lt;&gt;"",countif(AllListPrice!A:A,A545),"")</f>
        <v/>
      </c>
    </row>
    <row r="546">
      <c r="B546" s="21" t="str">
        <f>if(A546&lt;&gt;"",countif(AllListPrice!A:A,A546),"")</f>
        <v/>
      </c>
    </row>
    <row r="547">
      <c r="B547" s="21" t="str">
        <f>if(A547&lt;&gt;"",countif(AllListPrice!A:A,A547),"")</f>
        <v/>
      </c>
    </row>
    <row r="548">
      <c r="B548" s="21" t="str">
        <f>if(A548&lt;&gt;"",countif(AllListPrice!A:A,A548),"")</f>
        <v/>
      </c>
    </row>
    <row r="549">
      <c r="B549" s="21" t="str">
        <f>if(A549&lt;&gt;"",countif(AllListPrice!A:A,A549),"")</f>
        <v/>
      </c>
    </row>
    <row r="550">
      <c r="B550" s="21" t="str">
        <f>if(A550&lt;&gt;"",countif(AllListPrice!A:A,A550),"")</f>
        <v/>
      </c>
    </row>
    <row r="551">
      <c r="B551" s="21" t="str">
        <f>if(A551&lt;&gt;"",countif(AllListPrice!A:A,A551),"")</f>
        <v/>
      </c>
    </row>
    <row r="552">
      <c r="B552" s="21" t="str">
        <f>if(A552&lt;&gt;"",countif(AllListPrice!A:A,A552),"")</f>
        <v/>
      </c>
    </row>
    <row r="553">
      <c r="B553" s="21" t="str">
        <f>if(A553&lt;&gt;"",countif(AllListPrice!A:A,A553),"")</f>
        <v/>
      </c>
    </row>
    <row r="554">
      <c r="B554" s="21" t="str">
        <f>if(A554&lt;&gt;"",countif(AllListPrice!A:A,A554),"")</f>
        <v/>
      </c>
    </row>
    <row r="555">
      <c r="B555" s="21" t="str">
        <f>if(A555&lt;&gt;"",countif(AllListPrice!A:A,A555),"")</f>
        <v/>
      </c>
    </row>
    <row r="556">
      <c r="B556" s="21" t="str">
        <f>if(A556&lt;&gt;"",countif(AllListPrice!A:A,A556),"")</f>
        <v/>
      </c>
    </row>
    <row r="557">
      <c r="B557" s="21" t="str">
        <f>if(A557&lt;&gt;"",countif(AllListPrice!A:A,A557),"")</f>
        <v/>
      </c>
    </row>
    <row r="558">
      <c r="B558" s="21" t="str">
        <f>if(A558&lt;&gt;"",countif(AllListPrice!A:A,A558),"")</f>
        <v/>
      </c>
    </row>
    <row r="559">
      <c r="B559" s="21" t="str">
        <f>if(A559&lt;&gt;"",countif(AllListPrice!A:A,A559),"")</f>
        <v/>
      </c>
    </row>
    <row r="560">
      <c r="B560" s="21" t="str">
        <f>if(A560&lt;&gt;"",countif(AllListPrice!A:A,A560),"")</f>
        <v/>
      </c>
    </row>
    <row r="561">
      <c r="B561" s="21" t="str">
        <f>if(A561&lt;&gt;"",countif(AllListPrice!A:A,A561),"")</f>
        <v/>
      </c>
    </row>
    <row r="562">
      <c r="B562" s="21" t="str">
        <f>if(A562&lt;&gt;"",countif(AllListPrice!A:A,A562),"")</f>
        <v/>
      </c>
    </row>
    <row r="563">
      <c r="B563" s="21" t="str">
        <f>if(A563&lt;&gt;"",countif(AllListPrice!A:A,A563),"")</f>
        <v/>
      </c>
    </row>
    <row r="564">
      <c r="B564" s="21" t="str">
        <f>if(A564&lt;&gt;"",countif(AllListPrice!A:A,A564),"")</f>
        <v/>
      </c>
    </row>
    <row r="565">
      <c r="B565" s="21" t="str">
        <f>if(A565&lt;&gt;"",countif(AllListPrice!A:A,A565),"")</f>
        <v/>
      </c>
    </row>
    <row r="566">
      <c r="B566" s="21" t="str">
        <f>if(A566&lt;&gt;"",countif(AllListPrice!A:A,A566),"")</f>
        <v/>
      </c>
    </row>
    <row r="567">
      <c r="B567" s="21" t="str">
        <f>if(A567&lt;&gt;"",countif(AllListPrice!A:A,A567),"")</f>
        <v/>
      </c>
    </row>
    <row r="568">
      <c r="B568" s="21" t="str">
        <f>if(A568&lt;&gt;"",countif(AllListPrice!A:A,A568),"")</f>
        <v/>
      </c>
    </row>
    <row r="569">
      <c r="B569" s="21" t="str">
        <f>if(A569&lt;&gt;"",countif(AllListPrice!A:A,A569),"")</f>
        <v/>
      </c>
    </row>
    <row r="570">
      <c r="B570" s="21" t="str">
        <f>if(A570&lt;&gt;"",countif(AllListPrice!A:A,A570),"")</f>
        <v/>
      </c>
    </row>
    <row r="571">
      <c r="B571" s="21" t="str">
        <f>if(A571&lt;&gt;"",countif(AllListPrice!A:A,A571),"")</f>
        <v/>
      </c>
    </row>
    <row r="572">
      <c r="B572" s="21" t="str">
        <f>if(A572&lt;&gt;"",countif(AllListPrice!A:A,A572),"")</f>
        <v/>
      </c>
    </row>
    <row r="573">
      <c r="B573" s="21" t="str">
        <f>if(A573&lt;&gt;"",countif(AllListPrice!A:A,A573),"")</f>
        <v/>
      </c>
    </row>
    <row r="574">
      <c r="B574" s="21" t="str">
        <f>if(A574&lt;&gt;"",countif(AllListPrice!A:A,A574),"")</f>
        <v/>
      </c>
    </row>
    <row r="575">
      <c r="B575" s="21" t="str">
        <f>if(A575&lt;&gt;"",countif(AllListPrice!A:A,A575),"")</f>
        <v/>
      </c>
    </row>
    <row r="576">
      <c r="B576" s="21" t="str">
        <f>if(A576&lt;&gt;"",countif(AllListPrice!A:A,A576),"")</f>
        <v/>
      </c>
    </row>
    <row r="577">
      <c r="B577" s="21" t="str">
        <f>if(A577&lt;&gt;"",countif(AllListPrice!A:A,A577),"")</f>
        <v/>
      </c>
    </row>
    <row r="578">
      <c r="B578" s="21" t="str">
        <f>if(A578&lt;&gt;"",countif(AllListPrice!A:A,A578),"")</f>
        <v/>
      </c>
    </row>
    <row r="579">
      <c r="B579" s="21" t="str">
        <f>if(A579&lt;&gt;"",countif(AllListPrice!A:A,A579),"")</f>
        <v/>
      </c>
    </row>
    <row r="580">
      <c r="B580" s="21" t="str">
        <f>if(A580&lt;&gt;"",countif(AllListPrice!A:A,A580),"")</f>
        <v/>
      </c>
    </row>
    <row r="581">
      <c r="B581" s="21" t="str">
        <f>if(A581&lt;&gt;"",countif(AllListPrice!A:A,A581),"")</f>
        <v/>
      </c>
    </row>
    <row r="582">
      <c r="B582" s="21" t="str">
        <f>if(A582&lt;&gt;"",countif(AllListPrice!A:A,A582),"")</f>
        <v/>
      </c>
    </row>
    <row r="583">
      <c r="B583" s="21" t="str">
        <f>if(A583&lt;&gt;"",countif(AllListPrice!A:A,A583),"")</f>
        <v/>
      </c>
    </row>
    <row r="584">
      <c r="B584" s="21" t="str">
        <f>if(A584&lt;&gt;"",countif(AllListPrice!A:A,A584),"")</f>
        <v/>
      </c>
    </row>
    <row r="585">
      <c r="B585" s="21" t="str">
        <f>if(A585&lt;&gt;"",countif(AllListPrice!A:A,A585),"")</f>
        <v/>
      </c>
    </row>
    <row r="586">
      <c r="B586" s="21" t="str">
        <f>if(A586&lt;&gt;"",countif(AllListPrice!A:A,A586),"")</f>
        <v/>
      </c>
    </row>
    <row r="587">
      <c r="B587" s="21" t="str">
        <f>if(A587&lt;&gt;"",countif(AllListPrice!A:A,A587),"")</f>
        <v/>
      </c>
    </row>
    <row r="588">
      <c r="B588" s="21" t="str">
        <f>if(A588&lt;&gt;"",countif(AllListPrice!A:A,A588),"")</f>
        <v/>
      </c>
    </row>
    <row r="589">
      <c r="B589" s="21" t="str">
        <f>if(A589&lt;&gt;"",countif(AllListPrice!A:A,A589),"")</f>
        <v/>
      </c>
    </row>
    <row r="590">
      <c r="B590" s="21" t="str">
        <f>if(A590&lt;&gt;"",countif(AllListPrice!A:A,A590),"")</f>
        <v/>
      </c>
    </row>
    <row r="591">
      <c r="B591" s="21" t="str">
        <f>if(A591&lt;&gt;"",countif(AllListPrice!A:A,A591),"")</f>
        <v/>
      </c>
    </row>
    <row r="592">
      <c r="B592" s="21" t="str">
        <f>if(A592&lt;&gt;"",countif(AllListPrice!A:A,A592),"")</f>
        <v/>
      </c>
    </row>
    <row r="593">
      <c r="B593" s="21" t="str">
        <f>if(A593&lt;&gt;"",countif(AllListPrice!A:A,A593),"")</f>
        <v/>
      </c>
    </row>
    <row r="594">
      <c r="B594" s="21" t="str">
        <f>if(A594&lt;&gt;"",countif(AllListPrice!A:A,A594),"")</f>
        <v/>
      </c>
    </row>
    <row r="595">
      <c r="B595" s="21" t="str">
        <f>if(A595&lt;&gt;"",countif(AllListPrice!A:A,A595),"")</f>
        <v/>
      </c>
    </row>
    <row r="596">
      <c r="B596" s="21" t="str">
        <f>if(A596&lt;&gt;"",countif(AllListPrice!A:A,A596),"")</f>
        <v/>
      </c>
    </row>
    <row r="597">
      <c r="B597" s="21" t="str">
        <f>if(A597&lt;&gt;"",countif(AllListPrice!A:A,A597),"")</f>
        <v/>
      </c>
    </row>
    <row r="598">
      <c r="B598" s="21" t="str">
        <f>if(A598&lt;&gt;"",countif(AllListPrice!A:A,A598),"")</f>
        <v/>
      </c>
    </row>
    <row r="599">
      <c r="B599" s="21" t="str">
        <f>if(A599&lt;&gt;"",countif(AllListPrice!A:A,A599),"")</f>
        <v/>
      </c>
    </row>
    <row r="600">
      <c r="B600" s="21" t="str">
        <f>if(A600&lt;&gt;"",countif(AllListPrice!A:A,A600),"")</f>
        <v/>
      </c>
    </row>
    <row r="601">
      <c r="B601" s="21" t="str">
        <f>if(A601&lt;&gt;"",countif(AllListPrice!A:A,A601),"")</f>
        <v/>
      </c>
    </row>
    <row r="602">
      <c r="B602" s="21" t="str">
        <f>if(A602&lt;&gt;"",countif(AllListPrice!A:A,A602),"")</f>
        <v/>
      </c>
    </row>
    <row r="603">
      <c r="B603" s="21" t="str">
        <f>if(A603&lt;&gt;"",countif(AllListPrice!A:A,A603),"")</f>
        <v/>
      </c>
    </row>
    <row r="604">
      <c r="B604" s="21" t="str">
        <f>if(A604&lt;&gt;"",countif(AllListPrice!A:A,A604),"")</f>
        <v/>
      </c>
    </row>
    <row r="605">
      <c r="B605" s="21" t="str">
        <f>if(A605&lt;&gt;"",countif(AllListPrice!A:A,A605),"")</f>
        <v/>
      </c>
    </row>
    <row r="606">
      <c r="B606" s="21" t="str">
        <f>if(A606&lt;&gt;"",countif(AllListPrice!A:A,A606),"")</f>
        <v/>
      </c>
    </row>
    <row r="607">
      <c r="B607" s="21" t="str">
        <f>if(A607&lt;&gt;"",countif(AllListPrice!A:A,A607),"")</f>
        <v/>
      </c>
    </row>
    <row r="608">
      <c r="B608" s="21" t="str">
        <f>if(A608&lt;&gt;"",countif(AllListPrice!A:A,A608),"")</f>
        <v/>
      </c>
    </row>
    <row r="609">
      <c r="B609" s="21" t="str">
        <f>if(A609&lt;&gt;"",countif(AllListPrice!A:A,A609),"")</f>
        <v/>
      </c>
    </row>
    <row r="610">
      <c r="B610" s="21" t="str">
        <f>if(A610&lt;&gt;"",countif(AllListPrice!A:A,A610),"")</f>
        <v/>
      </c>
    </row>
    <row r="611">
      <c r="B611" s="21" t="str">
        <f>if(A611&lt;&gt;"",countif(AllListPrice!A:A,A611),"")</f>
        <v/>
      </c>
    </row>
    <row r="612">
      <c r="B612" s="21" t="str">
        <f>if(A612&lt;&gt;"",countif(AllListPrice!A:A,A612),"")</f>
        <v/>
      </c>
    </row>
    <row r="613">
      <c r="B613" s="21" t="str">
        <f>if(A613&lt;&gt;"",countif(AllListPrice!A:A,A613),"")</f>
        <v/>
      </c>
    </row>
    <row r="614">
      <c r="B614" s="21" t="str">
        <f>if(A614&lt;&gt;"",countif(AllListPrice!A:A,A614),"")</f>
        <v/>
      </c>
    </row>
    <row r="615">
      <c r="B615" s="21" t="str">
        <f>if(A615&lt;&gt;"",countif(AllListPrice!A:A,A615),"")</f>
        <v/>
      </c>
    </row>
    <row r="616">
      <c r="B616" s="21" t="str">
        <f>if(A616&lt;&gt;"",countif(AllListPrice!A:A,A616),"")</f>
        <v/>
      </c>
    </row>
    <row r="617">
      <c r="B617" s="21" t="str">
        <f>if(A617&lt;&gt;"",countif(AllListPrice!A:A,A617),"")</f>
        <v/>
      </c>
    </row>
    <row r="618">
      <c r="B618" s="21" t="str">
        <f>if(A618&lt;&gt;"",countif(AllListPrice!A:A,A618),"")</f>
        <v/>
      </c>
    </row>
    <row r="619">
      <c r="B619" s="21" t="str">
        <f>if(A619&lt;&gt;"",countif(AllListPrice!A:A,A619),"")</f>
        <v/>
      </c>
    </row>
    <row r="620">
      <c r="B620" s="21" t="str">
        <f>if(A620&lt;&gt;"",countif(AllListPrice!A:A,A620),"")</f>
        <v/>
      </c>
    </row>
    <row r="621">
      <c r="B621" s="21" t="str">
        <f>if(A621&lt;&gt;"",countif(AllListPrice!A:A,A621),"")</f>
        <v/>
      </c>
    </row>
    <row r="622">
      <c r="B622" s="21" t="str">
        <f>if(A622&lt;&gt;"",countif(AllListPrice!A:A,A622),"")</f>
        <v/>
      </c>
    </row>
    <row r="623">
      <c r="B623" s="21" t="str">
        <f>if(A623&lt;&gt;"",countif(AllListPrice!A:A,A623),"")</f>
        <v/>
      </c>
    </row>
    <row r="624">
      <c r="B624" s="21" t="str">
        <f>if(A624&lt;&gt;"",countif(AllListPrice!A:A,A624),"")</f>
        <v/>
      </c>
    </row>
    <row r="625">
      <c r="B625" s="21" t="str">
        <f>if(A625&lt;&gt;"",countif(AllListPrice!A:A,A625),"")</f>
        <v/>
      </c>
    </row>
    <row r="626">
      <c r="B626" s="21" t="str">
        <f>if(A626&lt;&gt;"",countif(AllListPrice!A:A,A626),"")</f>
        <v/>
      </c>
    </row>
    <row r="627">
      <c r="B627" s="21" t="str">
        <f>if(A627&lt;&gt;"",countif(AllListPrice!A:A,A627),"")</f>
        <v/>
      </c>
    </row>
    <row r="628">
      <c r="B628" s="21" t="str">
        <f>if(A628&lt;&gt;"",countif(AllListPrice!A:A,A628),"")</f>
        <v/>
      </c>
    </row>
    <row r="629">
      <c r="B629" s="21" t="str">
        <f>if(A629&lt;&gt;"",countif(AllListPrice!A:A,A629),"")</f>
        <v/>
      </c>
    </row>
    <row r="630">
      <c r="B630" s="21" t="str">
        <f>if(A630&lt;&gt;"",countif(AllListPrice!A:A,A630),"")</f>
        <v/>
      </c>
    </row>
    <row r="631">
      <c r="B631" s="21" t="str">
        <f>if(A631&lt;&gt;"",countif(AllListPrice!A:A,A631),"")</f>
        <v/>
      </c>
    </row>
    <row r="632">
      <c r="B632" s="21" t="str">
        <f>if(A632&lt;&gt;"",countif(AllListPrice!A:A,A632),"")</f>
        <v/>
      </c>
    </row>
    <row r="633">
      <c r="B633" s="21" t="str">
        <f>if(A633&lt;&gt;"",countif(AllListPrice!A:A,A633),"")</f>
        <v/>
      </c>
    </row>
    <row r="634">
      <c r="B634" s="21" t="str">
        <f>if(A634&lt;&gt;"",countif(AllListPrice!A:A,A634),"")</f>
        <v/>
      </c>
    </row>
    <row r="635">
      <c r="B635" s="21" t="str">
        <f>if(A635&lt;&gt;"",countif(AllListPrice!A:A,A635),"")</f>
        <v/>
      </c>
    </row>
    <row r="636">
      <c r="B636" s="21" t="str">
        <f>if(A636&lt;&gt;"",countif(AllListPrice!A:A,A636),"")</f>
        <v/>
      </c>
    </row>
    <row r="637">
      <c r="B637" s="21" t="str">
        <f>if(A637&lt;&gt;"",countif(AllListPrice!A:A,A637),"")</f>
        <v/>
      </c>
    </row>
    <row r="638">
      <c r="B638" s="21" t="str">
        <f>if(A638&lt;&gt;"",countif(AllListPrice!A:A,A638),"")</f>
        <v/>
      </c>
    </row>
    <row r="639">
      <c r="B639" s="21" t="str">
        <f>if(A639&lt;&gt;"",countif(AllListPrice!A:A,A639),"")</f>
        <v/>
      </c>
    </row>
    <row r="640">
      <c r="B640" s="21" t="str">
        <f>if(A640&lt;&gt;"",countif(AllListPrice!A:A,A640),"")</f>
        <v/>
      </c>
    </row>
    <row r="641">
      <c r="B641" s="21" t="str">
        <f>if(A641&lt;&gt;"",countif(AllListPrice!A:A,A641),"")</f>
        <v/>
      </c>
    </row>
    <row r="642">
      <c r="B642" s="21" t="str">
        <f>if(A642&lt;&gt;"",countif(AllListPrice!A:A,A642),"")</f>
        <v/>
      </c>
    </row>
    <row r="643">
      <c r="B643" s="21" t="str">
        <f>if(A643&lt;&gt;"",countif(AllListPrice!A:A,A643),"")</f>
        <v/>
      </c>
    </row>
    <row r="644">
      <c r="B644" s="21" t="str">
        <f>if(A644&lt;&gt;"",countif(AllListPrice!A:A,A644),"")</f>
        <v/>
      </c>
    </row>
    <row r="645">
      <c r="B645" s="21" t="str">
        <f>if(A645&lt;&gt;"",countif(AllListPrice!A:A,A645),"")</f>
        <v/>
      </c>
    </row>
    <row r="646">
      <c r="B646" s="21" t="str">
        <f>if(A646&lt;&gt;"",countif(AllListPrice!A:A,A646),"")</f>
        <v/>
      </c>
    </row>
    <row r="647">
      <c r="B647" s="21" t="str">
        <f>if(A647&lt;&gt;"",countif(AllListPrice!A:A,A647),"")</f>
        <v/>
      </c>
    </row>
    <row r="648">
      <c r="B648" s="21" t="str">
        <f>if(A648&lt;&gt;"",countif(AllListPrice!A:A,A648),"")</f>
        <v/>
      </c>
    </row>
    <row r="649">
      <c r="B649" s="21" t="str">
        <f>if(A649&lt;&gt;"",countif(AllListPrice!A:A,A649),"")</f>
        <v/>
      </c>
    </row>
    <row r="650">
      <c r="B650" s="21" t="str">
        <f>if(A650&lt;&gt;"",countif(AllListPrice!A:A,A650),"")</f>
        <v/>
      </c>
    </row>
    <row r="651">
      <c r="B651" s="21" t="str">
        <f>if(A651&lt;&gt;"",countif(AllListPrice!A:A,A651),"")</f>
        <v/>
      </c>
    </row>
    <row r="652">
      <c r="B652" s="21" t="str">
        <f>if(A652&lt;&gt;"",countif(AllListPrice!A:A,A652),"")</f>
        <v/>
      </c>
    </row>
    <row r="653">
      <c r="B653" s="21" t="str">
        <f>if(A653&lt;&gt;"",countif(AllListPrice!A:A,A653),"")</f>
        <v/>
      </c>
    </row>
    <row r="654">
      <c r="B654" s="21" t="str">
        <f>if(A654&lt;&gt;"",countif(AllListPrice!A:A,A654),"")</f>
        <v/>
      </c>
    </row>
    <row r="655">
      <c r="B655" s="21" t="str">
        <f>if(A655&lt;&gt;"",countif(AllListPrice!A:A,A655),"")</f>
        <v/>
      </c>
    </row>
    <row r="656">
      <c r="B656" s="21" t="str">
        <f>if(A656&lt;&gt;"",countif(AllListPrice!A:A,A656),"")</f>
        <v/>
      </c>
    </row>
    <row r="657">
      <c r="B657" s="21" t="str">
        <f>if(A657&lt;&gt;"",countif(AllListPrice!A:A,A657),"")</f>
        <v/>
      </c>
    </row>
    <row r="658">
      <c r="B658" s="21" t="str">
        <f>if(A658&lt;&gt;"",countif(AllListPrice!A:A,A658),"")</f>
        <v/>
      </c>
    </row>
    <row r="659">
      <c r="B659" s="21" t="str">
        <f>if(A659&lt;&gt;"",countif(AllListPrice!A:A,A659),"")</f>
        <v/>
      </c>
    </row>
    <row r="660">
      <c r="B660" s="21" t="str">
        <f>if(A660&lt;&gt;"",countif(AllListPrice!A:A,A660),"")</f>
        <v/>
      </c>
    </row>
    <row r="661">
      <c r="B661" s="21" t="str">
        <f>if(A661&lt;&gt;"",countif(AllListPrice!A:A,A661),"")</f>
        <v/>
      </c>
    </row>
    <row r="662">
      <c r="B662" s="21" t="str">
        <f>if(A662&lt;&gt;"",countif(AllListPrice!A:A,A662),"")</f>
        <v/>
      </c>
    </row>
    <row r="663">
      <c r="B663" s="21" t="str">
        <f>if(A663&lt;&gt;"",countif(AllListPrice!A:A,A663),"")</f>
        <v/>
      </c>
    </row>
    <row r="664">
      <c r="B664" s="21" t="str">
        <f>if(A664&lt;&gt;"",countif(AllListPrice!A:A,A664),"")</f>
        <v/>
      </c>
    </row>
    <row r="665">
      <c r="B665" s="21" t="str">
        <f>if(A665&lt;&gt;"",countif(AllListPrice!A:A,A665),"")</f>
        <v/>
      </c>
    </row>
    <row r="666">
      <c r="B666" s="21" t="str">
        <f>if(A666&lt;&gt;"",countif(AllListPrice!A:A,A666),"")</f>
        <v/>
      </c>
    </row>
    <row r="667">
      <c r="B667" s="21" t="str">
        <f>if(A667&lt;&gt;"",countif(AllListPrice!A:A,A667),"")</f>
        <v/>
      </c>
    </row>
    <row r="668">
      <c r="B668" s="21" t="str">
        <f>if(A668&lt;&gt;"",countif(AllListPrice!A:A,A668),"")</f>
        <v/>
      </c>
    </row>
    <row r="669">
      <c r="B669" s="21" t="str">
        <f>if(A669&lt;&gt;"",countif(AllListPrice!A:A,A669),"")</f>
        <v/>
      </c>
    </row>
    <row r="670">
      <c r="B670" s="21" t="str">
        <f>if(A670&lt;&gt;"",countif(AllListPrice!A:A,A670),"")</f>
        <v/>
      </c>
    </row>
    <row r="671">
      <c r="B671" s="21" t="str">
        <f>if(A671&lt;&gt;"",countif(AllListPrice!A:A,A671),"")</f>
        <v/>
      </c>
    </row>
    <row r="672">
      <c r="B672" s="21" t="str">
        <f>if(A672&lt;&gt;"",countif(AllListPrice!A:A,A672),"")</f>
        <v/>
      </c>
    </row>
    <row r="673">
      <c r="B673" s="21" t="str">
        <f>if(A673&lt;&gt;"",countif(AllListPrice!A:A,A673),"")</f>
        <v/>
      </c>
    </row>
    <row r="674">
      <c r="B674" s="21" t="str">
        <f>if(A674&lt;&gt;"",countif(AllListPrice!A:A,A674),"")</f>
        <v/>
      </c>
    </row>
    <row r="675">
      <c r="B675" s="21" t="str">
        <f>if(A675&lt;&gt;"",countif(AllListPrice!A:A,A675),"")</f>
        <v/>
      </c>
    </row>
    <row r="676">
      <c r="B676" s="21" t="str">
        <f>if(A676&lt;&gt;"",countif(AllListPrice!A:A,A676),"")</f>
        <v/>
      </c>
    </row>
    <row r="677">
      <c r="B677" s="21" t="str">
        <f>if(A677&lt;&gt;"",countif(AllListPrice!A:A,A677),"")</f>
        <v/>
      </c>
    </row>
    <row r="678">
      <c r="B678" s="21" t="str">
        <f>if(A678&lt;&gt;"",countif(AllListPrice!A:A,A678),"")</f>
        <v/>
      </c>
    </row>
    <row r="679">
      <c r="B679" s="21" t="str">
        <f>if(A679&lt;&gt;"",countif(AllListPrice!A:A,A679),"")</f>
        <v/>
      </c>
    </row>
    <row r="680">
      <c r="B680" s="21" t="str">
        <f>if(A680&lt;&gt;"",countif(AllListPrice!A:A,A680),"")</f>
        <v/>
      </c>
    </row>
    <row r="681">
      <c r="B681" s="21" t="str">
        <f>if(A681&lt;&gt;"",countif(AllListPrice!A:A,A681),"")</f>
        <v/>
      </c>
    </row>
    <row r="682">
      <c r="B682" s="21" t="str">
        <f>if(A682&lt;&gt;"",countif(AllListPrice!A:A,A682),"")</f>
        <v/>
      </c>
    </row>
    <row r="683">
      <c r="B683" s="21" t="str">
        <f>if(A683&lt;&gt;"",countif(AllListPrice!A:A,A683),"")</f>
        <v/>
      </c>
    </row>
    <row r="684">
      <c r="B684" s="21" t="str">
        <f>if(A684&lt;&gt;"",countif(AllListPrice!A:A,A684),"")</f>
        <v/>
      </c>
    </row>
    <row r="685">
      <c r="B685" s="21" t="str">
        <f>if(A685&lt;&gt;"",countif(AllListPrice!A:A,A685),"")</f>
        <v/>
      </c>
    </row>
    <row r="686">
      <c r="B686" s="21" t="str">
        <f>if(A686&lt;&gt;"",countif(AllListPrice!A:A,A686),"")</f>
        <v/>
      </c>
    </row>
    <row r="687">
      <c r="B687" s="21" t="str">
        <f>if(A687&lt;&gt;"",countif(AllListPrice!A:A,A687),"")</f>
        <v/>
      </c>
    </row>
    <row r="688">
      <c r="B688" s="21" t="str">
        <f>if(A688&lt;&gt;"",countif(AllListPrice!A:A,A688),"")</f>
        <v/>
      </c>
    </row>
    <row r="689">
      <c r="B689" s="21" t="str">
        <f>if(A689&lt;&gt;"",countif(AllListPrice!A:A,A689),"")</f>
        <v/>
      </c>
    </row>
    <row r="690">
      <c r="B690" s="21" t="str">
        <f>if(A690&lt;&gt;"",countif(AllListPrice!A:A,A690),"")</f>
        <v/>
      </c>
    </row>
    <row r="691">
      <c r="B691" s="21" t="str">
        <f>if(A691&lt;&gt;"",countif(AllListPrice!A:A,A691),"")</f>
        <v/>
      </c>
    </row>
    <row r="692">
      <c r="B692" s="21" t="str">
        <f>if(A692&lt;&gt;"",countif(AllListPrice!A:A,A692),"")</f>
        <v/>
      </c>
    </row>
    <row r="693">
      <c r="B693" s="21" t="str">
        <f>if(A693&lt;&gt;"",countif(AllListPrice!A:A,A693),"")</f>
        <v/>
      </c>
    </row>
    <row r="694">
      <c r="B694" s="21" t="str">
        <f>if(A694&lt;&gt;"",countif(AllListPrice!A:A,A694),"")</f>
        <v/>
      </c>
    </row>
    <row r="695">
      <c r="B695" s="21" t="str">
        <f>if(A695&lt;&gt;"",countif(AllListPrice!A:A,A695),"")</f>
        <v/>
      </c>
    </row>
    <row r="696">
      <c r="B696" s="21" t="str">
        <f>if(A696&lt;&gt;"",countif(AllListPrice!A:A,A696),"")</f>
        <v/>
      </c>
    </row>
    <row r="697">
      <c r="B697" s="21" t="str">
        <f>if(A697&lt;&gt;"",countif(AllListPrice!A:A,A697),"")</f>
        <v/>
      </c>
    </row>
    <row r="698">
      <c r="B698" s="21" t="str">
        <f>if(A698&lt;&gt;"",countif(AllListPrice!A:A,A698),"")</f>
        <v/>
      </c>
    </row>
    <row r="699">
      <c r="B699" s="21" t="str">
        <f>if(A699&lt;&gt;"",countif(AllListPrice!A:A,A699),"")</f>
        <v/>
      </c>
    </row>
    <row r="700">
      <c r="B700" s="21" t="str">
        <f>if(A700&lt;&gt;"",countif(AllListPrice!A:A,A700),"")</f>
        <v/>
      </c>
    </row>
    <row r="701">
      <c r="B701" s="21" t="str">
        <f>if(A701&lt;&gt;"",countif(AllListPrice!A:A,A701),"")</f>
        <v/>
      </c>
    </row>
    <row r="702">
      <c r="B702" s="21" t="str">
        <f>if(A702&lt;&gt;"",countif(AllListPrice!A:A,A702),"")</f>
        <v/>
      </c>
    </row>
    <row r="703">
      <c r="B703" s="21" t="str">
        <f>if(A703&lt;&gt;"",countif(AllListPrice!A:A,A703),"")</f>
        <v/>
      </c>
    </row>
    <row r="704">
      <c r="B704" s="21" t="str">
        <f>if(A704&lt;&gt;"",countif(AllListPrice!A:A,A704),"")</f>
        <v/>
      </c>
    </row>
    <row r="705">
      <c r="B705" s="21" t="str">
        <f>if(A705&lt;&gt;"",countif(AllListPrice!A:A,A705),"")</f>
        <v/>
      </c>
    </row>
    <row r="706">
      <c r="B706" s="21" t="str">
        <f>if(A706&lt;&gt;"",countif(AllListPrice!A:A,A706),"")</f>
        <v/>
      </c>
    </row>
    <row r="707">
      <c r="B707" s="21" t="str">
        <f>if(A707&lt;&gt;"",countif(AllListPrice!A:A,A707),"")</f>
        <v/>
      </c>
    </row>
    <row r="708">
      <c r="B708" s="21" t="str">
        <f>if(A708&lt;&gt;"",countif(AllListPrice!A:A,A708),"")</f>
        <v/>
      </c>
    </row>
    <row r="709">
      <c r="B709" s="21" t="str">
        <f>if(A709&lt;&gt;"",countif(AllListPrice!A:A,A709),"")</f>
        <v/>
      </c>
    </row>
    <row r="710">
      <c r="B710" s="21" t="str">
        <f>if(A710&lt;&gt;"",countif(AllListPrice!A:A,A710),"")</f>
        <v/>
      </c>
    </row>
    <row r="711">
      <c r="B711" s="21" t="str">
        <f>if(A711&lt;&gt;"",countif(AllListPrice!A:A,A711),"")</f>
        <v/>
      </c>
    </row>
    <row r="712">
      <c r="B712" s="21" t="str">
        <f>if(A712&lt;&gt;"",countif(AllListPrice!A:A,A712),"")</f>
        <v/>
      </c>
    </row>
    <row r="713">
      <c r="B713" s="21" t="str">
        <f>if(A713&lt;&gt;"",countif(AllListPrice!A:A,A713),"")</f>
        <v/>
      </c>
    </row>
    <row r="714">
      <c r="B714" s="21" t="str">
        <f>if(A714&lt;&gt;"",countif(AllListPrice!A:A,A714),"")</f>
        <v/>
      </c>
    </row>
    <row r="715">
      <c r="B715" s="21" t="str">
        <f>if(A715&lt;&gt;"",countif(AllListPrice!A:A,A715),"")</f>
        <v/>
      </c>
    </row>
    <row r="716">
      <c r="B716" s="21" t="str">
        <f>if(A716&lt;&gt;"",countif(AllListPrice!A:A,A716),"")</f>
        <v/>
      </c>
    </row>
    <row r="717">
      <c r="B717" s="21" t="str">
        <f>if(A717&lt;&gt;"",countif(AllListPrice!A:A,A717),"")</f>
        <v/>
      </c>
    </row>
    <row r="718">
      <c r="B718" s="21" t="str">
        <f>if(A718&lt;&gt;"",countif(AllListPrice!A:A,A718),"")</f>
        <v/>
      </c>
    </row>
    <row r="719">
      <c r="B719" s="21" t="str">
        <f>if(A719&lt;&gt;"",countif(AllListPrice!A:A,A719),"")</f>
        <v/>
      </c>
    </row>
    <row r="720">
      <c r="B720" s="21" t="str">
        <f>if(A720&lt;&gt;"",countif(AllListPrice!A:A,A720),"")</f>
        <v/>
      </c>
    </row>
    <row r="721">
      <c r="B721" s="21" t="str">
        <f>if(A721&lt;&gt;"",countif(AllListPrice!A:A,A721),"")</f>
        <v/>
      </c>
    </row>
    <row r="722">
      <c r="B722" s="21" t="str">
        <f>if(A722&lt;&gt;"",countif(AllListPrice!A:A,A722),"")</f>
        <v/>
      </c>
    </row>
    <row r="723">
      <c r="B723" s="21" t="str">
        <f>if(A723&lt;&gt;"",countif(AllListPrice!A:A,A723),"")</f>
        <v/>
      </c>
    </row>
    <row r="724">
      <c r="B724" s="21" t="str">
        <f>if(A724&lt;&gt;"",countif(AllListPrice!A:A,A724),"")</f>
        <v/>
      </c>
    </row>
    <row r="725">
      <c r="B725" s="21" t="str">
        <f>if(A725&lt;&gt;"",countif(AllListPrice!A:A,A725),"")</f>
        <v/>
      </c>
    </row>
    <row r="726">
      <c r="B726" s="21" t="str">
        <f>if(A726&lt;&gt;"",countif(AllListPrice!A:A,A726),"")</f>
        <v/>
      </c>
    </row>
    <row r="727">
      <c r="B727" s="21" t="str">
        <f>if(A727&lt;&gt;"",countif(AllListPrice!A:A,A727),"")</f>
        <v/>
      </c>
    </row>
    <row r="728">
      <c r="B728" s="21" t="str">
        <f>if(A728&lt;&gt;"",countif(AllListPrice!A:A,A728),"")</f>
        <v/>
      </c>
    </row>
    <row r="729">
      <c r="B729" s="21" t="str">
        <f>if(A729&lt;&gt;"",countif(AllListPrice!A:A,A729),"")</f>
        <v/>
      </c>
    </row>
    <row r="730">
      <c r="B730" s="21" t="str">
        <f>if(A730&lt;&gt;"",countif(AllListPrice!A:A,A730),"")</f>
        <v/>
      </c>
    </row>
    <row r="731">
      <c r="B731" s="21" t="str">
        <f>if(A731&lt;&gt;"",countif(AllListPrice!A:A,A731),"")</f>
        <v/>
      </c>
    </row>
    <row r="732">
      <c r="B732" s="21" t="str">
        <f>if(A732&lt;&gt;"",countif(AllListPrice!A:A,A732),"")</f>
        <v/>
      </c>
    </row>
    <row r="733">
      <c r="B733" s="21" t="str">
        <f>if(A733&lt;&gt;"",countif(AllListPrice!A:A,A733),"")</f>
        <v/>
      </c>
    </row>
    <row r="734">
      <c r="B734" s="21" t="str">
        <f>if(A734&lt;&gt;"",countif(AllListPrice!A:A,A734),"")</f>
        <v/>
      </c>
    </row>
    <row r="735">
      <c r="B735" s="21" t="str">
        <f>if(A735&lt;&gt;"",countif(AllListPrice!A:A,A735),"")</f>
        <v/>
      </c>
    </row>
    <row r="736">
      <c r="B736" s="21" t="str">
        <f>if(A736&lt;&gt;"",countif(AllListPrice!A:A,A736),"")</f>
        <v/>
      </c>
    </row>
    <row r="737">
      <c r="B737" s="21" t="str">
        <f>if(A737&lt;&gt;"",countif(AllListPrice!A:A,A737),"")</f>
        <v/>
      </c>
    </row>
    <row r="738">
      <c r="B738" s="21" t="str">
        <f>if(A738&lt;&gt;"",countif(AllListPrice!A:A,A738),"")</f>
        <v/>
      </c>
    </row>
    <row r="739">
      <c r="B739" s="21" t="str">
        <f>if(A739&lt;&gt;"",countif(AllListPrice!A:A,A739),"")</f>
        <v/>
      </c>
    </row>
    <row r="740">
      <c r="B740" s="21" t="str">
        <f>if(A740&lt;&gt;"",countif(AllListPrice!A:A,A740),"")</f>
        <v/>
      </c>
    </row>
    <row r="741">
      <c r="B741" s="21" t="str">
        <f>if(A741&lt;&gt;"",countif(AllListPrice!A:A,A741),"")</f>
        <v/>
      </c>
    </row>
    <row r="742">
      <c r="B742" s="21" t="str">
        <f>if(A742&lt;&gt;"",countif(AllListPrice!A:A,A742),"")</f>
        <v/>
      </c>
    </row>
    <row r="743">
      <c r="B743" s="21" t="str">
        <f>if(A743&lt;&gt;"",countif(AllListPrice!A:A,A743),"")</f>
        <v/>
      </c>
    </row>
    <row r="744">
      <c r="B744" s="21" t="str">
        <f>if(A744&lt;&gt;"",countif(AllListPrice!A:A,A744),"")</f>
        <v/>
      </c>
    </row>
    <row r="745">
      <c r="B745" s="21" t="str">
        <f>if(A745&lt;&gt;"",countif(AllListPrice!A:A,A745),"")</f>
        <v/>
      </c>
    </row>
    <row r="746">
      <c r="B746" s="21" t="str">
        <f>if(A746&lt;&gt;"",countif(AllListPrice!A:A,A746),"")</f>
        <v/>
      </c>
    </row>
    <row r="747">
      <c r="B747" s="21" t="str">
        <f>if(A747&lt;&gt;"",countif(AllListPrice!A:A,A747),"")</f>
        <v/>
      </c>
    </row>
    <row r="748">
      <c r="B748" s="21" t="str">
        <f>if(A748&lt;&gt;"",countif(AllListPrice!A:A,A748),"")</f>
        <v/>
      </c>
    </row>
    <row r="749">
      <c r="B749" s="21" t="str">
        <f>if(A749&lt;&gt;"",countif(AllListPrice!A:A,A749),"")</f>
        <v/>
      </c>
    </row>
    <row r="750">
      <c r="B750" s="21" t="str">
        <f>if(A750&lt;&gt;"",countif(AllListPrice!A:A,A750),"")</f>
        <v/>
      </c>
    </row>
    <row r="751">
      <c r="B751" s="21" t="str">
        <f>if(A751&lt;&gt;"",countif(AllListPrice!A:A,A751),"")</f>
        <v/>
      </c>
    </row>
    <row r="752">
      <c r="B752" s="21" t="str">
        <f>if(A752&lt;&gt;"",countif(AllListPrice!A:A,A752),"")</f>
        <v/>
      </c>
    </row>
    <row r="753">
      <c r="B753" s="21" t="str">
        <f>if(A753&lt;&gt;"",countif(AllListPrice!A:A,A753),"")</f>
        <v/>
      </c>
    </row>
    <row r="754">
      <c r="B754" s="21" t="str">
        <f>if(A754&lt;&gt;"",countif(AllListPrice!A:A,A754),"")</f>
        <v/>
      </c>
    </row>
    <row r="755">
      <c r="B755" s="21" t="str">
        <f>if(A755&lt;&gt;"",countif(AllListPrice!A:A,A755),"")</f>
        <v/>
      </c>
    </row>
    <row r="756">
      <c r="B756" s="21" t="str">
        <f>if(A756&lt;&gt;"",countif(AllListPrice!A:A,A756),"")</f>
        <v/>
      </c>
    </row>
    <row r="757">
      <c r="B757" s="21" t="str">
        <f>if(A757&lt;&gt;"",countif(AllListPrice!A:A,A757),"")</f>
        <v/>
      </c>
    </row>
    <row r="758">
      <c r="B758" s="21" t="str">
        <f>if(A758&lt;&gt;"",countif(AllListPrice!A:A,A758),"")</f>
        <v/>
      </c>
    </row>
    <row r="759">
      <c r="B759" s="21" t="str">
        <f>if(A759&lt;&gt;"",countif(AllListPrice!A:A,A759),"")</f>
        <v/>
      </c>
    </row>
    <row r="760">
      <c r="B760" s="21" t="str">
        <f>if(A760&lt;&gt;"",countif(AllListPrice!A:A,A760),"")</f>
        <v/>
      </c>
    </row>
    <row r="761">
      <c r="B761" s="21" t="str">
        <f>if(A761&lt;&gt;"",countif(AllListPrice!A:A,A761),"")</f>
        <v/>
      </c>
    </row>
    <row r="762">
      <c r="B762" s="21" t="str">
        <f>if(A762&lt;&gt;"",countif(AllListPrice!A:A,A762),"")</f>
        <v/>
      </c>
    </row>
    <row r="763">
      <c r="B763" s="21" t="str">
        <f>if(A763&lt;&gt;"",countif(AllListPrice!A:A,A763),"")</f>
        <v/>
      </c>
    </row>
    <row r="764">
      <c r="B764" s="21" t="str">
        <f>if(A764&lt;&gt;"",countif(AllListPrice!A:A,A764),"")</f>
        <v/>
      </c>
    </row>
    <row r="765">
      <c r="B765" s="21" t="str">
        <f>if(A765&lt;&gt;"",countif(AllListPrice!A:A,A765),"")</f>
        <v/>
      </c>
    </row>
    <row r="766">
      <c r="B766" s="21" t="str">
        <f>if(A766&lt;&gt;"",countif(AllListPrice!A:A,A766),"")</f>
        <v/>
      </c>
    </row>
    <row r="767">
      <c r="B767" s="21" t="str">
        <f>if(A767&lt;&gt;"",countif(AllListPrice!A:A,A767),"")</f>
        <v/>
      </c>
    </row>
    <row r="768">
      <c r="B768" s="21" t="str">
        <f>if(A768&lt;&gt;"",countif(AllListPrice!A:A,A768),"")</f>
        <v/>
      </c>
    </row>
    <row r="769">
      <c r="B769" s="21" t="str">
        <f>if(A769&lt;&gt;"",countif(AllListPrice!A:A,A769),"")</f>
        <v/>
      </c>
    </row>
    <row r="770">
      <c r="B770" s="21" t="str">
        <f>if(A770&lt;&gt;"",countif(AllListPrice!A:A,A770),"")</f>
        <v/>
      </c>
    </row>
    <row r="771">
      <c r="B771" s="21" t="str">
        <f>if(A771&lt;&gt;"",countif(AllListPrice!A:A,A771),"")</f>
        <v/>
      </c>
    </row>
    <row r="772">
      <c r="B772" s="21" t="str">
        <f>if(A772&lt;&gt;"",countif(AllListPrice!A:A,A772),"")</f>
        <v/>
      </c>
    </row>
    <row r="773">
      <c r="B773" s="21" t="str">
        <f>if(A773&lt;&gt;"",countif(AllListPrice!A:A,A773),"")</f>
        <v/>
      </c>
    </row>
    <row r="774">
      <c r="B774" s="21" t="str">
        <f>if(A774&lt;&gt;"",countif(AllListPrice!A:A,A774),"")</f>
        <v/>
      </c>
    </row>
    <row r="775">
      <c r="B775" s="21" t="str">
        <f>if(A775&lt;&gt;"",countif(AllListPrice!A:A,A775),"")</f>
        <v/>
      </c>
    </row>
    <row r="776">
      <c r="B776" s="21" t="str">
        <f>if(A776&lt;&gt;"",countif(AllListPrice!A:A,A776),"")</f>
        <v/>
      </c>
    </row>
    <row r="777">
      <c r="B777" s="21" t="str">
        <f>if(A777&lt;&gt;"",countif(AllListPrice!A:A,A777),"")</f>
        <v/>
      </c>
    </row>
    <row r="778">
      <c r="B778" s="21" t="str">
        <f>if(A778&lt;&gt;"",countif(AllListPrice!A:A,A778),"")</f>
        <v/>
      </c>
    </row>
    <row r="779">
      <c r="B779" s="21" t="str">
        <f>if(A779&lt;&gt;"",countif(AllListPrice!A:A,A779),"")</f>
        <v/>
      </c>
    </row>
    <row r="780">
      <c r="B780" s="21" t="str">
        <f>if(A780&lt;&gt;"",countif(AllListPrice!A:A,A780),"")</f>
        <v/>
      </c>
    </row>
    <row r="781">
      <c r="B781" s="21" t="str">
        <f>if(A781&lt;&gt;"",countif(AllListPrice!A:A,A781),"")</f>
        <v/>
      </c>
    </row>
    <row r="782">
      <c r="B782" s="21" t="str">
        <f>if(A782&lt;&gt;"",countif(AllListPrice!A:A,A782),"")</f>
        <v/>
      </c>
    </row>
    <row r="783">
      <c r="B783" s="21" t="str">
        <f>if(A783&lt;&gt;"",countif(AllListPrice!A:A,A783),"")</f>
        <v/>
      </c>
    </row>
    <row r="784">
      <c r="B784" s="21" t="str">
        <f>if(A784&lt;&gt;"",countif(AllListPrice!A:A,A784),"")</f>
        <v/>
      </c>
    </row>
    <row r="785">
      <c r="B785" s="21" t="str">
        <f>if(A785&lt;&gt;"",countif(AllListPrice!A:A,A785),"")</f>
        <v/>
      </c>
    </row>
    <row r="786">
      <c r="B786" s="21" t="str">
        <f>if(A786&lt;&gt;"",countif(AllListPrice!A:A,A786),"")</f>
        <v/>
      </c>
    </row>
    <row r="787">
      <c r="B787" s="21" t="str">
        <f>if(A787&lt;&gt;"",countif(AllListPrice!A:A,A787),"")</f>
        <v/>
      </c>
    </row>
    <row r="788">
      <c r="B788" s="21" t="str">
        <f>if(A788&lt;&gt;"",countif(AllListPrice!A:A,A788),"")</f>
        <v/>
      </c>
    </row>
    <row r="789">
      <c r="B789" s="21" t="str">
        <f>if(A789&lt;&gt;"",countif(AllListPrice!A:A,A789),"")</f>
        <v/>
      </c>
    </row>
    <row r="790">
      <c r="B790" s="21" t="str">
        <f>if(A790&lt;&gt;"",countif(AllListPrice!A:A,A790),"")</f>
        <v/>
      </c>
    </row>
    <row r="791">
      <c r="B791" s="21" t="str">
        <f>if(A791&lt;&gt;"",countif(AllListPrice!A:A,A791),"")</f>
        <v/>
      </c>
    </row>
    <row r="792">
      <c r="B792" s="21" t="str">
        <f>if(A792&lt;&gt;"",countif(AllListPrice!A:A,A792),"")</f>
        <v/>
      </c>
    </row>
    <row r="793">
      <c r="B793" s="21" t="str">
        <f>if(A793&lt;&gt;"",countif(AllListPrice!A:A,A793),"")</f>
        <v/>
      </c>
    </row>
    <row r="794">
      <c r="B794" s="21" t="str">
        <f>if(A794&lt;&gt;"",countif(AllListPrice!A:A,A794),"")</f>
        <v/>
      </c>
    </row>
    <row r="795">
      <c r="B795" s="21" t="str">
        <f>if(A795&lt;&gt;"",countif(AllListPrice!A:A,A795),"")</f>
        <v/>
      </c>
    </row>
    <row r="796">
      <c r="B796" s="21" t="str">
        <f>if(A796&lt;&gt;"",countif(AllListPrice!A:A,A796),"")</f>
        <v/>
      </c>
    </row>
    <row r="797">
      <c r="B797" s="21" t="str">
        <f>if(A797&lt;&gt;"",countif(AllListPrice!A:A,A797),"")</f>
        <v/>
      </c>
    </row>
    <row r="798">
      <c r="B798" s="21" t="str">
        <f>if(A798&lt;&gt;"",countif(AllListPrice!A:A,A798),"")</f>
        <v/>
      </c>
    </row>
    <row r="799">
      <c r="B799" s="21" t="str">
        <f>if(A799&lt;&gt;"",countif(AllListPrice!A:A,A799),"")</f>
        <v/>
      </c>
    </row>
    <row r="800">
      <c r="B800" s="21" t="str">
        <f>if(A800&lt;&gt;"",countif(AllListPrice!A:A,A800),"")</f>
        <v/>
      </c>
    </row>
    <row r="801">
      <c r="B801" s="21" t="str">
        <f>if(A801&lt;&gt;"",countif(AllListPrice!A:A,A801),"")</f>
        <v/>
      </c>
    </row>
    <row r="802">
      <c r="B802" s="21" t="str">
        <f>if(A802&lt;&gt;"",countif(AllListPrice!A:A,A802),"")</f>
        <v/>
      </c>
    </row>
    <row r="803">
      <c r="B803" s="21" t="str">
        <f>if(A803&lt;&gt;"",countif(AllListPrice!A:A,A803),"")</f>
        <v/>
      </c>
    </row>
    <row r="804">
      <c r="B804" s="21" t="str">
        <f>if(A804&lt;&gt;"",countif(AllListPrice!A:A,A804),"")</f>
        <v/>
      </c>
    </row>
    <row r="805">
      <c r="B805" s="21" t="str">
        <f>if(A805&lt;&gt;"",countif(AllListPrice!A:A,A805),"")</f>
        <v/>
      </c>
    </row>
    <row r="806">
      <c r="B806" s="21" t="str">
        <f>if(A806&lt;&gt;"",countif(AllListPrice!A:A,A806),"")</f>
        <v/>
      </c>
    </row>
    <row r="807">
      <c r="B807" s="21" t="str">
        <f>if(A807&lt;&gt;"",countif(AllListPrice!A:A,A807),"")</f>
        <v/>
      </c>
    </row>
    <row r="808">
      <c r="B808" s="21" t="str">
        <f>if(A808&lt;&gt;"",countif(AllListPrice!A:A,A808),"")</f>
        <v/>
      </c>
    </row>
    <row r="809">
      <c r="B809" s="21" t="str">
        <f>if(A809&lt;&gt;"",countif(AllListPrice!A:A,A809),"")</f>
        <v/>
      </c>
    </row>
    <row r="810">
      <c r="B810" s="21" t="str">
        <f>if(A810&lt;&gt;"",countif(AllListPrice!A:A,A810),"")</f>
        <v/>
      </c>
    </row>
    <row r="811">
      <c r="B811" s="21" t="str">
        <f>if(A811&lt;&gt;"",countif(AllListPrice!A:A,A811),"")</f>
        <v/>
      </c>
    </row>
    <row r="812">
      <c r="B812" s="21" t="str">
        <f>if(A812&lt;&gt;"",countif(AllListPrice!A:A,A812),"")</f>
        <v/>
      </c>
    </row>
    <row r="813">
      <c r="B813" s="21" t="str">
        <f>if(A813&lt;&gt;"",countif(AllListPrice!A:A,A813),"")</f>
        <v/>
      </c>
    </row>
    <row r="814">
      <c r="B814" s="21" t="str">
        <f>if(A814&lt;&gt;"",countif(AllListPrice!A:A,A814),"")</f>
        <v/>
      </c>
    </row>
    <row r="815">
      <c r="B815" s="21" t="str">
        <f>if(A815&lt;&gt;"",countif(AllListPrice!A:A,A815),"")</f>
        <v/>
      </c>
    </row>
    <row r="816">
      <c r="B816" s="21" t="str">
        <f>if(A816&lt;&gt;"",countif(AllListPrice!A:A,A816),"")</f>
        <v/>
      </c>
    </row>
    <row r="817">
      <c r="B817" s="21" t="str">
        <f>if(A817&lt;&gt;"",countif(AllListPrice!A:A,A817),"")</f>
        <v/>
      </c>
    </row>
    <row r="818">
      <c r="B818" s="21" t="str">
        <f>if(A818&lt;&gt;"",countif(AllListPrice!A:A,A818),"")</f>
        <v/>
      </c>
    </row>
    <row r="819">
      <c r="B819" s="21" t="str">
        <f>if(A819&lt;&gt;"",countif(AllListPrice!A:A,A819),"")</f>
        <v/>
      </c>
    </row>
    <row r="820">
      <c r="B820" s="21" t="str">
        <f>if(A820&lt;&gt;"",countif(AllListPrice!A:A,A820),"")</f>
        <v/>
      </c>
    </row>
    <row r="821">
      <c r="B821" s="21" t="str">
        <f>if(A821&lt;&gt;"",countif(AllListPrice!A:A,A821),"")</f>
        <v/>
      </c>
    </row>
    <row r="822">
      <c r="B822" s="21" t="str">
        <f>if(A822&lt;&gt;"",countif(AllListPrice!A:A,A822),"")</f>
        <v/>
      </c>
    </row>
    <row r="823">
      <c r="B823" s="21" t="str">
        <f>if(A823&lt;&gt;"",countif(AllListPrice!A:A,A823),"")</f>
        <v/>
      </c>
    </row>
    <row r="824">
      <c r="B824" s="21" t="str">
        <f>if(A824&lt;&gt;"",countif(AllListPrice!A:A,A824),"")</f>
        <v/>
      </c>
    </row>
    <row r="825">
      <c r="B825" s="21" t="str">
        <f>if(A825&lt;&gt;"",countif(AllListPrice!A:A,A825),"")</f>
        <v/>
      </c>
    </row>
    <row r="826">
      <c r="B826" s="21" t="str">
        <f>if(A826&lt;&gt;"",countif(AllListPrice!A:A,A826),"")</f>
        <v/>
      </c>
    </row>
    <row r="827">
      <c r="B827" s="21" t="str">
        <f>if(A827&lt;&gt;"",countif(AllListPrice!A:A,A827),"")</f>
        <v/>
      </c>
    </row>
    <row r="828">
      <c r="B828" s="21" t="str">
        <f>if(A828&lt;&gt;"",countif(AllListPrice!A:A,A828),"")</f>
        <v/>
      </c>
    </row>
    <row r="829">
      <c r="B829" s="21" t="str">
        <f>if(A829&lt;&gt;"",countif(AllListPrice!A:A,A829),"")</f>
        <v/>
      </c>
    </row>
    <row r="830">
      <c r="B830" s="21" t="str">
        <f>if(A830&lt;&gt;"",countif(AllListPrice!A:A,A830),"")</f>
        <v/>
      </c>
    </row>
    <row r="831">
      <c r="B831" s="21" t="str">
        <f>if(A831&lt;&gt;"",countif(AllListPrice!A:A,A831),"")</f>
        <v/>
      </c>
    </row>
    <row r="832">
      <c r="B832" s="21" t="str">
        <f>if(A832&lt;&gt;"",countif(AllListPrice!A:A,A832),"")</f>
        <v/>
      </c>
    </row>
    <row r="833">
      <c r="B833" s="21" t="str">
        <f>if(A833&lt;&gt;"",countif(AllListPrice!A:A,A833),"")</f>
        <v/>
      </c>
    </row>
    <row r="834">
      <c r="B834" s="21" t="str">
        <f>if(A834&lt;&gt;"",countif(AllListPrice!A:A,A834),"")</f>
        <v/>
      </c>
    </row>
    <row r="835">
      <c r="B835" s="21" t="str">
        <f>if(A835&lt;&gt;"",countif(AllListPrice!A:A,A835),"")</f>
        <v/>
      </c>
    </row>
    <row r="836">
      <c r="B836" s="21" t="str">
        <f>if(A836&lt;&gt;"",countif(AllListPrice!A:A,A836),"")</f>
        <v/>
      </c>
    </row>
    <row r="837">
      <c r="B837" s="21" t="str">
        <f>if(A837&lt;&gt;"",countif(AllListPrice!A:A,A837),"")</f>
        <v/>
      </c>
    </row>
    <row r="838">
      <c r="B838" s="21" t="str">
        <f>if(A838&lt;&gt;"",countif(AllListPrice!A:A,A838),"")</f>
        <v/>
      </c>
    </row>
    <row r="839">
      <c r="B839" s="21" t="str">
        <f>if(A839&lt;&gt;"",countif(AllListPrice!A:A,A839),"")</f>
        <v/>
      </c>
    </row>
    <row r="840">
      <c r="B840" s="21" t="str">
        <f>if(A840&lt;&gt;"",countif(AllListPrice!A:A,A840),"")</f>
        <v/>
      </c>
    </row>
    <row r="841">
      <c r="B841" s="21" t="str">
        <f>if(A841&lt;&gt;"",countif(AllListPrice!A:A,A841),"")</f>
        <v/>
      </c>
    </row>
    <row r="842">
      <c r="B842" s="21" t="str">
        <f>if(A842&lt;&gt;"",countif(AllListPrice!A:A,A842),"")</f>
        <v/>
      </c>
    </row>
    <row r="843">
      <c r="B843" s="21" t="str">
        <f>if(A843&lt;&gt;"",countif(AllListPrice!A:A,A843),"")</f>
        <v/>
      </c>
    </row>
    <row r="844">
      <c r="B844" s="21" t="str">
        <f>if(A844&lt;&gt;"",countif(AllListPrice!A:A,A844),"")</f>
        <v/>
      </c>
    </row>
    <row r="845">
      <c r="B845" s="21" t="str">
        <f>if(A845&lt;&gt;"",countif(AllListPrice!A:A,A845),"")</f>
        <v/>
      </c>
    </row>
    <row r="846">
      <c r="B846" s="21" t="str">
        <f>if(A846&lt;&gt;"",countif(AllListPrice!A:A,A846),"")</f>
        <v/>
      </c>
    </row>
    <row r="847">
      <c r="B847" s="21" t="str">
        <f>if(A847&lt;&gt;"",countif(AllListPrice!A:A,A847),"")</f>
        <v/>
      </c>
    </row>
    <row r="848">
      <c r="B848" s="21" t="str">
        <f>if(A848&lt;&gt;"",countif(AllListPrice!A:A,A848),"")</f>
        <v/>
      </c>
    </row>
    <row r="849">
      <c r="B849" s="21" t="str">
        <f>if(A849&lt;&gt;"",countif(AllListPrice!A:A,A849),"")</f>
        <v/>
      </c>
    </row>
    <row r="850">
      <c r="B850" s="21" t="str">
        <f>if(A850&lt;&gt;"",countif(AllListPrice!A:A,A850),"")</f>
        <v/>
      </c>
    </row>
    <row r="851">
      <c r="B851" s="21" t="str">
        <f>if(A851&lt;&gt;"",countif(AllListPrice!A:A,A851),"")</f>
        <v/>
      </c>
    </row>
    <row r="852">
      <c r="B852" s="21" t="str">
        <f>if(A852&lt;&gt;"",countif(AllListPrice!A:A,A852),"")</f>
        <v/>
      </c>
    </row>
    <row r="853">
      <c r="B853" s="21" t="str">
        <f>if(A853&lt;&gt;"",countif(AllListPrice!A:A,A853),"")</f>
        <v/>
      </c>
    </row>
    <row r="854">
      <c r="B854" s="21" t="str">
        <f>if(A854&lt;&gt;"",countif(AllListPrice!A:A,A854),"")</f>
        <v/>
      </c>
    </row>
    <row r="855">
      <c r="B855" s="21" t="str">
        <f>if(A855&lt;&gt;"",countif(AllListPrice!A:A,A855),"")</f>
        <v/>
      </c>
    </row>
    <row r="856">
      <c r="B856" s="21" t="str">
        <f>if(A856&lt;&gt;"",countif(AllListPrice!A:A,A856),"")</f>
        <v/>
      </c>
    </row>
    <row r="857">
      <c r="B857" s="21" t="str">
        <f>if(A857&lt;&gt;"",countif(AllListPrice!A:A,A857),"")</f>
        <v/>
      </c>
    </row>
    <row r="858">
      <c r="B858" s="21" t="str">
        <f>if(A858&lt;&gt;"",countif(AllListPrice!A:A,A858),"")</f>
        <v/>
      </c>
    </row>
    <row r="859">
      <c r="B859" s="21" t="str">
        <f>if(A859&lt;&gt;"",countif(AllListPrice!A:A,A859),"")</f>
        <v/>
      </c>
    </row>
    <row r="860">
      <c r="B860" s="21" t="str">
        <f>if(A860&lt;&gt;"",countif(AllListPrice!A:A,A860),"")</f>
        <v/>
      </c>
    </row>
    <row r="861">
      <c r="B861" s="21" t="str">
        <f>if(A861&lt;&gt;"",countif(AllListPrice!A:A,A861),"")</f>
        <v/>
      </c>
    </row>
    <row r="862">
      <c r="B862" s="21" t="str">
        <f>if(A862&lt;&gt;"",countif(AllListPrice!A:A,A862),"")</f>
        <v/>
      </c>
    </row>
    <row r="863">
      <c r="B863" s="21" t="str">
        <f>if(A863&lt;&gt;"",countif(AllListPrice!A:A,A863),"")</f>
        <v/>
      </c>
    </row>
    <row r="864">
      <c r="B864" s="21" t="str">
        <f>if(A864&lt;&gt;"",countif(AllListPrice!A:A,A864),"")</f>
        <v/>
      </c>
    </row>
    <row r="865">
      <c r="B865" s="21" t="str">
        <f>if(A865&lt;&gt;"",countif(AllListPrice!A:A,A865),"")</f>
        <v/>
      </c>
    </row>
    <row r="866">
      <c r="B866" s="21" t="str">
        <f>if(A866&lt;&gt;"",countif(AllListPrice!A:A,A866),"")</f>
        <v/>
      </c>
    </row>
    <row r="867">
      <c r="B867" s="21" t="str">
        <f>if(A867&lt;&gt;"",countif(AllListPrice!A:A,A867),"")</f>
        <v/>
      </c>
    </row>
    <row r="868">
      <c r="B868" s="21" t="str">
        <f>if(A868&lt;&gt;"",countif(AllListPrice!A:A,A868),"")</f>
        <v/>
      </c>
    </row>
    <row r="869">
      <c r="B869" s="21" t="str">
        <f>if(A869&lt;&gt;"",countif(AllListPrice!A:A,A869),"")</f>
        <v/>
      </c>
    </row>
    <row r="870">
      <c r="B870" s="21" t="str">
        <f>if(A870&lt;&gt;"",countif(AllListPrice!A:A,A870),"")</f>
        <v/>
      </c>
    </row>
    <row r="871">
      <c r="B871" s="21" t="str">
        <f>if(A871&lt;&gt;"",countif(AllListPrice!A:A,A871),"")</f>
        <v/>
      </c>
    </row>
    <row r="872">
      <c r="B872" s="21" t="str">
        <f>if(A872&lt;&gt;"",countif(AllListPrice!A:A,A872),"")</f>
        <v/>
      </c>
    </row>
    <row r="873">
      <c r="B873" s="21" t="str">
        <f>if(A873&lt;&gt;"",countif(AllListPrice!A:A,A873),"")</f>
        <v/>
      </c>
    </row>
    <row r="874">
      <c r="B874" s="21" t="str">
        <f>if(A874&lt;&gt;"",countif(AllListPrice!A:A,A874),"")</f>
        <v/>
      </c>
    </row>
    <row r="875">
      <c r="B875" s="21" t="str">
        <f>if(A875&lt;&gt;"",countif(AllListPrice!A:A,A875),"")</f>
        <v/>
      </c>
    </row>
    <row r="876">
      <c r="B876" s="21" t="str">
        <f>if(A876&lt;&gt;"",countif(AllListPrice!A:A,A876),"")</f>
        <v/>
      </c>
    </row>
    <row r="877">
      <c r="B877" s="21" t="str">
        <f>if(A877&lt;&gt;"",countif(AllListPrice!A:A,A877),"")</f>
        <v/>
      </c>
    </row>
    <row r="878">
      <c r="B878" s="21" t="str">
        <f>if(A878&lt;&gt;"",countif(AllListPrice!A:A,A878),"")</f>
        <v/>
      </c>
    </row>
    <row r="879">
      <c r="B879" s="21" t="str">
        <f>if(A879&lt;&gt;"",countif(AllListPrice!A:A,A879),"")</f>
        <v/>
      </c>
    </row>
    <row r="880">
      <c r="B880" s="21" t="str">
        <f>if(A880&lt;&gt;"",countif(AllListPrice!A:A,A880),"")</f>
        <v/>
      </c>
    </row>
    <row r="881">
      <c r="B881" s="21" t="str">
        <f>if(A881&lt;&gt;"",countif(AllListPrice!A:A,A881),"")</f>
        <v/>
      </c>
    </row>
    <row r="882">
      <c r="B882" s="21" t="str">
        <f>if(A882&lt;&gt;"",countif(AllListPrice!A:A,A882),"")</f>
        <v/>
      </c>
    </row>
    <row r="883">
      <c r="B883" s="21" t="str">
        <f>if(A883&lt;&gt;"",countif(AllListPrice!A:A,A883),"")</f>
        <v/>
      </c>
    </row>
    <row r="884">
      <c r="B884" s="21" t="str">
        <f>if(A884&lt;&gt;"",countif(AllListPrice!A:A,A884),"")</f>
        <v/>
      </c>
    </row>
    <row r="885">
      <c r="B885" s="21" t="str">
        <f>if(A885&lt;&gt;"",countif(AllListPrice!A:A,A885),"")</f>
        <v/>
      </c>
    </row>
    <row r="886">
      <c r="B886" s="21" t="str">
        <f>if(A886&lt;&gt;"",countif(AllListPrice!A:A,A886),"")</f>
        <v/>
      </c>
    </row>
    <row r="887">
      <c r="B887" s="21" t="str">
        <f>if(A887&lt;&gt;"",countif(AllListPrice!A:A,A887),"")</f>
        <v/>
      </c>
    </row>
    <row r="888">
      <c r="B888" s="21" t="str">
        <f>if(A888&lt;&gt;"",countif(AllListPrice!A:A,A888),"")</f>
        <v/>
      </c>
    </row>
    <row r="889">
      <c r="B889" s="21" t="str">
        <f>if(A889&lt;&gt;"",countif(AllListPrice!A:A,A889),"")</f>
        <v/>
      </c>
    </row>
    <row r="890">
      <c r="B890" s="21" t="str">
        <f>if(A890&lt;&gt;"",countif(AllListPrice!A:A,A890),"")</f>
        <v/>
      </c>
    </row>
    <row r="891">
      <c r="B891" s="21" t="str">
        <f>if(A891&lt;&gt;"",countif(AllListPrice!A:A,A891),"")</f>
        <v/>
      </c>
    </row>
    <row r="892">
      <c r="B892" s="21" t="str">
        <f>if(A892&lt;&gt;"",countif(AllListPrice!A:A,A892),"")</f>
        <v/>
      </c>
    </row>
    <row r="893">
      <c r="B893" s="21" t="str">
        <f>if(A893&lt;&gt;"",countif(AllListPrice!A:A,A893),"")</f>
        <v/>
      </c>
    </row>
    <row r="894">
      <c r="B894" s="21" t="str">
        <f>if(A894&lt;&gt;"",countif(AllListPrice!A:A,A894),"")</f>
        <v/>
      </c>
    </row>
    <row r="895">
      <c r="B895" s="21" t="str">
        <f>if(A895&lt;&gt;"",countif(AllListPrice!A:A,A895),"")</f>
        <v/>
      </c>
    </row>
    <row r="896">
      <c r="B896" s="21" t="str">
        <f>if(A896&lt;&gt;"",countif(AllListPrice!A:A,A896),"")</f>
        <v/>
      </c>
    </row>
    <row r="897">
      <c r="B897" s="21" t="str">
        <f>if(A897&lt;&gt;"",countif(AllListPrice!A:A,A897),"")</f>
        <v/>
      </c>
    </row>
    <row r="898">
      <c r="B898" s="21" t="str">
        <f>if(A898&lt;&gt;"",countif(AllListPrice!A:A,A898),"")</f>
        <v/>
      </c>
    </row>
    <row r="899">
      <c r="B899" s="21" t="str">
        <f>if(A899&lt;&gt;"",countif(AllListPrice!A:A,A899),"")</f>
        <v/>
      </c>
    </row>
    <row r="900">
      <c r="B900" s="21" t="str">
        <f>if(A900&lt;&gt;"",countif(AllListPrice!A:A,A900),"")</f>
        <v/>
      </c>
    </row>
    <row r="901">
      <c r="B901" s="21" t="str">
        <f>if(A901&lt;&gt;"",countif(AllListPrice!A:A,A901),"")</f>
        <v/>
      </c>
    </row>
    <row r="902">
      <c r="B902" s="21" t="str">
        <f>if(A902&lt;&gt;"",countif(AllListPrice!A:A,A902),"")</f>
        <v/>
      </c>
    </row>
    <row r="903">
      <c r="B903" s="21" t="str">
        <f>if(A903&lt;&gt;"",countif(AllListPrice!A:A,A903),"")</f>
        <v/>
      </c>
    </row>
    <row r="904">
      <c r="B904" s="21" t="str">
        <f>if(A904&lt;&gt;"",countif(AllListPrice!A:A,A904),"")</f>
        <v/>
      </c>
    </row>
    <row r="905">
      <c r="B905" s="21" t="str">
        <f>if(A905&lt;&gt;"",countif(AllListPrice!A:A,A905),"")</f>
        <v/>
      </c>
    </row>
    <row r="906">
      <c r="B906" s="21" t="str">
        <f>if(A906&lt;&gt;"",countif(AllListPrice!A:A,A906),"")</f>
        <v/>
      </c>
    </row>
    <row r="907">
      <c r="B907" s="21" t="str">
        <f>if(A907&lt;&gt;"",countif(AllListPrice!A:A,A907),"")</f>
        <v/>
      </c>
    </row>
    <row r="908">
      <c r="B908" s="21" t="str">
        <f>if(A908&lt;&gt;"",countif(AllListPrice!A:A,A908),"")</f>
        <v/>
      </c>
    </row>
    <row r="909">
      <c r="B909" s="21" t="str">
        <f>if(A909&lt;&gt;"",countif(AllListPrice!A:A,A909),"")</f>
        <v/>
      </c>
    </row>
    <row r="910">
      <c r="B910" s="21" t="str">
        <f>if(A910&lt;&gt;"",countif(AllListPrice!A:A,A910),"")</f>
        <v/>
      </c>
    </row>
    <row r="911">
      <c r="B911" s="21" t="str">
        <f>if(A911&lt;&gt;"",countif(AllListPrice!A:A,A911),"")</f>
        <v/>
      </c>
    </row>
    <row r="912">
      <c r="B912" s="21" t="str">
        <f>if(A912&lt;&gt;"",countif(AllListPrice!A:A,A912),"")</f>
        <v/>
      </c>
    </row>
    <row r="913">
      <c r="B913" s="21" t="str">
        <f>if(A913&lt;&gt;"",countif(AllListPrice!A:A,A913),"")</f>
        <v/>
      </c>
    </row>
    <row r="914">
      <c r="B914" s="21" t="str">
        <f>if(A914&lt;&gt;"",countif(AllListPrice!A:A,A914),"")</f>
        <v/>
      </c>
    </row>
    <row r="915">
      <c r="B915" s="21" t="str">
        <f>if(A915&lt;&gt;"",countif(AllListPrice!A:A,A915),"")</f>
        <v/>
      </c>
    </row>
    <row r="916">
      <c r="B916" s="21" t="str">
        <f>if(A916&lt;&gt;"",countif(AllListPrice!A:A,A916),"")</f>
        <v/>
      </c>
    </row>
    <row r="917">
      <c r="B917" s="21" t="str">
        <f>if(A917&lt;&gt;"",countif(AllListPrice!A:A,A917),"")</f>
        <v/>
      </c>
    </row>
    <row r="918">
      <c r="B918" s="21" t="str">
        <f>if(A918&lt;&gt;"",countif(AllListPrice!A:A,A918),"")</f>
        <v/>
      </c>
    </row>
    <row r="919">
      <c r="B919" s="21" t="str">
        <f>if(A919&lt;&gt;"",countif(AllListPrice!A:A,A919),"")</f>
        <v/>
      </c>
    </row>
    <row r="920">
      <c r="B920" s="21" t="str">
        <f>if(A920&lt;&gt;"",countif(AllListPrice!A:A,A920),"")</f>
        <v/>
      </c>
    </row>
    <row r="921">
      <c r="B921" s="21" t="str">
        <f>if(A921&lt;&gt;"",countif(AllListPrice!A:A,A921),"")</f>
        <v/>
      </c>
    </row>
    <row r="922">
      <c r="B922" s="21" t="str">
        <f>if(A922&lt;&gt;"",countif(AllListPrice!A:A,A922),"")</f>
        <v/>
      </c>
    </row>
    <row r="923">
      <c r="B923" s="21" t="str">
        <f>if(A923&lt;&gt;"",countif(AllListPrice!A:A,A923),"")</f>
        <v/>
      </c>
    </row>
    <row r="924">
      <c r="B924" s="21" t="str">
        <f>if(A924&lt;&gt;"",countif(AllListPrice!A:A,A924),"")</f>
        <v/>
      </c>
    </row>
    <row r="925">
      <c r="B925" s="21" t="str">
        <f>if(A925&lt;&gt;"",countif(AllListPrice!A:A,A925),"")</f>
        <v/>
      </c>
    </row>
    <row r="926">
      <c r="B926" s="21" t="str">
        <f>if(A926&lt;&gt;"",countif(AllListPrice!A:A,A926),"")</f>
        <v/>
      </c>
    </row>
    <row r="927">
      <c r="B927" s="21" t="str">
        <f>if(A927&lt;&gt;"",countif(AllListPrice!A:A,A927),"")</f>
        <v/>
      </c>
    </row>
    <row r="928">
      <c r="B928" s="21" t="str">
        <f>if(A928&lt;&gt;"",countif(AllListPrice!A:A,A928),"")</f>
        <v/>
      </c>
    </row>
    <row r="929">
      <c r="B929" s="21" t="str">
        <f>if(A929&lt;&gt;"",countif(AllListPrice!A:A,A929),"")</f>
        <v/>
      </c>
    </row>
    <row r="930">
      <c r="B930" s="21" t="str">
        <f>if(A930&lt;&gt;"",countif(AllListPrice!A:A,A930),"")</f>
        <v/>
      </c>
    </row>
    <row r="931">
      <c r="B931" s="21" t="str">
        <f>if(A931&lt;&gt;"",countif(AllListPrice!A:A,A931),"")</f>
        <v/>
      </c>
    </row>
    <row r="932">
      <c r="B932" s="21" t="str">
        <f>if(A932&lt;&gt;"",countif(AllListPrice!A:A,A932),"")</f>
        <v/>
      </c>
    </row>
    <row r="933">
      <c r="B933" s="21" t="str">
        <f>if(A933&lt;&gt;"",countif(AllListPrice!A:A,A933),"")</f>
        <v/>
      </c>
    </row>
    <row r="934">
      <c r="B934" s="21" t="str">
        <f>if(A934&lt;&gt;"",countif(AllListPrice!A:A,A934),"")</f>
        <v/>
      </c>
    </row>
    <row r="935">
      <c r="B935" s="21" t="str">
        <f>if(A935&lt;&gt;"",countif(AllListPrice!A:A,A935),"")</f>
        <v/>
      </c>
    </row>
    <row r="936">
      <c r="B936" s="21" t="str">
        <f>if(A936&lt;&gt;"",countif(AllListPrice!A:A,A936),"")</f>
        <v/>
      </c>
    </row>
    <row r="937">
      <c r="B937" s="21" t="str">
        <f>if(A937&lt;&gt;"",countif(AllListPrice!A:A,A937),"")</f>
        <v/>
      </c>
    </row>
    <row r="938">
      <c r="B938" s="21" t="str">
        <f>if(A938&lt;&gt;"",countif(AllListPrice!A:A,A938),"")</f>
        <v/>
      </c>
    </row>
    <row r="939">
      <c r="B939" s="21" t="str">
        <f>if(A939&lt;&gt;"",countif(AllListPrice!A:A,A939),"")</f>
        <v/>
      </c>
    </row>
    <row r="940">
      <c r="B940" s="21" t="str">
        <f>if(A940&lt;&gt;"",countif(AllListPrice!A:A,A940),"")</f>
        <v/>
      </c>
    </row>
    <row r="941">
      <c r="B941" s="21" t="str">
        <f>if(A941&lt;&gt;"",countif(AllListPrice!A:A,A941),"")</f>
        <v/>
      </c>
    </row>
    <row r="942">
      <c r="B942" s="21" t="str">
        <f>if(A942&lt;&gt;"",countif(AllListPrice!A:A,A942),"")</f>
        <v/>
      </c>
    </row>
    <row r="943">
      <c r="B943" s="21" t="str">
        <f>if(A943&lt;&gt;"",countif(AllListPrice!A:A,A943),"")</f>
        <v/>
      </c>
    </row>
    <row r="944">
      <c r="B944" s="21" t="str">
        <f>if(A944&lt;&gt;"",countif(AllListPrice!A:A,A944),"")</f>
        <v/>
      </c>
    </row>
    <row r="945">
      <c r="B945" s="21" t="str">
        <f>if(A945&lt;&gt;"",countif(AllListPrice!A:A,A945),"")</f>
        <v/>
      </c>
    </row>
    <row r="946">
      <c r="B946" s="21" t="str">
        <f>if(A946&lt;&gt;"",countif(AllListPrice!A:A,A946),"")</f>
        <v/>
      </c>
    </row>
    <row r="947">
      <c r="B947" s="21" t="str">
        <f>if(A947&lt;&gt;"",countif(AllListPrice!A:A,A947),"")</f>
        <v/>
      </c>
    </row>
    <row r="948">
      <c r="B948" s="21" t="str">
        <f>if(A948&lt;&gt;"",countif(AllListPrice!A:A,A948),"")</f>
        <v/>
      </c>
    </row>
    <row r="949">
      <c r="B949" s="21" t="str">
        <f>if(A949&lt;&gt;"",countif(AllListPrice!A:A,A949),"")</f>
        <v/>
      </c>
    </row>
    <row r="950">
      <c r="B950" s="21" t="str">
        <f>if(A950&lt;&gt;"",countif(AllListPrice!A:A,A950),"")</f>
        <v/>
      </c>
    </row>
    <row r="951">
      <c r="B951" s="21" t="str">
        <f>if(A951&lt;&gt;"",countif(AllListPrice!A:A,A951),"")</f>
        <v/>
      </c>
    </row>
    <row r="952">
      <c r="B952" s="21" t="str">
        <f>if(A952&lt;&gt;"",countif(AllListPrice!A:A,A952),"")</f>
        <v/>
      </c>
    </row>
    <row r="953">
      <c r="B953" s="21" t="str">
        <f>if(A953&lt;&gt;"",countif(AllListPrice!A:A,A953),"")</f>
        <v/>
      </c>
    </row>
    <row r="954">
      <c r="B954" s="21" t="str">
        <f>if(A954&lt;&gt;"",countif(AllListPrice!A:A,A954),"")</f>
        <v/>
      </c>
    </row>
    <row r="955">
      <c r="B955" s="21" t="str">
        <f>if(A955&lt;&gt;"",countif(AllListPrice!A:A,A955),"")</f>
        <v/>
      </c>
    </row>
    <row r="956">
      <c r="B956" s="21" t="str">
        <f>if(A956&lt;&gt;"",countif(AllListPrice!A:A,A956),"")</f>
        <v/>
      </c>
    </row>
    <row r="957">
      <c r="B957" s="21" t="str">
        <f>if(A957&lt;&gt;"",countif(AllListPrice!A:A,A957),"")</f>
        <v/>
      </c>
    </row>
    <row r="958">
      <c r="B958" s="21" t="str">
        <f>if(A958&lt;&gt;"",countif(AllListPrice!A:A,A958),"")</f>
        <v/>
      </c>
    </row>
    <row r="959">
      <c r="B959" s="21" t="str">
        <f>if(A959&lt;&gt;"",countif(AllListPrice!A:A,A959),"")</f>
        <v/>
      </c>
    </row>
    <row r="960">
      <c r="B960" s="21" t="str">
        <f>if(A960&lt;&gt;"",countif(AllListPrice!A:A,A960),"")</f>
        <v/>
      </c>
    </row>
    <row r="961">
      <c r="B961" s="21" t="str">
        <f>if(A961&lt;&gt;"",countif(AllListPrice!A:A,A961),"")</f>
        <v/>
      </c>
    </row>
    <row r="962">
      <c r="B962" s="21" t="str">
        <f>if(A962&lt;&gt;"",countif(AllListPrice!A:A,A962),"")</f>
        <v/>
      </c>
    </row>
    <row r="963">
      <c r="B963" s="21" t="str">
        <f>if(A963&lt;&gt;"",countif(AllListPrice!A:A,A963),"")</f>
        <v/>
      </c>
    </row>
    <row r="964">
      <c r="B964" s="21" t="str">
        <f>if(A964&lt;&gt;"",countif(AllListPrice!A:A,A964),"")</f>
        <v/>
      </c>
    </row>
    <row r="965">
      <c r="B965" s="21" t="str">
        <f>if(A965&lt;&gt;"",countif(AllListPrice!A:A,A965),"")</f>
        <v/>
      </c>
    </row>
    <row r="966">
      <c r="B966" s="21" t="str">
        <f>if(A966&lt;&gt;"",countif(AllListPrice!A:A,A966),"")</f>
        <v/>
      </c>
    </row>
    <row r="967">
      <c r="B967" s="21" t="str">
        <f>if(A967&lt;&gt;"",countif(AllListPrice!A:A,A967),"")</f>
        <v/>
      </c>
    </row>
    <row r="968">
      <c r="B968" s="21" t="str">
        <f>if(A968&lt;&gt;"",countif(AllListPrice!A:A,A968),"")</f>
        <v/>
      </c>
    </row>
    <row r="969">
      <c r="B969" s="21" t="str">
        <f>if(A969&lt;&gt;"",countif(AllListPrice!A:A,A969),"")</f>
        <v/>
      </c>
    </row>
    <row r="970">
      <c r="B970" s="21" t="str">
        <f>if(A970&lt;&gt;"",countif(AllListPrice!A:A,A970),"")</f>
        <v/>
      </c>
    </row>
    <row r="971">
      <c r="B971" s="21" t="str">
        <f>if(A971&lt;&gt;"",countif(AllListPrice!A:A,A971),"")</f>
        <v/>
      </c>
    </row>
    <row r="972">
      <c r="B972" s="21" t="str">
        <f>if(A972&lt;&gt;"",countif(AllListPrice!A:A,A972),"")</f>
        <v/>
      </c>
    </row>
    <row r="973">
      <c r="B973" s="21" t="str">
        <f>if(A973&lt;&gt;"",countif(AllListPrice!A:A,A973),"")</f>
        <v/>
      </c>
    </row>
    <row r="974">
      <c r="B974" s="21" t="str">
        <f>if(A974&lt;&gt;"",countif(AllListPrice!A:A,A974),"")</f>
        <v/>
      </c>
    </row>
    <row r="975">
      <c r="B975" s="21" t="str">
        <f>if(A975&lt;&gt;"",countif(AllListPrice!A:A,A975),"")</f>
        <v/>
      </c>
    </row>
    <row r="976">
      <c r="B976" s="21" t="str">
        <f>if(A976&lt;&gt;"",countif(AllListPrice!A:A,A976),"")</f>
        <v/>
      </c>
    </row>
    <row r="977">
      <c r="B977" s="21" t="str">
        <f>if(A977&lt;&gt;"",countif(AllListPrice!A:A,A977),"")</f>
        <v/>
      </c>
    </row>
    <row r="978">
      <c r="B978" s="21" t="str">
        <f>if(A978&lt;&gt;"",countif(AllListPrice!A:A,A978),"")</f>
        <v/>
      </c>
    </row>
    <row r="979">
      <c r="B979" s="21" t="str">
        <f>if(A979&lt;&gt;"",countif(AllListPrice!A:A,A979),"")</f>
        <v/>
      </c>
    </row>
    <row r="980">
      <c r="B980" s="21" t="str">
        <f>if(A980&lt;&gt;"",countif(AllListPrice!A:A,A980),"")</f>
        <v/>
      </c>
    </row>
    <row r="981">
      <c r="B981" s="21" t="str">
        <f>if(A981&lt;&gt;"",countif(AllListPrice!A:A,A981),"")</f>
        <v/>
      </c>
    </row>
    <row r="982">
      <c r="B982" s="21" t="str">
        <f>if(A982&lt;&gt;"",countif(AllListPrice!A:A,A982),"")</f>
        <v/>
      </c>
    </row>
    <row r="983">
      <c r="B983" s="21" t="str">
        <f>if(A983&lt;&gt;"",countif(AllListPrice!A:A,A983),"")</f>
        <v/>
      </c>
    </row>
    <row r="984">
      <c r="B984" s="21" t="str">
        <f>if(A984&lt;&gt;"",countif(AllListPrice!A:A,A984),"")</f>
        <v/>
      </c>
    </row>
    <row r="985">
      <c r="B985" s="21" t="str">
        <f>if(A985&lt;&gt;"",countif(AllListPrice!A:A,A985),"")</f>
        <v/>
      </c>
    </row>
    <row r="986">
      <c r="B986" s="21" t="str">
        <f>if(A986&lt;&gt;"",countif(AllListPrice!A:A,A986),"")</f>
        <v/>
      </c>
    </row>
    <row r="987">
      <c r="B987" s="21" t="str">
        <f>if(A987&lt;&gt;"",countif(AllListPrice!A:A,A987),"")</f>
        <v/>
      </c>
    </row>
    <row r="988">
      <c r="B988" s="21" t="str">
        <f>if(A988&lt;&gt;"",countif(AllListPrice!A:A,A988),"")</f>
        <v/>
      </c>
    </row>
    <row r="989">
      <c r="B989" s="21" t="str">
        <f>if(A989&lt;&gt;"",countif(AllListPrice!A:A,A989),"")</f>
        <v/>
      </c>
    </row>
    <row r="990">
      <c r="B990" s="21" t="str">
        <f>if(A990&lt;&gt;"",countif(AllListPrice!A:A,A990),"")</f>
        <v/>
      </c>
    </row>
    <row r="991">
      <c r="B991" s="21" t="str">
        <f>if(A991&lt;&gt;"",countif(AllListPrice!A:A,A991),"")</f>
        <v/>
      </c>
    </row>
    <row r="992">
      <c r="B992" s="21" t="str">
        <f>if(A992&lt;&gt;"",countif(AllListPrice!A:A,A992),"")</f>
        <v/>
      </c>
    </row>
    <row r="993">
      <c r="B993" s="21" t="str">
        <f>if(A993&lt;&gt;"",countif(AllListPrice!A:A,A993),"")</f>
        <v/>
      </c>
    </row>
    <row r="994">
      <c r="B994" s="21" t="str">
        <f>if(A994&lt;&gt;"",countif(AllListPrice!A:A,A994),"")</f>
        <v/>
      </c>
    </row>
    <row r="995">
      <c r="B995" s="21" t="str">
        <f>if(A995&lt;&gt;"",countif(AllListPrice!A:A,A995),"")</f>
        <v/>
      </c>
    </row>
    <row r="996">
      <c r="B996" s="21" t="str">
        <f>if(A996&lt;&gt;"",countif(AllListPrice!A:A,A996),"")</f>
        <v/>
      </c>
    </row>
    <row r="997">
      <c r="B997" s="21" t="str">
        <f>if(A997&lt;&gt;"",countif(AllListPrice!A:A,A997),"")</f>
        <v/>
      </c>
    </row>
    <row r="998">
      <c r="B998" s="21" t="str">
        <f>if(A998&lt;&gt;"",countif(AllListPrice!A:A,A998),"")</f>
        <v/>
      </c>
    </row>
    <row r="999">
      <c r="B999" s="21" t="str">
        <f>if(A999&lt;&gt;"",countif(AllListPrice!A:A,A999),"")</f>
        <v/>
      </c>
    </row>
    <row r="1000">
      <c r="B1000" s="21" t="str">
        <f>if(A1000&lt;&gt;"",countif(AllListPrice!A:A,A1000),"")</f>
        <v/>
      </c>
    </row>
    <row r="1001">
      <c r="B1001" s="21" t="str">
        <f>if(A1001&lt;&gt;"",countif(AllListPrice!A:A,A1001),"")</f>
        <v/>
      </c>
    </row>
  </sheetData>
  <autoFilter ref="$A$1:$Z$1001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6" width="15.88"/>
    <col customWidth="1" min="9" max="9" width="13.13"/>
  </cols>
  <sheetData>
    <row r="1">
      <c r="A1" s="63" t="str">
        <f>IFERROR(__xludf.DUMMYFUNCTION("IMPORTRANGE(""https://docs.google.com/spreadsheets/d/1gLpPUzQ6EQrHHuWolLqit33_eZphYiBD3L5nHSJQQTw"",""Cisco!A1:D1000"")"),"Devices")</f>
        <v>Devices</v>
      </c>
      <c r="B1" s="64" t="str">
        <f>IFERROR(__xludf.DUMMYFUNCTION("""COMPUTED_VALUE"""),"List Price")</f>
        <v>List Price</v>
      </c>
      <c r="C1" s="63" t="str">
        <f>IFERROR(__xludf.DUMMYFUNCTION("""COMPUTED_VALUE"""),"Giá AM nhập")</f>
        <v>Giá AM nhập</v>
      </c>
      <c r="D1" s="63" t="str">
        <f>IFERROR(__xludf.DUMMYFUNCTION("""COMPUTED_VALUE"""),"Final Price")</f>
        <v>Final Price</v>
      </c>
      <c r="E1" s="17"/>
      <c r="F1" s="17"/>
      <c r="G1" s="63"/>
      <c r="H1" s="7"/>
      <c r="I1" s="1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>
      <c r="A2" s="29" t="str">
        <f>IFERROR(__xludf.DUMMYFUNCTION("""COMPUTED_VALUE"""),"C8200L-1N-4T")</f>
        <v>C8200L-1N-4T</v>
      </c>
      <c r="B2" s="65">
        <f>IFERROR(__xludf.DUMMYFUNCTION("""COMPUTED_VALUE"""),22728.05)</f>
        <v>22728.05</v>
      </c>
      <c r="C2" s="65">
        <f>IFERROR(__xludf.DUMMYFUNCTION("""COMPUTED_VALUE"""),18000.0)</f>
        <v>18000</v>
      </c>
      <c r="D2" s="65">
        <f>IFERROR(__xludf.DUMMYFUNCTION("""COMPUTED_VALUE"""),18000.0)</f>
        <v>18000</v>
      </c>
      <c r="G2" s="65"/>
    </row>
    <row r="3">
      <c r="A3" s="29" t="str">
        <f>IFERROR(__xludf.DUMMYFUNCTION("""COMPUTED_VALUE"""),"C8200-1N-4T")</f>
        <v>C8200-1N-4T</v>
      </c>
      <c r="B3" s="65">
        <f>IFERROR(__xludf.DUMMYFUNCTION("""COMPUTED_VALUE"""),29504.46)</f>
        <v>29504.46</v>
      </c>
      <c r="C3" s="65">
        <f>IFERROR(__xludf.DUMMYFUNCTION("""COMPUTED_VALUE"""),15000.0)</f>
        <v>15000</v>
      </c>
      <c r="D3" s="65">
        <f>IFERROR(__xludf.DUMMYFUNCTION("""COMPUTED_VALUE"""),15000.0)</f>
        <v>15000</v>
      </c>
      <c r="G3" s="65"/>
    </row>
    <row r="4">
      <c r="A4" s="29" t="str">
        <f>IFERROR(__xludf.DUMMYFUNCTION("""COMPUTED_VALUE"""),"C8300-2N2S-4T2X")</f>
        <v>C8300-2N2S-4T2X</v>
      </c>
      <c r="B4" s="65">
        <f>IFERROR(__xludf.DUMMYFUNCTION("""COMPUTED_VALUE"""),91782.43)</f>
        <v>91782.43</v>
      </c>
      <c r="C4" s="29"/>
      <c r="D4" s="65">
        <f>IFERROR(__xludf.DUMMYFUNCTION("""COMPUTED_VALUE"""),91782.43)</f>
        <v>91782.43</v>
      </c>
      <c r="G4" s="65"/>
    </row>
    <row r="5">
      <c r="A5" s="29" t="str">
        <f>IFERROR(__xludf.DUMMYFUNCTION("""COMPUTED_VALUE"""),"C8300-1N1S-4T2X")</f>
        <v>C8300-1N1S-4T2X</v>
      </c>
      <c r="B5" s="65">
        <f>IFERROR(__xludf.DUMMYFUNCTION("""COMPUTED_VALUE"""),75749.61)</f>
        <v>75749.61</v>
      </c>
      <c r="C5" s="29"/>
      <c r="D5" s="65">
        <f>IFERROR(__xludf.DUMMYFUNCTION("""COMPUTED_VALUE"""),75749.61)</f>
        <v>75749.61</v>
      </c>
      <c r="G5" s="65"/>
    </row>
    <row r="6">
      <c r="A6" s="29" t="str">
        <f>IFERROR(__xludf.DUMMYFUNCTION("""COMPUTED_VALUE"""),"C8300-2N2S-6T")</f>
        <v>C8300-2N2S-6T</v>
      </c>
      <c r="B6" s="65">
        <f>IFERROR(__xludf.DUMMYFUNCTION("""COMPUTED_VALUE"""),50264.61)</f>
        <v>50264.61</v>
      </c>
      <c r="C6" s="29"/>
      <c r="D6" s="65">
        <f>IFERROR(__xludf.DUMMYFUNCTION("""COMPUTED_VALUE"""),50264.61)</f>
        <v>50264.61</v>
      </c>
      <c r="G6" s="65"/>
    </row>
    <row r="7">
      <c r="A7" s="29" t="str">
        <f>IFERROR(__xludf.DUMMYFUNCTION("""COMPUTED_VALUE"""),"C8300-1N1S-6T")</f>
        <v>C8300-1N1S-6T</v>
      </c>
      <c r="B7" s="65">
        <f>IFERROR(__xludf.DUMMYFUNCTION("""COMPUTED_VALUE"""),41045.93)</f>
        <v>41045.93</v>
      </c>
      <c r="C7" s="29"/>
      <c r="D7" s="65">
        <f>IFERROR(__xludf.DUMMYFUNCTION("""COMPUTED_VALUE"""),41045.93)</f>
        <v>41045.93</v>
      </c>
      <c r="G7" s="65"/>
    </row>
    <row r="8">
      <c r="A8" s="29" t="str">
        <f>IFERROR(__xludf.DUMMYFUNCTION("""COMPUTED_VALUE"""),"C8500-20X6C")</f>
        <v>C8500-20X6C</v>
      </c>
      <c r="B8" s="65">
        <f>IFERROR(__xludf.DUMMYFUNCTION("""COMPUTED_VALUE"""),553572.06)</f>
        <v>553572.06</v>
      </c>
      <c r="C8" s="29"/>
      <c r="D8" s="65">
        <f>IFERROR(__xludf.DUMMYFUNCTION("""COMPUTED_VALUE"""),553572.06)</f>
        <v>553572.06</v>
      </c>
      <c r="G8" s="65"/>
    </row>
    <row r="9">
      <c r="A9" s="29" t="str">
        <f>IFERROR(__xludf.DUMMYFUNCTION("""COMPUTED_VALUE"""),"C8500-12X4QC")</f>
        <v>C8500-12X4QC</v>
      </c>
      <c r="B9" s="65">
        <f>IFERROR(__xludf.DUMMYFUNCTION("""COMPUTED_VALUE"""),297234.95)</f>
        <v>297234.95</v>
      </c>
      <c r="C9" s="29"/>
      <c r="D9" s="65">
        <f>IFERROR(__xludf.DUMMYFUNCTION("""COMPUTED_VALUE"""),297234.95)</f>
        <v>297234.95</v>
      </c>
      <c r="G9" s="65"/>
    </row>
    <row r="10">
      <c r="A10" s="29" t="str">
        <f>IFERROR(__xludf.DUMMYFUNCTION("""COMPUTED_VALUE"""),"C8500-12X")</f>
        <v>C8500-12X</v>
      </c>
      <c r="B10" s="65">
        <f>IFERROR(__xludf.DUMMYFUNCTION("""COMPUTED_VALUE"""),206911.8)</f>
        <v>206911.8</v>
      </c>
      <c r="C10" s="65">
        <f>IFERROR(__xludf.DUMMYFUNCTION("""COMPUTED_VALUE"""),1000.0)</f>
        <v>1000</v>
      </c>
      <c r="D10" s="65">
        <f>IFERROR(__xludf.DUMMYFUNCTION("""COMPUTED_VALUE"""),1000.0)</f>
        <v>1000</v>
      </c>
      <c r="G10" s="65"/>
    </row>
    <row r="11">
      <c r="A11" s="29" t="str">
        <f>IFERROR(__xludf.DUMMYFUNCTION("""COMPUTED_VALUE"""),"C8500L-8S4X")</f>
        <v>C8500L-8S4X</v>
      </c>
      <c r="B11" s="65">
        <f>IFERROR(__xludf.DUMMYFUNCTION("""COMPUTED_VALUE"""),97005.56)</f>
        <v>97005.56</v>
      </c>
      <c r="C11" s="29"/>
      <c r="D11" s="65">
        <f>IFERROR(__xludf.DUMMYFUNCTION("""COMPUTED_VALUE"""),97005.56)</f>
        <v>97005.56</v>
      </c>
      <c r="G11" s="65"/>
    </row>
    <row r="12">
      <c r="A12" s="29" t="str">
        <f>IFERROR(__xludf.DUMMYFUNCTION("""COMPUTED_VALUE"""),"C9200-24T")</f>
        <v>C9200-24T</v>
      </c>
      <c r="B12" s="65">
        <f>IFERROR(__xludf.DUMMYFUNCTION("""COMPUTED_VALUE"""),9916.42)</f>
        <v>9916.42</v>
      </c>
      <c r="C12" s="29"/>
      <c r="D12" s="65">
        <f>IFERROR(__xludf.DUMMYFUNCTION("""COMPUTED_VALUE"""),9916.42)</f>
        <v>9916.42</v>
      </c>
      <c r="G12" s="65"/>
    </row>
    <row r="13">
      <c r="A13" s="29" t="str">
        <f>IFERROR(__xludf.DUMMYFUNCTION("""COMPUTED_VALUE"""),"C9200-24P")</f>
        <v>C9200-24P</v>
      </c>
      <c r="B13" s="65">
        <f>IFERROR(__xludf.DUMMYFUNCTION("""COMPUTED_VALUE"""),11052.8)</f>
        <v>11052.8</v>
      </c>
      <c r="C13" s="29"/>
      <c r="D13" s="65">
        <f>IFERROR(__xludf.DUMMYFUNCTION("""COMPUTED_VALUE"""),11052.8)</f>
        <v>11052.8</v>
      </c>
      <c r="G13" s="65"/>
    </row>
    <row r="14">
      <c r="A14" s="29" t="str">
        <f>IFERROR(__xludf.DUMMYFUNCTION("""COMPUTED_VALUE"""),"C9200-48T")</f>
        <v>C9200-48T</v>
      </c>
      <c r="B14" s="65">
        <f>IFERROR(__xludf.DUMMYFUNCTION("""COMPUTED_VALUE"""),15602.18)</f>
        <v>15602.18</v>
      </c>
      <c r="C14" s="29"/>
      <c r="D14" s="65">
        <f>IFERROR(__xludf.DUMMYFUNCTION("""COMPUTED_VALUE"""),15602.18)</f>
        <v>15602.18</v>
      </c>
      <c r="G14" s="65"/>
    </row>
    <row r="15">
      <c r="A15" s="29" t="str">
        <f>IFERROR(__xludf.DUMMYFUNCTION("""COMPUTED_VALUE"""),"C9200-48P")</f>
        <v>C9200-48P</v>
      </c>
      <c r="B15" s="65">
        <f>IFERROR(__xludf.DUMMYFUNCTION("""COMPUTED_VALUE"""),19860.05)</f>
        <v>19860.05</v>
      </c>
      <c r="C15" s="29"/>
      <c r="D15" s="65">
        <f>IFERROR(__xludf.DUMMYFUNCTION("""COMPUTED_VALUE"""),19860.05)</f>
        <v>19860.05</v>
      </c>
      <c r="G15" s="65"/>
    </row>
    <row r="16">
      <c r="A16" s="29" t="str">
        <f>IFERROR(__xludf.DUMMYFUNCTION("""COMPUTED_VALUE"""),"C9200L-24T-4G")</f>
        <v>C9200L-24T-4G</v>
      </c>
      <c r="B16" s="65">
        <f>IFERROR(__xludf.DUMMYFUNCTION("""COMPUTED_VALUE"""),6063.41)</f>
        <v>6063.41</v>
      </c>
      <c r="C16" s="29"/>
      <c r="D16" s="65">
        <f>IFERROR(__xludf.DUMMYFUNCTION("""COMPUTED_VALUE"""),6063.41)</f>
        <v>6063.41</v>
      </c>
      <c r="G16" s="65"/>
    </row>
    <row r="17">
      <c r="A17" s="29" t="str">
        <f>IFERROR(__xludf.DUMMYFUNCTION("""COMPUTED_VALUE"""),"C9200L-24P-4G")</f>
        <v>C9200L-24P-4G</v>
      </c>
      <c r="B17" s="65">
        <f>IFERROR(__xludf.DUMMYFUNCTION("""COMPUTED_VALUE"""),7529.2)</f>
        <v>7529.2</v>
      </c>
      <c r="C17" s="29"/>
      <c r="D17" s="65">
        <f>IFERROR(__xludf.DUMMYFUNCTION("""COMPUTED_VALUE"""),7529.2)</f>
        <v>7529.2</v>
      </c>
      <c r="G17" s="65"/>
    </row>
    <row r="18">
      <c r="A18" s="29" t="str">
        <f>IFERROR(__xludf.DUMMYFUNCTION("""COMPUTED_VALUE"""),"C9200L-48T-4G")</f>
        <v>C9200L-48T-4G</v>
      </c>
      <c r="B18" s="65">
        <f>IFERROR(__xludf.DUMMYFUNCTION("""COMPUTED_VALUE"""),10867.95)</f>
        <v>10867.95</v>
      </c>
      <c r="C18" s="29"/>
      <c r="D18" s="65">
        <f>IFERROR(__xludf.DUMMYFUNCTION("""COMPUTED_VALUE"""),10867.95)</f>
        <v>10867.95</v>
      </c>
      <c r="G18" s="65"/>
    </row>
    <row r="19">
      <c r="A19" s="29" t="str">
        <f>IFERROR(__xludf.DUMMYFUNCTION("""COMPUTED_VALUE"""),"C9200L-48P-4G")</f>
        <v>C9200L-48P-4G</v>
      </c>
      <c r="B19" s="65">
        <f>IFERROR(__xludf.DUMMYFUNCTION("""COMPUTED_VALUE"""),15269.17)</f>
        <v>15269.17</v>
      </c>
      <c r="C19" s="29"/>
      <c r="D19" s="65">
        <f>IFERROR(__xludf.DUMMYFUNCTION("""COMPUTED_VALUE"""),15269.17)</f>
        <v>15269.17</v>
      </c>
      <c r="G19" s="65"/>
    </row>
    <row r="20">
      <c r="A20" s="29" t="str">
        <f>IFERROR(__xludf.DUMMYFUNCTION("""COMPUTED_VALUE"""),"C9200L-24T-4X")</f>
        <v>C9200L-24T-4X</v>
      </c>
      <c r="B20" s="65">
        <f>IFERROR(__xludf.DUMMYFUNCTION("""COMPUTED_VALUE"""),8631.47)</f>
        <v>8631.47</v>
      </c>
      <c r="C20" s="29"/>
      <c r="D20" s="65">
        <f>IFERROR(__xludf.DUMMYFUNCTION("""COMPUTED_VALUE"""),8631.47)</f>
        <v>8631.47</v>
      </c>
      <c r="G20" s="65"/>
    </row>
    <row r="21">
      <c r="A21" s="29" t="str">
        <f>IFERROR(__xludf.DUMMYFUNCTION("""COMPUTED_VALUE"""),"C9200L-24P-4X")</f>
        <v>C9200L-24P-4X</v>
      </c>
      <c r="B21" s="65">
        <f>IFERROR(__xludf.DUMMYFUNCTION("""COMPUTED_VALUE"""),10097.26)</f>
        <v>10097.26</v>
      </c>
      <c r="C21" s="29"/>
      <c r="D21" s="65">
        <f>IFERROR(__xludf.DUMMYFUNCTION("""COMPUTED_VALUE"""),10097.26)</f>
        <v>10097.26</v>
      </c>
      <c r="G21" s="65"/>
    </row>
    <row r="22">
      <c r="A22" s="29" t="str">
        <f>IFERROR(__xludf.DUMMYFUNCTION("""COMPUTED_VALUE"""),"C9200L-48T-4X")</f>
        <v>C9200L-48T-4X</v>
      </c>
      <c r="B22" s="65">
        <f>IFERROR(__xludf.DUMMYFUNCTION("""COMPUTED_VALUE"""),13436.01)</f>
        <v>13436.01</v>
      </c>
      <c r="C22" s="29"/>
      <c r="D22" s="65">
        <f>IFERROR(__xludf.DUMMYFUNCTION("""COMPUTED_VALUE"""),13436.01)</f>
        <v>13436.01</v>
      </c>
      <c r="G22" s="65"/>
    </row>
    <row r="23">
      <c r="A23" s="29" t="str">
        <f>IFERROR(__xludf.DUMMYFUNCTION("""COMPUTED_VALUE"""),"C9200L-48P-4X")</f>
        <v>C9200L-48P-4X</v>
      </c>
      <c r="B23" s="65">
        <f>IFERROR(__xludf.DUMMYFUNCTION("""COMPUTED_VALUE"""),17837.21)</f>
        <v>17837.21</v>
      </c>
      <c r="C23" s="29"/>
      <c r="D23" s="65">
        <f>IFERROR(__xludf.DUMMYFUNCTION("""COMPUTED_VALUE"""),17837.21)</f>
        <v>17837.21</v>
      </c>
      <c r="G23" s="65"/>
    </row>
    <row r="24">
      <c r="A24" s="29" t="str">
        <f>IFERROR(__xludf.DUMMYFUNCTION("""COMPUTED_VALUE"""),"C9200CX-8P-2X2G")</f>
        <v>C9200CX-8P-2X2G</v>
      </c>
      <c r="B24" s="65">
        <f>IFERROR(__xludf.DUMMYFUNCTION("""COMPUTED_VALUE"""),5197.72)</f>
        <v>5197.72</v>
      </c>
      <c r="C24" s="29"/>
      <c r="D24" s="65">
        <f>IFERROR(__xludf.DUMMYFUNCTION("""COMPUTED_VALUE"""),5197.72)</f>
        <v>5197.72</v>
      </c>
      <c r="G24" s="65"/>
    </row>
    <row r="25">
      <c r="A25" s="29" t="str">
        <f>IFERROR(__xludf.DUMMYFUNCTION("""COMPUTED_VALUE"""),"C9200CX-12T-2X2G")</f>
        <v>C9200CX-12T-2X2G</v>
      </c>
      <c r="B25" s="65">
        <f>IFERROR(__xludf.DUMMYFUNCTION("""COMPUTED_VALUE"""),4748.49)</f>
        <v>4748.49</v>
      </c>
      <c r="C25" s="29"/>
      <c r="D25" s="65">
        <f>IFERROR(__xludf.DUMMYFUNCTION("""COMPUTED_VALUE"""),4748.49)</f>
        <v>4748.49</v>
      </c>
      <c r="G25" s="65"/>
    </row>
    <row r="26">
      <c r="A26" s="29" t="str">
        <f>IFERROR(__xludf.DUMMYFUNCTION("""COMPUTED_VALUE"""),"C9200CX-12P-2X2G")</f>
        <v>C9200CX-12P-2X2G</v>
      </c>
      <c r="B26" s="65">
        <f>IFERROR(__xludf.DUMMYFUNCTION("""COMPUTED_VALUE"""),5672.87)</f>
        <v>5672.87</v>
      </c>
      <c r="C26" s="29"/>
      <c r="D26" s="65">
        <f>IFERROR(__xludf.DUMMYFUNCTION("""COMPUTED_VALUE"""),5672.87)</f>
        <v>5672.87</v>
      </c>
      <c r="G26" s="65"/>
    </row>
    <row r="27">
      <c r="A27" s="29" t="str">
        <f>IFERROR(__xludf.DUMMYFUNCTION("""COMPUTED_VALUE"""),"C9300L-24T-4G")</f>
        <v>C9300L-24T-4G</v>
      </c>
      <c r="B27" s="65">
        <f>IFERROR(__xludf.DUMMYFUNCTION("""COMPUTED_VALUE"""),13699.63)</f>
        <v>13699.63</v>
      </c>
      <c r="C27" s="29"/>
      <c r="D27" s="65">
        <f>IFERROR(__xludf.DUMMYFUNCTION("""COMPUTED_VALUE"""),13699.63)</f>
        <v>13699.63</v>
      </c>
      <c r="G27" s="65"/>
    </row>
    <row r="28">
      <c r="A28" s="29" t="str">
        <f>IFERROR(__xludf.DUMMYFUNCTION("""COMPUTED_VALUE"""),"C9300L-24P-4G")</f>
        <v>C9300L-24P-4G</v>
      </c>
      <c r="B28" s="65">
        <f>IFERROR(__xludf.DUMMYFUNCTION("""COMPUTED_VALUE"""),14671.04)</f>
        <v>14671.04</v>
      </c>
      <c r="C28" s="29"/>
      <c r="D28" s="65">
        <f>IFERROR(__xludf.DUMMYFUNCTION("""COMPUTED_VALUE"""),14671.04)</f>
        <v>14671.04</v>
      </c>
      <c r="G28" s="65"/>
    </row>
    <row r="29">
      <c r="A29" s="29" t="str">
        <f>IFERROR(__xludf.DUMMYFUNCTION("""COMPUTED_VALUE"""),"C9300L-24T-4X")</f>
        <v>C9300L-24T-4X</v>
      </c>
      <c r="B29" s="65">
        <f>IFERROR(__xludf.DUMMYFUNCTION("""COMPUTED_VALUE"""),16613.85)</f>
        <v>16613.85</v>
      </c>
      <c r="C29" s="29"/>
      <c r="D29" s="65">
        <f>IFERROR(__xludf.DUMMYFUNCTION("""COMPUTED_VALUE"""),16613.85)</f>
        <v>16613.85</v>
      </c>
      <c r="G29" s="65"/>
    </row>
    <row r="30">
      <c r="A30" s="29" t="str">
        <f>IFERROR(__xludf.DUMMYFUNCTION("""COMPUTED_VALUE"""),"C9300L-24P-4X")</f>
        <v>C9300L-24P-4X</v>
      </c>
      <c r="B30" s="65">
        <f>IFERROR(__xludf.DUMMYFUNCTION("""COMPUTED_VALUE"""),17585.24)</f>
        <v>17585.24</v>
      </c>
      <c r="C30" s="29"/>
      <c r="D30" s="65">
        <f>IFERROR(__xludf.DUMMYFUNCTION("""COMPUTED_VALUE"""),17585.24)</f>
        <v>17585.24</v>
      </c>
      <c r="G30" s="65"/>
    </row>
    <row r="31">
      <c r="A31" s="29" t="str">
        <f>IFERROR(__xludf.DUMMYFUNCTION("""COMPUTED_VALUE"""),"C9300L-48T-4G")</f>
        <v>C9300L-48T-4G</v>
      </c>
      <c r="B31" s="65">
        <f>IFERROR(__xludf.DUMMYFUNCTION("""COMPUTED_VALUE"""),19825.33)</f>
        <v>19825.33</v>
      </c>
      <c r="C31" s="29"/>
      <c r="D31" s="65">
        <f>IFERROR(__xludf.DUMMYFUNCTION("""COMPUTED_VALUE"""),19825.33)</f>
        <v>19825.33</v>
      </c>
      <c r="G31" s="65"/>
    </row>
    <row r="32">
      <c r="A32" s="29" t="str">
        <f>IFERROR(__xludf.DUMMYFUNCTION("""COMPUTED_VALUE"""),"C9300L-48P-4G")</f>
        <v>C9300L-48P-4G</v>
      </c>
      <c r="B32" s="65">
        <f>IFERROR(__xludf.DUMMYFUNCTION("""COMPUTED_VALUE"""),22545.48)</f>
        <v>22545.48</v>
      </c>
      <c r="C32" s="29"/>
      <c r="D32" s="65">
        <f>IFERROR(__xludf.DUMMYFUNCTION("""COMPUTED_VALUE"""),22545.48)</f>
        <v>22545.48</v>
      </c>
      <c r="G32" s="65"/>
    </row>
    <row r="33">
      <c r="A33" s="29" t="str">
        <f>IFERROR(__xludf.DUMMYFUNCTION("""COMPUTED_VALUE"""),"C9300L-48T-4X")</f>
        <v>C9300L-48T-4X</v>
      </c>
      <c r="B33" s="65">
        <f>IFERROR(__xludf.DUMMYFUNCTION("""COMPUTED_VALUE"""),22736.79)</f>
        <v>22736.79</v>
      </c>
      <c r="C33" s="29"/>
      <c r="D33" s="65">
        <f>IFERROR(__xludf.DUMMYFUNCTION("""COMPUTED_VALUE"""),22736.79)</f>
        <v>22736.79</v>
      </c>
      <c r="G33" s="65"/>
    </row>
    <row r="34">
      <c r="A34" s="29" t="str">
        <f>IFERROR(__xludf.DUMMYFUNCTION("""COMPUTED_VALUE"""),"C9300L-48P-4X")</f>
        <v>C9300L-48P-4X</v>
      </c>
      <c r="B34" s="65">
        <f>IFERROR(__xludf.DUMMYFUNCTION("""COMPUTED_VALUE"""),25455.65)</f>
        <v>25455.65</v>
      </c>
      <c r="C34" s="29"/>
      <c r="D34" s="65">
        <f>IFERROR(__xludf.DUMMYFUNCTION("""COMPUTED_VALUE"""),25455.65)</f>
        <v>25455.65</v>
      </c>
      <c r="G34" s="65"/>
    </row>
    <row r="35">
      <c r="A35" s="29" t="str">
        <f>IFERROR(__xludf.DUMMYFUNCTION("""COMPUTED_VALUE"""),"C9300-24T")</f>
        <v>C9300-24T</v>
      </c>
      <c r="B35" s="65">
        <f>IFERROR(__xludf.DUMMYFUNCTION("""COMPUTED_VALUE"""),18011.91)</f>
        <v>18011.91</v>
      </c>
      <c r="C35" s="29"/>
      <c r="D35" s="65">
        <f>IFERROR(__xludf.DUMMYFUNCTION("""COMPUTED_VALUE"""),18011.91)</f>
        <v>18011.91</v>
      </c>
      <c r="G35" s="65"/>
    </row>
    <row r="36">
      <c r="A36" s="29" t="str">
        <f>IFERROR(__xludf.DUMMYFUNCTION("""COMPUTED_VALUE"""),"C9300-24P")</f>
        <v>C9300-24P</v>
      </c>
      <c r="B36" s="65">
        <f>IFERROR(__xludf.DUMMYFUNCTION("""COMPUTED_VALUE"""),19547.88)</f>
        <v>19547.88</v>
      </c>
      <c r="C36" s="29"/>
      <c r="D36" s="65">
        <f>IFERROR(__xludf.DUMMYFUNCTION("""COMPUTED_VALUE"""),19547.88)</f>
        <v>19547.88</v>
      </c>
      <c r="G36" s="65"/>
    </row>
    <row r="37">
      <c r="A37" s="29" t="str">
        <f>IFERROR(__xludf.DUMMYFUNCTION("""COMPUTED_VALUE"""),"C9300-24U")</f>
        <v>C9300-24U</v>
      </c>
      <c r="B37" s="65">
        <f>IFERROR(__xludf.DUMMYFUNCTION("""COMPUTED_VALUE"""),20505.61)</f>
        <v>20505.61</v>
      </c>
      <c r="C37" s="29"/>
      <c r="D37" s="65">
        <f>IFERROR(__xludf.DUMMYFUNCTION("""COMPUTED_VALUE"""),20505.61)</f>
        <v>20505.61</v>
      </c>
      <c r="G37" s="65"/>
    </row>
    <row r="38">
      <c r="A38" s="29" t="str">
        <f>IFERROR(__xludf.DUMMYFUNCTION("""COMPUTED_VALUE"""),"C9300-24H")</f>
        <v>C9300-24H</v>
      </c>
      <c r="B38" s="65">
        <f>IFERROR(__xludf.DUMMYFUNCTION("""COMPUTED_VALUE"""),21073.06)</f>
        <v>21073.06</v>
      </c>
      <c r="C38" s="29"/>
      <c r="D38" s="65">
        <f>IFERROR(__xludf.DUMMYFUNCTION("""COMPUTED_VALUE"""),21073.06)</f>
        <v>21073.06</v>
      </c>
      <c r="G38" s="65"/>
    </row>
    <row r="39">
      <c r="A39" s="29" t="str">
        <f>IFERROR(__xludf.DUMMYFUNCTION("""COMPUTED_VALUE"""),"C9300-24S")</f>
        <v>C9300-24S</v>
      </c>
      <c r="B39" s="65">
        <f>IFERROR(__xludf.DUMMYFUNCTION("""COMPUTED_VALUE"""),50184.37)</f>
        <v>50184.37</v>
      </c>
      <c r="C39" s="29"/>
      <c r="D39" s="65">
        <f>IFERROR(__xludf.DUMMYFUNCTION("""COMPUTED_VALUE"""),50184.37)</f>
        <v>50184.37</v>
      </c>
      <c r="G39" s="65"/>
    </row>
    <row r="40">
      <c r="A40" s="29" t="str">
        <f>IFERROR(__xludf.DUMMYFUNCTION("""COMPUTED_VALUE"""),"C9300-24UB")</f>
        <v>C9300-24UB</v>
      </c>
      <c r="B40" s="65">
        <f>IFERROR(__xludf.DUMMYFUNCTION("""COMPUTED_VALUE"""),25086.8)</f>
        <v>25086.8</v>
      </c>
      <c r="C40" s="29"/>
      <c r="D40" s="65">
        <f>IFERROR(__xludf.DUMMYFUNCTION("""COMPUTED_VALUE"""),25086.8)</f>
        <v>25086.8</v>
      </c>
      <c r="G40" s="65"/>
    </row>
    <row r="41">
      <c r="A41" s="29" t="str">
        <f>IFERROR(__xludf.DUMMYFUNCTION("""COMPUTED_VALUE"""),"C9300-48T")</f>
        <v>C9300-48T</v>
      </c>
      <c r="B41" s="65">
        <f>IFERROR(__xludf.DUMMYFUNCTION("""COMPUTED_VALUE"""),26361.21)</f>
        <v>26361.21</v>
      </c>
      <c r="C41" s="29"/>
      <c r="D41" s="65">
        <f>IFERROR(__xludf.DUMMYFUNCTION("""COMPUTED_VALUE"""),26361.21)</f>
        <v>26361.21</v>
      </c>
      <c r="G41" s="65"/>
    </row>
    <row r="42">
      <c r="A42" s="29" t="str">
        <f>IFERROR(__xludf.DUMMYFUNCTION("""COMPUTED_VALUE"""),"C9300-48P")</f>
        <v>C9300-48P</v>
      </c>
      <c r="B42" s="65">
        <f>IFERROR(__xludf.DUMMYFUNCTION("""COMPUTED_VALUE"""),29374.16)</f>
        <v>29374.16</v>
      </c>
      <c r="C42" s="29"/>
      <c r="D42" s="65">
        <f>IFERROR(__xludf.DUMMYFUNCTION("""COMPUTED_VALUE"""),29374.16)</f>
        <v>29374.16</v>
      </c>
      <c r="G42" s="65"/>
    </row>
    <row r="43">
      <c r="A43" s="29" t="str">
        <f>IFERROR(__xludf.DUMMYFUNCTION("""COMPUTED_VALUE"""),"C9300-48U")</f>
        <v>C9300-48U</v>
      </c>
      <c r="B43" s="65">
        <f>IFERROR(__xludf.DUMMYFUNCTION("""COMPUTED_VALUE"""),31290.78)</f>
        <v>31290.78</v>
      </c>
      <c r="C43" s="29"/>
      <c r="D43" s="65">
        <f>IFERROR(__xludf.DUMMYFUNCTION("""COMPUTED_VALUE"""),31290.78)</f>
        <v>31290.78</v>
      </c>
      <c r="G43" s="65"/>
    </row>
    <row r="44">
      <c r="A44" s="29" t="str">
        <f>IFERROR(__xludf.DUMMYFUNCTION("""COMPUTED_VALUE"""),"C9300-48H")</f>
        <v>C9300-48H</v>
      </c>
      <c r="B44" s="65">
        <f>IFERROR(__xludf.DUMMYFUNCTION("""COMPUTED_VALUE"""),32286.54)</f>
        <v>32286.54</v>
      </c>
      <c r="C44" s="29"/>
      <c r="D44" s="65">
        <f>IFERROR(__xludf.DUMMYFUNCTION("""COMPUTED_VALUE"""),32286.54)</f>
        <v>32286.54</v>
      </c>
      <c r="G44" s="65"/>
    </row>
    <row r="45">
      <c r="A45" s="29" t="str">
        <f>IFERROR(__xludf.DUMMYFUNCTION("""COMPUTED_VALUE"""),"C9300-48S")</f>
        <v>C9300-48S</v>
      </c>
      <c r="B45" s="65">
        <f>IFERROR(__xludf.DUMMYFUNCTION("""COMPUTED_VALUE"""),57322.71)</f>
        <v>57322.71</v>
      </c>
      <c r="C45" s="29"/>
      <c r="D45" s="65">
        <f>IFERROR(__xludf.DUMMYFUNCTION("""COMPUTED_VALUE"""),57322.71)</f>
        <v>57322.71</v>
      </c>
      <c r="G45" s="65"/>
    </row>
    <row r="46">
      <c r="A46" s="29" t="str">
        <f>IFERROR(__xludf.DUMMYFUNCTION("""COMPUTED_VALUE"""),"C9300-48UB")</f>
        <v>C9300-48UB</v>
      </c>
      <c r="B46" s="65">
        <f>IFERROR(__xludf.DUMMYFUNCTION("""COMPUTED_VALUE"""),37491.48)</f>
        <v>37491.48</v>
      </c>
      <c r="C46" s="29"/>
      <c r="D46" s="65">
        <f>IFERROR(__xludf.DUMMYFUNCTION("""COMPUTED_VALUE"""),37491.48)</f>
        <v>37491.48</v>
      </c>
      <c r="G46" s="65"/>
    </row>
    <row r="47">
      <c r="A47" s="29" t="str">
        <f>IFERROR(__xludf.DUMMYFUNCTION("""COMPUTED_VALUE"""),"C1300-8T-E-2G")</f>
        <v>C1300-8T-E-2G</v>
      </c>
      <c r="B47" s="65">
        <f>IFERROR(__xludf.DUMMYFUNCTION("""COMPUTED_VALUE"""),463.29)</f>
        <v>463.29</v>
      </c>
      <c r="C47" s="29"/>
      <c r="D47" s="65">
        <f>IFERROR(__xludf.DUMMYFUNCTION("""COMPUTED_VALUE"""),463.29)</f>
        <v>463.29</v>
      </c>
      <c r="G47" s="65"/>
    </row>
    <row r="48">
      <c r="A48" s="29" t="str">
        <f>IFERROR(__xludf.DUMMYFUNCTION("""COMPUTED_VALUE"""),"C1300-8P-E-2G")</f>
        <v>C1300-8P-E-2G</v>
      </c>
      <c r="B48" s="65">
        <f>IFERROR(__xludf.DUMMYFUNCTION("""COMPUTED_VALUE"""),570.56)</f>
        <v>570.56</v>
      </c>
      <c r="C48" s="29"/>
      <c r="D48" s="65">
        <f>IFERROR(__xludf.DUMMYFUNCTION("""COMPUTED_VALUE"""),570.56)</f>
        <v>570.56</v>
      </c>
      <c r="G48" s="65"/>
    </row>
    <row r="49">
      <c r="A49" s="29" t="str">
        <f>IFERROR(__xludf.DUMMYFUNCTION("""COMPUTED_VALUE"""),"C1300-8FP-2G")</f>
        <v>C1300-8FP-2G</v>
      </c>
      <c r="B49" s="65">
        <f>IFERROR(__xludf.DUMMYFUNCTION("""COMPUTED_VALUE"""),757.69)</f>
        <v>757.69</v>
      </c>
      <c r="C49" s="29"/>
      <c r="D49" s="65">
        <f>IFERROR(__xludf.DUMMYFUNCTION("""COMPUTED_VALUE"""),757.69)</f>
        <v>757.69</v>
      </c>
      <c r="G49" s="65"/>
    </row>
    <row r="50">
      <c r="A50" s="29" t="str">
        <f>IFERROR(__xludf.DUMMYFUNCTION("""COMPUTED_VALUE"""),"C1300-16T-2G")</f>
        <v>C1300-16T-2G</v>
      </c>
      <c r="B50" s="65">
        <f>IFERROR(__xludf.DUMMYFUNCTION("""COMPUTED_VALUE"""),655.57)</f>
        <v>655.57</v>
      </c>
      <c r="C50" s="29"/>
      <c r="D50" s="65">
        <f>IFERROR(__xludf.DUMMYFUNCTION("""COMPUTED_VALUE"""),655.57)</f>
        <v>655.57</v>
      </c>
      <c r="G50" s="65"/>
    </row>
    <row r="51">
      <c r="A51" s="29" t="str">
        <f>IFERROR(__xludf.DUMMYFUNCTION("""COMPUTED_VALUE"""),"C1300-16P-2G")</f>
        <v>C1300-16P-2G</v>
      </c>
      <c r="B51" s="65">
        <f>IFERROR(__xludf.DUMMYFUNCTION("""COMPUTED_VALUE"""),952.7)</f>
        <v>952.7</v>
      </c>
      <c r="C51" s="29"/>
      <c r="D51" s="65">
        <f>IFERROR(__xludf.DUMMYFUNCTION("""COMPUTED_VALUE"""),952.7)</f>
        <v>952.7</v>
      </c>
      <c r="G51" s="65"/>
    </row>
    <row r="52">
      <c r="A52" s="29" t="str">
        <f>IFERROR(__xludf.DUMMYFUNCTION("""COMPUTED_VALUE"""),"C1300-16FP-2G")</f>
        <v>C1300-16FP-2G</v>
      </c>
      <c r="B52" s="65">
        <f>IFERROR(__xludf.DUMMYFUNCTION("""COMPUTED_VALUE"""),1350.49)</f>
        <v>1350.49</v>
      </c>
      <c r="C52" s="29"/>
      <c r="D52" s="65">
        <f>IFERROR(__xludf.DUMMYFUNCTION("""COMPUTED_VALUE"""),1350.49)</f>
        <v>1350.49</v>
      </c>
      <c r="G52" s="65"/>
    </row>
    <row r="53">
      <c r="A53" s="29" t="str">
        <f>IFERROR(__xludf.DUMMYFUNCTION("""COMPUTED_VALUE"""),"C1300-24T-4G")</f>
        <v>C1300-24T-4G</v>
      </c>
      <c r="B53" s="65">
        <f>IFERROR(__xludf.DUMMYFUNCTION("""COMPUTED_VALUE"""),913.34)</f>
        <v>913.34</v>
      </c>
      <c r="C53" s="29"/>
      <c r="D53" s="65">
        <f>IFERROR(__xludf.DUMMYFUNCTION("""COMPUTED_VALUE"""),913.34)</f>
        <v>913.34</v>
      </c>
      <c r="G53" s="65"/>
    </row>
    <row r="54">
      <c r="A54" s="29" t="str">
        <f>IFERROR(__xludf.DUMMYFUNCTION("""COMPUTED_VALUE"""),"C1300-24P-4G")</f>
        <v>C1300-24P-4G</v>
      </c>
      <c r="B54" s="65">
        <f>IFERROR(__xludf.DUMMYFUNCTION("""COMPUTED_VALUE"""),1300.65)</f>
        <v>1300.65</v>
      </c>
      <c r="C54" s="29"/>
      <c r="D54" s="65">
        <f>IFERROR(__xludf.DUMMYFUNCTION("""COMPUTED_VALUE"""),1300.65)</f>
        <v>1300.65</v>
      </c>
      <c r="G54" s="65"/>
    </row>
    <row r="55">
      <c r="A55" s="29" t="str">
        <f>IFERROR(__xludf.DUMMYFUNCTION("""COMPUTED_VALUE"""),"C1300-24FP-4G")</f>
        <v>C1300-24FP-4G</v>
      </c>
      <c r="B55" s="65">
        <f>IFERROR(__xludf.DUMMYFUNCTION("""COMPUTED_VALUE"""),1770.54)</f>
        <v>1770.54</v>
      </c>
      <c r="C55" s="29"/>
      <c r="D55" s="65">
        <f>IFERROR(__xludf.DUMMYFUNCTION("""COMPUTED_VALUE"""),1770.54)</f>
        <v>1770.54</v>
      </c>
      <c r="G55" s="65"/>
    </row>
    <row r="56">
      <c r="A56" s="29" t="str">
        <f>IFERROR(__xludf.DUMMYFUNCTION("""COMPUTED_VALUE"""),"C1300-48T-4G")</f>
        <v>C1300-48T-4G</v>
      </c>
      <c r="B56" s="65">
        <f>IFERROR(__xludf.DUMMYFUNCTION("""COMPUTED_VALUE"""),1434.22)</f>
        <v>1434.22</v>
      </c>
      <c r="C56" s="29"/>
      <c r="D56" s="65">
        <f>IFERROR(__xludf.DUMMYFUNCTION("""COMPUTED_VALUE"""),1434.22)</f>
        <v>1434.22</v>
      </c>
      <c r="G56" s="65"/>
    </row>
    <row r="57">
      <c r="A57" s="29" t="str">
        <f>IFERROR(__xludf.DUMMYFUNCTION("""COMPUTED_VALUE"""),"C1300-48P-4G")</f>
        <v>C1300-48P-4G</v>
      </c>
      <c r="B57" s="65">
        <f>IFERROR(__xludf.DUMMYFUNCTION("""COMPUTED_VALUE"""),2368.53)</f>
        <v>2368.53</v>
      </c>
      <c r="C57" s="29"/>
      <c r="D57" s="65">
        <f>IFERROR(__xludf.DUMMYFUNCTION("""COMPUTED_VALUE"""),2368.53)</f>
        <v>2368.53</v>
      </c>
      <c r="G57" s="65"/>
    </row>
    <row r="58">
      <c r="A58" s="29" t="str">
        <f>IFERROR(__xludf.DUMMYFUNCTION("""COMPUTED_VALUE"""),"C1300-48FP-4G")</f>
        <v>C1300-48FP-4G</v>
      </c>
      <c r="B58" s="65">
        <f>IFERROR(__xludf.DUMMYFUNCTION("""COMPUTED_VALUE"""),2962.61)</f>
        <v>2962.61</v>
      </c>
      <c r="C58" s="29"/>
      <c r="D58" s="65">
        <f>IFERROR(__xludf.DUMMYFUNCTION("""COMPUTED_VALUE"""),2962.61)</f>
        <v>2962.61</v>
      </c>
      <c r="G58" s="65"/>
    </row>
    <row r="59">
      <c r="A59" s="29" t="str">
        <f>IFERROR(__xludf.DUMMYFUNCTION("""COMPUTED_VALUE"""),"C1300-16P-4X")</f>
        <v>C1300-16P-4X</v>
      </c>
      <c r="B59" s="65">
        <f>IFERROR(__xludf.DUMMYFUNCTION("""COMPUTED_VALUE"""),1019.52)</f>
        <v>1019.52</v>
      </c>
      <c r="C59" s="29"/>
      <c r="D59" s="65">
        <f>IFERROR(__xludf.DUMMYFUNCTION("""COMPUTED_VALUE"""),1019.52)</f>
        <v>1019.52</v>
      </c>
      <c r="G59" s="65"/>
    </row>
    <row r="60">
      <c r="A60" s="29" t="str">
        <f>IFERROR(__xludf.DUMMYFUNCTION("""COMPUTED_VALUE"""),"C1300-24T-4X")</f>
        <v>C1300-24T-4X</v>
      </c>
      <c r="B60" s="65">
        <f>IFERROR(__xludf.DUMMYFUNCTION("""COMPUTED_VALUE"""),1315.75)</f>
        <v>1315.75</v>
      </c>
      <c r="C60" s="29"/>
      <c r="D60" s="65">
        <f>IFERROR(__xludf.DUMMYFUNCTION("""COMPUTED_VALUE"""),1315.75)</f>
        <v>1315.75</v>
      </c>
      <c r="G60" s="65"/>
    </row>
    <row r="61">
      <c r="A61" s="29" t="str">
        <f>IFERROR(__xludf.DUMMYFUNCTION("""COMPUTED_VALUE"""),"C1300-24P-4X")</f>
        <v>C1300-24P-4X</v>
      </c>
      <c r="B61" s="65">
        <f>IFERROR(__xludf.DUMMYFUNCTION("""COMPUTED_VALUE"""),1567.48)</f>
        <v>1567.48</v>
      </c>
      <c r="C61" s="29"/>
      <c r="D61" s="65">
        <f>IFERROR(__xludf.DUMMYFUNCTION("""COMPUTED_VALUE"""),1567.48)</f>
        <v>1567.48</v>
      </c>
      <c r="G61" s="65"/>
    </row>
    <row r="62">
      <c r="A62" s="29" t="str">
        <f>IFERROR(__xludf.DUMMYFUNCTION("""COMPUTED_VALUE"""),"C1300-24FP-4X")</f>
        <v>C1300-24FP-4X</v>
      </c>
      <c r="B62" s="65">
        <f>IFERROR(__xludf.DUMMYFUNCTION("""COMPUTED_VALUE"""),2131.86)</f>
        <v>2131.86</v>
      </c>
      <c r="C62" s="29"/>
      <c r="D62" s="65">
        <f>IFERROR(__xludf.DUMMYFUNCTION("""COMPUTED_VALUE"""),2131.86)</f>
        <v>2131.86</v>
      </c>
      <c r="G62" s="65"/>
    </row>
    <row r="63">
      <c r="A63" s="29" t="str">
        <f>IFERROR(__xludf.DUMMYFUNCTION("""COMPUTED_VALUE"""),"C1300-48T-4X")</f>
        <v>C1300-48T-4X</v>
      </c>
      <c r="B63" s="65">
        <f>IFERROR(__xludf.DUMMYFUNCTION("""COMPUTED_VALUE"""),2062.75)</f>
        <v>2062.75</v>
      </c>
      <c r="C63" s="29"/>
      <c r="D63" s="65">
        <f>IFERROR(__xludf.DUMMYFUNCTION("""COMPUTED_VALUE"""),2062.75)</f>
        <v>2062.75</v>
      </c>
      <c r="G63" s="65"/>
    </row>
    <row r="64">
      <c r="A64" s="29" t="str">
        <f>IFERROR(__xludf.DUMMYFUNCTION("""COMPUTED_VALUE"""),"C1300-48P-4X")</f>
        <v>C1300-48P-4X</v>
      </c>
      <c r="B64" s="65">
        <f>IFERROR(__xludf.DUMMYFUNCTION("""COMPUTED_VALUE"""),2557.45)</f>
        <v>2557.45</v>
      </c>
      <c r="C64" s="29"/>
      <c r="D64" s="65">
        <f>IFERROR(__xludf.DUMMYFUNCTION("""COMPUTED_VALUE"""),2557.45)</f>
        <v>2557.45</v>
      </c>
      <c r="G64" s="65"/>
    </row>
    <row r="65">
      <c r="A65" s="29" t="str">
        <f>IFERROR(__xludf.DUMMYFUNCTION("""COMPUTED_VALUE"""),"C1300-48FP-4X")</f>
        <v>C1300-48FP-4X</v>
      </c>
      <c r="B65" s="65">
        <f>IFERROR(__xludf.DUMMYFUNCTION("""COMPUTED_VALUE"""),3302.25)</f>
        <v>3302.25</v>
      </c>
      <c r="C65" s="29"/>
      <c r="D65" s="65">
        <f>IFERROR(__xludf.DUMMYFUNCTION("""COMPUTED_VALUE"""),3302.25)</f>
        <v>3302.25</v>
      </c>
      <c r="G65" s="65"/>
    </row>
    <row r="66">
      <c r="A66" s="29" t="str">
        <f>IFERROR(__xludf.DUMMYFUNCTION("""COMPUTED_VALUE"""),"C1300-12XT-2X")</f>
        <v>C1300-12XT-2X</v>
      </c>
      <c r="B66" s="65">
        <f>IFERROR(__xludf.DUMMYFUNCTION("""COMPUTED_VALUE"""),2264.01)</f>
        <v>2264.01</v>
      </c>
      <c r="C66" s="29"/>
      <c r="D66" s="65">
        <f>IFERROR(__xludf.DUMMYFUNCTION("""COMPUTED_VALUE"""),2264.01)</f>
        <v>2264.01</v>
      </c>
      <c r="G66" s="65"/>
    </row>
    <row r="67">
      <c r="A67" s="29" t="str">
        <f>IFERROR(__xludf.DUMMYFUNCTION("""COMPUTED_VALUE"""),"C1300-12XS")</f>
        <v>C1300-12XS</v>
      </c>
      <c r="B67" s="65">
        <f>IFERROR(__xludf.DUMMYFUNCTION("""COMPUTED_VALUE"""),2306.8)</f>
        <v>2306.8</v>
      </c>
      <c r="C67" s="29"/>
      <c r="D67" s="65">
        <f>IFERROR(__xludf.DUMMYFUNCTION("""COMPUTED_VALUE"""),2306.8)</f>
        <v>2306.8</v>
      </c>
      <c r="G67" s="65"/>
    </row>
    <row r="68">
      <c r="A68" s="29" t="str">
        <f>IFERROR(__xludf.DUMMYFUNCTION("""COMPUTED_VALUE"""),"C1300-16XTS")</f>
        <v>C1300-16XTS</v>
      </c>
      <c r="B68" s="65">
        <f>IFERROR(__xludf.DUMMYFUNCTION("""COMPUTED_VALUE"""),3602.8)</f>
        <v>3602.8</v>
      </c>
      <c r="C68" s="29"/>
      <c r="D68" s="65">
        <f>IFERROR(__xludf.DUMMYFUNCTION("""COMPUTED_VALUE"""),3602.8)</f>
        <v>3602.8</v>
      </c>
      <c r="G68" s="65"/>
    </row>
    <row r="69">
      <c r="A69" s="29" t="str">
        <f>IFERROR(__xludf.DUMMYFUNCTION("""COMPUTED_VALUE"""),"C1300-24XS")</f>
        <v>C1300-24XS</v>
      </c>
      <c r="B69" s="65">
        <f>IFERROR(__xludf.DUMMYFUNCTION("""COMPUTED_VALUE"""),3725.66)</f>
        <v>3725.66</v>
      </c>
      <c r="C69" s="29"/>
      <c r="D69" s="65">
        <f>IFERROR(__xludf.DUMMYFUNCTION("""COMPUTED_VALUE"""),3725.66)</f>
        <v>3725.66</v>
      </c>
      <c r="G69" s="65"/>
    </row>
    <row r="70">
      <c r="A70" s="29" t="str">
        <f>IFERROR(__xludf.DUMMYFUNCTION("""COMPUTED_VALUE"""),"C1300-24XT")</f>
        <v>C1300-24XT</v>
      </c>
      <c r="B70" s="65">
        <f>IFERROR(__xludf.DUMMYFUNCTION("""COMPUTED_VALUE"""),4790.18)</f>
        <v>4790.18</v>
      </c>
      <c r="C70" s="29"/>
      <c r="D70" s="65">
        <f>IFERROR(__xludf.DUMMYFUNCTION("""COMPUTED_VALUE"""),4790.18)</f>
        <v>4790.18</v>
      </c>
      <c r="G70" s="65"/>
    </row>
    <row r="71">
      <c r="A71" s="29" t="str">
        <f>IFERROR(__xludf.DUMMYFUNCTION("""COMPUTED_VALUE"""),"C1300-24XTS")</f>
        <v>C1300-24XTS</v>
      </c>
      <c r="B71" s="65">
        <f>IFERROR(__xludf.DUMMYFUNCTION("""COMPUTED_VALUE"""),4622.36)</f>
        <v>4622.36</v>
      </c>
      <c r="C71" s="29"/>
      <c r="D71" s="65">
        <f>IFERROR(__xludf.DUMMYFUNCTION("""COMPUTED_VALUE"""),4622.36)</f>
        <v>4622.36</v>
      </c>
      <c r="G71" s="65"/>
    </row>
    <row r="72">
      <c r="A72" s="29" t="str">
        <f>IFERROR(__xludf.DUMMYFUNCTION("""COMPUTED_VALUE"""),"C1300X-24T-4X")</f>
        <v>C1300X-24T-4X</v>
      </c>
      <c r="B72" s="65">
        <f>IFERROR(__xludf.DUMMYFUNCTION("""COMPUTED_VALUE"""),1379.74)</f>
        <v>1379.74</v>
      </c>
      <c r="C72" s="29"/>
      <c r="D72" s="65">
        <f>IFERROR(__xludf.DUMMYFUNCTION("""COMPUTED_VALUE"""),1379.74)</f>
        <v>1379.74</v>
      </c>
      <c r="G72" s="65"/>
    </row>
    <row r="73">
      <c r="A73" s="29" t="str">
        <f>IFERROR(__xludf.DUMMYFUNCTION("""COMPUTED_VALUE"""),"C1300X-48T-4X")</f>
        <v>C1300X-48T-4X</v>
      </c>
      <c r="B73" s="65">
        <f>IFERROR(__xludf.DUMMYFUNCTION("""COMPUTED_VALUE"""),2116.76)</f>
        <v>2116.76</v>
      </c>
      <c r="C73" s="29"/>
      <c r="D73" s="65">
        <f>IFERROR(__xludf.DUMMYFUNCTION("""COMPUTED_VALUE"""),2116.76)</f>
        <v>2116.76</v>
      </c>
      <c r="G73" s="65"/>
    </row>
    <row r="74">
      <c r="A74" s="29" t="str">
        <f>IFERROR(__xludf.DUMMYFUNCTION("""COMPUTED_VALUE"""),"C1300X-24P-4X")</f>
        <v>C1300X-24P-4X</v>
      </c>
      <c r="B74" s="65">
        <f>IFERROR(__xludf.DUMMYFUNCTION("""COMPUTED_VALUE"""),2238.02)</f>
        <v>2238.02</v>
      </c>
      <c r="C74" s="29"/>
      <c r="D74" s="65">
        <f>IFERROR(__xludf.DUMMYFUNCTION("""COMPUTED_VALUE"""),2238.02)</f>
        <v>2238.02</v>
      </c>
      <c r="G74" s="65"/>
    </row>
    <row r="75">
      <c r="A75" s="29" t="str">
        <f>IFERROR(__xludf.DUMMYFUNCTION("""COMPUTED_VALUE"""),"C1300X-48P-4X")</f>
        <v>C1300X-48P-4X</v>
      </c>
      <c r="B75" s="65">
        <f>IFERROR(__xludf.DUMMYFUNCTION("""COMPUTED_VALUE"""),3466.95)</f>
        <v>3466.95</v>
      </c>
      <c r="C75" s="29"/>
      <c r="D75" s="65">
        <f>IFERROR(__xludf.DUMMYFUNCTION("""COMPUTED_VALUE"""),3466.95)</f>
        <v>3466.95</v>
      </c>
      <c r="G75" s="65"/>
    </row>
    <row r="76">
      <c r="A76" s="29" t="str">
        <f>IFERROR(__xludf.DUMMYFUNCTION("""COMPUTED_VALUE"""),"C9500-32C")</f>
        <v>C9500-32C</v>
      </c>
      <c r="B76" s="65">
        <f>IFERROR(__xludf.DUMMYFUNCTION("""COMPUTED_VALUE"""),86779.49)</f>
        <v>86779.49</v>
      </c>
      <c r="C76" s="29"/>
      <c r="D76" s="65">
        <f>IFERROR(__xludf.DUMMYFUNCTION("""COMPUTED_VALUE"""),86779.49)</f>
        <v>86779.49</v>
      </c>
      <c r="G76" s="65"/>
    </row>
    <row r="77">
      <c r="A77" s="29" t="str">
        <f>IFERROR(__xludf.DUMMYFUNCTION("""COMPUTED_VALUE"""),"C9500-32QC")</f>
        <v>C9500-32QC</v>
      </c>
      <c r="B77" s="65">
        <f>IFERROR(__xludf.DUMMYFUNCTION("""COMPUTED_VALUE"""),78332.98)</f>
        <v>78332.98</v>
      </c>
      <c r="C77" s="29"/>
      <c r="D77" s="65">
        <f>IFERROR(__xludf.DUMMYFUNCTION("""COMPUTED_VALUE"""),78332.98)</f>
        <v>78332.98</v>
      </c>
      <c r="G77" s="65"/>
    </row>
    <row r="78">
      <c r="A78" s="29" t="str">
        <f>IFERROR(__xludf.DUMMYFUNCTION("""COMPUTED_VALUE"""),"C9500-48Y4C")</f>
        <v>C9500-48Y4C</v>
      </c>
      <c r="B78" s="65">
        <f>IFERROR(__xludf.DUMMYFUNCTION("""COMPUTED_VALUE"""),66036.97)</f>
        <v>66036.97</v>
      </c>
      <c r="C78" s="29"/>
      <c r="D78" s="65">
        <f>IFERROR(__xludf.DUMMYFUNCTION("""COMPUTED_VALUE"""),66036.97)</f>
        <v>66036.97</v>
      </c>
      <c r="G78" s="65"/>
    </row>
    <row r="79">
      <c r="A79" s="29" t="str">
        <f>IFERROR(__xludf.DUMMYFUNCTION("""COMPUTED_VALUE"""),"C9500-24Y4C")</f>
        <v>C9500-24Y4C</v>
      </c>
      <c r="B79" s="65">
        <f>IFERROR(__xludf.DUMMYFUNCTION("""COMPUTED_VALUE"""),55686.03)</f>
        <v>55686.03</v>
      </c>
      <c r="C79" s="29"/>
      <c r="D79" s="65">
        <f>IFERROR(__xludf.DUMMYFUNCTION("""COMPUTED_VALUE"""),55686.03)</f>
        <v>55686.03</v>
      </c>
      <c r="G79" s="65"/>
    </row>
    <row r="80">
      <c r="A80" s="29" t="str">
        <f>IFERROR(__xludf.DUMMYFUNCTION("""COMPUTED_VALUE"""),"C9500X-28C8D")</f>
        <v>C9500X-28C8D</v>
      </c>
      <c r="B80" s="65">
        <f>IFERROR(__xludf.DUMMYFUNCTION("""COMPUTED_VALUE"""),170302.47)</f>
        <v>170302.47</v>
      </c>
      <c r="C80" s="29"/>
      <c r="D80" s="65">
        <f>IFERROR(__xludf.DUMMYFUNCTION("""COMPUTED_VALUE"""),170302.47)</f>
        <v>170302.47</v>
      </c>
      <c r="G80" s="65"/>
    </row>
    <row r="81">
      <c r="A81" s="29" t="str">
        <f>IFERROR(__xludf.DUMMYFUNCTION("""COMPUTED_VALUE"""),"C9500X-60L4D")</f>
        <v>C9500X-60L4D</v>
      </c>
      <c r="B81" s="65">
        <f>IFERROR(__xludf.DUMMYFUNCTION("""COMPUTED_VALUE"""),130669.25)</f>
        <v>130669.25</v>
      </c>
      <c r="C81" s="29"/>
      <c r="D81" s="65">
        <f>IFERROR(__xludf.DUMMYFUNCTION("""COMPUTED_VALUE"""),130669.25)</f>
        <v>130669.25</v>
      </c>
      <c r="G81" s="65"/>
    </row>
    <row r="82">
      <c r="A82" s="29" t="str">
        <f>IFERROR(__xludf.DUMMYFUNCTION("""COMPUTED_VALUE"""),"C9500-16X")</f>
        <v>C9500-16X</v>
      </c>
      <c r="B82" s="65">
        <f>IFERROR(__xludf.DUMMYFUNCTION("""COMPUTED_VALUE"""),41745.39)</f>
        <v>41745.39</v>
      </c>
      <c r="C82" s="29"/>
      <c r="D82" s="65">
        <f>IFERROR(__xludf.DUMMYFUNCTION("""COMPUTED_VALUE"""),41745.39)</f>
        <v>41745.39</v>
      </c>
      <c r="G82" s="65"/>
    </row>
    <row r="83">
      <c r="A83" s="29" t="str">
        <f>IFERROR(__xludf.DUMMYFUNCTION("""COMPUTED_VALUE"""),"APIC-CLUSTERG5")</f>
        <v>APIC-CLUSTERG5</v>
      </c>
      <c r="B83" s="65">
        <f>IFERROR(__xludf.DUMMYFUNCTION("""COMPUTED_VALUE"""),161856.78)</f>
        <v>161856.78</v>
      </c>
      <c r="C83" s="29"/>
      <c r="D83" s="65">
        <f>IFERROR(__xludf.DUMMYFUNCTION("""COMPUTED_VALUE"""),161856.78)</f>
        <v>161856.78</v>
      </c>
      <c r="G83" s="65"/>
    </row>
    <row r="84">
      <c r="A84" s="29" t="str">
        <f>IFERROR(__xludf.DUMMYFUNCTION("""COMPUTED_VALUE"""),"N9K-C9504")</f>
        <v>N9K-C9504</v>
      </c>
      <c r="B84" s="65">
        <f>IFERROR(__xludf.DUMMYFUNCTION("""COMPUTED_VALUE"""),383674.39)</f>
        <v>383674.39</v>
      </c>
      <c r="C84" s="29"/>
      <c r="D84" s="65">
        <f>IFERROR(__xludf.DUMMYFUNCTION("""COMPUTED_VALUE"""),383674.39)</f>
        <v>383674.39</v>
      </c>
      <c r="G84" s="65"/>
    </row>
    <row r="85">
      <c r="A85" s="29" t="str">
        <f>IFERROR(__xludf.DUMMYFUNCTION("""COMPUTED_VALUE"""),"N9K-C9508")</f>
        <v>N9K-C9508</v>
      </c>
      <c r="B85" s="65">
        <f>IFERROR(__xludf.DUMMYFUNCTION("""COMPUTED_VALUE"""),645324.61)</f>
        <v>645324.61</v>
      </c>
      <c r="C85" s="29"/>
      <c r="D85" s="65">
        <f>IFERROR(__xludf.DUMMYFUNCTION("""COMPUTED_VALUE"""),645324.61)</f>
        <v>645324.61</v>
      </c>
      <c r="G85" s="65"/>
    </row>
    <row r="86">
      <c r="A86" s="29" t="str">
        <f>IFERROR(__xludf.DUMMYFUNCTION("""COMPUTED_VALUE"""),"N9K-C9516")</f>
        <v>N9K-C9516</v>
      </c>
      <c r="B86" s="65">
        <f>IFERROR(__xludf.DUMMYFUNCTION("""COMPUTED_VALUE"""),761874.61)</f>
        <v>761874.61</v>
      </c>
      <c r="C86" s="29"/>
      <c r="D86" s="65">
        <f>IFERROR(__xludf.DUMMYFUNCTION("""COMPUTED_VALUE"""),761874.61)</f>
        <v>761874.61</v>
      </c>
      <c r="G86" s="65"/>
    </row>
    <row r="87">
      <c r="A87" s="29" t="str">
        <f>IFERROR(__xludf.DUMMYFUNCTION("""COMPUTED_VALUE"""),"N9K-X9736C-FX3=")</f>
        <v>N9K-X9736C-FX3=</v>
      </c>
      <c r="B87" s="65">
        <f>IFERROR(__xludf.DUMMYFUNCTION("""COMPUTED_VALUE"""),59012.02)</f>
        <v>59012.02</v>
      </c>
      <c r="C87" s="29"/>
      <c r="D87" s="65">
        <f>IFERROR(__xludf.DUMMYFUNCTION("""COMPUTED_VALUE"""),59012.02)</f>
        <v>59012.02</v>
      </c>
      <c r="G87" s="65"/>
    </row>
    <row r="88">
      <c r="A88" s="29" t="str">
        <f>IFERROR(__xludf.DUMMYFUNCTION("""COMPUTED_VALUE"""),"N9K-C9364C-GX")</f>
        <v>N9K-C9364C-GX</v>
      </c>
      <c r="B88" s="65">
        <f>IFERROR(__xludf.DUMMYFUNCTION("""COMPUTED_VALUE"""),150153.17)</f>
        <v>150153.17</v>
      </c>
      <c r="C88" s="29"/>
      <c r="D88" s="65">
        <f>IFERROR(__xludf.DUMMYFUNCTION("""COMPUTED_VALUE"""),150153.17)</f>
        <v>150153.17</v>
      </c>
      <c r="G88" s="65"/>
    </row>
    <row r="89">
      <c r="A89" s="29" t="str">
        <f>IFERROR(__xludf.DUMMYFUNCTION("""COMPUTED_VALUE"""),"N9K-C9316D-GX")</f>
        <v>N9K-C9316D-GX</v>
      </c>
      <c r="B89" s="65">
        <f>IFERROR(__xludf.DUMMYFUNCTION("""COMPUTED_VALUE"""),125701.93)</f>
        <v>125701.93</v>
      </c>
      <c r="C89" s="29"/>
      <c r="D89" s="65">
        <f>IFERROR(__xludf.DUMMYFUNCTION("""COMPUTED_VALUE"""),125701.93)</f>
        <v>125701.93</v>
      </c>
      <c r="G89" s="65"/>
    </row>
    <row r="90">
      <c r="A90" s="29" t="str">
        <f>IFERROR(__xludf.DUMMYFUNCTION("""COMPUTED_VALUE"""),"N9K-C93600CD-GX")</f>
        <v>N9K-C93600CD-GX</v>
      </c>
      <c r="B90" s="65">
        <f>IFERROR(__xludf.DUMMYFUNCTION("""COMPUTED_VALUE"""),121246.9)</f>
        <v>121246.9</v>
      </c>
      <c r="C90" s="29"/>
      <c r="D90" s="65">
        <f>IFERROR(__xludf.DUMMYFUNCTION("""COMPUTED_VALUE"""),121246.9)</f>
        <v>121246.9</v>
      </c>
      <c r="G90" s="65"/>
    </row>
    <row r="91">
      <c r="A91" s="29" t="str">
        <f>IFERROR(__xludf.DUMMYFUNCTION("""COMPUTED_VALUE"""),"N9K-C93180YC-FX3")</f>
        <v>N9K-C93180YC-FX3</v>
      </c>
      <c r="B91" s="65">
        <f>IFERROR(__xludf.DUMMYFUNCTION("""COMPUTED_VALUE"""),73302.82)</f>
        <v>73302.82</v>
      </c>
      <c r="C91" s="29"/>
      <c r="D91" s="65">
        <f>IFERROR(__xludf.DUMMYFUNCTION("""COMPUTED_VALUE"""),73302.82)</f>
        <v>73302.82</v>
      </c>
      <c r="G91" s="65"/>
    </row>
    <row r="92">
      <c r="A92" s="29" t="str">
        <f>IFERROR(__xludf.DUMMYFUNCTION("""COMPUTED_VALUE"""),"N9K-C93240YC-FX2")</f>
        <v>N9K-C93240YC-FX2</v>
      </c>
      <c r="B92" s="65">
        <f>IFERROR(__xludf.DUMMYFUNCTION("""COMPUTED_VALUE"""),81871.35)</f>
        <v>81871.35</v>
      </c>
      <c r="C92" s="29"/>
      <c r="D92" s="65">
        <f>IFERROR(__xludf.DUMMYFUNCTION("""COMPUTED_VALUE"""),81871.35)</f>
        <v>81871.35</v>
      </c>
      <c r="G92" s="65"/>
    </row>
    <row r="93">
      <c r="A93" s="29" t="str">
        <f>IFERROR(__xludf.DUMMYFUNCTION("""COMPUTED_VALUE"""),"N9K-C93360YC-FX2")</f>
        <v>N9K-C93360YC-FX2</v>
      </c>
      <c r="B93" s="65">
        <f>IFERROR(__xludf.DUMMYFUNCTION("""COMPUTED_VALUE"""),95456.27)</f>
        <v>95456.27</v>
      </c>
      <c r="C93" s="29"/>
      <c r="D93" s="65">
        <f>IFERROR(__xludf.DUMMYFUNCTION("""COMPUTED_VALUE"""),95456.27)</f>
        <v>95456.27</v>
      </c>
      <c r="G93" s="65"/>
    </row>
    <row r="94">
      <c r="A94" s="29" t="str">
        <f>IFERROR(__xludf.DUMMYFUNCTION("""COMPUTED_VALUE"""),"N9K-C93216TC-FX2")</f>
        <v>N9K-C93216TC-FX2</v>
      </c>
      <c r="B94" s="65">
        <f>IFERROR(__xludf.DUMMYFUNCTION("""COMPUTED_VALUE"""),95212.19)</f>
        <v>95212.19</v>
      </c>
      <c r="C94" s="29"/>
      <c r="D94" s="65">
        <f>IFERROR(__xludf.DUMMYFUNCTION("""COMPUTED_VALUE"""),95212.19)</f>
        <v>95212.19</v>
      </c>
      <c r="G94" s="65"/>
    </row>
    <row r="95">
      <c r="A95" s="29" t="str">
        <f>IFERROR(__xludf.DUMMYFUNCTION("""COMPUTED_VALUE"""),"N9K-C93108TC-FX3")</f>
        <v>N9K-C93108TC-FX3</v>
      </c>
      <c r="B95" s="65">
        <f>IFERROR(__xludf.DUMMYFUNCTION("""COMPUTED_VALUE"""),78416.27)</f>
        <v>78416.27</v>
      </c>
      <c r="C95" s="29"/>
      <c r="D95" s="65">
        <f>IFERROR(__xludf.DUMMYFUNCTION("""COMPUTED_VALUE"""),78416.27)</f>
        <v>78416.27</v>
      </c>
      <c r="G95" s="65"/>
    </row>
    <row r="96">
      <c r="A96" s="29" t="str">
        <f>IFERROR(__xludf.DUMMYFUNCTION("""COMPUTED_VALUE"""),"N9K-C9348GC-FX3")</f>
        <v>N9K-C9348GC-FX3</v>
      </c>
      <c r="B96" s="65">
        <f>IFERROR(__xludf.DUMMYFUNCTION("""COMPUTED_VALUE"""),32577.06)</f>
        <v>32577.06</v>
      </c>
      <c r="C96" s="29"/>
      <c r="D96" s="65">
        <f>IFERROR(__xludf.DUMMYFUNCTION("""COMPUTED_VALUE"""),32577.06)</f>
        <v>32577.06</v>
      </c>
      <c r="G96" s="65"/>
    </row>
    <row r="97">
      <c r="A97" s="29" t="str">
        <f>IFERROR(__xludf.DUMMYFUNCTION("""COMPUTED_VALUE"""),"C1161X-8P")</f>
        <v>C1161X-8P</v>
      </c>
      <c r="B97" s="65">
        <f>IFERROR(__xludf.DUMMYFUNCTION("""COMPUTED_VALUE"""),10265.06)</f>
        <v>10265.06</v>
      </c>
      <c r="C97" s="29"/>
      <c r="D97" s="65">
        <f>IFERROR(__xludf.DUMMYFUNCTION("""COMPUTED_VALUE"""),10265.06)</f>
        <v>10265.06</v>
      </c>
      <c r="G97" s="65"/>
    </row>
    <row r="98">
      <c r="A98" s="29" t="str">
        <f>IFERROR(__xludf.DUMMYFUNCTION("""COMPUTED_VALUE"""),"C1127-8PLTEP")</f>
        <v>C1127-8PLTEP</v>
      </c>
      <c r="B98" s="65">
        <f>IFERROR(__xludf.DUMMYFUNCTION("""COMPUTED_VALUE"""),8935.48)</f>
        <v>8935.48</v>
      </c>
      <c r="C98" s="29"/>
      <c r="D98" s="65">
        <f>IFERROR(__xludf.DUMMYFUNCTION("""COMPUTED_VALUE"""),8935.48)</f>
        <v>8935.48</v>
      </c>
      <c r="G98" s="65"/>
    </row>
    <row r="99">
      <c r="A99" s="29" t="str">
        <f>IFERROR(__xludf.DUMMYFUNCTION("""COMPUTED_VALUE"""),"C1117-4P")</f>
        <v>C1117-4P</v>
      </c>
      <c r="B99" s="65">
        <f>IFERROR(__xludf.DUMMYFUNCTION("""COMPUTED_VALUE"""),8519.2)</f>
        <v>8519.2</v>
      </c>
      <c r="C99" s="29"/>
      <c r="D99" s="65">
        <f>IFERROR(__xludf.DUMMYFUNCTION("""COMPUTED_VALUE"""),8519.2)</f>
        <v>8519.2</v>
      </c>
      <c r="G99" s="65"/>
    </row>
    <row r="100">
      <c r="A100" s="29" t="str">
        <f>IFERROR(__xludf.DUMMYFUNCTION("""COMPUTED_VALUE"""),"C1109-4PLTE2P")</f>
        <v>C1109-4PLTE2P</v>
      </c>
      <c r="B100" s="65">
        <f>IFERROR(__xludf.DUMMYFUNCTION("""COMPUTED_VALUE"""),9070.11)</f>
        <v>9070.11</v>
      </c>
      <c r="C100" s="29"/>
      <c r="D100" s="65">
        <f>IFERROR(__xludf.DUMMYFUNCTION("""COMPUTED_VALUE"""),9070.11)</f>
        <v>9070.11</v>
      </c>
      <c r="G100" s="65"/>
    </row>
    <row r="101">
      <c r="A101" s="29" t="str">
        <f>IFERROR(__xludf.DUMMYFUNCTION("""COMPUTED_VALUE"""),"C1161-8P")</f>
        <v>C1161-8P</v>
      </c>
      <c r="B101" s="65">
        <f>IFERROR(__xludf.DUMMYFUNCTION("""COMPUTED_VALUE"""),9713.63)</f>
        <v>9713.63</v>
      </c>
      <c r="C101" s="29"/>
      <c r="D101" s="65">
        <f>IFERROR(__xludf.DUMMYFUNCTION("""COMPUTED_VALUE"""),9713.63)</f>
        <v>9713.63</v>
      </c>
      <c r="G101" s="65"/>
    </row>
    <row r="102">
      <c r="A102" s="29" t="str">
        <f>IFERROR(__xludf.DUMMYFUNCTION("""COMPUTED_VALUE"""),"C1131-8PWS")</f>
        <v>C1131-8PWS</v>
      </c>
      <c r="B102" s="65">
        <f>IFERROR(__xludf.DUMMYFUNCTION("""COMPUTED_VALUE"""),8922.97)</f>
        <v>8922.97</v>
      </c>
      <c r="C102" s="29"/>
      <c r="D102" s="65">
        <f>IFERROR(__xludf.DUMMYFUNCTION("""COMPUTED_VALUE"""),8922.97)</f>
        <v>8922.97</v>
      </c>
      <c r="G102" s="65"/>
    </row>
    <row r="103">
      <c r="A103" s="29" t="str">
        <f>IFERROR(__xludf.DUMMYFUNCTION("""COMPUTED_VALUE"""),"C1131X-8PWS")</f>
        <v>C1131X-8PWS</v>
      </c>
      <c r="B103" s="65">
        <f>IFERROR(__xludf.DUMMYFUNCTION("""COMPUTED_VALUE"""),9142.75)</f>
        <v>9142.75</v>
      </c>
      <c r="C103" s="29"/>
      <c r="D103" s="65">
        <f>IFERROR(__xludf.DUMMYFUNCTION("""COMPUTED_VALUE"""),9142.75)</f>
        <v>9142.75</v>
      </c>
      <c r="G103" s="65"/>
    </row>
    <row r="104">
      <c r="A104" s="29" t="str">
        <f>IFERROR(__xludf.DUMMYFUNCTION("""COMPUTED_VALUE"""),"C1121-4P")</f>
        <v>C1121-4P</v>
      </c>
      <c r="B104" s="65">
        <f>IFERROR(__xludf.DUMMYFUNCTION("""COMPUTED_VALUE"""),8003.549999999999)</f>
        <v>8003.55</v>
      </c>
      <c r="C104" s="29"/>
      <c r="D104" s="65">
        <f>IFERROR(__xludf.DUMMYFUNCTION("""COMPUTED_VALUE"""),8003.549999999999)</f>
        <v>8003.55</v>
      </c>
      <c r="G104" s="65"/>
    </row>
    <row r="105">
      <c r="A105" s="29" t="str">
        <f>IFERROR(__xludf.DUMMYFUNCTION("""COMPUTED_VALUE"""),"C1121-8P")</f>
        <v>C1121-8P</v>
      </c>
      <c r="B105" s="65">
        <f>IFERROR(__xludf.DUMMYFUNCTION("""COMPUTED_VALUE"""),8311.31)</f>
        <v>8311.31</v>
      </c>
      <c r="C105" s="29"/>
      <c r="D105" s="65">
        <f>IFERROR(__xludf.DUMMYFUNCTION("""COMPUTED_VALUE"""),8311.31)</f>
        <v>8311.31</v>
      </c>
      <c r="G105" s="65"/>
    </row>
    <row r="106">
      <c r="A106" s="29" t="str">
        <f>IFERROR(__xludf.DUMMYFUNCTION("""COMPUTED_VALUE"""),"C1116-4P")</f>
        <v>C1116-4P</v>
      </c>
      <c r="B106" s="65">
        <f>IFERROR(__xludf.DUMMYFUNCTION("""COMPUTED_VALUE"""),8519.2)</f>
        <v>8519.2</v>
      </c>
      <c r="C106" s="29"/>
      <c r="D106" s="65">
        <f>IFERROR(__xludf.DUMMYFUNCTION("""COMPUTED_VALUE"""),8519.2)</f>
        <v>8519.2</v>
      </c>
      <c r="G106" s="65"/>
    </row>
    <row r="107">
      <c r="A107" s="29" t="str">
        <f>IFERROR(__xludf.DUMMYFUNCTION("""COMPUTED_VALUE"""),"C1112-8P")</f>
        <v>C1112-8P</v>
      </c>
      <c r="B107" s="65">
        <f>IFERROR(__xludf.DUMMYFUNCTION("""COMPUTED_VALUE"""),9556.939999999999)</f>
        <v>9556.94</v>
      </c>
      <c r="C107" s="29"/>
      <c r="D107" s="65">
        <f>IFERROR(__xludf.DUMMYFUNCTION("""COMPUTED_VALUE"""),9556.939999999999)</f>
        <v>9556.94</v>
      </c>
      <c r="G107" s="65"/>
    </row>
    <row r="108">
      <c r="A108" s="29" t="str">
        <f>IFERROR(__xludf.DUMMYFUNCTION("""COMPUTED_VALUE"""),"C8355-G2 (Default Routing)")</f>
        <v>C8355-G2 (Default Routing)</v>
      </c>
      <c r="B108" s="65">
        <f>IFERROR(__xludf.DUMMYFUNCTION("""COMPUTED_VALUE"""),24102.27)</f>
        <v>24102.27</v>
      </c>
      <c r="C108" s="29"/>
      <c r="D108" s="65">
        <f>IFERROR(__xludf.DUMMYFUNCTION("""COMPUTED_VALUE"""),24102.27)</f>
        <v>24102.27</v>
      </c>
      <c r="G108" s="65"/>
    </row>
    <row r="109">
      <c r="A109" s="29" t="str">
        <f>IFERROR(__xludf.DUMMYFUNCTION("""COMPUTED_VALUE"""),"C8355-G2 (Adv Routing)")</f>
        <v>C8355-G2 (Adv Routing)</v>
      </c>
      <c r="B109" s="65">
        <f>IFERROR(__xludf.DUMMYFUNCTION("""COMPUTED_VALUE"""),34182.270000000004)</f>
        <v>34182.27</v>
      </c>
      <c r="C109" s="29"/>
      <c r="D109" s="65">
        <f>IFERROR(__xludf.DUMMYFUNCTION("""COMPUTED_VALUE"""),34182.270000000004)</f>
        <v>34182.27</v>
      </c>
      <c r="G109" s="65"/>
    </row>
    <row r="110">
      <c r="A110" s="29" t="str">
        <f>IFERROR(__xludf.DUMMYFUNCTION("""COMPUTED_VALUE"""),"C8355-G2 (SDWAN)")</f>
        <v>C8355-G2 (SDWAN)</v>
      </c>
      <c r="B110" s="65">
        <f>IFERROR(__xludf.DUMMYFUNCTION("""COMPUTED_VALUE"""),38286.270000000004)</f>
        <v>38286.27</v>
      </c>
      <c r="C110" s="29"/>
      <c r="D110" s="65">
        <f>IFERROR(__xludf.DUMMYFUNCTION("""COMPUTED_VALUE"""),38286.270000000004)</f>
        <v>38286.27</v>
      </c>
      <c r="G110" s="65"/>
    </row>
    <row r="111">
      <c r="A111" s="29" t="str">
        <f>IFERROR(__xludf.DUMMYFUNCTION("""COMPUTED_VALUE"""),"C8355-G2 (Full Adds On)")</f>
        <v>C8355-G2 (Full Adds On)</v>
      </c>
      <c r="B111" s="65">
        <f>IFERROR(__xludf.DUMMYFUNCTION("""COMPUTED_VALUE"""),40122.270000000004)</f>
        <v>40122.27</v>
      </c>
      <c r="C111" s="29"/>
      <c r="D111" s="65">
        <f>IFERROR(__xludf.DUMMYFUNCTION("""COMPUTED_VALUE"""),40122.270000000004)</f>
        <v>40122.27</v>
      </c>
      <c r="G111" s="65"/>
    </row>
    <row r="112">
      <c r="A112" s="29" t="str">
        <f>IFERROR(__xludf.DUMMYFUNCTION("""COMPUTED_VALUE"""),"C8375-E-G2 (Default Routing)")</f>
        <v>C8375-E-G2 (Default Routing)</v>
      </c>
      <c r="B112" s="65">
        <f>IFERROR(__xludf.DUMMYFUNCTION("""COMPUTED_VALUE"""),40699.17)</f>
        <v>40699.17</v>
      </c>
      <c r="C112" s="29"/>
      <c r="D112" s="65">
        <f>IFERROR(__xludf.DUMMYFUNCTION("""COMPUTED_VALUE"""),40699.17)</f>
        <v>40699.17</v>
      </c>
      <c r="G112" s="65"/>
    </row>
    <row r="113">
      <c r="A113" s="29" t="str">
        <f>IFERROR(__xludf.DUMMYFUNCTION("""COMPUTED_VALUE"""),"C8375-E-G2 (Adv Routing)")</f>
        <v>C8375-E-G2 (Adv Routing)</v>
      </c>
      <c r="B113" s="65">
        <f>IFERROR(__xludf.DUMMYFUNCTION("""COMPUTED_VALUE"""),50779.17)</f>
        <v>50779.17</v>
      </c>
      <c r="C113" s="29"/>
      <c r="D113" s="65">
        <f>IFERROR(__xludf.DUMMYFUNCTION("""COMPUTED_VALUE"""),50779.17)</f>
        <v>50779.17</v>
      </c>
      <c r="G113" s="65"/>
    </row>
    <row r="114">
      <c r="A114" s="29" t="str">
        <f>IFERROR(__xludf.DUMMYFUNCTION("""COMPUTED_VALUE"""),"C8375-E-G2 (SDWAN)")</f>
        <v>C8375-E-G2 (SDWAN)</v>
      </c>
      <c r="B114" s="65">
        <f>IFERROR(__xludf.DUMMYFUNCTION("""COMPUTED_VALUE"""),54883.17)</f>
        <v>54883.17</v>
      </c>
      <c r="C114" s="29"/>
      <c r="D114" s="65">
        <f>IFERROR(__xludf.DUMMYFUNCTION("""COMPUTED_VALUE"""),54883.17)</f>
        <v>54883.17</v>
      </c>
      <c r="G114" s="65"/>
    </row>
    <row r="115">
      <c r="A115" s="29" t="str">
        <f>IFERROR(__xludf.DUMMYFUNCTION("""COMPUTED_VALUE"""),"C8375-E-G2 (Full Adds On)")</f>
        <v>C8375-E-G2 (Full Adds On)</v>
      </c>
      <c r="B115" s="65">
        <f>IFERROR(__xludf.DUMMYFUNCTION("""COMPUTED_VALUE"""),56719.17)</f>
        <v>56719.17</v>
      </c>
      <c r="C115" s="29"/>
      <c r="D115" s="65">
        <f>IFERROR(__xludf.DUMMYFUNCTION("""COMPUTED_VALUE"""),56719.17)</f>
        <v>56719.17</v>
      </c>
      <c r="G115" s="65"/>
    </row>
    <row r="116">
      <c r="A116" s="29" t="str">
        <f>IFERROR(__xludf.DUMMYFUNCTION("""COMPUTED_VALUE"""),"C8550-G2 (Default Routing)")</f>
        <v>C8550-G2 (Default Routing)</v>
      </c>
      <c r="B116" s="65">
        <f>IFERROR(__xludf.DUMMYFUNCTION("""COMPUTED_VALUE"""),164387.73)</f>
        <v>164387.73</v>
      </c>
      <c r="C116" s="29"/>
      <c r="D116" s="65">
        <f>IFERROR(__xludf.DUMMYFUNCTION("""COMPUTED_VALUE"""),164387.73)</f>
        <v>164387.73</v>
      </c>
      <c r="G116" s="65"/>
    </row>
    <row r="117">
      <c r="A117" s="29" t="str">
        <f>IFERROR(__xludf.DUMMYFUNCTION("""COMPUTED_VALUE"""),"C8550-G2 (Adv Routing)")</f>
        <v>C8550-G2 (Adv Routing)</v>
      </c>
      <c r="B117" s="65">
        <f>IFERROR(__xludf.DUMMYFUNCTION("""COMPUTED_VALUE"""),197987.73)</f>
        <v>197987.73</v>
      </c>
      <c r="C117" s="29"/>
      <c r="D117" s="65">
        <f>IFERROR(__xludf.DUMMYFUNCTION("""COMPUTED_VALUE"""),197987.73)</f>
        <v>197987.73</v>
      </c>
      <c r="G117" s="65"/>
    </row>
    <row r="118">
      <c r="A118" s="29" t="str">
        <f>IFERROR(__xludf.DUMMYFUNCTION("""COMPUTED_VALUE"""),"C8550-G2 (SDWAN)")</f>
        <v>C8550-G2 (SDWAN)</v>
      </c>
      <c r="B118" s="65">
        <f>IFERROR(__xludf.DUMMYFUNCTION("""COMPUTED_VALUE"""),219575.73)</f>
        <v>219575.73</v>
      </c>
      <c r="C118" s="29"/>
      <c r="D118" s="65">
        <f>IFERROR(__xludf.DUMMYFUNCTION("""COMPUTED_VALUE"""),219575.73)</f>
        <v>219575.73</v>
      </c>
      <c r="G118" s="65"/>
    </row>
    <row r="119">
      <c r="A119" s="29" t="str">
        <f>IFERROR(__xludf.DUMMYFUNCTION("""COMPUTED_VALUE"""),"C8570-G2 (Default Routing)")</f>
        <v>C8570-G2 (Default Routing)</v>
      </c>
      <c r="B119" s="65">
        <f>IFERROR(__xludf.DUMMYFUNCTION("""COMPUTED_VALUE"""),229697.16)</f>
        <v>229697.16</v>
      </c>
      <c r="C119" s="29"/>
      <c r="D119" s="65">
        <f>IFERROR(__xludf.DUMMYFUNCTION("""COMPUTED_VALUE"""),229697.16)</f>
        <v>229697.16</v>
      </c>
      <c r="G119" s="65"/>
    </row>
    <row r="120">
      <c r="A120" s="29" t="str">
        <f>IFERROR(__xludf.DUMMYFUNCTION("""COMPUTED_VALUE"""),"C8570-G2 (Adv Routing)")</f>
        <v>C8570-G2 (Adv Routing)</v>
      </c>
      <c r="B120" s="65">
        <f>IFERROR(__xludf.DUMMYFUNCTION("""COMPUTED_VALUE"""),263297.16000000003)</f>
        <v>263297.16</v>
      </c>
      <c r="C120" s="29"/>
      <c r="D120" s="65">
        <f>IFERROR(__xludf.DUMMYFUNCTION("""COMPUTED_VALUE"""),263297.16000000003)</f>
        <v>263297.16</v>
      </c>
      <c r="G120" s="65"/>
    </row>
    <row r="121">
      <c r="A121" s="29" t="str">
        <f>IFERROR(__xludf.DUMMYFUNCTION("""COMPUTED_VALUE"""),"C8570-G2 (SDWAN)")</f>
        <v>C8570-G2 (SDWAN)</v>
      </c>
      <c r="B121" s="65">
        <f>IFERROR(__xludf.DUMMYFUNCTION("""COMPUTED_VALUE"""),284885.16000000003)</f>
        <v>284885.16</v>
      </c>
      <c r="C121" s="29"/>
      <c r="D121" s="65">
        <f>IFERROR(__xludf.DUMMYFUNCTION("""COMPUTED_VALUE"""),284885.16000000003)</f>
        <v>284885.16</v>
      </c>
      <c r="G121" s="65"/>
    </row>
    <row r="122">
      <c r="A122" s="29" t="str">
        <f>IFERROR(__xludf.DUMMYFUNCTION("""COMPUTED_VALUE"""),"C8455-G2 (Default Routing)")</f>
        <v>C8455-G2 (Default Routing)</v>
      </c>
      <c r="B122" s="65">
        <f>IFERROR(__xludf.DUMMYFUNCTION("""COMPUTED_VALUE"""),55540.54)</f>
        <v>55540.54</v>
      </c>
      <c r="C122" s="29"/>
      <c r="D122" s="65">
        <f>IFERROR(__xludf.DUMMYFUNCTION("""COMPUTED_VALUE"""),55540.54)</f>
        <v>55540.54</v>
      </c>
      <c r="G122" s="65"/>
    </row>
    <row r="123">
      <c r="A123" s="29" t="str">
        <f>IFERROR(__xludf.DUMMYFUNCTION("""COMPUTED_VALUE"""),"C8455-G2 (Adv Routing)")</f>
        <v>C8455-G2 (Adv Routing)</v>
      </c>
      <c r="B123" s="65">
        <f>IFERROR(__xludf.DUMMYFUNCTION("""COMPUTED_VALUE"""),89140.54000000001)</f>
        <v>89140.54</v>
      </c>
      <c r="C123" s="29"/>
      <c r="D123" s="65">
        <f>IFERROR(__xludf.DUMMYFUNCTION("""COMPUTED_VALUE"""),89140.54000000001)</f>
        <v>89140.54</v>
      </c>
      <c r="G123" s="65"/>
    </row>
    <row r="124">
      <c r="A124" s="29" t="str">
        <f>IFERROR(__xludf.DUMMYFUNCTION("""COMPUTED_VALUE"""),"C8455-G2 (SDWAN)")</f>
        <v>C8455-G2 (SDWAN)</v>
      </c>
      <c r="B124" s="65">
        <f>IFERROR(__xludf.DUMMYFUNCTION("""COMPUTED_VALUE"""),110728.54000000001)</f>
        <v>110728.54</v>
      </c>
      <c r="C124" s="29"/>
      <c r="D124" s="65">
        <f>IFERROR(__xludf.DUMMYFUNCTION("""COMPUTED_VALUE"""),110728.54000000001)</f>
        <v>110728.54</v>
      </c>
      <c r="G124" s="65"/>
    </row>
    <row r="125">
      <c r="A125" s="29" t="str">
        <f>IFERROR(__xludf.DUMMYFUNCTION("""COMPUTED_VALUE"""),"C8455-G2 (Full Adds On)")</f>
        <v>C8455-G2 (Full Adds On)</v>
      </c>
      <c r="B125" s="65">
        <f>IFERROR(__xludf.DUMMYFUNCTION("""COMPUTED_VALUE"""),114400.54000000001)</f>
        <v>114400.54</v>
      </c>
      <c r="C125" s="29"/>
      <c r="D125" s="65">
        <f>IFERROR(__xludf.DUMMYFUNCTION("""COMPUTED_VALUE"""),114400.54000000001)</f>
        <v>114400.54</v>
      </c>
      <c r="G125" s="65"/>
    </row>
    <row r="126">
      <c r="A126" s="29" t="str">
        <f>IFERROR(__xludf.DUMMYFUNCTION("""COMPUTED_VALUE"""),"C8475-G2 (Default Routing)")</f>
        <v>C8475-G2 (Default Routing)</v>
      </c>
      <c r="B126" s="65">
        <f>IFERROR(__xludf.DUMMYFUNCTION("""COMPUTED_VALUE"""),99078.32)</f>
        <v>99078.32</v>
      </c>
      <c r="C126" s="29"/>
      <c r="D126" s="65">
        <f>IFERROR(__xludf.DUMMYFUNCTION("""COMPUTED_VALUE"""),99078.32)</f>
        <v>99078.32</v>
      </c>
      <c r="G126" s="65"/>
    </row>
    <row r="127">
      <c r="A127" s="29" t="str">
        <f>IFERROR(__xludf.DUMMYFUNCTION("""COMPUTED_VALUE"""),"C8475-G2 (Adv Routing)")</f>
        <v>C8475-G2 (Adv Routing)</v>
      </c>
      <c r="B127" s="65">
        <f>IFERROR(__xludf.DUMMYFUNCTION("""COMPUTED_VALUE"""),132678.32)</f>
        <v>132678.32</v>
      </c>
      <c r="C127" s="29"/>
      <c r="D127" s="65">
        <f>IFERROR(__xludf.DUMMYFUNCTION("""COMPUTED_VALUE"""),132678.32)</f>
        <v>132678.32</v>
      </c>
      <c r="G127" s="65"/>
    </row>
    <row r="128">
      <c r="A128" s="29" t="str">
        <f>IFERROR(__xludf.DUMMYFUNCTION("""COMPUTED_VALUE"""),"C8475-G2 (SDWAN)")</f>
        <v>C8475-G2 (SDWAN)</v>
      </c>
      <c r="B128" s="65">
        <f>IFERROR(__xludf.DUMMYFUNCTION("""COMPUTED_VALUE"""),154266.32)</f>
        <v>154266.32</v>
      </c>
      <c r="C128" s="29"/>
      <c r="D128" s="65">
        <f>IFERROR(__xludf.DUMMYFUNCTION("""COMPUTED_VALUE"""),154266.32)</f>
        <v>154266.32</v>
      </c>
      <c r="G128" s="65"/>
    </row>
    <row r="129">
      <c r="A129" s="29" t="str">
        <f>IFERROR(__xludf.DUMMYFUNCTION("""COMPUTED_VALUE"""),"C8475-G2 (Full Adds On)")</f>
        <v>C8475-G2 (Full Adds On)</v>
      </c>
      <c r="B129" s="65">
        <f>IFERROR(__xludf.DUMMYFUNCTION("""COMPUTED_VALUE"""),157938.32)</f>
        <v>157938.32</v>
      </c>
      <c r="C129" s="29"/>
      <c r="D129" s="65">
        <f>IFERROR(__xludf.DUMMYFUNCTION("""COMPUTED_VALUE"""),157938.32)</f>
        <v>157938.32</v>
      </c>
      <c r="G129" s="65"/>
    </row>
    <row r="130">
      <c r="A130" s="29" t="str">
        <f>IFERROR(__xludf.DUMMYFUNCTION("""COMPUTED_VALUE"""),"C8235-E-G2 (Default Routing)")</f>
        <v>C8235-E-G2 (Default Routing)</v>
      </c>
      <c r="B130" s="65">
        <f>IFERROR(__xludf.DUMMYFUNCTION("""COMPUTED_VALUE"""),12676.0)</f>
        <v>12676</v>
      </c>
      <c r="C130" s="29"/>
      <c r="D130" s="65">
        <f>IFERROR(__xludf.DUMMYFUNCTION("""COMPUTED_VALUE"""),12676.0)</f>
        <v>12676</v>
      </c>
      <c r="G130" s="65"/>
    </row>
    <row r="131">
      <c r="A131" s="29" t="str">
        <f>IFERROR(__xludf.DUMMYFUNCTION("""COMPUTED_VALUE"""),"C8235-E-G2 (Adv Routing)")</f>
        <v>C8235-E-G2 (Adv Routing)</v>
      </c>
      <c r="B131" s="65">
        <f>IFERROR(__xludf.DUMMYFUNCTION("""COMPUTED_VALUE"""),16708.0)</f>
        <v>16708</v>
      </c>
      <c r="C131" s="29"/>
      <c r="D131" s="65">
        <f>IFERROR(__xludf.DUMMYFUNCTION("""COMPUTED_VALUE"""),16708.0)</f>
        <v>16708</v>
      </c>
      <c r="G131" s="65"/>
    </row>
    <row r="132">
      <c r="A132" s="29" t="str">
        <f>IFERROR(__xludf.DUMMYFUNCTION("""COMPUTED_VALUE"""),"C8235-E-G2 (SDWAN)")</f>
        <v>C8235-E-G2 (SDWAN)</v>
      </c>
      <c r="B132" s="65">
        <f>IFERROR(__xludf.DUMMYFUNCTION("""COMPUTED_VALUE"""),17356.0)</f>
        <v>17356</v>
      </c>
      <c r="C132" s="29"/>
      <c r="D132" s="65">
        <f>IFERROR(__xludf.DUMMYFUNCTION("""COMPUTED_VALUE"""),17356.0)</f>
        <v>17356</v>
      </c>
      <c r="G132" s="65"/>
    </row>
    <row r="133">
      <c r="A133" s="29" t="str">
        <f>IFERROR(__xludf.DUMMYFUNCTION("""COMPUTED_VALUE"""),"C8235-E-G2 (Full Adds On)")</f>
        <v>C8235-E-G2 (Full Adds On)</v>
      </c>
      <c r="B133" s="65">
        <f>IFERROR(__xludf.DUMMYFUNCTION("""COMPUTED_VALUE"""),18004.0)</f>
        <v>18004</v>
      </c>
      <c r="C133" s="29"/>
      <c r="D133" s="65">
        <f>IFERROR(__xludf.DUMMYFUNCTION("""COMPUTED_VALUE"""),18004.0)</f>
        <v>18004</v>
      </c>
      <c r="G133" s="65"/>
    </row>
    <row r="134">
      <c r="A134" s="29" t="str">
        <f>IFERROR(__xludf.DUMMYFUNCTION("""COMPUTED_VALUE"""),"C8231-E-G2 (Default Routing)")</f>
        <v>C8231-E-G2 (Default Routing)</v>
      </c>
      <c r="B134" s="65">
        <f>IFERROR(__xludf.DUMMYFUNCTION("""COMPUTED_VALUE"""),10123.96)</f>
        <v>10123.96</v>
      </c>
      <c r="C134" s="29"/>
      <c r="D134" s="65">
        <f>IFERROR(__xludf.DUMMYFUNCTION("""COMPUTED_VALUE"""),10123.96)</f>
        <v>10123.96</v>
      </c>
      <c r="G134" s="65"/>
    </row>
    <row r="135">
      <c r="A135" s="29" t="str">
        <f>IFERROR(__xludf.DUMMYFUNCTION("""COMPUTED_VALUE"""),"C8231-E-G2 (Adv Routing)")</f>
        <v>C8231-E-G2 (Adv Routing)</v>
      </c>
      <c r="B135" s="65">
        <f>IFERROR(__xludf.DUMMYFUNCTION("""COMPUTED_VALUE"""),14155.96)</f>
        <v>14155.96</v>
      </c>
      <c r="C135" s="29"/>
      <c r="D135" s="65">
        <f>IFERROR(__xludf.DUMMYFUNCTION("""COMPUTED_VALUE"""),14155.96)</f>
        <v>14155.96</v>
      </c>
      <c r="G135" s="65"/>
    </row>
    <row r="136">
      <c r="A136" s="29" t="str">
        <f>IFERROR(__xludf.DUMMYFUNCTION("""COMPUTED_VALUE"""),"C8231-E-G2 (SDWAN)")</f>
        <v>C8231-E-G2 (SDWAN)</v>
      </c>
      <c r="B136" s="65">
        <f>IFERROR(__xludf.DUMMYFUNCTION("""COMPUTED_VALUE"""),14803.96)</f>
        <v>14803.96</v>
      </c>
      <c r="C136" s="29"/>
      <c r="D136" s="65">
        <f>IFERROR(__xludf.DUMMYFUNCTION("""COMPUTED_VALUE"""),14803.96)</f>
        <v>14803.96</v>
      </c>
      <c r="G136" s="65"/>
    </row>
    <row r="137">
      <c r="A137" s="29" t="str">
        <f>IFERROR(__xludf.DUMMYFUNCTION("""COMPUTED_VALUE"""),"C8231-E-G2 (Full Adds On)")</f>
        <v>C8231-E-G2 (Full Adds On)</v>
      </c>
      <c r="B137" s="65">
        <f>IFERROR(__xludf.DUMMYFUNCTION("""COMPUTED_VALUE"""),15451.96)</f>
        <v>15451.96</v>
      </c>
      <c r="C137" s="29"/>
      <c r="D137" s="65">
        <f>IFERROR(__xludf.DUMMYFUNCTION("""COMPUTED_VALUE"""),15451.96)</f>
        <v>15451.96</v>
      </c>
      <c r="G137" s="65"/>
    </row>
    <row r="138">
      <c r="A138" s="29" t="str">
        <f>IFERROR(__xludf.DUMMYFUNCTION("""COMPUTED_VALUE"""),"C8235-G2 (Default Routing)")</f>
        <v>C8235-G2 (Default Routing)</v>
      </c>
      <c r="B138" s="65">
        <f>IFERROR(__xludf.DUMMYFUNCTION("""COMPUTED_VALUE"""),10306.39)</f>
        <v>10306.39</v>
      </c>
      <c r="C138" s="29"/>
      <c r="D138" s="65">
        <f>IFERROR(__xludf.DUMMYFUNCTION("""COMPUTED_VALUE"""),10306.39)</f>
        <v>10306.39</v>
      </c>
      <c r="G138" s="65"/>
    </row>
    <row r="139">
      <c r="A139" s="29" t="str">
        <f>IFERROR(__xludf.DUMMYFUNCTION("""COMPUTED_VALUE"""),"C8235-G2 (Adv Routing)")</f>
        <v>C8235-G2 (Adv Routing)</v>
      </c>
      <c r="B139" s="65">
        <f>IFERROR(__xludf.DUMMYFUNCTION("""COMPUTED_VALUE"""),14338.39)</f>
        <v>14338.39</v>
      </c>
      <c r="C139" s="29"/>
      <c r="D139" s="65">
        <f>IFERROR(__xludf.DUMMYFUNCTION("""COMPUTED_VALUE"""),14338.39)</f>
        <v>14338.39</v>
      </c>
      <c r="G139" s="65"/>
    </row>
    <row r="140">
      <c r="A140" s="29" t="str">
        <f>IFERROR(__xludf.DUMMYFUNCTION("""COMPUTED_VALUE"""),"C8235-G2 (SDWAN)")</f>
        <v>C8235-G2 (SDWAN)</v>
      </c>
      <c r="B140" s="65">
        <f>IFERROR(__xludf.DUMMYFUNCTION("""COMPUTED_VALUE"""),14986.39)</f>
        <v>14986.39</v>
      </c>
      <c r="C140" s="29"/>
      <c r="D140" s="65">
        <f>IFERROR(__xludf.DUMMYFUNCTION("""COMPUTED_VALUE"""),14986.39)</f>
        <v>14986.39</v>
      </c>
      <c r="G140" s="65"/>
    </row>
    <row r="141">
      <c r="A141" s="29" t="str">
        <f>IFERROR(__xludf.DUMMYFUNCTION("""COMPUTED_VALUE"""),"C8235-G2 (Full Adds On)")</f>
        <v>C8235-G2 (Full Adds On)</v>
      </c>
      <c r="B141" s="65">
        <f>IFERROR(__xludf.DUMMYFUNCTION("""COMPUTED_VALUE"""),15634.39)</f>
        <v>15634.39</v>
      </c>
      <c r="C141" s="29"/>
      <c r="D141" s="65">
        <f>IFERROR(__xludf.DUMMYFUNCTION("""COMPUTED_VALUE"""),15634.39)</f>
        <v>15634.39</v>
      </c>
      <c r="G141" s="65"/>
    </row>
    <row r="142">
      <c r="A142" s="29" t="str">
        <f>IFERROR(__xludf.DUMMYFUNCTION("""COMPUTED_VALUE"""),"C8231-G2 (Default Routing)")</f>
        <v>C8231-G2 (Default Routing)</v>
      </c>
      <c r="B142" s="65">
        <f>IFERROR(__xludf.DUMMYFUNCTION("""COMPUTED_VALUE"""),6545.14)</f>
        <v>6545.14</v>
      </c>
      <c r="C142" s="29"/>
      <c r="D142" s="65">
        <f>IFERROR(__xludf.DUMMYFUNCTION("""COMPUTED_VALUE"""),6545.14)</f>
        <v>6545.14</v>
      </c>
      <c r="G142" s="65"/>
    </row>
    <row r="143">
      <c r="A143" s="29" t="str">
        <f>IFERROR(__xludf.DUMMYFUNCTION("""COMPUTED_VALUE"""),"C8231-G2 (Adv Routing)")</f>
        <v>C8231-G2 (Adv Routing)</v>
      </c>
      <c r="B143" s="65">
        <f>IFERROR(__xludf.DUMMYFUNCTION("""COMPUTED_VALUE"""),10577.14)</f>
        <v>10577.14</v>
      </c>
      <c r="C143" s="29"/>
      <c r="D143" s="65">
        <f>IFERROR(__xludf.DUMMYFUNCTION("""COMPUTED_VALUE"""),10577.14)</f>
        <v>10577.14</v>
      </c>
      <c r="G143" s="65"/>
    </row>
    <row r="144">
      <c r="A144" s="29" t="str">
        <f>IFERROR(__xludf.DUMMYFUNCTION("""COMPUTED_VALUE"""),"C8231-G2 (SDWAN)")</f>
        <v>C8231-G2 (SDWAN)</v>
      </c>
      <c r="B144" s="65">
        <f>IFERROR(__xludf.DUMMYFUNCTION("""COMPUTED_VALUE"""),11225.14)</f>
        <v>11225.14</v>
      </c>
      <c r="C144" s="29"/>
      <c r="D144" s="65">
        <f>IFERROR(__xludf.DUMMYFUNCTION("""COMPUTED_VALUE"""),11225.14)</f>
        <v>11225.14</v>
      </c>
      <c r="G144" s="65"/>
    </row>
    <row r="145">
      <c r="A145" s="29" t="str">
        <f>IFERROR(__xludf.DUMMYFUNCTION("""COMPUTED_VALUE"""),"C8231-G2 (Full Adds On)")</f>
        <v>C8231-G2 (Full Adds On)</v>
      </c>
      <c r="B145" s="65">
        <f>IFERROR(__xludf.DUMMYFUNCTION("""COMPUTED_VALUE"""),11873.14)</f>
        <v>11873.14</v>
      </c>
      <c r="C145" s="29"/>
      <c r="D145" s="65">
        <f>IFERROR(__xludf.DUMMYFUNCTION("""COMPUTED_VALUE"""),11873.14)</f>
        <v>11873.14</v>
      </c>
      <c r="G145" s="65"/>
    </row>
    <row r="146">
      <c r="A146" s="29" t="str">
        <f>IFERROR(__xludf.DUMMYFUNCTION("""COMPUTED_VALUE"""),"C8130-G2 (Default Routing)")</f>
        <v>C8130-G2 (Default Routing)</v>
      </c>
      <c r="B146" s="65">
        <f>IFERROR(__xludf.DUMMYFUNCTION("""COMPUTED_VALUE"""),2142.02)</f>
        <v>2142.02</v>
      </c>
      <c r="C146" s="29"/>
      <c r="D146" s="65">
        <f>IFERROR(__xludf.DUMMYFUNCTION("""COMPUTED_VALUE"""),2142.02)</f>
        <v>2142.02</v>
      </c>
      <c r="G146" s="65"/>
    </row>
    <row r="147">
      <c r="A147" s="29" t="str">
        <f>IFERROR(__xludf.DUMMYFUNCTION("""COMPUTED_VALUE"""),"C8130-G2 (Adv Routing)")</f>
        <v>C8130-G2 (Adv Routing)</v>
      </c>
      <c r="B147" s="65">
        <f>IFERROR(__xludf.DUMMYFUNCTION("""COMPUTED_VALUE"""),3822.02)</f>
        <v>3822.02</v>
      </c>
      <c r="C147" s="29"/>
      <c r="D147" s="65">
        <f>IFERROR(__xludf.DUMMYFUNCTION("""COMPUTED_VALUE"""),3822.02)</f>
        <v>3822.02</v>
      </c>
      <c r="G147" s="65"/>
    </row>
    <row r="148">
      <c r="A148" s="29" t="str">
        <f>IFERROR(__xludf.DUMMYFUNCTION("""COMPUTED_VALUE"""),"C8131-G2 (Default Routing)")</f>
        <v>C8131-G2 (Default Routing)</v>
      </c>
      <c r="B148" s="65">
        <f>IFERROR(__xludf.DUMMYFUNCTION("""COMPUTED_VALUE"""),2559.26)</f>
        <v>2559.26</v>
      </c>
      <c r="C148" s="29"/>
      <c r="D148" s="65">
        <f>IFERROR(__xludf.DUMMYFUNCTION("""COMPUTED_VALUE"""),2559.26)</f>
        <v>2559.26</v>
      </c>
      <c r="G148" s="65"/>
    </row>
    <row r="149">
      <c r="A149" s="29" t="str">
        <f>IFERROR(__xludf.DUMMYFUNCTION("""COMPUTED_VALUE"""),"C8131-G2 (Adv Routing)")</f>
        <v>C8131-G2 (Adv Routing)</v>
      </c>
      <c r="B149" s="65">
        <f>IFERROR(__xludf.DUMMYFUNCTION("""COMPUTED_VALUE"""),4239.26)</f>
        <v>4239.26</v>
      </c>
      <c r="C149" s="29"/>
      <c r="D149" s="65">
        <f>IFERROR(__xludf.DUMMYFUNCTION("""COMPUTED_VALUE"""),4239.26)</f>
        <v>4239.26</v>
      </c>
      <c r="G149" s="65"/>
    </row>
    <row r="150">
      <c r="A150" s="29" t="str">
        <f>IFERROR(__xludf.DUMMYFUNCTION("""COMPUTED_VALUE"""),"C8131-G2 (SDWAN)")</f>
        <v>C8131-G2 (SDWAN)</v>
      </c>
      <c r="B150" s="65">
        <f>IFERROR(__xludf.DUMMYFUNCTION("""COMPUTED_VALUE"""),4575.26)</f>
        <v>4575.26</v>
      </c>
      <c r="C150" s="29"/>
      <c r="D150" s="65">
        <f>IFERROR(__xludf.DUMMYFUNCTION("""COMPUTED_VALUE"""),4575.26)</f>
        <v>4575.26</v>
      </c>
      <c r="G150" s="65"/>
    </row>
    <row r="151">
      <c r="A151" s="29" t="str">
        <f>IFERROR(__xludf.DUMMYFUNCTION("""COMPUTED_VALUE"""),"C8131-G2 (Full Adds On)")</f>
        <v>C8131-G2 (Full Adds On)</v>
      </c>
      <c r="B151" s="65">
        <f>IFERROR(__xludf.DUMMYFUNCTION("""COMPUTED_VALUE"""),4899.26)</f>
        <v>4899.26</v>
      </c>
      <c r="C151" s="29"/>
      <c r="D151" s="65">
        <f>IFERROR(__xludf.DUMMYFUNCTION("""COMPUTED_VALUE"""),4899.26)</f>
        <v>4899.26</v>
      </c>
      <c r="G151" s="65"/>
    </row>
    <row r="152">
      <c r="A152" s="29" t="str">
        <f>IFERROR(__xludf.DUMMYFUNCTION("""COMPUTED_VALUE"""),"C8140-G2 (Default Routing)")</f>
        <v>C8140-G2 (Default Routing)</v>
      </c>
      <c r="B152" s="65">
        <f>IFERROR(__xludf.DUMMYFUNCTION("""COMPUTED_VALUE"""),2563.32)</f>
        <v>2563.32</v>
      </c>
      <c r="C152" s="29"/>
      <c r="D152" s="65">
        <f>IFERROR(__xludf.DUMMYFUNCTION("""COMPUTED_VALUE"""),2563.32)</f>
        <v>2563.32</v>
      </c>
      <c r="G152" s="65"/>
    </row>
    <row r="153">
      <c r="A153" s="29" t="str">
        <f>IFERROR(__xludf.DUMMYFUNCTION("""COMPUTED_VALUE"""),"C8140-G2 (Adv Routing)")</f>
        <v>C8140-G2 (Adv Routing)</v>
      </c>
      <c r="B153" s="65">
        <f>IFERROR(__xludf.DUMMYFUNCTION("""COMPUTED_VALUE"""),4243.32)</f>
        <v>4243.32</v>
      </c>
      <c r="C153" s="29"/>
      <c r="D153" s="65">
        <f>IFERROR(__xludf.DUMMYFUNCTION("""COMPUTED_VALUE"""),4243.32)</f>
        <v>4243.32</v>
      </c>
      <c r="G153" s="65"/>
    </row>
    <row r="154">
      <c r="A154" s="29" t="str">
        <f>IFERROR(__xludf.DUMMYFUNCTION("""COMPUTED_VALUE"""),"C8151-G2 (Default Routing)")</f>
        <v>C8151-G2 (Default Routing)</v>
      </c>
      <c r="B154" s="65">
        <f>IFERROR(__xludf.DUMMYFUNCTION("""COMPUTED_VALUE"""),3265.48)</f>
        <v>3265.48</v>
      </c>
      <c r="C154" s="29"/>
      <c r="D154" s="65">
        <f>IFERROR(__xludf.DUMMYFUNCTION("""COMPUTED_VALUE"""),3265.48)</f>
        <v>3265.48</v>
      </c>
      <c r="G154" s="65"/>
    </row>
    <row r="155">
      <c r="A155" s="29" t="str">
        <f>IFERROR(__xludf.DUMMYFUNCTION("""COMPUTED_VALUE"""),"C8151-G2 (Adv Routing)")</f>
        <v>C8151-G2 (Adv Routing)</v>
      </c>
      <c r="B155" s="65">
        <f>IFERROR(__xludf.DUMMYFUNCTION("""COMPUTED_VALUE"""),4945.48)</f>
        <v>4945.48</v>
      </c>
      <c r="C155" s="29"/>
      <c r="D155" s="65">
        <f>IFERROR(__xludf.DUMMYFUNCTION("""COMPUTED_VALUE"""),4945.48)</f>
        <v>4945.48</v>
      </c>
      <c r="G155" s="65"/>
    </row>
    <row r="156">
      <c r="A156" s="29" t="str">
        <f>IFERROR(__xludf.DUMMYFUNCTION("""COMPUTED_VALUE"""),"C8151-G2 (SDWAN)")</f>
        <v>C8151-G2 (SDWAN)</v>
      </c>
      <c r="B156" s="65">
        <f>IFERROR(__xludf.DUMMYFUNCTION("""COMPUTED_VALUE"""),5281.48)</f>
        <v>5281.48</v>
      </c>
      <c r="C156" s="29"/>
      <c r="D156" s="65">
        <f>IFERROR(__xludf.DUMMYFUNCTION("""COMPUTED_VALUE"""),5281.48)</f>
        <v>5281.48</v>
      </c>
      <c r="G156" s="65"/>
    </row>
    <row r="157">
      <c r="A157" s="29" t="str">
        <f>IFERROR(__xludf.DUMMYFUNCTION("""COMPUTED_VALUE"""),"C8151-G2 (Full Adds On)")</f>
        <v>C8151-G2 (Full Adds On)</v>
      </c>
      <c r="B157" s="65">
        <f>IFERROR(__xludf.DUMMYFUNCTION("""COMPUTED_VALUE"""),5605.48)</f>
        <v>5605.48</v>
      </c>
      <c r="C157" s="29"/>
      <c r="D157" s="65">
        <f>IFERROR(__xludf.DUMMYFUNCTION("""COMPUTED_VALUE"""),5605.48)</f>
        <v>5605.48</v>
      </c>
      <c r="G157" s="65"/>
    </row>
    <row r="158">
      <c r="A158" s="29" t="str">
        <f>IFERROR(__xludf.DUMMYFUNCTION("""COMPUTED_VALUE"""),"C8161-G2 (Default Routing)")</f>
        <v>C8161-G2 (Default Routing)</v>
      </c>
      <c r="B158" s="65">
        <f>IFERROR(__xludf.DUMMYFUNCTION("""COMPUTED_VALUE"""),3824.45)</f>
        <v>3824.45</v>
      </c>
      <c r="C158" s="29"/>
      <c r="D158" s="65">
        <f>IFERROR(__xludf.DUMMYFUNCTION("""COMPUTED_VALUE"""),3824.45)</f>
        <v>3824.45</v>
      </c>
      <c r="G158" s="65"/>
    </row>
    <row r="159">
      <c r="A159" s="29" t="str">
        <f>IFERROR(__xludf.DUMMYFUNCTION("""COMPUTED_VALUE"""),"C8161-G2 (Adv Routing)")</f>
        <v>C8161-G2 (Adv Routing)</v>
      </c>
      <c r="B159" s="65">
        <f>IFERROR(__xludf.DUMMYFUNCTION("""COMPUTED_VALUE"""),5504.45)</f>
        <v>5504.45</v>
      </c>
      <c r="C159" s="29"/>
      <c r="D159" s="65">
        <f>IFERROR(__xludf.DUMMYFUNCTION("""COMPUTED_VALUE"""),5504.45)</f>
        <v>5504.45</v>
      </c>
      <c r="G159" s="65"/>
    </row>
    <row r="160">
      <c r="A160" s="29" t="str">
        <f>IFERROR(__xludf.DUMMYFUNCTION("""COMPUTED_VALUE"""),"C8161-G2 (SDWAN)")</f>
        <v>C8161-G2 (SDWAN)</v>
      </c>
      <c r="B160" s="65">
        <f>IFERROR(__xludf.DUMMYFUNCTION("""COMPUTED_VALUE"""),5840.45)</f>
        <v>5840.45</v>
      </c>
      <c r="C160" s="29"/>
      <c r="D160" s="65">
        <f>IFERROR(__xludf.DUMMYFUNCTION("""COMPUTED_VALUE"""),5840.45)</f>
        <v>5840.45</v>
      </c>
      <c r="G160" s="65"/>
    </row>
    <row r="161">
      <c r="A161" s="29" t="str">
        <f>IFERROR(__xludf.DUMMYFUNCTION("""COMPUTED_VALUE"""),"C8161-G2 (Full Adds On)")</f>
        <v>C8161-G2 (Full Adds On)</v>
      </c>
      <c r="B161" s="65">
        <f>IFERROR(__xludf.DUMMYFUNCTION("""COMPUTED_VALUE"""),6164.45)</f>
        <v>6164.45</v>
      </c>
      <c r="C161" s="29"/>
      <c r="D161" s="65">
        <f>IFERROR(__xludf.DUMMYFUNCTION("""COMPUTED_VALUE"""),6164.45)</f>
        <v>6164.45</v>
      </c>
      <c r="G161" s="65"/>
    </row>
    <row r="162">
      <c r="A162" s="29" t="str">
        <f>IFERROR(__xludf.DUMMYFUNCTION("""COMPUTED_VALUE"""),"100GQSFP-LR4-4=")</f>
        <v>100GQSFP-LR4-4=</v>
      </c>
      <c r="B162" s="65">
        <f>IFERROR(__xludf.DUMMYFUNCTION("""COMPUTED_VALUE"""),36510.54)</f>
        <v>36510.54</v>
      </c>
      <c r="C162" s="29"/>
      <c r="D162" s="65">
        <f>IFERROR(__xludf.DUMMYFUNCTION("""COMPUTED_VALUE"""),36510.54)</f>
        <v>36510.54</v>
      </c>
      <c r="G162" s="65"/>
    </row>
    <row r="163">
      <c r="A163" s="29" t="str">
        <f>IFERROR(__xludf.DUMMYFUNCTION("""COMPUTED_VALUE"""),"QSFP-100G-LR-S=")</f>
        <v>QSFP-100G-LR-S=</v>
      </c>
      <c r="B163" s="65">
        <f>IFERROR(__xludf.DUMMYFUNCTION("""COMPUTED_VALUE"""),4130.83)</f>
        <v>4130.83</v>
      </c>
      <c r="C163" s="29"/>
      <c r="D163" s="65">
        <f>IFERROR(__xludf.DUMMYFUNCTION("""COMPUTED_VALUE"""),4130.83)</f>
        <v>4130.83</v>
      </c>
      <c r="G163" s="65"/>
    </row>
    <row r="164">
      <c r="A164" s="29" t="str">
        <f>IFERROR(__xludf.DUMMYFUNCTION("""COMPUTED_VALUE"""),"QSFP-100G-ER4L-S=")</f>
        <v>QSFP-100G-ER4L-S=</v>
      </c>
      <c r="B164" s="65">
        <f>IFERROR(__xludf.DUMMYFUNCTION("""COMPUTED_VALUE"""),91270.27)</f>
        <v>91270.27</v>
      </c>
      <c r="C164" s="29"/>
      <c r="D164" s="65">
        <f>IFERROR(__xludf.DUMMYFUNCTION("""COMPUTED_VALUE"""),91270.27)</f>
        <v>91270.27</v>
      </c>
      <c r="G164" s="65"/>
    </row>
    <row r="165">
      <c r="A165" s="29" t="str">
        <f>IFERROR(__xludf.DUMMYFUNCTION("""COMPUTED_VALUE"""),"QSFP-100G-ZR4-S=")</f>
        <v>QSFP-100G-ZR4-S=</v>
      </c>
      <c r="B165" s="65">
        <f>IFERROR(__xludf.DUMMYFUNCTION("""COMPUTED_VALUE"""),36190.0)</f>
        <v>36190</v>
      </c>
      <c r="C165" s="29"/>
      <c r="D165" s="65">
        <f>IFERROR(__xludf.DUMMYFUNCTION("""COMPUTED_VALUE"""),36190.0)</f>
        <v>36190</v>
      </c>
      <c r="G165" s="65"/>
    </row>
    <row r="166">
      <c r="A166" s="29" t="str">
        <f>IFERROR(__xludf.DUMMYFUNCTION("""COMPUTED_VALUE"""),"SFP-10G-SR=")</f>
        <v>SFP-10G-SR=</v>
      </c>
      <c r="B166" s="65">
        <f>IFERROR(__xludf.DUMMYFUNCTION("""COMPUTED_VALUE"""),1210.94)</f>
        <v>1210.94</v>
      </c>
      <c r="C166" s="29"/>
      <c r="D166" s="65">
        <f>IFERROR(__xludf.DUMMYFUNCTION("""COMPUTED_VALUE"""),1210.94)</f>
        <v>1210.94</v>
      </c>
      <c r="G166" s="65"/>
    </row>
    <row r="167">
      <c r="A167" s="29" t="str">
        <f>IFERROR(__xludf.DUMMYFUNCTION("""COMPUTED_VALUE"""),"SFP-10G-LR=")</f>
        <v>SFP-10G-LR=</v>
      </c>
      <c r="B167" s="65">
        <f>IFERROR(__xludf.DUMMYFUNCTION("""COMPUTED_VALUE"""),4861.99)</f>
        <v>4861.99</v>
      </c>
      <c r="C167" s="29"/>
      <c r="D167" s="65">
        <f>IFERROR(__xludf.DUMMYFUNCTION("""COMPUTED_VALUE"""),4861.99)</f>
        <v>4861.99</v>
      </c>
      <c r="G167" s="65"/>
    </row>
    <row r="168">
      <c r="A168" s="29" t="str">
        <f>IFERROR(__xludf.DUMMYFUNCTION("""COMPUTED_VALUE"""),"SFP-10G-ER=")</f>
        <v>SFP-10G-ER=</v>
      </c>
      <c r="B168" s="65">
        <f>IFERROR(__xludf.DUMMYFUNCTION("""COMPUTED_VALUE"""),12170.18)</f>
        <v>12170.18</v>
      </c>
      <c r="C168" s="29"/>
      <c r="D168" s="65">
        <f>IFERROR(__xludf.DUMMYFUNCTION("""COMPUTED_VALUE"""),12170.18)</f>
        <v>12170.18</v>
      </c>
      <c r="G168" s="65"/>
    </row>
    <row r="169">
      <c r="A169" s="29" t="str">
        <f>IFERROR(__xludf.DUMMYFUNCTION("""COMPUTED_VALUE"""),"SFP-10G-ZR=")</f>
        <v>SFP-10G-ZR=</v>
      </c>
      <c r="B169" s="65">
        <f>IFERROR(__xludf.DUMMYFUNCTION("""COMPUTED_VALUE"""),19472.29)</f>
        <v>19472.29</v>
      </c>
      <c r="C169" s="29"/>
      <c r="D169" s="65">
        <f>IFERROR(__xludf.DUMMYFUNCTION("""COMPUTED_VALUE"""),19472.29)</f>
        <v>19472.29</v>
      </c>
      <c r="G169" s="65"/>
    </row>
    <row r="170">
      <c r="A170" s="29" t="str">
        <f>IFERROR(__xludf.DUMMYFUNCTION("""COMPUTED_VALUE"""),"GLC-LH-SMD=")</f>
        <v>GLC-LH-SMD=</v>
      </c>
      <c r="B170" s="65">
        <f>IFERROR(__xludf.DUMMYFUNCTION("""COMPUTED_VALUE"""),1210.94)</f>
        <v>1210.94</v>
      </c>
      <c r="C170" s="29"/>
      <c r="D170" s="65">
        <f>IFERROR(__xludf.DUMMYFUNCTION("""COMPUTED_VALUE"""),1210.94)</f>
        <v>1210.94</v>
      </c>
      <c r="G170" s="65"/>
    </row>
    <row r="171">
      <c r="A171" s="29" t="str">
        <f>IFERROR(__xludf.DUMMYFUNCTION("""COMPUTED_VALUE"""),"GLC-EX-SMD=")</f>
        <v>GLC-EX-SMD=</v>
      </c>
      <c r="B171" s="65">
        <f>IFERROR(__xludf.DUMMYFUNCTION("""COMPUTED_VALUE"""),2427.96)</f>
        <v>2427.96</v>
      </c>
      <c r="C171" s="29"/>
      <c r="D171" s="65">
        <f>IFERROR(__xludf.DUMMYFUNCTION("""COMPUTED_VALUE"""),2427.96)</f>
        <v>2427.96</v>
      </c>
      <c r="G171" s="65"/>
    </row>
    <row r="172">
      <c r="A172" s="29" t="str">
        <f>IFERROR(__xludf.DUMMYFUNCTION("""COMPUTED_VALUE"""),"GLC-ZX-SMD=")</f>
        <v>GLC-ZX-SMD=</v>
      </c>
      <c r="B172" s="65">
        <f>IFERROR(__xludf.DUMMYFUNCTION("""COMPUTED_VALUE"""),4861.99)</f>
        <v>4861.99</v>
      </c>
      <c r="C172" s="29"/>
      <c r="D172" s="65">
        <f>IFERROR(__xludf.DUMMYFUNCTION("""COMPUTED_VALUE"""),4861.99)</f>
        <v>4861.99</v>
      </c>
      <c r="G172" s="65"/>
    </row>
    <row r="173">
      <c r="A173" s="29" t="str">
        <f>IFERROR(__xludf.DUMMYFUNCTION("""COMPUTED_VALUE"""),"GLC-TE=")</f>
        <v>GLC-TE=</v>
      </c>
      <c r="B173" s="65">
        <f>IFERROR(__xludf.DUMMYFUNCTION("""COMPUTED_VALUE"""),547.66)</f>
        <v>547.66</v>
      </c>
      <c r="C173" s="29"/>
      <c r="D173" s="65">
        <f>IFERROR(__xludf.DUMMYFUNCTION("""COMPUTED_VALUE"""),547.66)</f>
        <v>547.66</v>
      </c>
      <c r="G173" s="65"/>
    </row>
    <row r="174">
      <c r="A174" s="29" t="str">
        <f>IFERROR(__xludf.DUMMYFUNCTION("""COMPUTED_VALUE"""),"SFP-10G-SR-S=")</f>
        <v>SFP-10G-SR-S=</v>
      </c>
      <c r="B174" s="65">
        <f>IFERROR(__xludf.DUMMYFUNCTION("""COMPUTED_VALUE"""),851.91)</f>
        <v>851.91</v>
      </c>
      <c r="C174" s="29"/>
      <c r="D174" s="65">
        <f>IFERROR(__xludf.DUMMYFUNCTION("""COMPUTED_VALUE"""),851.91)</f>
        <v>851.91</v>
      </c>
      <c r="G174" s="65"/>
    </row>
    <row r="175">
      <c r="A175" s="29" t="str">
        <f>IFERROR(__xludf.DUMMYFUNCTION("""COMPUTED_VALUE"""),"SFP-10G-LR-S=")</f>
        <v>SFP-10G-LR-S=</v>
      </c>
      <c r="B175" s="65">
        <f>IFERROR(__xludf.DUMMYFUNCTION("""COMPUTED_VALUE"""),2434.04)</f>
        <v>2434.04</v>
      </c>
      <c r="C175" s="29"/>
      <c r="D175" s="65">
        <f>IFERROR(__xludf.DUMMYFUNCTION("""COMPUTED_VALUE"""),2434.04)</f>
        <v>2434.04</v>
      </c>
      <c r="G175" s="65"/>
    </row>
    <row r="176">
      <c r="A176" s="29" t="str">
        <f>IFERROR(__xludf.DUMMYFUNCTION("""COMPUTED_VALUE"""),"SFP-10G-ER-S=")</f>
        <v>SFP-10G-ER-S=</v>
      </c>
      <c r="B176" s="65">
        <f>IFERROR(__xludf.DUMMYFUNCTION("""COMPUTED_VALUE"""),9614.44)</f>
        <v>9614.44</v>
      </c>
      <c r="C176" s="29"/>
      <c r="D176" s="65">
        <f>IFERROR(__xludf.DUMMYFUNCTION("""COMPUTED_VALUE"""),9614.44)</f>
        <v>9614.44</v>
      </c>
      <c r="G176" s="65"/>
    </row>
    <row r="177">
      <c r="A177" s="29" t="str">
        <f>IFERROR(__xludf.DUMMYFUNCTION("""COMPUTED_VALUE"""),"SFP-10G-ZR-S=")</f>
        <v>SFP-10G-ZR-S=</v>
      </c>
      <c r="B177" s="65">
        <f>IFERROR(__xludf.DUMMYFUNCTION("""COMPUTED_VALUE"""),13265.5)</f>
        <v>13265.5</v>
      </c>
      <c r="C177" s="29"/>
      <c r="D177" s="65">
        <f>IFERROR(__xludf.DUMMYFUNCTION("""COMPUTED_VALUE"""),13265.5)</f>
        <v>13265.5</v>
      </c>
      <c r="G177" s="65"/>
    </row>
    <row r="178">
      <c r="A178" s="29" t="str">
        <f>IFERROR(__xludf.DUMMYFUNCTION("""COMPUTED_VALUE"""),"GLC-SX-MMD=")</f>
        <v>GLC-SX-MMD=</v>
      </c>
      <c r="B178" s="65">
        <f>IFERROR(__xludf.DUMMYFUNCTION("""COMPUTED_VALUE"""),608.51)</f>
        <v>608.51</v>
      </c>
      <c r="C178" s="29"/>
      <c r="D178" s="65">
        <f>IFERROR(__xludf.DUMMYFUNCTION("""COMPUTED_VALUE"""),608.51)</f>
        <v>608.51</v>
      </c>
      <c r="G178" s="65"/>
    </row>
    <row r="179">
      <c r="A179" s="29" t="str">
        <f>IFERROR(__xludf.DUMMYFUNCTION("""COMPUTED_VALUE"""),"C9136I")</f>
        <v>C9136I</v>
      </c>
      <c r="B179" s="65">
        <f>IFERROR(__xludf.DUMMYFUNCTION("""COMPUTED_VALUE"""),4892.02)</f>
        <v>4892.02</v>
      </c>
      <c r="C179" s="29"/>
      <c r="D179" s="65">
        <f>IFERROR(__xludf.DUMMYFUNCTION("""COMPUTED_VALUE"""),4892.02)</f>
        <v>4892.02</v>
      </c>
      <c r="G179" s="65"/>
    </row>
    <row r="180">
      <c r="A180" s="29" t="str">
        <f>IFERROR(__xludf.DUMMYFUNCTION("""COMPUTED_VALUE"""),"CW9162I")</f>
        <v>CW9162I</v>
      </c>
      <c r="B180" s="65">
        <f>IFERROR(__xludf.DUMMYFUNCTION("""COMPUTED_VALUE"""),2476.36)</f>
        <v>2476.36</v>
      </c>
      <c r="C180" s="29"/>
      <c r="D180" s="65">
        <f>IFERROR(__xludf.DUMMYFUNCTION("""COMPUTED_VALUE"""),2476.36)</f>
        <v>2476.36</v>
      </c>
      <c r="G180" s="65"/>
    </row>
    <row r="181">
      <c r="A181" s="29" t="str">
        <f>IFERROR(__xludf.DUMMYFUNCTION("""COMPUTED_VALUE"""),"CW9164I")</f>
        <v>CW9164I</v>
      </c>
      <c r="B181" s="65">
        <f>IFERROR(__xludf.DUMMYFUNCTION("""COMPUTED_VALUE"""),3786.46)</f>
        <v>3786.46</v>
      </c>
      <c r="C181" s="29"/>
      <c r="D181" s="65">
        <f>IFERROR(__xludf.DUMMYFUNCTION("""COMPUTED_VALUE"""),3786.46)</f>
        <v>3786.46</v>
      </c>
      <c r="G181" s="65"/>
    </row>
    <row r="182">
      <c r="A182" s="29" t="str">
        <f>IFERROR(__xludf.DUMMYFUNCTION("""COMPUTED_VALUE"""),"CW9166I")</f>
        <v>CW9166I</v>
      </c>
      <c r="B182" s="65">
        <f>IFERROR(__xludf.DUMMYFUNCTION("""COMPUTED_VALUE"""),4201.05)</f>
        <v>4201.05</v>
      </c>
      <c r="C182" s="29"/>
      <c r="D182" s="65">
        <f>IFERROR(__xludf.DUMMYFUNCTION("""COMPUTED_VALUE"""),4201.05)</f>
        <v>4201.05</v>
      </c>
      <c r="G182" s="65"/>
    </row>
    <row r="183">
      <c r="A183" s="29" t="str">
        <f>IFERROR(__xludf.DUMMYFUNCTION("""COMPUTED_VALUE"""),"CW9166D1")</f>
        <v>CW9166D1</v>
      </c>
      <c r="B183" s="65">
        <f>IFERROR(__xludf.DUMMYFUNCTION("""COMPUTED_VALUE"""),4615.63)</f>
        <v>4615.63</v>
      </c>
      <c r="C183" s="29"/>
      <c r="D183" s="65">
        <f>IFERROR(__xludf.DUMMYFUNCTION("""COMPUTED_VALUE"""),4615.63)</f>
        <v>4615.63</v>
      </c>
      <c r="G183" s="65"/>
    </row>
    <row r="184">
      <c r="A184" s="29" t="str">
        <f>IFERROR(__xludf.DUMMYFUNCTION("""COMPUTED_VALUE"""),"CW9172I")</f>
        <v>CW9172I</v>
      </c>
      <c r="B184" s="65">
        <f>IFERROR(__xludf.DUMMYFUNCTION("""COMPUTED_VALUE"""),2643.68)</f>
        <v>2643.68</v>
      </c>
      <c r="C184" s="29"/>
      <c r="D184" s="65">
        <f>IFERROR(__xludf.DUMMYFUNCTION("""COMPUTED_VALUE"""),2643.68)</f>
        <v>2643.68</v>
      </c>
      <c r="G184" s="65"/>
    </row>
    <row r="185">
      <c r="A185" s="29" t="str">
        <f>IFERROR(__xludf.DUMMYFUNCTION("""COMPUTED_VALUE"""),"CW9172H")</f>
        <v>CW9172H</v>
      </c>
      <c r="B185" s="65">
        <f>IFERROR(__xludf.DUMMYFUNCTION("""COMPUTED_VALUE"""),2350.28)</f>
        <v>2350.28</v>
      </c>
      <c r="C185" s="29"/>
      <c r="D185" s="65">
        <f>IFERROR(__xludf.DUMMYFUNCTION("""COMPUTED_VALUE"""),2350.28)</f>
        <v>2350.28</v>
      </c>
      <c r="G185" s="65"/>
    </row>
    <row r="186">
      <c r="A186" s="29" t="str">
        <f>IFERROR(__xludf.DUMMYFUNCTION("""COMPUTED_VALUE"""),"CW9176I")</f>
        <v>CW9176I</v>
      </c>
      <c r="B186" s="65">
        <f>IFERROR(__xludf.DUMMYFUNCTION("""COMPUTED_VALUE"""),4414.0599999999995)</f>
        <v>4414.06</v>
      </c>
      <c r="C186" s="29"/>
      <c r="D186" s="65">
        <f>IFERROR(__xludf.DUMMYFUNCTION("""COMPUTED_VALUE"""),4414.0599999999995)</f>
        <v>4414.06</v>
      </c>
      <c r="G186" s="65"/>
    </row>
    <row r="187">
      <c r="A187" s="29" t="str">
        <f>IFERROR(__xludf.DUMMYFUNCTION("""COMPUTED_VALUE"""),"CW9176D1")</f>
        <v>CW9176D1</v>
      </c>
      <c r="B187" s="65">
        <f>IFERROR(__xludf.DUMMYFUNCTION("""COMPUTED_VALUE"""),4854.66)</f>
        <v>4854.66</v>
      </c>
      <c r="C187" s="29"/>
      <c r="D187" s="65">
        <f>IFERROR(__xludf.DUMMYFUNCTION("""COMPUTED_VALUE"""),4854.66)</f>
        <v>4854.66</v>
      </c>
      <c r="G187" s="65"/>
    </row>
    <row r="188">
      <c r="A188" s="29" t="str">
        <f>IFERROR(__xludf.DUMMYFUNCTION("""COMPUTED_VALUE"""),"CW9178I")</f>
        <v>CW9178I</v>
      </c>
      <c r="B188" s="65">
        <f>IFERROR(__xludf.DUMMYFUNCTION("""COMPUTED_VALUE"""),5149.29)</f>
        <v>5149.29</v>
      </c>
      <c r="C188" s="29"/>
      <c r="D188" s="65">
        <f>IFERROR(__xludf.DUMMYFUNCTION("""COMPUTED_VALUE"""),5149.29)</f>
        <v>5149.29</v>
      </c>
      <c r="G188" s="65"/>
    </row>
    <row r="189">
      <c r="A189" s="29" t="str">
        <f>IFERROR(__xludf.DUMMYFUNCTION("""COMPUTED_VALUE"""),"C9124AXI")</f>
        <v>C9124AXI</v>
      </c>
      <c r="B189" s="65">
        <f>IFERROR(__xludf.DUMMYFUNCTION("""COMPUTED_VALUE"""),4605.48)</f>
        <v>4605.48</v>
      </c>
      <c r="C189" s="29"/>
      <c r="D189" s="65">
        <f>IFERROR(__xludf.DUMMYFUNCTION("""COMPUTED_VALUE"""),4605.48)</f>
        <v>4605.48</v>
      </c>
      <c r="G189" s="65"/>
    </row>
    <row r="190">
      <c r="A190" s="29" t="str">
        <f>IFERROR(__xludf.DUMMYFUNCTION("""COMPUTED_VALUE"""),"C9124AXD")</f>
        <v>C9124AXD</v>
      </c>
      <c r="B190" s="65">
        <f>IFERROR(__xludf.DUMMYFUNCTION("""COMPUTED_VALUE"""),4933.2)</f>
        <v>4933.2</v>
      </c>
      <c r="C190" s="29"/>
      <c r="D190" s="65">
        <f>IFERROR(__xludf.DUMMYFUNCTION("""COMPUTED_VALUE"""),4933.2)</f>
        <v>4933.2</v>
      </c>
      <c r="G190" s="65"/>
    </row>
    <row r="191">
      <c r="A191" s="29" t="str">
        <f>IFERROR(__xludf.DUMMYFUNCTION("""COMPUTED_VALUE"""),"C9124AXE")</f>
        <v>C9124AXE</v>
      </c>
      <c r="B191" s="65">
        <f>IFERROR(__xludf.DUMMYFUNCTION("""COMPUTED_VALUE"""),4933.2)</f>
        <v>4933.2</v>
      </c>
      <c r="C191" s="29"/>
      <c r="D191" s="65">
        <f>IFERROR(__xludf.DUMMYFUNCTION("""COMPUTED_VALUE"""),4933.2)</f>
        <v>4933.2</v>
      </c>
      <c r="G191" s="65"/>
    </row>
    <row r="192">
      <c r="A192" s="29" t="str">
        <f>IFERROR(__xludf.DUMMYFUNCTION("""COMPUTED_VALUE"""),"CW9163E")</f>
        <v>CW9163E</v>
      </c>
      <c r="B192" s="65">
        <f>IFERROR(__xludf.DUMMYFUNCTION("""COMPUTED_VALUE"""),4041.4900000000002)</f>
        <v>4041.49</v>
      </c>
      <c r="C192" s="29"/>
      <c r="D192" s="65">
        <f>IFERROR(__xludf.DUMMYFUNCTION("""COMPUTED_VALUE"""),4041.4900000000002)</f>
        <v>4041.49</v>
      </c>
      <c r="G192" s="65"/>
    </row>
    <row r="193">
      <c r="A193" s="29" t="str">
        <f>IFERROR(__xludf.DUMMYFUNCTION("""COMPUTED_VALUE"""),"IW-PWRINJ-60RGDMG=")</f>
        <v>IW-PWRINJ-60RGDMG=</v>
      </c>
      <c r="B193" s="65">
        <f>IFERROR(__xludf.DUMMYFUNCTION("""COMPUTED_VALUE"""),1292.5)</f>
        <v>1292.5</v>
      </c>
      <c r="C193" s="29"/>
      <c r="D193" s="65">
        <f>IFERROR(__xludf.DUMMYFUNCTION("""COMPUTED_VALUE"""),1292.5)</f>
        <v>1292.5</v>
      </c>
      <c r="G193" s="65"/>
    </row>
    <row r="194">
      <c r="A194" s="29" t="str">
        <f>IFERROR(__xludf.DUMMYFUNCTION("""COMPUTED_VALUE"""),"AIR-PWRINJ7=")</f>
        <v>AIR-PWRINJ7=</v>
      </c>
      <c r="B194" s="65">
        <f>IFERROR(__xludf.DUMMYFUNCTION("""COMPUTED_VALUE"""),483.4)</f>
        <v>483.4</v>
      </c>
      <c r="C194" s="29"/>
      <c r="D194" s="65">
        <f>IFERROR(__xludf.DUMMYFUNCTION("""COMPUTED_VALUE"""),483.4)</f>
        <v>483.4</v>
      </c>
      <c r="G194" s="65"/>
    </row>
    <row r="195">
      <c r="A195" s="29" t="str">
        <f>IFERROR(__xludf.DUMMYFUNCTION("""COMPUTED_VALUE"""),"C9404R")</f>
        <v>C9404R</v>
      </c>
      <c r="B195" s="65">
        <f>IFERROR(__xludf.DUMMYFUNCTION("""COMPUTED_VALUE"""),117530.33)</f>
        <v>117530.33</v>
      </c>
      <c r="C195" s="29"/>
      <c r="D195" s="65">
        <f>IFERROR(__xludf.DUMMYFUNCTION("""COMPUTED_VALUE"""),117530.33)</f>
        <v>117530.33</v>
      </c>
      <c r="G195" s="65"/>
    </row>
    <row r="196">
      <c r="A196" s="29" t="str">
        <f>IFERROR(__xludf.DUMMYFUNCTION("""COMPUTED_VALUE"""),"C9407R")</f>
        <v>C9407R</v>
      </c>
      <c r="B196" s="65">
        <f>IFERROR(__xludf.DUMMYFUNCTION("""COMPUTED_VALUE"""),136174.7)</f>
        <v>136174.7</v>
      </c>
      <c r="C196" s="29"/>
      <c r="D196" s="65">
        <f>IFERROR(__xludf.DUMMYFUNCTION("""COMPUTED_VALUE"""),136174.7)</f>
        <v>136174.7</v>
      </c>
      <c r="G196" s="65"/>
    </row>
    <row r="197">
      <c r="A197" s="29" t="str">
        <f>IFERROR(__xludf.DUMMYFUNCTION("""COMPUTED_VALUE"""),"C9410R")</f>
        <v>C9410R</v>
      </c>
      <c r="B197" s="65">
        <f>IFERROR(__xludf.DUMMYFUNCTION("""COMPUTED_VALUE"""),144810.28)</f>
        <v>144810.28</v>
      </c>
      <c r="C197" s="29"/>
      <c r="D197" s="65">
        <f>IFERROR(__xludf.DUMMYFUNCTION("""COMPUTED_VALUE"""),144810.28)</f>
        <v>144810.28</v>
      </c>
      <c r="G197" s="65"/>
    </row>
    <row r="198">
      <c r="A198" s="29" t="str">
        <f>IFERROR(__xludf.DUMMYFUNCTION("""COMPUTED_VALUE"""),"C9400-LC-12QC=")</f>
        <v>C9400-LC-12QC=</v>
      </c>
      <c r="B198" s="65">
        <f>IFERROR(__xludf.DUMMYFUNCTION("""COMPUTED_VALUE"""),38258.0)</f>
        <v>38258</v>
      </c>
      <c r="C198" s="29"/>
      <c r="D198" s="65">
        <f>IFERROR(__xludf.DUMMYFUNCTION("""COMPUTED_VALUE"""),38258.0)</f>
        <v>38258</v>
      </c>
      <c r="G198" s="65"/>
    </row>
    <row r="199">
      <c r="A199" s="29" t="str">
        <f>IFERROR(__xludf.DUMMYFUNCTION("""COMPUTED_VALUE"""),"C9400-LC-48T=")</f>
        <v>C9400-LC-48T=</v>
      </c>
      <c r="B199" s="65">
        <f>IFERROR(__xludf.DUMMYFUNCTION("""COMPUTED_VALUE"""),8689.51)</f>
        <v>8689.51</v>
      </c>
      <c r="C199" s="29"/>
      <c r="D199" s="65">
        <f>IFERROR(__xludf.DUMMYFUNCTION("""COMPUTED_VALUE"""),8689.51)</f>
        <v>8689.51</v>
      </c>
      <c r="G199" s="65"/>
    </row>
    <row r="200">
      <c r="A200" s="29" t="str">
        <f>IFERROR(__xludf.DUMMYFUNCTION("""COMPUTED_VALUE"""),"C9400-LC-48TX=")</f>
        <v>C9400-LC-48TX=</v>
      </c>
      <c r="B200" s="65">
        <f>IFERROR(__xludf.DUMMYFUNCTION("""COMPUTED_VALUE"""),19129.0)</f>
        <v>19129</v>
      </c>
      <c r="C200" s="29"/>
      <c r="D200" s="65">
        <f>IFERROR(__xludf.DUMMYFUNCTION("""COMPUTED_VALUE"""),19129.0)</f>
        <v>19129</v>
      </c>
      <c r="G200" s="65"/>
    </row>
    <row r="201">
      <c r="A201" s="29" t="str">
        <f>IFERROR(__xludf.DUMMYFUNCTION("""COMPUTED_VALUE"""),"C9400-LC-48S=")</f>
        <v>C9400-LC-48S=</v>
      </c>
      <c r="B201" s="65">
        <f>IFERROR(__xludf.DUMMYFUNCTION("""COMPUTED_VALUE"""),30425.45)</f>
        <v>30425.45</v>
      </c>
      <c r="C201" s="29"/>
      <c r="D201" s="65">
        <f>IFERROR(__xludf.DUMMYFUNCTION("""COMPUTED_VALUE"""),30425.45)</f>
        <v>30425.45</v>
      </c>
      <c r="G201" s="65"/>
    </row>
    <row r="202">
      <c r="A202" s="29" t="str">
        <f>IFERROR(__xludf.DUMMYFUNCTION("""COMPUTED_VALUE"""),"C9400-LC-48XS=")</f>
        <v>C9400-LC-48XS=</v>
      </c>
      <c r="B202" s="65">
        <f>IFERROR(__xludf.DUMMYFUNCTION("""COMPUTED_VALUE"""),47564.0)</f>
        <v>47564</v>
      </c>
      <c r="C202" s="29"/>
      <c r="D202" s="65">
        <f>IFERROR(__xludf.DUMMYFUNCTION("""COMPUTED_VALUE"""),47564.0)</f>
        <v>47564</v>
      </c>
      <c r="G202" s="65"/>
    </row>
    <row r="203">
      <c r="A203" s="29" t="str">
        <f>IFERROR(__xludf.DUMMYFUNCTION("""COMPUTED_VALUE"""),"C9606R")</f>
        <v>C9606R</v>
      </c>
      <c r="B203" s="65">
        <f>IFERROR(__xludf.DUMMYFUNCTION("""COMPUTED_VALUE"""),246495.41)</f>
        <v>246495.41</v>
      </c>
      <c r="C203" s="29"/>
      <c r="D203" s="65">
        <f>IFERROR(__xludf.DUMMYFUNCTION("""COMPUTED_VALUE"""),246495.41)</f>
        <v>246495.41</v>
      </c>
      <c r="G203" s="65"/>
    </row>
    <row r="204">
      <c r="A204" s="29" t="str">
        <f>IFERROR(__xludf.DUMMYFUNCTION("""COMPUTED_VALUE"""),"C9600-LC-48TX=")</f>
        <v>C9600-LC-48TX=</v>
      </c>
      <c r="B204" s="65">
        <f>IFERROR(__xludf.DUMMYFUNCTION("""COMPUTED_VALUE"""),28916.35)</f>
        <v>28916.35</v>
      </c>
      <c r="C204" s="29"/>
      <c r="D204" s="65">
        <f>IFERROR(__xludf.DUMMYFUNCTION("""COMPUTED_VALUE"""),28916.35)</f>
        <v>28916.35</v>
      </c>
      <c r="G204" s="65"/>
    </row>
    <row r="205">
      <c r="A205" s="29" t="str">
        <f>IFERROR(__xludf.DUMMYFUNCTION("""COMPUTED_VALUE"""),"C9600-LC-48YL=")</f>
        <v>C9600-LC-48YL=</v>
      </c>
      <c r="B205" s="65">
        <f>IFERROR(__xludf.DUMMYFUNCTION("""COMPUTED_VALUE"""),28916.35)</f>
        <v>28916.35</v>
      </c>
      <c r="C205" s="29"/>
      <c r="D205" s="65">
        <f>IFERROR(__xludf.DUMMYFUNCTION("""COMPUTED_VALUE"""),28916.35)</f>
        <v>28916.35</v>
      </c>
      <c r="G205" s="65"/>
    </row>
    <row r="206">
      <c r="A206" s="29" t="str">
        <f>IFERROR(__xludf.DUMMYFUNCTION("""COMPUTED_VALUE"""),"C9600-LC-40YL4CD=")</f>
        <v>C9600-LC-40YL4CD=</v>
      </c>
      <c r="B206" s="65">
        <f>IFERROR(__xludf.DUMMYFUNCTION("""COMPUTED_VALUE"""),34122.0)</f>
        <v>34122</v>
      </c>
      <c r="C206" s="29"/>
      <c r="D206" s="65">
        <f>IFERROR(__xludf.DUMMYFUNCTION("""COMPUTED_VALUE"""),34122.0)</f>
        <v>34122</v>
      </c>
      <c r="G206" s="65"/>
    </row>
    <row r="207">
      <c r="A207" s="29" t="str">
        <f>IFERROR(__xludf.DUMMYFUNCTION("""COMPUTED_VALUE"""),"C9600-LC-24C=")</f>
        <v>C9600-LC-24C=</v>
      </c>
      <c r="B207" s="65">
        <f>IFERROR(__xludf.DUMMYFUNCTION("""COMPUTED_VALUE"""),32859.49)</f>
        <v>32859.49</v>
      </c>
      <c r="C207" s="29"/>
      <c r="D207" s="65">
        <f>IFERROR(__xludf.DUMMYFUNCTION("""COMPUTED_VALUE"""),32859.49)</f>
        <v>32859.49</v>
      </c>
      <c r="G207" s="65"/>
    </row>
    <row r="208">
      <c r="A208" s="29" t="str">
        <f>IFERROR(__xludf.DUMMYFUNCTION("""COMPUTED_VALUE"""),"C1200-8T-D")</f>
        <v>C1200-8T-D</v>
      </c>
      <c r="B208" s="65">
        <f>IFERROR(__xludf.DUMMYFUNCTION("""COMPUTED_VALUE"""),247.3)</f>
        <v>247.3</v>
      </c>
      <c r="C208" s="65" t="str">
        <f>IFERROR(__xludf.DUMMYFUNCTION("""COMPUTED_VALUE"""),"")</f>
        <v/>
      </c>
      <c r="D208" s="65">
        <f>IFERROR(__xludf.DUMMYFUNCTION("""COMPUTED_VALUE"""),247.3)</f>
        <v>247.3</v>
      </c>
      <c r="G208" s="65"/>
    </row>
    <row r="209">
      <c r="A209" s="29" t="str">
        <f>IFERROR(__xludf.DUMMYFUNCTION("""COMPUTED_VALUE"""),"C1200-8T-E-2G")</f>
        <v>C1200-8T-E-2G</v>
      </c>
      <c r="B209" s="65">
        <f>IFERROR(__xludf.DUMMYFUNCTION("""COMPUTED_VALUE"""),337.64)</f>
        <v>337.64</v>
      </c>
      <c r="C209" s="65" t="str">
        <f>IFERROR(__xludf.DUMMYFUNCTION("""COMPUTED_VALUE"""),"")</f>
        <v/>
      </c>
      <c r="D209" s="65">
        <f>IFERROR(__xludf.DUMMYFUNCTION("""COMPUTED_VALUE"""),337.64)</f>
        <v>337.64</v>
      </c>
      <c r="G209" s="65"/>
    </row>
    <row r="210">
      <c r="A210" s="29" t="str">
        <f>IFERROR(__xludf.DUMMYFUNCTION("""COMPUTED_VALUE"""),"C1200-8P-E-2G")</f>
        <v>C1200-8P-E-2G</v>
      </c>
      <c r="B210" s="65">
        <f>IFERROR(__xludf.DUMMYFUNCTION("""COMPUTED_VALUE"""),454.11)</f>
        <v>454.11</v>
      </c>
      <c r="C210" s="65" t="str">
        <f>IFERROR(__xludf.DUMMYFUNCTION("""COMPUTED_VALUE"""),"")</f>
        <v/>
      </c>
      <c r="D210" s="65">
        <f>IFERROR(__xludf.DUMMYFUNCTION("""COMPUTED_VALUE"""),454.11)</f>
        <v>454.11</v>
      </c>
      <c r="G210" s="65"/>
    </row>
    <row r="211">
      <c r="A211" s="29" t="str">
        <f>IFERROR(__xludf.DUMMYFUNCTION("""COMPUTED_VALUE"""),"C1200-8FP-2G")</f>
        <v>C1200-8FP-2G</v>
      </c>
      <c r="B211" s="65">
        <f>IFERROR(__xludf.DUMMYFUNCTION("""COMPUTED_VALUE"""),482.81)</f>
        <v>482.81</v>
      </c>
      <c r="C211" s="65" t="str">
        <f>IFERROR(__xludf.DUMMYFUNCTION("""COMPUTED_VALUE"""),"")</f>
        <v/>
      </c>
      <c r="D211" s="65">
        <f>IFERROR(__xludf.DUMMYFUNCTION("""COMPUTED_VALUE"""),482.81)</f>
        <v>482.81</v>
      </c>
      <c r="G211" s="65"/>
    </row>
    <row r="212">
      <c r="A212" s="29" t="str">
        <f>IFERROR(__xludf.DUMMYFUNCTION("""COMPUTED_VALUE"""),"C1200-16T-2G")</f>
        <v>C1200-16T-2G</v>
      </c>
      <c r="B212" s="65">
        <f>IFERROR(__xludf.DUMMYFUNCTION("""COMPUTED_VALUE"""),454.11)</f>
        <v>454.11</v>
      </c>
      <c r="C212" s="65" t="str">
        <f>IFERROR(__xludf.DUMMYFUNCTION("""COMPUTED_VALUE"""),"")</f>
        <v/>
      </c>
      <c r="D212" s="65">
        <f>IFERROR(__xludf.DUMMYFUNCTION("""COMPUTED_VALUE"""),454.11)</f>
        <v>454.11</v>
      </c>
      <c r="G212" s="65"/>
    </row>
    <row r="213">
      <c r="A213" s="29" t="str">
        <f>IFERROR(__xludf.DUMMYFUNCTION("""COMPUTED_VALUE"""),"C1200-16P-2G")</f>
        <v>C1200-16P-2G</v>
      </c>
      <c r="B213" s="65">
        <f>IFERROR(__xludf.DUMMYFUNCTION("""COMPUTED_VALUE"""),710.58)</f>
        <v>710.58</v>
      </c>
      <c r="C213" s="65" t="str">
        <f>IFERROR(__xludf.DUMMYFUNCTION("""COMPUTED_VALUE"""),"")</f>
        <v/>
      </c>
      <c r="D213" s="65">
        <f>IFERROR(__xludf.DUMMYFUNCTION("""COMPUTED_VALUE"""),710.58)</f>
        <v>710.58</v>
      </c>
      <c r="G213" s="65"/>
    </row>
    <row r="214">
      <c r="A214" s="29" t="str">
        <f>IFERROR(__xludf.DUMMYFUNCTION("""COMPUTED_VALUE"""),"C1200-24T-4G")</f>
        <v>C1200-24T-4G</v>
      </c>
      <c r="B214" s="65">
        <f>IFERROR(__xludf.DUMMYFUNCTION("""COMPUTED_VALUE"""),494.58)</f>
        <v>494.58</v>
      </c>
      <c r="C214" s="65" t="str">
        <f>IFERROR(__xludf.DUMMYFUNCTION("""COMPUTED_VALUE"""),"")</f>
        <v/>
      </c>
      <c r="D214" s="65">
        <f>IFERROR(__xludf.DUMMYFUNCTION("""COMPUTED_VALUE"""),494.58)</f>
        <v>494.58</v>
      </c>
      <c r="G214" s="65"/>
    </row>
    <row r="215">
      <c r="A215" s="29" t="str">
        <f>IFERROR(__xludf.DUMMYFUNCTION("""COMPUTED_VALUE"""),"C1200-24P-4G")</f>
        <v>C1200-24P-4G</v>
      </c>
      <c r="B215" s="65">
        <f>IFERROR(__xludf.DUMMYFUNCTION("""COMPUTED_VALUE"""),884.63)</f>
        <v>884.63</v>
      </c>
      <c r="C215" s="65" t="str">
        <f>IFERROR(__xludf.DUMMYFUNCTION("""COMPUTED_VALUE"""),"")</f>
        <v/>
      </c>
      <c r="D215" s="65">
        <f>IFERROR(__xludf.DUMMYFUNCTION("""COMPUTED_VALUE"""),884.63)</f>
        <v>884.63</v>
      </c>
      <c r="G215" s="65"/>
    </row>
    <row r="216">
      <c r="A216" s="29" t="str">
        <f>IFERROR(__xludf.DUMMYFUNCTION("""COMPUTED_VALUE"""),"C1200-24FP-4G")</f>
        <v>C1200-24FP-4G</v>
      </c>
      <c r="B216" s="65">
        <f>IFERROR(__xludf.DUMMYFUNCTION("""COMPUTED_VALUE"""),1322.91)</f>
        <v>1322.91</v>
      </c>
      <c r="C216" s="65" t="str">
        <f>IFERROR(__xludf.DUMMYFUNCTION("""COMPUTED_VALUE"""),"")</f>
        <v/>
      </c>
      <c r="D216" s="65">
        <f>IFERROR(__xludf.DUMMYFUNCTION("""COMPUTED_VALUE"""),1322.91)</f>
        <v>1322.91</v>
      </c>
      <c r="G216" s="65"/>
    </row>
    <row r="217">
      <c r="A217" s="29" t="str">
        <f>IFERROR(__xludf.DUMMYFUNCTION("""COMPUTED_VALUE"""),"C1200-48T-4G")</f>
        <v>C1200-48T-4G</v>
      </c>
      <c r="B217" s="65">
        <f>IFERROR(__xludf.DUMMYFUNCTION("""COMPUTED_VALUE"""),947.38)</f>
        <v>947.38</v>
      </c>
      <c r="C217" s="65" t="str">
        <f>IFERROR(__xludf.DUMMYFUNCTION("""COMPUTED_VALUE"""),"")</f>
        <v/>
      </c>
      <c r="D217" s="65">
        <f>IFERROR(__xludf.DUMMYFUNCTION("""COMPUTED_VALUE"""),947.38)</f>
        <v>947.38</v>
      </c>
      <c r="G217" s="65"/>
    </row>
    <row r="218">
      <c r="A218" s="29" t="str">
        <f>IFERROR(__xludf.DUMMYFUNCTION("""COMPUTED_VALUE"""),"C1200-48P-4G")</f>
        <v>C1200-48P-4G</v>
      </c>
      <c r="B218" s="65">
        <f>IFERROR(__xludf.DUMMYFUNCTION("""COMPUTED_VALUE"""),1474.24)</f>
        <v>1474.24</v>
      </c>
      <c r="C218" s="65" t="str">
        <f>IFERROR(__xludf.DUMMYFUNCTION("""COMPUTED_VALUE"""),"")</f>
        <v/>
      </c>
      <c r="D218" s="65">
        <f>IFERROR(__xludf.DUMMYFUNCTION("""COMPUTED_VALUE"""),1474.24)</f>
        <v>1474.24</v>
      </c>
      <c r="G218" s="65"/>
    </row>
    <row r="219">
      <c r="A219" s="29" t="str">
        <f>IFERROR(__xludf.DUMMYFUNCTION("""COMPUTED_VALUE"""),"C1200-24T-4X")</f>
        <v>C1200-24T-4X</v>
      </c>
      <c r="B219" s="65">
        <f>IFERROR(__xludf.DUMMYFUNCTION("""COMPUTED_VALUE"""),824.79)</f>
        <v>824.79</v>
      </c>
      <c r="C219" s="65" t="str">
        <f>IFERROR(__xludf.DUMMYFUNCTION("""COMPUTED_VALUE"""),"")</f>
        <v/>
      </c>
      <c r="D219" s="65">
        <f>IFERROR(__xludf.DUMMYFUNCTION("""COMPUTED_VALUE"""),824.79)</f>
        <v>824.79</v>
      </c>
      <c r="G219" s="65"/>
    </row>
    <row r="220">
      <c r="A220" s="29" t="str">
        <f>IFERROR(__xludf.DUMMYFUNCTION("""COMPUTED_VALUE"""),"C1200-24P-4X")</f>
        <v>C1200-24P-4X</v>
      </c>
      <c r="B220" s="65">
        <f>IFERROR(__xludf.DUMMYFUNCTION("""COMPUTED_VALUE"""),989.01)</f>
        <v>989.01</v>
      </c>
      <c r="C220" s="65" t="str">
        <f>IFERROR(__xludf.DUMMYFUNCTION("""COMPUTED_VALUE"""),"")</f>
        <v/>
      </c>
      <c r="D220" s="65">
        <f>IFERROR(__xludf.DUMMYFUNCTION("""COMPUTED_VALUE"""),989.01)</f>
        <v>989.01</v>
      </c>
      <c r="G220" s="65"/>
    </row>
    <row r="221">
      <c r="A221" s="29" t="str">
        <f>IFERROR(__xludf.DUMMYFUNCTION("""COMPUTED_VALUE"""),"C1200-24FP-4X")</f>
        <v>C1200-24FP-4X</v>
      </c>
      <c r="B221" s="65">
        <f>IFERROR(__xludf.DUMMYFUNCTION("""COMPUTED_VALUE"""),1404.36)</f>
        <v>1404.36</v>
      </c>
      <c r="C221" s="65" t="str">
        <f>IFERROR(__xludf.DUMMYFUNCTION("""COMPUTED_VALUE"""),"")</f>
        <v/>
      </c>
      <c r="D221" s="65">
        <f>IFERROR(__xludf.DUMMYFUNCTION("""COMPUTED_VALUE"""),1404.36)</f>
        <v>1404.36</v>
      </c>
      <c r="G221" s="65"/>
    </row>
    <row r="222">
      <c r="A222" s="29" t="str">
        <f>IFERROR(__xludf.DUMMYFUNCTION("""COMPUTED_VALUE"""),"C1200-48T-4X")</f>
        <v>C1200-48T-4X</v>
      </c>
      <c r="B222" s="65">
        <f>IFERROR(__xludf.DUMMYFUNCTION("""COMPUTED_VALUE"""),1292.59)</f>
        <v>1292.59</v>
      </c>
      <c r="C222" s="65" t="str">
        <f>IFERROR(__xludf.DUMMYFUNCTION("""COMPUTED_VALUE"""),"")</f>
        <v/>
      </c>
      <c r="D222" s="65">
        <f>IFERROR(__xludf.DUMMYFUNCTION("""COMPUTED_VALUE"""),1292.59)</f>
        <v>1292.59</v>
      </c>
      <c r="G222" s="65"/>
    </row>
    <row r="223">
      <c r="A223" s="29" t="str">
        <f>IFERROR(__xludf.DUMMYFUNCTION("""COMPUTED_VALUE"""),"C1200-48P-4X")</f>
        <v>C1200-48P-4X</v>
      </c>
      <c r="B223" s="65">
        <f>IFERROR(__xludf.DUMMYFUNCTION("""COMPUTED_VALUE"""),1598.11)</f>
        <v>1598.11</v>
      </c>
      <c r="C223" s="65" t="str">
        <f>IFERROR(__xludf.DUMMYFUNCTION("""COMPUTED_VALUE"""),"")</f>
        <v/>
      </c>
      <c r="D223" s="65">
        <f>IFERROR(__xludf.DUMMYFUNCTION("""COMPUTED_VALUE"""),1598.11)</f>
        <v>1598.11</v>
      </c>
      <c r="G223" s="65"/>
    </row>
    <row r="224">
      <c r="A224" s="29" t="str">
        <f>IFERROR(__xludf.DUMMYFUNCTION("""COMPUTED_VALUE"""),"C9300X-48HX")</f>
        <v>C9300X-48HX</v>
      </c>
      <c r="B224" s="65">
        <f>IFERROR(__xludf.DUMMYFUNCTION("""COMPUTED_VALUE"""),41947.75)</f>
        <v>41947.75</v>
      </c>
      <c r="C224" s="65" t="str">
        <f>IFERROR(__xludf.DUMMYFUNCTION("""COMPUTED_VALUE"""),"")</f>
        <v/>
      </c>
      <c r="D224" s="65">
        <f>IFERROR(__xludf.DUMMYFUNCTION("""COMPUTED_VALUE"""),41947.75)</f>
        <v>41947.75</v>
      </c>
      <c r="G224" s="65"/>
    </row>
    <row r="225">
      <c r="A225" s="29" t="str">
        <f>IFERROR(__xludf.DUMMYFUNCTION("""COMPUTED_VALUE"""),"C9300X-48TX")</f>
        <v>C9300X-48TX</v>
      </c>
      <c r="B225" s="65">
        <f>IFERROR(__xludf.DUMMYFUNCTION("""COMPUTED_VALUE"""),39313.41)</f>
        <v>39313.41</v>
      </c>
      <c r="C225" s="65" t="str">
        <f>IFERROR(__xludf.DUMMYFUNCTION("""COMPUTED_VALUE"""),"")</f>
        <v/>
      </c>
      <c r="D225" s="65">
        <f>IFERROR(__xludf.DUMMYFUNCTION("""COMPUTED_VALUE"""),39313.41)</f>
        <v>39313.41</v>
      </c>
      <c r="G225" s="65"/>
    </row>
    <row r="226">
      <c r="A226" s="29" t="str">
        <f>IFERROR(__xludf.DUMMYFUNCTION("""COMPUTED_VALUE"""),"C9300X-48HXN")</f>
        <v>C9300X-48HXN</v>
      </c>
      <c r="B226" s="65">
        <f>IFERROR(__xludf.DUMMYFUNCTION("""COMPUTED_VALUE"""),39313.41)</f>
        <v>39313.41</v>
      </c>
      <c r="C226" s="65" t="str">
        <f>IFERROR(__xludf.DUMMYFUNCTION("""COMPUTED_VALUE"""),"")</f>
        <v/>
      </c>
      <c r="D226" s="65">
        <f>IFERROR(__xludf.DUMMYFUNCTION("""COMPUTED_VALUE"""),39313.41)</f>
        <v>39313.41</v>
      </c>
      <c r="G226" s="65"/>
    </row>
    <row r="227">
      <c r="A227" s="29" t="str">
        <f>IFERROR(__xludf.DUMMYFUNCTION("""COMPUTED_VALUE"""),"C9300X-24HX")</f>
        <v>C9300X-24HX</v>
      </c>
      <c r="B227" s="65">
        <f>IFERROR(__xludf.DUMMYFUNCTION("""COMPUTED_VALUE"""),35493.67)</f>
        <v>35493.67</v>
      </c>
      <c r="C227" s="65" t="str">
        <f>IFERROR(__xludf.DUMMYFUNCTION("""COMPUTED_VALUE"""),"")</f>
        <v/>
      </c>
      <c r="D227" s="65">
        <f>IFERROR(__xludf.DUMMYFUNCTION("""COMPUTED_VALUE"""),35493.67)</f>
        <v>35493.67</v>
      </c>
      <c r="G227" s="65"/>
    </row>
    <row r="228">
      <c r="A228" s="29" t="str">
        <f>IFERROR(__xludf.DUMMYFUNCTION("""COMPUTED_VALUE"""),"C9300X-12Y")</f>
        <v>C9300X-12Y</v>
      </c>
      <c r="B228" s="65">
        <f>IFERROR(__xludf.DUMMYFUNCTION("""COMPUTED_VALUE"""),43627.07)</f>
        <v>43627.07</v>
      </c>
      <c r="C228" s="65" t="str">
        <f>IFERROR(__xludf.DUMMYFUNCTION("""COMPUTED_VALUE"""),"")</f>
        <v/>
      </c>
      <c r="D228" s="65">
        <f>IFERROR(__xludf.DUMMYFUNCTION("""COMPUTED_VALUE"""),43627.07)</f>
        <v>43627.07</v>
      </c>
      <c r="G228" s="65"/>
    </row>
    <row r="229">
      <c r="A229" s="29" t="str">
        <f>IFERROR(__xludf.DUMMYFUNCTION("""COMPUTED_VALUE"""),"C9300X-24Y")</f>
        <v>C9300X-24Y</v>
      </c>
      <c r="B229" s="65">
        <f>IFERROR(__xludf.DUMMYFUNCTION("""COMPUTED_VALUE"""),59751.4)</f>
        <v>59751.4</v>
      </c>
      <c r="C229" s="65" t="str">
        <f>IFERROR(__xludf.DUMMYFUNCTION("""COMPUTED_VALUE"""),"")</f>
        <v/>
      </c>
      <c r="D229" s="65">
        <f>IFERROR(__xludf.DUMMYFUNCTION("""COMPUTED_VALUE"""),59751.4)</f>
        <v>59751.4</v>
      </c>
      <c r="G229" s="65"/>
    </row>
    <row r="230">
      <c r="A230" s="29"/>
      <c r="B230" s="29"/>
      <c r="C230" s="65" t="str">
        <f>IFERROR(__xludf.DUMMYFUNCTION("""COMPUTED_VALUE"""),"")</f>
        <v/>
      </c>
      <c r="D230" s="29"/>
      <c r="G230" s="65"/>
    </row>
    <row r="231">
      <c r="A231" s="29"/>
      <c r="B231" s="29"/>
      <c r="C231" s="65" t="str">
        <f>IFERROR(__xludf.DUMMYFUNCTION("""COMPUTED_VALUE"""),"")</f>
        <v/>
      </c>
      <c r="D231" s="29"/>
      <c r="G231" s="65"/>
    </row>
    <row r="232">
      <c r="A232" s="29"/>
      <c r="B232" s="29"/>
      <c r="C232" s="65" t="str">
        <f>IFERROR(__xludf.DUMMYFUNCTION("""COMPUTED_VALUE"""),"")</f>
        <v/>
      </c>
      <c r="D232" s="29"/>
      <c r="G232" s="65"/>
    </row>
    <row r="233">
      <c r="A233" s="29"/>
      <c r="B233" s="29"/>
      <c r="C233" s="65" t="str">
        <f>IFERROR(__xludf.DUMMYFUNCTION("""COMPUTED_VALUE"""),"")</f>
        <v/>
      </c>
      <c r="D233" s="29"/>
      <c r="G233" s="65"/>
    </row>
    <row r="234">
      <c r="A234" s="29"/>
      <c r="B234" s="29"/>
      <c r="C234" s="65" t="str">
        <f>IFERROR(__xludf.DUMMYFUNCTION("""COMPUTED_VALUE"""),"")</f>
        <v/>
      </c>
      <c r="D234" s="29"/>
      <c r="G234" s="65"/>
    </row>
    <row r="235">
      <c r="A235" s="29"/>
      <c r="B235" s="29"/>
      <c r="C235" s="65" t="str">
        <f>IFERROR(__xludf.DUMMYFUNCTION("""COMPUTED_VALUE"""),"")</f>
        <v/>
      </c>
      <c r="D235" s="29"/>
      <c r="G235" s="65"/>
    </row>
    <row r="236">
      <c r="A236" s="29"/>
      <c r="B236" s="29"/>
      <c r="C236" s="65" t="str">
        <f>IFERROR(__xludf.DUMMYFUNCTION("""COMPUTED_VALUE"""),"")</f>
        <v/>
      </c>
      <c r="D236" s="29"/>
      <c r="G236" s="65"/>
    </row>
    <row r="237">
      <c r="A237" s="29"/>
      <c r="B237" s="29"/>
      <c r="C237" s="65" t="str">
        <f>IFERROR(__xludf.DUMMYFUNCTION("""COMPUTED_VALUE"""),"")</f>
        <v/>
      </c>
      <c r="D237" s="29"/>
      <c r="G237" s="65"/>
    </row>
    <row r="238">
      <c r="A238" s="29"/>
      <c r="B238" s="29"/>
      <c r="C238" s="65" t="str">
        <f>IFERROR(__xludf.DUMMYFUNCTION("""COMPUTED_VALUE"""),"")</f>
        <v/>
      </c>
      <c r="D238" s="29"/>
      <c r="G238" s="65"/>
    </row>
    <row r="239">
      <c r="A239" s="29"/>
      <c r="B239" s="29"/>
      <c r="C239" s="65" t="str">
        <f>IFERROR(__xludf.DUMMYFUNCTION("""COMPUTED_VALUE"""),"")</f>
        <v/>
      </c>
      <c r="D239" s="29"/>
      <c r="G239" s="65"/>
    </row>
    <row r="240">
      <c r="A240" s="29"/>
      <c r="B240" s="29"/>
      <c r="C240" s="65" t="str">
        <f>IFERROR(__xludf.DUMMYFUNCTION("""COMPUTED_VALUE"""),"")</f>
        <v/>
      </c>
      <c r="D240" s="29"/>
      <c r="G240" s="65"/>
    </row>
    <row r="241">
      <c r="A241" s="29"/>
      <c r="B241" s="29"/>
      <c r="C241" s="65" t="str">
        <f>IFERROR(__xludf.DUMMYFUNCTION("""COMPUTED_VALUE"""),"")</f>
        <v/>
      </c>
      <c r="D241" s="29"/>
      <c r="G241" s="65"/>
    </row>
    <row r="242">
      <c r="A242" s="29"/>
      <c r="B242" s="29"/>
      <c r="C242" s="65" t="str">
        <f>IFERROR(__xludf.DUMMYFUNCTION("""COMPUTED_VALUE"""),"")</f>
        <v/>
      </c>
      <c r="D242" s="29"/>
      <c r="G242" s="65"/>
    </row>
    <row r="243">
      <c r="A243" s="29"/>
      <c r="B243" s="29"/>
      <c r="C243" s="65" t="str">
        <f>IFERROR(__xludf.DUMMYFUNCTION("""COMPUTED_VALUE"""),"")</f>
        <v/>
      </c>
      <c r="D243" s="29"/>
      <c r="G243" s="65"/>
    </row>
    <row r="244">
      <c r="A244" s="29"/>
      <c r="B244" s="29"/>
      <c r="C244" s="65" t="str">
        <f>IFERROR(__xludf.DUMMYFUNCTION("""COMPUTED_VALUE"""),"")</f>
        <v/>
      </c>
      <c r="D244" s="29"/>
      <c r="G244" s="65"/>
    </row>
    <row r="245">
      <c r="A245" s="29"/>
      <c r="B245" s="29"/>
      <c r="C245" s="65" t="str">
        <f>IFERROR(__xludf.DUMMYFUNCTION("""COMPUTED_VALUE"""),"")</f>
        <v/>
      </c>
      <c r="D245" s="29"/>
      <c r="G245" s="65"/>
    </row>
    <row r="246">
      <c r="A246" s="29"/>
      <c r="B246" s="29"/>
      <c r="C246" s="65" t="str">
        <f>IFERROR(__xludf.DUMMYFUNCTION("""COMPUTED_VALUE"""),"")</f>
        <v/>
      </c>
      <c r="D246" s="29"/>
      <c r="G246" s="65"/>
    </row>
    <row r="247">
      <c r="A247" s="29"/>
      <c r="B247" s="29"/>
      <c r="C247" s="65" t="str">
        <f>IFERROR(__xludf.DUMMYFUNCTION("""COMPUTED_VALUE"""),"")</f>
        <v/>
      </c>
      <c r="D247" s="29"/>
      <c r="G247" s="65"/>
    </row>
    <row r="248">
      <c r="A248" s="29"/>
      <c r="B248" s="29"/>
      <c r="C248" s="65" t="str">
        <f>IFERROR(__xludf.DUMMYFUNCTION("""COMPUTED_VALUE"""),"")</f>
        <v/>
      </c>
      <c r="D248" s="29"/>
      <c r="G248" s="65"/>
    </row>
    <row r="249">
      <c r="A249" s="29"/>
      <c r="B249" s="29"/>
      <c r="C249" s="65" t="str">
        <f>IFERROR(__xludf.DUMMYFUNCTION("""COMPUTED_VALUE"""),"")</f>
        <v/>
      </c>
      <c r="D249" s="29"/>
      <c r="G249" s="65"/>
    </row>
    <row r="250">
      <c r="A250" s="29"/>
      <c r="B250" s="29"/>
      <c r="C250" s="65" t="str">
        <f>IFERROR(__xludf.DUMMYFUNCTION("""COMPUTED_VALUE"""),"")</f>
        <v/>
      </c>
      <c r="D250" s="29"/>
      <c r="G250" s="65"/>
    </row>
    <row r="251">
      <c r="A251" s="29"/>
      <c r="B251" s="29"/>
      <c r="C251" s="65" t="str">
        <f>IFERROR(__xludf.DUMMYFUNCTION("""COMPUTED_VALUE"""),"")</f>
        <v/>
      </c>
      <c r="D251" s="29"/>
      <c r="G251" s="65"/>
    </row>
    <row r="252">
      <c r="A252" s="29"/>
      <c r="B252" s="29"/>
      <c r="C252" s="65" t="str">
        <f>IFERROR(__xludf.DUMMYFUNCTION("""COMPUTED_VALUE"""),"")</f>
        <v/>
      </c>
      <c r="D252" s="29"/>
      <c r="G252" s="65"/>
    </row>
    <row r="253">
      <c r="A253" s="29"/>
      <c r="B253" s="29"/>
      <c r="C253" s="65" t="str">
        <f>IFERROR(__xludf.DUMMYFUNCTION("""COMPUTED_VALUE"""),"")</f>
        <v/>
      </c>
      <c r="D253" s="29"/>
      <c r="G253" s="65"/>
    </row>
    <row r="254">
      <c r="A254" s="29"/>
      <c r="B254" s="29"/>
      <c r="C254" s="65" t="str">
        <f>IFERROR(__xludf.DUMMYFUNCTION("""COMPUTED_VALUE"""),"")</f>
        <v/>
      </c>
      <c r="D254" s="29"/>
      <c r="G254" s="65"/>
    </row>
    <row r="255">
      <c r="A255" s="29"/>
      <c r="B255" s="29"/>
      <c r="C255" s="65" t="str">
        <f>IFERROR(__xludf.DUMMYFUNCTION("""COMPUTED_VALUE"""),"")</f>
        <v/>
      </c>
      <c r="D255" s="29"/>
      <c r="G255" s="65"/>
    </row>
    <row r="256">
      <c r="A256" s="29"/>
      <c r="B256" s="29"/>
      <c r="C256" s="65" t="str">
        <f>IFERROR(__xludf.DUMMYFUNCTION("""COMPUTED_VALUE"""),"")</f>
        <v/>
      </c>
      <c r="D256" s="29"/>
      <c r="G256" s="65"/>
    </row>
    <row r="257">
      <c r="A257" s="29"/>
      <c r="B257" s="29"/>
      <c r="C257" s="65" t="str">
        <f>IFERROR(__xludf.DUMMYFUNCTION("""COMPUTED_VALUE"""),"")</f>
        <v/>
      </c>
      <c r="D257" s="29"/>
      <c r="G257" s="65"/>
    </row>
    <row r="258">
      <c r="A258" s="29"/>
      <c r="B258" s="29"/>
      <c r="C258" s="65" t="str">
        <f>IFERROR(__xludf.DUMMYFUNCTION("""COMPUTED_VALUE"""),"")</f>
        <v/>
      </c>
      <c r="D258" s="29"/>
      <c r="G258" s="65"/>
    </row>
    <row r="259">
      <c r="A259" s="29"/>
      <c r="B259" s="29"/>
      <c r="C259" s="65" t="str">
        <f>IFERROR(__xludf.DUMMYFUNCTION("""COMPUTED_VALUE"""),"")</f>
        <v/>
      </c>
      <c r="D259" s="29"/>
      <c r="G259" s="65"/>
    </row>
    <row r="260">
      <c r="A260" s="29"/>
      <c r="B260" s="29"/>
      <c r="C260" s="65" t="str">
        <f>IFERROR(__xludf.DUMMYFUNCTION("""COMPUTED_VALUE"""),"")</f>
        <v/>
      </c>
      <c r="D260" s="29"/>
      <c r="G260" s="65"/>
    </row>
    <row r="261">
      <c r="A261" s="29"/>
      <c r="B261" s="29"/>
      <c r="C261" s="65" t="str">
        <f>IFERROR(__xludf.DUMMYFUNCTION("""COMPUTED_VALUE"""),"")</f>
        <v/>
      </c>
      <c r="D261" s="29"/>
      <c r="G261" s="65"/>
    </row>
    <row r="262">
      <c r="A262" s="29"/>
      <c r="B262" s="29"/>
      <c r="C262" s="65" t="str">
        <f>IFERROR(__xludf.DUMMYFUNCTION("""COMPUTED_VALUE"""),"")</f>
        <v/>
      </c>
      <c r="D262" s="29"/>
      <c r="G262" s="65"/>
    </row>
    <row r="263">
      <c r="A263" s="29"/>
      <c r="B263" s="29"/>
      <c r="C263" s="65" t="str">
        <f>IFERROR(__xludf.DUMMYFUNCTION("""COMPUTED_VALUE"""),"")</f>
        <v/>
      </c>
      <c r="D263" s="29"/>
      <c r="G263" s="65"/>
    </row>
    <row r="264">
      <c r="A264" s="29"/>
      <c r="B264" s="29"/>
      <c r="C264" s="65" t="str">
        <f>IFERROR(__xludf.DUMMYFUNCTION("""COMPUTED_VALUE"""),"")</f>
        <v/>
      </c>
      <c r="D264" s="29"/>
      <c r="G264" s="65"/>
    </row>
    <row r="265">
      <c r="A265" s="29"/>
      <c r="B265" s="29"/>
      <c r="C265" s="65" t="str">
        <f>IFERROR(__xludf.DUMMYFUNCTION("""COMPUTED_VALUE"""),"")</f>
        <v/>
      </c>
      <c r="D265" s="29"/>
      <c r="G265" s="65"/>
    </row>
    <row r="266">
      <c r="A266" s="29"/>
      <c r="B266" s="29"/>
      <c r="C266" s="65" t="str">
        <f>IFERROR(__xludf.DUMMYFUNCTION("""COMPUTED_VALUE"""),"")</f>
        <v/>
      </c>
      <c r="D266" s="29"/>
      <c r="G266" s="65"/>
    </row>
    <row r="267">
      <c r="A267" s="29"/>
      <c r="B267" s="29"/>
      <c r="C267" s="65" t="str">
        <f>IFERROR(__xludf.DUMMYFUNCTION("""COMPUTED_VALUE"""),"")</f>
        <v/>
      </c>
      <c r="D267" s="29"/>
      <c r="G267" s="65"/>
    </row>
    <row r="268">
      <c r="A268" s="29"/>
      <c r="B268" s="29"/>
      <c r="C268" s="65" t="str">
        <f>IFERROR(__xludf.DUMMYFUNCTION("""COMPUTED_VALUE"""),"")</f>
        <v/>
      </c>
      <c r="D268" s="29"/>
      <c r="G268" s="65"/>
    </row>
    <row r="269">
      <c r="A269" s="29"/>
      <c r="B269" s="29"/>
      <c r="C269" s="65" t="str">
        <f>IFERROR(__xludf.DUMMYFUNCTION("""COMPUTED_VALUE"""),"")</f>
        <v/>
      </c>
      <c r="D269" s="29"/>
      <c r="G269" s="65"/>
    </row>
    <row r="270">
      <c r="A270" s="29"/>
      <c r="B270" s="29"/>
      <c r="C270" s="65" t="str">
        <f>IFERROR(__xludf.DUMMYFUNCTION("""COMPUTED_VALUE"""),"")</f>
        <v/>
      </c>
      <c r="D270" s="29"/>
      <c r="G270" s="65"/>
    </row>
    <row r="271">
      <c r="A271" s="29"/>
      <c r="B271" s="29"/>
      <c r="C271" s="65" t="str">
        <f>IFERROR(__xludf.DUMMYFUNCTION("""COMPUTED_VALUE"""),"")</f>
        <v/>
      </c>
      <c r="D271" s="29"/>
      <c r="G271" s="65"/>
    </row>
    <row r="272">
      <c r="A272" s="29"/>
      <c r="B272" s="29"/>
      <c r="C272" s="65" t="str">
        <f>IFERROR(__xludf.DUMMYFUNCTION("""COMPUTED_VALUE"""),"")</f>
        <v/>
      </c>
      <c r="D272" s="29"/>
      <c r="G272" s="65"/>
    </row>
    <row r="273">
      <c r="A273" s="29"/>
      <c r="B273" s="29"/>
      <c r="C273" s="65" t="str">
        <f>IFERROR(__xludf.DUMMYFUNCTION("""COMPUTED_VALUE"""),"")</f>
        <v/>
      </c>
      <c r="D273" s="29"/>
      <c r="G273" s="65"/>
    </row>
    <row r="274">
      <c r="A274" s="29"/>
      <c r="B274" s="29"/>
      <c r="C274" s="65" t="str">
        <f>IFERROR(__xludf.DUMMYFUNCTION("""COMPUTED_VALUE"""),"")</f>
        <v/>
      </c>
      <c r="D274" s="29"/>
      <c r="G274" s="65"/>
    </row>
    <row r="275">
      <c r="A275" s="29"/>
      <c r="B275" s="29"/>
      <c r="C275" s="65" t="str">
        <f>IFERROR(__xludf.DUMMYFUNCTION("""COMPUTED_VALUE"""),"")</f>
        <v/>
      </c>
      <c r="D275" s="29"/>
      <c r="G275" s="65"/>
    </row>
    <row r="276">
      <c r="A276" s="29"/>
      <c r="B276" s="29"/>
      <c r="C276" s="65" t="str">
        <f>IFERROR(__xludf.DUMMYFUNCTION("""COMPUTED_VALUE"""),"")</f>
        <v/>
      </c>
      <c r="D276" s="29"/>
      <c r="G276" s="65"/>
    </row>
    <row r="277">
      <c r="A277" s="29"/>
      <c r="B277" s="29"/>
      <c r="C277" s="65" t="str">
        <f>IFERROR(__xludf.DUMMYFUNCTION("""COMPUTED_VALUE"""),"")</f>
        <v/>
      </c>
      <c r="D277" s="29"/>
      <c r="G277" s="65"/>
    </row>
    <row r="278">
      <c r="A278" s="29"/>
      <c r="B278" s="29"/>
      <c r="C278" s="65" t="str">
        <f>IFERROR(__xludf.DUMMYFUNCTION("""COMPUTED_VALUE"""),"")</f>
        <v/>
      </c>
      <c r="D278" s="29"/>
      <c r="G278" s="65"/>
    </row>
    <row r="279">
      <c r="A279" s="29"/>
      <c r="B279" s="29"/>
      <c r="C279" s="65" t="str">
        <f>IFERROR(__xludf.DUMMYFUNCTION("""COMPUTED_VALUE"""),"")</f>
        <v/>
      </c>
      <c r="D279" s="29"/>
      <c r="G279" s="65"/>
    </row>
    <row r="280">
      <c r="A280" s="29"/>
      <c r="B280" s="29"/>
      <c r="C280" s="65" t="str">
        <f>IFERROR(__xludf.DUMMYFUNCTION("""COMPUTED_VALUE"""),"")</f>
        <v/>
      </c>
      <c r="D280" s="29"/>
      <c r="G280" s="65"/>
    </row>
    <row r="281">
      <c r="A281" s="29"/>
      <c r="B281" s="29"/>
      <c r="C281" s="65" t="str">
        <f>IFERROR(__xludf.DUMMYFUNCTION("""COMPUTED_VALUE"""),"")</f>
        <v/>
      </c>
      <c r="D281" s="29"/>
      <c r="G281" s="65"/>
    </row>
    <row r="282">
      <c r="A282" s="29"/>
      <c r="B282" s="29"/>
      <c r="C282" s="65" t="str">
        <f>IFERROR(__xludf.DUMMYFUNCTION("""COMPUTED_VALUE"""),"")</f>
        <v/>
      </c>
      <c r="D282" s="29"/>
      <c r="G282" s="65"/>
    </row>
    <row r="283">
      <c r="A283" s="29"/>
      <c r="B283" s="29"/>
      <c r="C283" s="65" t="str">
        <f>IFERROR(__xludf.DUMMYFUNCTION("""COMPUTED_VALUE"""),"")</f>
        <v/>
      </c>
      <c r="D283" s="29"/>
      <c r="G283" s="65"/>
    </row>
    <row r="284">
      <c r="A284" s="29"/>
      <c r="B284" s="29"/>
      <c r="C284" s="65" t="str">
        <f>IFERROR(__xludf.DUMMYFUNCTION("""COMPUTED_VALUE"""),"")</f>
        <v/>
      </c>
      <c r="D284" s="29"/>
      <c r="G284" s="65"/>
    </row>
    <row r="285">
      <c r="A285" s="29"/>
      <c r="B285" s="29"/>
      <c r="C285" s="65" t="str">
        <f>IFERROR(__xludf.DUMMYFUNCTION("""COMPUTED_VALUE"""),"")</f>
        <v/>
      </c>
      <c r="D285" s="29"/>
      <c r="G285" s="65"/>
    </row>
    <row r="286">
      <c r="A286" s="29"/>
      <c r="B286" s="29"/>
      <c r="C286" s="65" t="str">
        <f>IFERROR(__xludf.DUMMYFUNCTION("""COMPUTED_VALUE"""),"")</f>
        <v/>
      </c>
      <c r="D286" s="29"/>
      <c r="G286" s="65"/>
    </row>
    <row r="287">
      <c r="A287" s="29"/>
      <c r="B287" s="29"/>
      <c r="C287" s="65" t="str">
        <f>IFERROR(__xludf.DUMMYFUNCTION("""COMPUTED_VALUE"""),"")</f>
        <v/>
      </c>
      <c r="D287" s="29"/>
      <c r="G287" s="65"/>
    </row>
    <row r="288">
      <c r="A288" s="29"/>
      <c r="B288" s="29"/>
      <c r="C288" s="65" t="str">
        <f>IFERROR(__xludf.DUMMYFUNCTION("""COMPUTED_VALUE"""),"")</f>
        <v/>
      </c>
      <c r="D288" s="29"/>
      <c r="G288" s="65"/>
    </row>
    <row r="289">
      <c r="A289" s="29"/>
      <c r="B289" s="29"/>
      <c r="C289" s="65" t="str">
        <f>IFERROR(__xludf.DUMMYFUNCTION("""COMPUTED_VALUE"""),"")</f>
        <v/>
      </c>
      <c r="D289" s="29"/>
      <c r="G289" s="65"/>
    </row>
    <row r="290">
      <c r="A290" s="29"/>
      <c r="B290" s="29"/>
      <c r="C290" s="65" t="str">
        <f>IFERROR(__xludf.DUMMYFUNCTION("""COMPUTED_VALUE"""),"")</f>
        <v/>
      </c>
      <c r="D290" s="29"/>
      <c r="G290" s="65"/>
    </row>
    <row r="291">
      <c r="A291" s="29"/>
      <c r="B291" s="29"/>
      <c r="C291" s="65" t="str">
        <f>IFERROR(__xludf.DUMMYFUNCTION("""COMPUTED_VALUE"""),"")</f>
        <v/>
      </c>
      <c r="D291" s="29"/>
      <c r="G291" s="65"/>
    </row>
    <row r="292">
      <c r="A292" s="29"/>
      <c r="B292" s="29"/>
      <c r="C292" s="65" t="str">
        <f>IFERROR(__xludf.DUMMYFUNCTION("""COMPUTED_VALUE"""),"")</f>
        <v/>
      </c>
      <c r="D292" s="29"/>
      <c r="G292" s="65"/>
    </row>
    <row r="293">
      <c r="A293" s="29"/>
      <c r="B293" s="29"/>
      <c r="C293" s="65" t="str">
        <f>IFERROR(__xludf.DUMMYFUNCTION("""COMPUTED_VALUE"""),"")</f>
        <v/>
      </c>
      <c r="D293" s="29"/>
      <c r="G293" s="65"/>
    </row>
    <row r="294">
      <c r="A294" s="29"/>
      <c r="B294" s="29"/>
      <c r="C294" s="65" t="str">
        <f>IFERROR(__xludf.DUMMYFUNCTION("""COMPUTED_VALUE"""),"")</f>
        <v/>
      </c>
      <c r="D294" s="29"/>
      <c r="G294" s="65"/>
    </row>
    <row r="295">
      <c r="A295" s="29"/>
      <c r="B295" s="29"/>
      <c r="C295" s="65" t="str">
        <f>IFERROR(__xludf.DUMMYFUNCTION("""COMPUTED_VALUE"""),"")</f>
        <v/>
      </c>
      <c r="D295" s="29"/>
      <c r="G295" s="65"/>
    </row>
    <row r="296">
      <c r="A296" s="29"/>
      <c r="B296" s="29"/>
      <c r="C296" s="65" t="str">
        <f>IFERROR(__xludf.DUMMYFUNCTION("""COMPUTED_VALUE"""),"")</f>
        <v/>
      </c>
      <c r="D296" s="29"/>
      <c r="G296" s="65"/>
    </row>
    <row r="297">
      <c r="A297" s="29"/>
      <c r="B297" s="29"/>
      <c r="C297" s="65" t="str">
        <f>IFERROR(__xludf.DUMMYFUNCTION("""COMPUTED_VALUE"""),"")</f>
        <v/>
      </c>
      <c r="D297" s="29"/>
      <c r="G297" s="65"/>
    </row>
    <row r="298">
      <c r="A298" s="29"/>
      <c r="B298" s="29"/>
      <c r="C298" s="65" t="str">
        <f>IFERROR(__xludf.DUMMYFUNCTION("""COMPUTED_VALUE"""),"")</f>
        <v/>
      </c>
      <c r="D298" s="29"/>
      <c r="G298" s="65"/>
    </row>
    <row r="299">
      <c r="A299" s="29"/>
      <c r="B299" s="29"/>
      <c r="C299" s="65" t="str">
        <f>IFERROR(__xludf.DUMMYFUNCTION("""COMPUTED_VALUE"""),"")</f>
        <v/>
      </c>
      <c r="D299" s="29"/>
      <c r="G299" s="65"/>
    </row>
    <row r="300">
      <c r="A300" s="29"/>
      <c r="B300" s="29"/>
      <c r="C300" s="65" t="str">
        <f>IFERROR(__xludf.DUMMYFUNCTION("""COMPUTED_VALUE"""),"")</f>
        <v/>
      </c>
      <c r="D300" s="29"/>
      <c r="G300" s="65"/>
    </row>
    <row r="301">
      <c r="A301" s="29"/>
      <c r="B301" s="29"/>
      <c r="C301" s="65" t="str">
        <f>IFERROR(__xludf.DUMMYFUNCTION("""COMPUTED_VALUE"""),"")</f>
        <v/>
      </c>
      <c r="D301" s="29"/>
      <c r="G301" s="65"/>
    </row>
    <row r="302">
      <c r="A302" s="29"/>
      <c r="B302" s="29"/>
      <c r="C302" s="65" t="str">
        <f>IFERROR(__xludf.DUMMYFUNCTION("""COMPUTED_VALUE"""),"")</f>
        <v/>
      </c>
      <c r="D302" s="29"/>
      <c r="G302" s="65"/>
    </row>
    <row r="303">
      <c r="A303" s="29"/>
      <c r="B303" s="29"/>
      <c r="C303" s="65" t="str">
        <f>IFERROR(__xludf.DUMMYFUNCTION("""COMPUTED_VALUE"""),"")</f>
        <v/>
      </c>
      <c r="D303" s="29"/>
      <c r="G303" s="65"/>
    </row>
    <row r="304">
      <c r="A304" s="29"/>
      <c r="B304" s="29"/>
      <c r="C304" s="65" t="str">
        <f>IFERROR(__xludf.DUMMYFUNCTION("""COMPUTED_VALUE"""),"")</f>
        <v/>
      </c>
      <c r="D304" s="29"/>
      <c r="G304" s="65"/>
    </row>
    <row r="305">
      <c r="A305" s="29"/>
      <c r="B305" s="29"/>
      <c r="C305" s="65" t="str">
        <f>IFERROR(__xludf.DUMMYFUNCTION("""COMPUTED_VALUE"""),"")</f>
        <v/>
      </c>
      <c r="D305" s="29"/>
      <c r="G305" s="65"/>
    </row>
    <row r="306">
      <c r="A306" s="29"/>
      <c r="B306" s="29"/>
      <c r="C306" s="65" t="str">
        <f>IFERROR(__xludf.DUMMYFUNCTION("""COMPUTED_VALUE"""),"")</f>
        <v/>
      </c>
      <c r="D306" s="29"/>
      <c r="G306" s="65"/>
    </row>
    <row r="307">
      <c r="A307" s="29"/>
      <c r="B307" s="29"/>
      <c r="C307" s="65" t="str">
        <f>IFERROR(__xludf.DUMMYFUNCTION("""COMPUTED_VALUE"""),"")</f>
        <v/>
      </c>
      <c r="D307" s="29"/>
      <c r="G307" s="65"/>
    </row>
    <row r="308">
      <c r="A308" s="29"/>
      <c r="B308" s="29"/>
      <c r="C308" s="65" t="str">
        <f>IFERROR(__xludf.DUMMYFUNCTION("""COMPUTED_VALUE"""),"")</f>
        <v/>
      </c>
      <c r="D308" s="29"/>
      <c r="G308" s="65"/>
    </row>
    <row r="309">
      <c r="A309" s="29"/>
      <c r="B309" s="29"/>
      <c r="C309" s="65" t="str">
        <f>IFERROR(__xludf.DUMMYFUNCTION("""COMPUTED_VALUE"""),"")</f>
        <v/>
      </c>
      <c r="D309" s="29"/>
      <c r="G309" s="65"/>
    </row>
    <row r="310">
      <c r="A310" s="29"/>
      <c r="B310" s="29"/>
      <c r="C310" s="65" t="str">
        <f>IFERROR(__xludf.DUMMYFUNCTION("""COMPUTED_VALUE"""),"")</f>
        <v/>
      </c>
      <c r="D310" s="29"/>
      <c r="G310" s="65"/>
    </row>
    <row r="311">
      <c r="A311" s="29"/>
      <c r="B311" s="29"/>
      <c r="C311" s="65" t="str">
        <f>IFERROR(__xludf.DUMMYFUNCTION("""COMPUTED_VALUE"""),"")</f>
        <v/>
      </c>
      <c r="D311" s="29"/>
      <c r="G311" s="65"/>
    </row>
    <row r="312">
      <c r="A312" s="29"/>
      <c r="B312" s="29"/>
      <c r="C312" s="65" t="str">
        <f>IFERROR(__xludf.DUMMYFUNCTION("""COMPUTED_VALUE"""),"")</f>
        <v/>
      </c>
      <c r="D312" s="29"/>
      <c r="G312" s="65"/>
    </row>
    <row r="313">
      <c r="A313" s="29"/>
      <c r="B313" s="29"/>
      <c r="C313" s="65" t="str">
        <f>IFERROR(__xludf.DUMMYFUNCTION("""COMPUTED_VALUE"""),"")</f>
        <v/>
      </c>
      <c r="D313" s="29"/>
      <c r="G313" s="65"/>
    </row>
    <row r="314">
      <c r="A314" s="29"/>
      <c r="B314" s="29"/>
      <c r="C314" s="65" t="str">
        <f>IFERROR(__xludf.DUMMYFUNCTION("""COMPUTED_VALUE"""),"")</f>
        <v/>
      </c>
      <c r="D314" s="29"/>
      <c r="G314" s="65"/>
    </row>
    <row r="315">
      <c r="A315" s="29"/>
      <c r="B315" s="29"/>
      <c r="C315" s="65" t="str">
        <f>IFERROR(__xludf.DUMMYFUNCTION("""COMPUTED_VALUE"""),"")</f>
        <v/>
      </c>
      <c r="D315" s="29"/>
      <c r="G315" s="65"/>
    </row>
    <row r="316">
      <c r="A316" s="29"/>
      <c r="B316" s="29"/>
      <c r="C316" s="65" t="str">
        <f>IFERROR(__xludf.DUMMYFUNCTION("""COMPUTED_VALUE"""),"")</f>
        <v/>
      </c>
      <c r="D316" s="29"/>
      <c r="G316" s="65"/>
    </row>
    <row r="317">
      <c r="A317" s="29"/>
      <c r="B317" s="29"/>
      <c r="C317" s="65" t="str">
        <f>IFERROR(__xludf.DUMMYFUNCTION("""COMPUTED_VALUE"""),"")</f>
        <v/>
      </c>
      <c r="D317" s="29"/>
      <c r="G317" s="65"/>
    </row>
    <row r="318">
      <c r="A318" s="29"/>
      <c r="B318" s="29"/>
      <c r="C318" s="65" t="str">
        <f>IFERROR(__xludf.DUMMYFUNCTION("""COMPUTED_VALUE"""),"")</f>
        <v/>
      </c>
      <c r="D318" s="29"/>
      <c r="G318" s="65"/>
    </row>
    <row r="319">
      <c r="A319" s="29"/>
      <c r="B319" s="29"/>
      <c r="C319" s="65" t="str">
        <f>IFERROR(__xludf.DUMMYFUNCTION("""COMPUTED_VALUE"""),"")</f>
        <v/>
      </c>
      <c r="D319" s="29"/>
      <c r="G319" s="65"/>
    </row>
    <row r="320">
      <c r="A320" s="29"/>
      <c r="B320" s="29"/>
      <c r="C320" s="65" t="str">
        <f>IFERROR(__xludf.DUMMYFUNCTION("""COMPUTED_VALUE"""),"")</f>
        <v/>
      </c>
      <c r="D320" s="29"/>
      <c r="G320" s="65"/>
    </row>
    <row r="321">
      <c r="A321" s="29"/>
      <c r="B321" s="29"/>
      <c r="C321" s="65" t="str">
        <f>IFERROR(__xludf.DUMMYFUNCTION("""COMPUTED_VALUE"""),"")</f>
        <v/>
      </c>
      <c r="D321" s="29"/>
      <c r="G321" s="65"/>
    </row>
    <row r="322">
      <c r="A322" s="29"/>
      <c r="B322" s="29"/>
      <c r="C322" s="65" t="str">
        <f>IFERROR(__xludf.DUMMYFUNCTION("""COMPUTED_VALUE"""),"")</f>
        <v/>
      </c>
      <c r="D322" s="29"/>
      <c r="G322" s="65"/>
    </row>
    <row r="323">
      <c r="A323" s="29"/>
      <c r="B323" s="29"/>
      <c r="C323" s="65" t="str">
        <f>IFERROR(__xludf.DUMMYFUNCTION("""COMPUTED_VALUE"""),"")</f>
        <v/>
      </c>
      <c r="D323" s="29"/>
      <c r="G323" s="65"/>
    </row>
    <row r="324">
      <c r="A324" s="29"/>
      <c r="B324" s="29"/>
      <c r="C324" s="65" t="str">
        <f>IFERROR(__xludf.DUMMYFUNCTION("""COMPUTED_VALUE"""),"")</f>
        <v/>
      </c>
      <c r="D324" s="29"/>
      <c r="G324" s="65"/>
    </row>
    <row r="325">
      <c r="A325" s="29"/>
      <c r="B325" s="29"/>
      <c r="C325" s="65" t="str">
        <f>IFERROR(__xludf.DUMMYFUNCTION("""COMPUTED_VALUE"""),"")</f>
        <v/>
      </c>
      <c r="D325" s="29"/>
      <c r="G325" s="65"/>
    </row>
    <row r="326">
      <c r="A326" s="29"/>
      <c r="B326" s="29"/>
      <c r="C326" s="65" t="str">
        <f>IFERROR(__xludf.DUMMYFUNCTION("""COMPUTED_VALUE"""),"")</f>
        <v/>
      </c>
      <c r="D326" s="29"/>
      <c r="G326" s="65"/>
    </row>
    <row r="327">
      <c r="A327" s="29"/>
      <c r="B327" s="29"/>
      <c r="C327" s="65" t="str">
        <f>IFERROR(__xludf.DUMMYFUNCTION("""COMPUTED_VALUE"""),"")</f>
        <v/>
      </c>
      <c r="D327" s="29"/>
      <c r="G327" s="65"/>
    </row>
    <row r="328">
      <c r="A328" s="29"/>
      <c r="B328" s="29"/>
      <c r="C328" s="65" t="str">
        <f>IFERROR(__xludf.DUMMYFUNCTION("""COMPUTED_VALUE"""),"")</f>
        <v/>
      </c>
      <c r="D328" s="29"/>
      <c r="G328" s="65"/>
    </row>
    <row r="329">
      <c r="A329" s="29"/>
      <c r="B329" s="29"/>
      <c r="C329" s="65" t="str">
        <f>IFERROR(__xludf.DUMMYFUNCTION("""COMPUTED_VALUE"""),"")</f>
        <v/>
      </c>
      <c r="D329" s="29"/>
      <c r="G329" s="65"/>
    </row>
    <row r="330">
      <c r="A330" s="29"/>
      <c r="B330" s="29"/>
      <c r="C330" s="65" t="str">
        <f>IFERROR(__xludf.DUMMYFUNCTION("""COMPUTED_VALUE"""),"")</f>
        <v/>
      </c>
      <c r="D330" s="29"/>
      <c r="G330" s="65"/>
    </row>
    <row r="331">
      <c r="A331" s="29"/>
      <c r="B331" s="29"/>
      <c r="C331" s="65" t="str">
        <f>IFERROR(__xludf.DUMMYFUNCTION("""COMPUTED_VALUE"""),"")</f>
        <v/>
      </c>
      <c r="D331" s="29"/>
      <c r="G331" s="65"/>
    </row>
    <row r="332">
      <c r="A332" s="29"/>
      <c r="B332" s="29"/>
      <c r="C332" s="65" t="str">
        <f>IFERROR(__xludf.DUMMYFUNCTION("""COMPUTED_VALUE"""),"")</f>
        <v/>
      </c>
      <c r="D332" s="29"/>
      <c r="G332" s="65"/>
    </row>
    <row r="333">
      <c r="A333" s="29"/>
      <c r="B333" s="29"/>
      <c r="C333" s="65" t="str">
        <f>IFERROR(__xludf.DUMMYFUNCTION("""COMPUTED_VALUE"""),"")</f>
        <v/>
      </c>
      <c r="D333" s="29"/>
      <c r="G333" s="65"/>
    </row>
    <row r="334">
      <c r="A334" s="29"/>
      <c r="B334" s="29"/>
      <c r="C334" s="65" t="str">
        <f>IFERROR(__xludf.DUMMYFUNCTION("""COMPUTED_VALUE"""),"")</f>
        <v/>
      </c>
      <c r="D334" s="29"/>
      <c r="G334" s="65"/>
    </row>
    <row r="335">
      <c r="A335" s="29"/>
      <c r="B335" s="29"/>
      <c r="C335" s="65" t="str">
        <f>IFERROR(__xludf.DUMMYFUNCTION("""COMPUTED_VALUE"""),"")</f>
        <v/>
      </c>
      <c r="D335" s="29"/>
      <c r="G335" s="65"/>
    </row>
    <row r="336">
      <c r="A336" s="29"/>
      <c r="B336" s="29"/>
      <c r="C336" s="65" t="str">
        <f>IFERROR(__xludf.DUMMYFUNCTION("""COMPUTED_VALUE"""),"")</f>
        <v/>
      </c>
      <c r="D336" s="29"/>
      <c r="G336" s="65"/>
    </row>
    <row r="337">
      <c r="A337" s="29"/>
      <c r="B337" s="29"/>
      <c r="C337" s="65" t="str">
        <f>IFERROR(__xludf.DUMMYFUNCTION("""COMPUTED_VALUE"""),"")</f>
        <v/>
      </c>
      <c r="D337" s="29"/>
      <c r="G337" s="65"/>
    </row>
    <row r="338">
      <c r="A338" s="29"/>
      <c r="B338" s="29"/>
      <c r="C338" s="65" t="str">
        <f>IFERROR(__xludf.DUMMYFUNCTION("""COMPUTED_VALUE"""),"")</f>
        <v/>
      </c>
      <c r="D338" s="29"/>
      <c r="G338" s="65"/>
    </row>
    <row r="339">
      <c r="A339" s="29"/>
      <c r="B339" s="29"/>
      <c r="C339" s="65" t="str">
        <f>IFERROR(__xludf.DUMMYFUNCTION("""COMPUTED_VALUE"""),"")</f>
        <v/>
      </c>
      <c r="D339" s="29"/>
      <c r="G339" s="65"/>
    </row>
    <row r="340">
      <c r="A340" s="29"/>
      <c r="B340" s="29"/>
      <c r="C340" s="65" t="str">
        <f>IFERROR(__xludf.DUMMYFUNCTION("""COMPUTED_VALUE"""),"")</f>
        <v/>
      </c>
      <c r="D340" s="29"/>
      <c r="G340" s="65"/>
    </row>
    <row r="341">
      <c r="A341" s="29"/>
      <c r="B341" s="29"/>
      <c r="C341" s="65" t="str">
        <f>IFERROR(__xludf.DUMMYFUNCTION("""COMPUTED_VALUE"""),"")</f>
        <v/>
      </c>
      <c r="D341" s="29"/>
      <c r="G341" s="65"/>
    </row>
    <row r="342">
      <c r="A342" s="29"/>
      <c r="B342" s="29"/>
      <c r="C342" s="65" t="str">
        <f>IFERROR(__xludf.DUMMYFUNCTION("""COMPUTED_VALUE"""),"")</f>
        <v/>
      </c>
      <c r="D342" s="29"/>
      <c r="G342" s="65"/>
    </row>
    <row r="343">
      <c r="A343" s="29"/>
      <c r="B343" s="29"/>
      <c r="C343" s="65" t="str">
        <f>IFERROR(__xludf.DUMMYFUNCTION("""COMPUTED_VALUE"""),"")</f>
        <v/>
      </c>
      <c r="D343" s="29"/>
      <c r="G343" s="65"/>
    </row>
    <row r="344">
      <c r="A344" s="29"/>
      <c r="B344" s="29"/>
      <c r="C344" s="65" t="str">
        <f>IFERROR(__xludf.DUMMYFUNCTION("""COMPUTED_VALUE"""),"")</f>
        <v/>
      </c>
      <c r="D344" s="29"/>
      <c r="G344" s="65"/>
    </row>
    <row r="345">
      <c r="A345" s="29"/>
      <c r="B345" s="29"/>
      <c r="C345" s="65" t="str">
        <f>IFERROR(__xludf.DUMMYFUNCTION("""COMPUTED_VALUE"""),"")</f>
        <v/>
      </c>
      <c r="D345" s="29"/>
      <c r="G345" s="65"/>
    </row>
    <row r="346">
      <c r="A346" s="29"/>
      <c r="B346" s="29"/>
      <c r="C346" s="65" t="str">
        <f>IFERROR(__xludf.DUMMYFUNCTION("""COMPUTED_VALUE"""),"")</f>
        <v/>
      </c>
      <c r="D346" s="29"/>
      <c r="G346" s="65"/>
    </row>
    <row r="347">
      <c r="A347" s="29"/>
      <c r="B347" s="29"/>
      <c r="C347" s="65" t="str">
        <f>IFERROR(__xludf.DUMMYFUNCTION("""COMPUTED_VALUE"""),"")</f>
        <v/>
      </c>
      <c r="D347" s="29"/>
      <c r="G347" s="65"/>
    </row>
    <row r="348">
      <c r="A348" s="29"/>
      <c r="B348" s="29"/>
      <c r="C348" s="65" t="str">
        <f>IFERROR(__xludf.DUMMYFUNCTION("""COMPUTED_VALUE"""),"")</f>
        <v/>
      </c>
      <c r="D348" s="29"/>
      <c r="G348" s="65"/>
    </row>
    <row r="349">
      <c r="A349" s="29"/>
      <c r="B349" s="29"/>
      <c r="C349" s="65" t="str">
        <f>IFERROR(__xludf.DUMMYFUNCTION("""COMPUTED_VALUE"""),"")</f>
        <v/>
      </c>
      <c r="D349" s="29"/>
      <c r="G349" s="65"/>
    </row>
    <row r="350">
      <c r="A350" s="29"/>
      <c r="B350" s="29"/>
      <c r="C350" s="65" t="str">
        <f>IFERROR(__xludf.DUMMYFUNCTION("""COMPUTED_VALUE"""),"")</f>
        <v/>
      </c>
      <c r="D350" s="29"/>
      <c r="G350" s="65"/>
    </row>
    <row r="351">
      <c r="A351" s="29"/>
      <c r="B351" s="29"/>
      <c r="C351" s="65" t="str">
        <f>IFERROR(__xludf.DUMMYFUNCTION("""COMPUTED_VALUE"""),"")</f>
        <v/>
      </c>
      <c r="D351" s="29"/>
      <c r="G351" s="65"/>
    </row>
    <row r="352">
      <c r="A352" s="29"/>
      <c r="B352" s="29"/>
      <c r="C352" s="65" t="str">
        <f>IFERROR(__xludf.DUMMYFUNCTION("""COMPUTED_VALUE"""),"")</f>
        <v/>
      </c>
      <c r="D352" s="29"/>
      <c r="G352" s="65"/>
    </row>
    <row r="353">
      <c r="A353" s="29"/>
      <c r="B353" s="29"/>
      <c r="C353" s="65" t="str">
        <f>IFERROR(__xludf.DUMMYFUNCTION("""COMPUTED_VALUE"""),"")</f>
        <v/>
      </c>
      <c r="D353" s="29"/>
      <c r="G353" s="65"/>
    </row>
    <row r="354">
      <c r="A354" s="29"/>
      <c r="B354" s="29"/>
      <c r="C354" s="65" t="str">
        <f>IFERROR(__xludf.DUMMYFUNCTION("""COMPUTED_VALUE"""),"")</f>
        <v/>
      </c>
      <c r="D354" s="29"/>
      <c r="G354" s="65"/>
    </row>
    <row r="355">
      <c r="A355" s="29"/>
      <c r="B355" s="29"/>
      <c r="C355" s="65" t="str">
        <f>IFERROR(__xludf.DUMMYFUNCTION("""COMPUTED_VALUE"""),"")</f>
        <v/>
      </c>
      <c r="D355" s="29"/>
      <c r="G355" s="65"/>
    </row>
    <row r="356">
      <c r="A356" s="29"/>
      <c r="B356" s="29"/>
      <c r="C356" s="65" t="str">
        <f>IFERROR(__xludf.DUMMYFUNCTION("""COMPUTED_VALUE"""),"")</f>
        <v/>
      </c>
      <c r="D356" s="29"/>
      <c r="G356" s="65"/>
    </row>
    <row r="357">
      <c r="A357" s="29"/>
      <c r="B357" s="29"/>
      <c r="C357" s="65" t="str">
        <f>IFERROR(__xludf.DUMMYFUNCTION("""COMPUTED_VALUE"""),"")</f>
        <v/>
      </c>
      <c r="D357" s="29"/>
      <c r="G357" s="65"/>
    </row>
    <row r="358">
      <c r="A358" s="29"/>
      <c r="B358" s="29"/>
      <c r="C358" s="65" t="str">
        <f>IFERROR(__xludf.DUMMYFUNCTION("""COMPUTED_VALUE"""),"")</f>
        <v/>
      </c>
      <c r="D358" s="29"/>
      <c r="G358" s="65"/>
    </row>
    <row r="359">
      <c r="A359" s="29"/>
      <c r="B359" s="29"/>
      <c r="C359" s="65" t="str">
        <f>IFERROR(__xludf.DUMMYFUNCTION("""COMPUTED_VALUE"""),"")</f>
        <v/>
      </c>
      <c r="D359" s="29"/>
      <c r="G359" s="65"/>
    </row>
    <row r="360">
      <c r="A360" s="29"/>
      <c r="B360" s="29"/>
      <c r="C360" s="65" t="str">
        <f>IFERROR(__xludf.DUMMYFUNCTION("""COMPUTED_VALUE"""),"")</f>
        <v/>
      </c>
      <c r="D360" s="29"/>
      <c r="G360" s="65"/>
    </row>
    <row r="361">
      <c r="A361" s="29"/>
      <c r="B361" s="29"/>
      <c r="C361" s="65" t="str">
        <f>IFERROR(__xludf.DUMMYFUNCTION("""COMPUTED_VALUE"""),"")</f>
        <v/>
      </c>
      <c r="D361" s="29"/>
      <c r="G361" s="65"/>
    </row>
    <row r="362">
      <c r="A362" s="29"/>
      <c r="B362" s="29"/>
      <c r="C362" s="65" t="str">
        <f>IFERROR(__xludf.DUMMYFUNCTION("""COMPUTED_VALUE"""),"")</f>
        <v/>
      </c>
      <c r="D362" s="29"/>
      <c r="G362" s="65"/>
    </row>
    <row r="363">
      <c r="A363" s="29"/>
      <c r="B363" s="29"/>
      <c r="C363" s="65" t="str">
        <f>IFERROR(__xludf.DUMMYFUNCTION("""COMPUTED_VALUE"""),"")</f>
        <v/>
      </c>
      <c r="D363" s="29"/>
      <c r="G363" s="65"/>
    </row>
    <row r="364">
      <c r="A364" s="29"/>
      <c r="B364" s="29"/>
      <c r="C364" s="65" t="str">
        <f>IFERROR(__xludf.DUMMYFUNCTION("""COMPUTED_VALUE"""),"")</f>
        <v/>
      </c>
      <c r="D364" s="29"/>
      <c r="G364" s="65"/>
    </row>
    <row r="365">
      <c r="A365" s="29"/>
      <c r="B365" s="29"/>
      <c r="C365" s="65" t="str">
        <f>IFERROR(__xludf.DUMMYFUNCTION("""COMPUTED_VALUE"""),"")</f>
        <v/>
      </c>
      <c r="D365" s="29"/>
      <c r="G365" s="65"/>
    </row>
    <row r="366">
      <c r="A366" s="29"/>
      <c r="B366" s="29"/>
      <c r="C366" s="65" t="str">
        <f>IFERROR(__xludf.DUMMYFUNCTION("""COMPUTED_VALUE"""),"")</f>
        <v/>
      </c>
      <c r="D366" s="29"/>
      <c r="G366" s="65"/>
    </row>
    <row r="367">
      <c r="A367" s="29"/>
      <c r="B367" s="29"/>
      <c r="C367" s="65" t="str">
        <f>IFERROR(__xludf.DUMMYFUNCTION("""COMPUTED_VALUE"""),"")</f>
        <v/>
      </c>
      <c r="D367" s="29"/>
      <c r="G367" s="65"/>
    </row>
    <row r="368">
      <c r="A368" s="29"/>
      <c r="B368" s="29"/>
      <c r="C368" s="65" t="str">
        <f>IFERROR(__xludf.DUMMYFUNCTION("""COMPUTED_VALUE"""),"")</f>
        <v/>
      </c>
      <c r="D368" s="29"/>
      <c r="G368" s="65"/>
    </row>
    <row r="369">
      <c r="A369" s="29"/>
      <c r="B369" s="29"/>
      <c r="C369" s="65" t="str">
        <f>IFERROR(__xludf.DUMMYFUNCTION("""COMPUTED_VALUE"""),"")</f>
        <v/>
      </c>
      <c r="D369" s="29"/>
      <c r="G369" s="65"/>
    </row>
    <row r="370">
      <c r="A370" s="29"/>
      <c r="B370" s="29"/>
      <c r="C370" s="65" t="str">
        <f>IFERROR(__xludf.DUMMYFUNCTION("""COMPUTED_VALUE"""),"")</f>
        <v/>
      </c>
      <c r="D370" s="29"/>
      <c r="G370" s="65"/>
    </row>
    <row r="371">
      <c r="A371" s="29"/>
      <c r="B371" s="29"/>
      <c r="C371" s="65" t="str">
        <f>IFERROR(__xludf.DUMMYFUNCTION("""COMPUTED_VALUE"""),"")</f>
        <v/>
      </c>
      <c r="D371" s="29"/>
      <c r="G371" s="65"/>
    </row>
    <row r="372">
      <c r="A372" s="29"/>
      <c r="B372" s="29"/>
      <c r="C372" s="65" t="str">
        <f>IFERROR(__xludf.DUMMYFUNCTION("""COMPUTED_VALUE"""),"")</f>
        <v/>
      </c>
      <c r="D372" s="29"/>
      <c r="G372" s="65"/>
    </row>
    <row r="373">
      <c r="A373" s="29"/>
      <c r="B373" s="29"/>
      <c r="C373" s="65" t="str">
        <f>IFERROR(__xludf.DUMMYFUNCTION("""COMPUTED_VALUE"""),"")</f>
        <v/>
      </c>
      <c r="D373" s="29"/>
      <c r="G373" s="65"/>
    </row>
    <row r="374">
      <c r="A374" s="29"/>
      <c r="B374" s="29"/>
      <c r="C374" s="65" t="str">
        <f>IFERROR(__xludf.DUMMYFUNCTION("""COMPUTED_VALUE"""),"")</f>
        <v/>
      </c>
      <c r="D374" s="29"/>
      <c r="G374" s="65"/>
    </row>
    <row r="375">
      <c r="A375" s="29"/>
      <c r="B375" s="29"/>
      <c r="C375" s="65" t="str">
        <f>IFERROR(__xludf.DUMMYFUNCTION("""COMPUTED_VALUE"""),"")</f>
        <v/>
      </c>
      <c r="D375" s="29"/>
      <c r="G375" s="65"/>
    </row>
    <row r="376">
      <c r="A376" s="29"/>
      <c r="B376" s="29"/>
      <c r="C376" s="65" t="str">
        <f>IFERROR(__xludf.DUMMYFUNCTION("""COMPUTED_VALUE"""),"")</f>
        <v/>
      </c>
      <c r="D376" s="29"/>
      <c r="G376" s="65"/>
    </row>
    <row r="377">
      <c r="A377" s="29"/>
      <c r="B377" s="29"/>
      <c r="C377" s="65" t="str">
        <f>IFERROR(__xludf.DUMMYFUNCTION("""COMPUTED_VALUE"""),"")</f>
        <v/>
      </c>
      <c r="D377" s="29"/>
      <c r="G377" s="65"/>
    </row>
    <row r="378">
      <c r="A378" s="29"/>
      <c r="B378" s="29"/>
      <c r="C378" s="65" t="str">
        <f>IFERROR(__xludf.DUMMYFUNCTION("""COMPUTED_VALUE"""),"")</f>
        <v/>
      </c>
      <c r="D378" s="29"/>
      <c r="G378" s="65"/>
    </row>
    <row r="379">
      <c r="A379" s="29"/>
      <c r="B379" s="29"/>
      <c r="C379" s="65" t="str">
        <f>IFERROR(__xludf.DUMMYFUNCTION("""COMPUTED_VALUE"""),"")</f>
        <v/>
      </c>
      <c r="D379" s="29"/>
      <c r="G379" s="65"/>
    </row>
    <row r="380">
      <c r="A380" s="29"/>
      <c r="B380" s="29"/>
      <c r="C380" s="65" t="str">
        <f>IFERROR(__xludf.DUMMYFUNCTION("""COMPUTED_VALUE"""),"")</f>
        <v/>
      </c>
      <c r="D380" s="29"/>
      <c r="G380" s="65"/>
    </row>
    <row r="381">
      <c r="A381" s="29"/>
      <c r="B381" s="29"/>
      <c r="C381" s="65" t="str">
        <f>IFERROR(__xludf.DUMMYFUNCTION("""COMPUTED_VALUE"""),"")</f>
        <v/>
      </c>
      <c r="D381" s="29"/>
      <c r="G381" s="65"/>
    </row>
    <row r="382">
      <c r="A382" s="29"/>
      <c r="B382" s="29"/>
      <c r="C382" s="65" t="str">
        <f>IFERROR(__xludf.DUMMYFUNCTION("""COMPUTED_VALUE"""),"")</f>
        <v/>
      </c>
      <c r="D382" s="29"/>
      <c r="G382" s="65"/>
    </row>
    <row r="383">
      <c r="A383" s="29"/>
      <c r="B383" s="29"/>
      <c r="C383" s="65" t="str">
        <f>IFERROR(__xludf.DUMMYFUNCTION("""COMPUTED_VALUE"""),"")</f>
        <v/>
      </c>
      <c r="D383" s="29"/>
      <c r="G383" s="65"/>
    </row>
    <row r="384">
      <c r="A384" s="29"/>
      <c r="B384" s="29"/>
      <c r="C384" s="65" t="str">
        <f>IFERROR(__xludf.DUMMYFUNCTION("""COMPUTED_VALUE"""),"")</f>
        <v/>
      </c>
      <c r="D384" s="29"/>
      <c r="G384" s="65"/>
    </row>
    <row r="385">
      <c r="A385" s="29"/>
      <c r="B385" s="29"/>
      <c r="C385" s="65" t="str">
        <f>IFERROR(__xludf.DUMMYFUNCTION("""COMPUTED_VALUE"""),"")</f>
        <v/>
      </c>
      <c r="D385" s="29"/>
      <c r="G385" s="65"/>
    </row>
    <row r="386">
      <c r="A386" s="29"/>
      <c r="B386" s="29"/>
      <c r="C386" s="65" t="str">
        <f>IFERROR(__xludf.DUMMYFUNCTION("""COMPUTED_VALUE"""),"")</f>
        <v/>
      </c>
      <c r="D386" s="29"/>
      <c r="G386" s="65"/>
    </row>
    <row r="387">
      <c r="A387" s="29"/>
      <c r="B387" s="29"/>
      <c r="C387" s="65" t="str">
        <f>IFERROR(__xludf.DUMMYFUNCTION("""COMPUTED_VALUE"""),"")</f>
        <v/>
      </c>
      <c r="D387" s="29"/>
      <c r="G387" s="65"/>
    </row>
    <row r="388">
      <c r="A388" s="29"/>
      <c r="B388" s="29"/>
      <c r="C388" s="65" t="str">
        <f>IFERROR(__xludf.DUMMYFUNCTION("""COMPUTED_VALUE"""),"")</f>
        <v/>
      </c>
      <c r="D388" s="29"/>
      <c r="G388" s="65"/>
    </row>
    <row r="389">
      <c r="A389" s="29"/>
      <c r="B389" s="29"/>
      <c r="C389" s="65" t="str">
        <f>IFERROR(__xludf.DUMMYFUNCTION("""COMPUTED_VALUE"""),"")</f>
        <v/>
      </c>
      <c r="D389" s="29"/>
      <c r="G389" s="65"/>
    </row>
    <row r="390">
      <c r="A390" s="29"/>
      <c r="B390" s="29"/>
      <c r="C390" s="65" t="str">
        <f>IFERROR(__xludf.DUMMYFUNCTION("""COMPUTED_VALUE"""),"")</f>
        <v/>
      </c>
      <c r="D390" s="29"/>
      <c r="G390" s="65"/>
    </row>
    <row r="391">
      <c r="A391" s="29"/>
      <c r="B391" s="29"/>
      <c r="C391" s="65" t="str">
        <f>IFERROR(__xludf.DUMMYFUNCTION("""COMPUTED_VALUE"""),"")</f>
        <v/>
      </c>
      <c r="D391" s="29"/>
      <c r="G391" s="65"/>
    </row>
    <row r="392">
      <c r="A392" s="29"/>
      <c r="B392" s="29"/>
      <c r="C392" s="65" t="str">
        <f>IFERROR(__xludf.DUMMYFUNCTION("""COMPUTED_VALUE"""),"")</f>
        <v/>
      </c>
      <c r="D392" s="29"/>
      <c r="G392" s="65"/>
    </row>
    <row r="393">
      <c r="A393" s="29"/>
      <c r="B393" s="29"/>
      <c r="C393" s="65" t="str">
        <f>IFERROR(__xludf.DUMMYFUNCTION("""COMPUTED_VALUE"""),"")</f>
        <v/>
      </c>
      <c r="D393" s="29"/>
      <c r="G393" s="65"/>
    </row>
    <row r="394">
      <c r="A394" s="29"/>
      <c r="B394" s="29"/>
      <c r="C394" s="65" t="str">
        <f>IFERROR(__xludf.DUMMYFUNCTION("""COMPUTED_VALUE"""),"")</f>
        <v/>
      </c>
      <c r="D394" s="29"/>
      <c r="G394" s="65"/>
    </row>
    <row r="395">
      <c r="A395" s="29"/>
      <c r="B395" s="29"/>
      <c r="C395" s="65" t="str">
        <f>IFERROR(__xludf.DUMMYFUNCTION("""COMPUTED_VALUE"""),"")</f>
        <v/>
      </c>
      <c r="D395" s="29"/>
      <c r="G395" s="65"/>
    </row>
    <row r="396">
      <c r="A396" s="29"/>
      <c r="B396" s="29"/>
      <c r="C396" s="65" t="str">
        <f>IFERROR(__xludf.DUMMYFUNCTION("""COMPUTED_VALUE"""),"")</f>
        <v/>
      </c>
      <c r="D396" s="29"/>
      <c r="G396" s="65"/>
    </row>
    <row r="397">
      <c r="A397" s="29"/>
      <c r="B397" s="29"/>
      <c r="C397" s="65" t="str">
        <f>IFERROR(__xludf.DUMMYFUNCTION("""COMPUTED_VALUE"""),"")</f>
        <v/>
      </c>
      <c r="D397" s="29"/>
      <c r="G397" s="65"/>
    </row>
    <row r="398">
      <c r="A398" s="29"/>
      <c r="B398" s="29"/>
      <c r="C398" s="65" t="str">
        <f>IFERROR(__xludf.DUMMYFUNCTION("""COMPUTED_VALUE"""),"")</f>
        <v/>
      </c>
      <c r="D398" s="29"/>
      <c r="G398" s="65"/>
    </row>
    <row r="399">
      <c r="A399" s="29"/>
      <c r="B399" s="29"/>
      <c r="C399" s="65" t="str">
        <f>IFERROR(__xludf.DUMMYFUNCTION("""COMPUTED_VALUE"""),"")</f>
        <v/>
      </c>
      <c r="D399" s="29"/>
      <c r="G399" s="65"/>
    </row>
    <row r="400">
      <c r="A400" s="29"/>
      <c r="B400" s="29"/>
      <c r="C400" s="65" t="str">
        <f>IFERROR(__xludf.DUMMYFUNCTION("""COMPUTED_VALUE"""),"")</f>
        <v/>
      </c>
      <c r="D400" s="29"/>
      <c r="G400" s="65"/>
    </row>
    <row r="401">
      <c r="A401" s="29"/>
      <c r="B401" s="29"/>
      <c r="C401" s="65" t="str">
        <f>IFERROR(__xludf.DUMMYFUNCTION("""COMPUTED_VALUE"""),"")</f>
        <v/>
      </c>
      <c r="D401" s="29"/>
      <c r="G401" s="65"/>
    </row>
    <row r="402">
      <c r="A402" s="29"/>
      <c r="B402" s="29"/>
      <c r="C402" s="65" t="str">
        <f>IFERROR(__xludf.DUMMYFUNCTION("""COMPUTED_VALUE"""),"")</f>
        <v/>
      </c>
      <c r="D402" s="29"/>
      <c r="G402" s="65"/>
    </row>
    <row r="403">
      <c r="A403" s="29"/>
      <c r="B403" s="29"/>
      <c r="C403" s="65" t="str">
        <f>IFERROR(__xludf.DUMMYFUNCTION("""COMPUTED_VALUE"""),"")</f>
        <v/>
      </c>
      <c r="D403" s="29"/>
      <c r="G403" s="65"/>
    </row>
    <row r="404">
      <c r="A404" s="29"/>
      <c r="B404" s="29"/>
      <c r="C404" s="65" t="str">
        <f>IFERROR(__xludf.DUMMYFUNCTION("""COMPUTED_VALUE"""),"")</f>
        <v/>
      </c>
      <c r="D404" s="29"/>
      <c r="G404" s="65"/>
    </row>
    <row r="405">
      <c r="A405" s="29"/>
      <c r="B405" s="29"/>
      <c r="C405" s="65" t="str">
        <f>IFERROR(__xludf.DUMMYFUNCTION("""COMPUTED_VALUE"""),"")</f>
        <v/>
      </c>
      <c r="D405" s="29"/>
      <c r="G405" s="65"/>
    </row>
    <row r="406">
      <c r="A406" s="29"/>
      <c r="B406" s="29"/>
      <c r="C406" s="65" t="str">
        <f>IFERROR(__xludf.DUMMYFUNCTION("""COMPUTED_VALUE"""),"")</f>
        <v/>
      </c>
      <c r="D406" s="29"/>
      <c r="G406" s="65"/>
    </row>
    <row r="407">
      <c r="A407" s="29"/>
      <c r="B407" s="29"/>
      <c r="C407" s="65" t="str">
        <f>IFERROR(__xludf.DUMMYFUNCTION("""COMPUTED_VALUE"""),"")</f>
        <v/>
      </c>
      <c r="D407" s="29"/>
      <c r="G407" s="65"/>
    </row>
    <row r="408">
      <c r="A408" s="29"/>
      <c r="B408" s="29"/>
      <c r="C408" s="65" t="str">
        <f>IFERROR(__xludf.DUMMYFUNCTION("""COMPUTED_VALUE"""),"")</f>
        <v/>
      </c>
      <c r="D408" s="29"/>
      <c r="G408" s="65"/>
    </row>
    <row r="409">
      <c r="A409" s="29"/>
      <c r="B409" s="29"/>
      <c r="C409" s="65" t="str">
        <f>IFERROR(__xludf.DUMMYFUNCTION("""COMPUTED_VALUE"""),"")</f>
        <v/>
      </c>
      <c r="D409" s="29"/>
      <c r="G409" s="65"/>
    </row>
    <row r="410">
      <c r="A410" s="29"/>
      <c r="B410" s="29"/>
      <c r="C410" s="65" t="str">
        <f>IFERROR(__xludf.DUMMYFUNCTION("""COMPUTED_VALUE"""),"")</f>
        <v/>
      </c>
      <c r="D410" s="29"/>
      <c r="G410" s="65"/>
    </row>
    <row r="411">
      <c r="A411" s="29"/>
      <c r="B411" s="29"/>
      <c r="C411" s="65" t="str">
        <f>IFERROR(__xludf.DUMMYFUNCTION("""COMPUTED_VALUE"""),"")</f>
        <v/>
      </c>
      <c r="D411" s="29"/>
      <c r="G411" s="65"/>
    </row>
    <row r="412">
      <c r="A412" s="29"/>
      <c r="B412" s="29"/>
      <c r="C412" s="65" t="str">
        <f>IFERROR(__xludf.DUMMYFUNCTION("""COMPUTED_VALUE"""),"")</f>
        <v/>
      </c>
      <c r="D412" s="29"/>
      <c r="G412" s="65"/>
    </row>
    <row r="413">
      <c r="A413" s="29"/>
      <c r="B413" s="29"/>
      <c r="C413" s="65" t="str">
        <f>IFERROR(__xludf.DUMMYFUNCTION("""COMPUTED_VALUE"""),"")</f>
        <v/>
      </c>
      <c r="D413" s="29"/>
      <c r="G413" s="65"/>
    </row>
    <row r="414">
      <c r="A414" s="29"/>
      <c r="B414" s="29"/>
      <c r="C414" s="65" t="str">
        <f>IFERROR(__xludf.DUMMYFUNCTION("""COMPUTED_VALUE"""),"")</f>
        <v/>
      </c>
      <c r="D414" s="29"/>
      <c r="G414" s="65"/>
    </row>
    <row r="415">
      <c r="A415" s="29"/>
      <c r="B415" s="29"/>
      <c r="C415" s="65" t="str">
        <f>IFERROR(__xludf.DUMMYFUNCTION("""COMPUTED_VALUE"""),"")</f>
        <v/>
      </c>
      <c r="D415" s="29"/>
      <c r="G415" s="65"/>
    </row>
    <row r="416">
      <c r="A416" s="29"/>
      <c r="B416" s="29"/>
      <c r="C416" s="65" t="str">
        <f>IFERROR(__xludf.DUMMYFUNCTION("""COMPUTED_VALUE"""),"")</f>
        <v/>
      </c>
      <c r="D416" s="29"/>
      <c r="G416" s="65"/>
    </row>
    <row r="417">
      <c r="A417" s="29"/>
      <c r="B417" s="29"/>
      <c r="C417" s="65" t="str">
        <f>IFERROR(__xludf.DUMMYFUNCTION("""COMPUTED_VALUE"""),"")</f>
        <v/>
      </c>
      <c r="D417" s="29"/>
      <c r="G417" s="65"/>
    </row>
    <row r="418">
      <c r="A418" s="29"/>
      <c r="B418" s="29"/>
      <c r="C418" s="65" t="str">
        <f>IFERROR(__xludf.DUMMYFUNCTION("""COMPUTED_VALUE"""),"")</f>
        <v/>
      </c>
      <c r="D418" s="29"/>
      <c r="G418" s="65"/>
    </row>
    <row r="419">
      <c r="A419" s="29"/>
      <c r="B419" s="29"/>
      <c r="C419" s="65" t="str">
        <f>IFERROR(__xludf.DUMMYFUNCTION("""COMPUTED_VALUE"""),"")</f>
        <v/>
      </c>
      <c r="D419" s="29"/>
      <c r="G419" s="65"/>
    </row>
    <row r="420">
      <c r="A420" s="29"/>
      <c r="B420" s="29"/>
      <c r="C420" s="65" t="str">
        <f>IFERROR(__xludf.DUMMYFUNCTION("""COMPUTED_VALUE"""),"")</f>
        <v/>
      </c>
      <c r="D420" s="29"/>
      <c r="G420" s="65"/>
    </row>
    <row r="421">
      <c r="A421" s="29"/>
      <c r="B421" s="29"/>
      <c r="C421" s="65" t="str">
        <f>IFERROR(__xludf.DUMMYFUNCTION("""COMPUTED_VALUE"""),"")</f>
        <v/>
      </c>
      <c r="D421" s="29"/>
      <c r="G421" s="65"/>
    </row>
    <row r="422">
      <c r="A422" s="29"/>
      <c r="B422" s="29"/>
      <c r="C422" s="65" t="str">
        <f>IFERROR(__xludf.DUMMYFUNCTION("""COMPUTED_VALUE"""),"")</f>
        <v/>
      </c>
      <c r="D422" s="29"/>
      <c r="G422" s="65"/>
    </row>
    <row r="423">
      <c r="A423" s="29"/>
      <c r="B423" s="29"/>
      <c r="C423" s="65" t="str">
        <f>IFERROR(__xludf.DUMMYFUNCTION("""COMPUTED_VALUE"""),"")</f>
        <v/>
      </c>
      <c r="D423" s="29"/>
      <c r="G423" s="65"/>
    </row>
    <row r="424">
      <c r="A424" s="29"/>
      <c r="B424" s="29"/>
      <c r="C424" s="65" t="str">
        <f>IFERROR(__xludf.DUMMYFUNCTION("""COMPUTED_VALUE"""),"")</f>
        <v/>
      </c>
      <c r="D424" s="29"/>
      <c r="G424" s="65"/>
    </row>
    <row r="425">
      <c r="A425" s="29"/>
      <c r="B425" s="29"/>
      <c r="C425" s="65" t="str">
        <f>IFERROR(__xludf.DUMMYFUNCTION("""COMPUTED_VALUE"""),"")</f>
        <v/>
      </c>
      <c r="D425" s="29"/>
      <c r="G425" s="65"/>
    </row>
    <row r="426">
      <c r="A426" s="29"/>
      <c r="B426" s="29"/>
      <c r="C426" s="65" t="str">
        <f>IFERROR(__xludf.DUMMYFUNCTION("""COMPUTED_VALUE"""),"")</f>
        <v/>
      </c>
      <c r="D426" s="29"/>
      <c r="G426" s="65"/>
    </row>
    <row r="427">
      <c r="A427" s="29"/>
      <c r="B427" s="29"/>
      <c r="C427" s="65" t="str">
        <f>IFERROR(__xludf.DUMMYFUNCTION("""COMPUTED_VALUE"""),"")</f>
        <v/>
      </c>
      <c r="D427" s="29"/>
      <c r="G427" s="65"/>
    </row>
    <row r="428">
      <c r="A428" s="29"/>
      <c r="B428" s="29"/>
      <c r="C428" s="65" t="str">
        <f>IFERROR(__xludf.DUMMYFUNCTION("""COMPUTED_VALUE"""),"")</f>
        <v/>
      </c>
      <c r="D428" s="29"/>
      <c r="G428" s="65"/>
    </row>
    <row r="429">
      <c r="A429" s="29"/>
      <c r="B429" s="29"/>
      <c r="C429" s="65" t="str">
        <f>IFERROR(__xludf.DUMMYFUNCTION("""COMPUTED_VALUE"""),"")</f>
        <v/>
      </c>
      <c r="D429" s="29"/>
      <c r="G429" s="65"/>
    </row>
    <row r="430">
      <c r="A430" s="29"/>
      <c r="B430" s="29"/>
      <c r="C430" s="65" t="str">
        <f>IFERROR(__xludf.DUMMYFUNCTION("""COMPUTED_VALUE"""),"")</f>
        <v/>
      </c>
      <c r="D430" s="29"/>
      <c r="G430" s="65"/>
    </row>
    <row r="431">
      <c r="A431" s="29"/>
      <c r="B431" s="29"/>
      <c r="C431" s="65" t="str">
        <f>IFERROR(__xludf.DUMMYFUNCTION("""COMPUTED_VALUE"""),"")</f>
        <v/>
      </c>
      <c r="D431" s="29"/>
      <c r="G431" s="65"/>
    </row>
    <row r="432">
      <c r="A432" s="29"/>
      <c r="B432" s="29"/>
      <c r="C432" s="65" t="str">
        <f>IFERROR(__xludf.DUMMYFUNCTION("""COMPUTED_VALUE"""),"")</f>
        <v/>
      </c>
      <c r="D432" s="29"/>
      <c r="G432" s="65"/>
    </row>
    <row r="433">
      <c r="A433" s="29"/>
      <c r="B433" s="29"/>
      <c r="C433" s="65" t="str">
        <f>IFERROR(__xludf.DUMMYFUNCTION("""COMPUTED_VALUE"""),"")</f>
        <v/>
      </c>
      <c r="D433" s="29"/>
      <c r="G433" s="65"/>
    </row>
    <row r="434">
      <c r="A434" s="29"/>
      <c r="B434" s="29"/>
      <c r="C434" s="65" t="str">
        <f>IFERROR(__xludf.DUMMYFUNCTION("""COMPUTED_VALUE"""),"")</f>
        <v/>
      </c>
      <c r="D434" s="29"/>
      <c r="G434" s="65"/>
    </row>
    <row r="435">
      <c r="A435" s="29"/>
      <c r="B435" s="29"/>
      <c r="C435" s="65" t="str">
        <f>IFERROR(__xludf.DUMMYFUNCTION("""COMPUTED_VALUE"""),"")</f>
        <v/>
      </c>
      <c r="D435" s="29"/>
      <c r="G435" s="65"/>
    </row>
    <row r="436">
      <c r="A436" s="29"/>
      <c r="B436" s="29"/>
      <c r="C436" s="65" t="str">
        <f>IFERROR(__xludf.DUMMYFUNCTION("""COMPUTED_VALUE"""),"")</f>
        <v/>
      </c>
      <c r="D436" s="29"/>
      <c r="G436" s="65"/>
    </row>
    <row r="437">
      <c r="A437" s="29"/>
      <c r="B437" s="29"/>
      <c r="C437" s="65" t="str">
        <f>IFERROR(__xludf.DUMMYFUNCTION("""COMPUTED_VALUE"""),"")</f>
        <v/>
      </c>
      <c r="D437" s="29"/>
      <c r="G437" s="65"/>
    </row>
    <row r="438">
      <c r="A438" s="29"/>
      <c r="B438" s="29"/>
      <c r="C438" s="65" t="str">
        <f>IFERROR(__xludf.DUMMYFUNCTION("""COMPUTED_VALUE"""),"")</f>
        <v/>
      </c>
      <c r="D438" s="29"/>
      <c r="G438" s="65"/>
    </row>
    <row r="439">
      <c r="A439" s="29"/>
      <c r="B439" s="29"/>
      <c r="C439" s="65" t="str">
        <f>IFERROR(__xludf.DUMMYFUNCTION("""COMPUTED_VALUE"""),"")</f>
        <v/>
      </c>
      <c r="D439" s="29"/>
      <c r="G439" s="65"/>
    </row>
    <row r="440">
      <c r="A440" s="29"/>
      <c r="B440" s="29"/>
      <c r="C440" s="65" t="str">
        <f>IFERROR(__xludf.DUMMYFUNCTION("""COMPUTED_VALUE"""),"")</f>
        <v/>
      </c>
      <c r="D440" s="29"/>
      <c r="G440" s="65"/>
    </row>
    <row r="441">
      <c r="A441" s="29"/>
      <c r="B441" s="29"/>
      <c r="C441" s="65" t="str">
        <f>IFERROR(__xludf.DUMMYFUNCTION("""COMPUTED_VALUE"""),"")</f>
        <v/>
      </c>
      <c r="D441" s="29"/>
      <c r="G441" s="65"/>
    </row>
    <row r="442">
      <c r="A442" s="29"/>
      <c r="B442" s="29"/>
      <c r="C442" s="65" t="str">
        <f>IFERROR(__xludf.DUMMYFUNCTION("""COMPUTED_VALUE"""),"")</f>
        <v/>
      </c>
      <c r="D442" s="29"/>
      <c r="G442" s="65"/>
    </row>
    <row r="443">
      <c r="A443" s="29"/>
      <c r="B443" s="29"/>
      <c r="C443" s="65" t="str">
        <f>IFERROR(__xludf.DUMMYFUNCTION("""COMPUTED_VALUE"""),"")</f>
        <v/>
      </c>
      <c r="D443" s="29"/>
      <c r="G443" s="65"/>
    </row>
    <row r="444">
      <c r="A444" s="29"/>
      <c r="B444" s="29"/>
      <c r="C444" s="65" t="str">
        <f>IFERROR(__xludf.DUMMYFUNCTION("""COMPUTED_VALUE"""),"")</f>
        <v/>
      </c>
      <c r="D444" s="29"/>
      <c r="G444" s="65"/>
    </row>
    <row r="445">
      <c r="A445" s="29"/>
      <c r="B445" s="29"/>
      <c r="C445" s="65" t="str">
        <f>IFERROR(__xludf.DUMMYFUNCTION("""COMPUTED_VALUE"""),"")</f>
        <v/>
      </c>
      <c r="D445" s="29"/>
      <c r="G445" s="65"/>
    </row>
    <row r="446">
      <c r="A446" s="29"/>
      <c r="B446" s="29"/>
      <c r="C446" s="65" t="str">
        <f>IFERROR(__xludf.DUMMYFUNCTION("""COMPUTED_VALUE"""),"")</f>
        <v/>
      </c>
      <c r="D446" s="29"/>
      <c r="G446" s="65"/>
    </row>
    <row r="447">
      <c r="A447" s="29"/>
      <c r="B447" s="29"/>
      <c r="C447" s="65" t="str">
        <f>IFERROR(__xludf.DUMMYFUNCTION("""COMPUTED_VALUE"""),"")</f>
        <v/>
      </c>
      <c r="D447" s="29"/>
      <c r="G447" s="65"/>
    </row>
    <row r="448">
      <c r="A448" s="29"/>
      <c r="B448" s="29"/>
      <c r="C448" s="65" t="str">
        <f>IFERROR(__xludf.DUMMYFUNCTION("""COMPUTED_VALUE"""),"")</f>
        <v/>
      </c>
      <c r="D448" s="29"/>
      <c r="G448" s="65"/>
    </row>
    <row r="449">
      <c r="A449" s="29"/>
      <c r="B449" s="29"/>
      <c r="C449" s="65" t="str">
        <f>IFERROR(__xludf.DUMMYFUNCTION("""COMPUTED_VALUE"""),"")</f>
        <v/>
      </c>
      <c r="D449" s="29"/>
      <c r="G449" s="65"/>
    </row>
    <row r="450">
      <c r="A450" s="29"/>
      <c r="B450" s="29"/>
      <c r="C450" s="65" t="str">
        <f>IFERROR(__xludf.DUMMYFUNCTION("""COMPUTED_VALUE"""),"")</f>
        <v/>
      </c>
      <c r="D450" s="29"/>
      <c r="G450" s="65"/>
    </row>
    <row r="451">
      <c r="A451" s="29"/>
      <c r="B451" s="29"/>
      <c r="C451" s="65" t="str">
        <f>IFERROR(__xludf.DUMMYFUNCTION("""COMPUTED_VALUE"""),"")</f>
        <v/>
      </c>
      <c r="D451" s="29"/>
      <c r="G451" s="65"/>
    </row>
    <row r="452">
      <c r="A452" s="29"/>
      <c r="B452" s="29"/>
      <c r="C452" s="65" t="str">
        <f>IFERROR(__xludf.DUMMYFUNCTION("""COMPUTED_VALUE"""),"")</f>
        <v/>
      </c>
      <c r="D452" s="29"/>
      <c r="G452" s="65"/>
    </row>
    <row r="453">
      <c r="A453" s="29"/>
      <c r="B453" s="29"/>
      <c r="C453" s="65" t="str">
        <f>IFERROR(__xludf.DUMMYFUNCTION("""COMPUTED_VALUE"""),"")</f>
        <v/>
      </c>
      <c r="D453" s="29"/>
      <c r="G453" s="65"/>
    </row>
    <row r="454">
      <c r="A454" s="29"/>
      <c r="B454" s="29"/>
      <c r="C454" s="65" t="str">
        <f>IFERROR(__xludf.DUMMYFUNCTION("""COMPUTED_VALUE"""),"")</f>
        <v/>
      </c>
      <c r="D454" s="29"/>
      <c r="G454" s="65"/>
    </row>
    <row r="455">
      <c r="A455" s="29"/>
      <c r="B455" s="29"/>
      <c r="C455" s="65" t="str">
        <f>IFERROR(__xludf.DUMMYFUNCTION("""COMPUTED_VALUE"""),"")</f>
        <v/>
      </c>
      <c r="D455" s="29"/>
      <c r="G455" s="65"/>
    </row>
    <row r="456">
      <c r="A456" s="29"/>
      <c r="B456" s="29"/>
      <c r="C456" s="65" t="str">
        <f>IFERROR(__xludf.DUMMYFUNCTION("""COMPUTED_VALUE"""),"")</f>
        <v/>
      </c>
      <c r="D456" s="29"/>
      <c r="G456" s="65"/>
    </row>
    <row r="457">
      <c r="A457" s="29"/>
      <c r="B457" s="29"/>
      <c r="C457" s="65" t="str">
        <f>IFERROR(__xludf.DUMMYFUNCTION("""COMPUTED_VALUE"""),"")</f>
        <v/>
      </c>
      <c r="D457" s="29"/>
      <c r="G457" s="65"/>
    </row>
    <row r="458">
      <c r="A458" s="29"/>
      <c r="B458" s="29"/>
      <c r="C458" s="65" t="str">
        <f>IFERROR(__xludf.DUMMYFUNCTION("""COMPUTED_VALUE"""),"")</f>
        <v/>
      </c>
      <c r="D458" s="29"/>
      <c r="G458" s="65"/>
    </row>
    <row r="459">
      <c r="A459" s="29"/>
      <c r="B459" s="29"/>
      <c r="C459" s="65" t="str">
        <f>IFERROR(__xludf.DUMMYFUNCTION("""COMPUTED_VALUE"""),"")</f>
        <v/>
      </c>
      <c r="D459" s="29"/>
      <c r="G459" s="65"/>
    </row>
    <row r="460">
      <c r="A460" s="29"/>
      <c r="B460" s="29"/>
      <c r="C460" s="65" t="str">
        <f>IFERROR(__xludf.DUMMYFUNCTION("""COMPUTED_VALUE"""),"")</f>
        <v/>
      </c>
      <c r="D460" s="29"/>
      <c r="G460" s="65"/>
    </row>
    <row r="461">
      <c r="A461" s="29"/>
      <c r="B461" s="29"/>
      <c r="C461" s="65" t="str">
        <f>IFERROR(__xludf.DUMMYFUNCTION("""COMPUTED_VALUE"""),"")</f>
        <v/>
      </c>
      <c r="D461" s="29"/>
      <c r="G461" s="65"/>
    </row>
    <row r="462">
      <c r="A462" s="29"/>
      <c r="B462" s="29"/>
      <c r="C462" s="65" t="str">
        <f>IFERROR(__xludf.DUMMYFUNCTION("""COMPUTED_VALUE"""),"")</f>
        <v/>
      </c>
      <c r="D462" s="29"/>
      <c r="G462" s="65"/>
    </row>
    <row r="463">
      <c r="A463" s="29"/>
      <c r="B463" s="29"/>
      <c r="C463" s="65" t="str">
        <f>IFERROR(__xludf.DUMMYFUNCTION("""COMPUTED_VALUE"""),"")</f>
        <v/>
      </c>
      <c r="D463" s="29"/>
      <c r="G463" s="65"/>
    </row>
    <row r="464">
      <c r="A464" s="29"/>
      <c r="B464" s="29"/>
      <c r="C464" s="65" t="str">
        <f>IFERROR(__xludf.DUMMYFUNCTION("""COMPUTED_VALUE"""),"")</f>
        <v/>
      </c>
      <c r="D464" s="29"/>
      <c r="G464" s="65"/>
    </row>
    <row r="465">
      <c r="A465" s="29"/>
      <c r="B465" s="29"/>
      <c r="C465" s="65" t="str">
        <f>IFERROR(__xludf.DUMMYFUNCTION("""COMPUTED_VALUE"""),"")</f>
        <v/>
      </c>
      <c r="D465" s="29"/>
      <c r="G465" s="65"/>
    </row>
    <row r="466">
      <c r="A466" s="29"/>
      <c r="B466" s="29"/>
      <c r="C466" s="65" t="str">
        <f>IFERROR(__xludf.DUMMYFUNCTION("""COMPUTED_VALUE"""),"")</f>
        <v/>
      </c>
      <c r="D466" s="29"/>
      <c r="G466" s="65"/>
    </row>
    <row r="467">
      <c r="A467" s="29"/>
      <c r="B467" s="29"/>
      <c r="C467" s="65" t="str">
        <f>IFERROR(__xludf.DUMMYFUNCTION("""COMPUTED_VALUE"""),"")</f>
        <v/>
      </c>
      <c r="D467" s="29"/>
      <c r="G467" s="65"/>
    </row>
    <row r="468">
      <c r="A468" s="29"/>
      <c r="B468" s="29"/>
      <c r="C468" s="65" t="str">
        <f>IFERROR(__xludf.DUMMYFUNCTION("""COMPUTED_VALUE"""),"")</f>
        <v/>
      </c>
      <c r="D468" s="29"/>
      <c r="G468" s="65"/>
    </row>
    <row r="469">
      <c r="A469" s="29"/>
      <c r="B469" s="29"/>
      <c r="C469" s="65" t="str">
        <f>IFERROR(__xludf.DUMMYFUNCTION("""COMPUTED_VALUE"""),"")</f>
        <v/>
      </c>
      <c r="D469" s="29"/>
      <c r="G469" s="65"/>
    </row>
    <row r="470">
      <c r="A470" s="29"/>
      <c r="B470" s="29"/>
      <c r="C470" s="65" t="str">
        <f>IFERROR(__xludf.DUMMYFUNCTION("""COMPUTED_VALUE"""),"")</f>
        <v/>
      </c>
      <c r="D470" s="29"/>
      <c r="G470" s="65"/>
    </row>
    <row r="471">
      <c r="A471" s="29"/>
      <c r="B471" s="29"/>
      <c r="C471" s="65" t="str">
        <f>IFERROR(__xludf.DUMMYFUNCTION("""COMPUTED_VALUE"""),"")</f>
        <v/>
      </c>
      <c r="D471" s="29"/>
      <c r="G471" s="65"/>
    </row>
    <row r="472">
      <c r="A472" s="29"/>
      <c r="B472" s="29"/>
      <c r="C472" s="65" t="str">
        <f>IFERROR(__xludf.DUMMYFUNCTION("""COMPUTED_VALUE"""),"")</f>
        <v/>
      </c>
      <c r="D472" s="29"/>
      <c r="G472" s="65"/>
    </row>
    <row r="473">
      <c r="A473" s="29"/>
      <c r="B473" s="29"/>
      <c r="C473" s="65" t="str">
        <f>IFERROR(__xludf.DUMMYFUNCTION("""COMPUTED_VALUE"""),"")</f>
        <v/>
      </c>
      <c r="D473" s="29"/>
      <c r="G473" s="65"/>
    </row>
    <row r="474">
      <c r="A474" s="29"/>
      <c r="B474" s="29"/>
      <c r="C474" s="65" t="str">
        <f>IFERROR(__xludf.DUMMYFUNCTION("""COMPUTED_VALUE"""),"")</f>
        <v/>
      </c>
      <c r="D474" s="29"/>
      <c r="G474" s="65"/>
    </row>
    <row r="475">
      <c r="A475" s="29"/>
      <c r="B475" s="29"/>
      <c r="C475" s="65" t="str">
        <f>IFERROR(__xludf.DUMMYFUNCTION("""COMPUTED_VALUE"""),"")</f>
        <v/>
      </c>
      <c r="D475" s="29"/>
      <c r="G475" s="65"/>
    </row>
    <row r="476">
      <c r="A476" s="29"/>
      <c r="B476" s="29"/>
      <c r="C476" s="65" t="str">
        <f>IFERROR(__xludf.DUMMYFUNCTION("""COMPUTED_VALUE"""),"")</f>
        <v/>
      </c>
      <c r="D476" s="29"/>
      <c r="G476" s="65"/>
    </row>
    <row r="477">
      <c r="A477" s="29"/>
      <c r="B477" s="29"/>
      <c r="C477" s="65" t="str">
        <f>IFERROR(__xludf.DUMMYFUNCTION("""COMPUTED_VALUE"""),"")</f>
        <v/>
      </c>
      <c r="D477" s="29"/>
      <c r="G477" s="65"/>
    </row>
    <row r="478">
      <c r="A478" s="29"/>
      <c r="B478" s="29"/>
      <c r="C478" s="65" t="str">
        <f>IFERROR(__xludf.DUMMYFUNCTION("""COMPUTED_VALUE"""),"")</f>
        <v/>
      </c>
      <c r="D478" s="29"/>
      <c r="G478" s="65"/>
    </row>
    <row r="479">
      <c r="A479" s="29"/>
      <c r="B479" s="29"/>
      <c r="C479" s="65" t="str">
        <f>IFERROR(__xludf.DUMMYFUNCTION("""COMPUTED_VALUE"""),"")</f>
        <v/>
      </c>
      <c r="D479" s="29"/>
      <c r="G479" s="65"/>
    </row>
    <row r="480">
      <c r="A480" s="29"/>
      <c r="B480" s="29"/>
      <c r="C480" s="65" t="str">
        <f>IFERROR(__xludf.DUMMYFUNCTION("""COMPUTED_VALUE"""),"")</f>
        <v/>
      </c>
      <c r="D480" s="29"/>
      <c r="G480" s="65"/>
    </row>
    <row r="481">
      <c r="A481" s="29"/>
      <c r="B481" s="29"/>
      <c r="C481" s="65" t="str">
        <f>IFERROR(__xludf.DUMMYFUNCTION("""COMPUTED_VALUE"""),"")</f>
        <v/>
      </c>
      <c r="D481" s="29"/>
      <c r="G481" s="65"/>
    </row>
    <row r="482">
      <c r="A482" s="29"/>
      <c r="B482" s="29"/>
      <c r="C482" s="65" t="str">
        <f>IFERROR(__xludf.DUMMYFUNCTION("""COMPUTED_VALUE"""),"")</f>
        <v/>
      </c>
      <c r="D482" s="29"/>
      <c r="G482" s="65"/>
    </row>
    <row r="483">
      <c r="A483" s="29"/>
      <c r="B483" s="29"/>
      <c r="C483" s="65" t="str">
        <f>IFERROR(__xludf.DUMMYFUNCTION("""COMPUTED_VALUE"""),"")</f>
        <v/>
      </c>
      <c r="D483" s="29"/>
      <c r="G483" s="65"/>
    </row>
    <row r="484">
      <c r="A484" s="29"/>
      <c r="B484" s="29"/>
      <c r="C484" s="65" t="str">
        <f>IFERROR(__xludf.DUMMYFUNCTION("""COMPUTED_VALUE"""),"")</f>
        <v/>
      </c>
      <c r="D484" s="29"/>
      <c r="G484" s="65"/>
    </row>
    <row r="485">
      <c r="A485" s="29"/>
      <c r="B485" s="29"/>
      <c r="C485" s="65" t="str">
        <f>IFERROR(__xludf.DUMMYFUNCTION("""COMPUTED_VALUE"""),"")</f>
        <v/>
      </c>
      <c r="D485" s="29"/>
      <c r="G485" s="65"/>
    </row>
    <row r="486">
      <c r="A486" s="29"/>
      <c r="B486" s="29"/>
      <c r="C486" s="65" t="str">
        <f>IFERROR(__xludf.DUMMYFUNCTION("""COMPUTED_VALUE"""),"")</f>
        <v/>
      </c>
      <c r="D486" s="29"/>
      <c r="G486" s="65"/>
    </row>
    <row r="487">
      <c r="A487" s="29"/>
      <c r="B487" s="29"/>
      <c r="C487" s="65" t="str">
        <f>IFERROR(__xludf.DUMMYFUNCTION("""COMPUTED_VALUE"""),"")</f>
        <v/>
      </c>
      <c r="D487" s="29"/>
      <c r="G487" s="65"/>
    </row>
    <row r="488">
      <c r="A488" s="29"/>
      <c r="B488" s="29"/>
      <c r="C488" s="65" t="str">
        <f>IFERROR(__xludf.DUMMYFUNCTION("""COMPUTED_VALUE"""),"")</f>
        <v/>
      </c>
      <c r="D488" s="29"/>
      <c r="G488" s="65"/>
    </row>
    <row r="489">
      <c r="A489" s="29"/>
      <c r="B489" s="29"/>
      <c r="C489" s="65" t="str">
        <f>IFERROR(__xludf.DUMMYFUNCTION("""COMPUTED_VALUE"""),"")</f>
        <v/>
      </c>
      <c r="D489" s="29"/>
      <c r="G489" s="65"/>
    </row>
    <row r="490">
      <c r="A490" s="29"/>
      <c r="B490" s="29"/>
      <c r="C490" s="65" t="str">
        <f>IFERROR(__xludf.DUMMYFUNCTION("""COMPUTED_VALUE"""),"")</f>
        <v/>
      </c>
      <c r="D490" s="29"/>
      <c r="G490" s="65"/>
    </row>
    <row r="491">
      <c r="A491" s="29"/>
      <c r="B491" s="29"/>
      <c r="C491" s="65" t="str">
        <f>IFERROR(__xludf.DUMMYFUNCTION("""COMPUTED_VALUE"""),"")</f>
        <v/>
      </c>
      <c r="D491" s="29"/>
      <c r="G491" s="65"/>
    </row>
    <row r="492">
      <c r="A492" s="29"/>
      <c r="B492" s="29"/>
      <c r="C492" s="65" t="str">
        <f>IFERROR(__xludf.DUMMYFUNCTION("""COMPUTED_VALUE"""),"")</f>
        <v/>
      </c>
      <c r="D492" s="29"/>
      <c r="G492" s="65"/>
    </row>
    <row r="493">
      <c r="A493" s="29"/>
      <c r="B493" s="29"/>
      <c r="C493" s="65" t="str">
        <f>IFERROR(__xludf.DUMMYFUNCTION("""COMPUTED_VALUE"""),"")</f>
        <v/>
      </c>
      <c r="D493" s="29"/>
      <c r="G493" s="65"/>
    </row>
    <row r="494">
      <c r="A494" s="29"/>
      <c r="B494" s="29"/>
      <c r="C494" s="65" t="str">
        <f>IFERROR(__xludf.DUMMYFUNCTION("""COMPUTED_VALUE"""),"")</f>
        <v/>
      </c>
      <c r="D494" s="29"/>
      <c r="G494" s="65"/>
    </row>
    <row r="495">
      <c r="A495" s="29"/>
      <c r="B495" s="29"/>
      <c r="C495" s="65" t="str">
        <f>IFERROR(__xludf.DUMMYFUNCTION("""COMPUTED_VALUE"""),"")</f>
        <v/>
      </c>
      <c r="D495" s="29"/>
      <c r="G495" s="65"/>
    </row>
    <row r="496">
      <c r="A496" s="29"/>
      <c r="B496" s="29"/>
      <c r="C496" s="65" t="str">
        <f>IFERROR(__xludf.DUMMYFUNCTION("""COMPUTED_VALUE"""),"")</f>
        <v/>
      </c>
      <c r="D496" s="29"/>
      <c r="G496" s="65"/>
    </row>
    <row r="497">
      <c r="A497" s="29"/>
      <c r="B497" s="29"/>
      <c r="C497" s="65" t="str">
        <f>IFERROR(__xludf.DUMMYFUNCTION("""COMPUTED_VALUE"""),"")</f>
        <v/>
      </c>
      <c r="D497" s="29"/>
      <c r="G497" s="65"/>
    </row>
    <row r="498">
      <c r="A498" s="29"/>
      <c r="B498" s="29"/>
      <c r="C498" s="65" t="str">
        <f>IFERROR(__xludf.DUMMYFUNCTION("""COMPUTED_VALUE"""),"")</f>
        <v/>
      </c>
      <c r="D498" s="29"/>
      <c r="G498" s="65"/>
    </row>
    <row r="499">
      <c r="A499" s="29"/>
      <c r="B499" s="29"/>
      <c r="C499" s="65" t="str">
        <f>IFERROR(__xludf.DUMMYFUNCTION("""COMPUTED_VALUE"""),"")</f>
        <v/>
      </c>
      <c r="D499" s="29"/>
      <c r="G499" s="65"/>
    </row>
    <row r="500">
      <c r="A500" s="29"/>
      <c r="B500" s="29"/>
      <c r="C500" s="65" t="str">
        <f>IFERROR(__xludf.DUMMYFUNCTION("""COMPUTED_VALUE"""),"")</f>
        <v/>
      </c>
      <c r="D500" s="29"/>
      <c r="G500" s="65"/>
    </row>
    <row r="501">
      <c r="A501" s="29"/>
      <c r="B501" s="29"/>
      <c r="C501" s="65" t="str">
        <f>IFERROR(__xludf.DUMMYFUNCTION("""COMPUTED_VALUE"""),"")</f>
        <v/>
      </c>
      <c r="D501" s="29"/>
      <c r="G501" s="65"/>
    </row>
    <row r="502">
      <c r="A502" s="29"/>
      <c r="B502" s="29"/>
      <c r="C502" s="65" t="str">
        <f>IFERROR(__xludf.DUMMYFUNCTION("""COMPUTED_VALUE"""),"")</f>
        <v/>
      </c>
      <c r="D502" s="29"/>
      <c r="G502" s="65"/>
    </row>
    <row r="503">
      <c r="A503" s="29"/>
      <c r="B503" s="29"/>
      <c r="C503" s="65" t="str">
        <f>IFERROR(__xludf.DUMMYFUNCTION("""COMPUTED_VALUE"""),"")</f>
        <v/>
      </c>
      <c r="D503" s="29"/>
      <c r="G503" s="65"/>
    </row>
    <row r="504">
      <c r="A504" s="29"/>
      <c r="B504" s="29"/>
      <c r="C504" s="65" t="str">
        <f>IFERROR(__xludf.DUMMYFUNCTION("""COMPUTED_VALUE"""),"")</f>
        <v/>
      </c>
      <c r="D504" s="29"/>
      <c r="G504" s="65"/>
    </row>
    <row r="505">
      <c r="A505" s="29"/>
      <c r="B505" s="29"/>
      <c r="C505" s="65" t="str">
        <f>IFERROR(__xludf.DUMMYFUNCTION("""COMPUTED_VALUE"""),"")</f>
        <v/>
      </c>
      <c r="D505" s="29"/>
      <c r="G505" s="65"/>
    </row>
    <row r="506">
      <c r="A506" s="29"/>
      <c r="B506" s="29"/>
      <c r="C506" s="65" t="str">
        <f>IFERROR(__xludf.DUMMYFUNCTION("""COMPUTED_VALUE"""),"")</f>
        <v/>
      </c>
      <c r="D506" s="29"/>
      <c r="G506" s="65"/>
    </row>
    <row r="507">
      <c r="A507" s="29"/>
      <c r="B507" s="29"/>
      <c r="C507" s="65" t="str">
        <f>IFERROR(__xludf.DUMMYFUNCTION("""COMPUTED_VALUE"""),"")</f>
        <v/>
      </c>
      <c r="D507" s="29"/>
      <c r="G507" s="65"/>
    </row>
    <row r="508">
      <c r="A508" s="29"/>
      <c r="B508" s="29"/>
      <c r="C508" s="65" t="str">
        <f>IFERROR(__xludf.DUMMYFUNCTION("""COMPUTED_VALUE"""),"")</f>
        <v/>
      </c>
      <c r="D508" s="29"/>
      <c r="G508" s="65"/>
    </row>
    <row r="509">
      <c r="A509" s="29"/>
      <c r="B509" s="29"/>
      <c r="C509" s="65" t="str">
        <f>IFERROR(__xludf.DUMMYFUNCTION("""COMPUTED_VALUE"""),"")</f>
        <v/>
      </c>
      <c r="D509" s="29"/>
      <c r="G509" s="65"/>
    </row>
    <row r="510">
      <c r="A510" s="29"/>
      <c r="B510" s="29"/>
      <c r="C510" s="65" t="str">
        <f>IFERROR(__xludf.DUMMYFUNCTION("""COMPUTED_VALUE"""),"")</f>
        <v/>
      </c>
      <c r="D510" s="29"/>
      <c r="G510" s="65"/>
    </row>
    <row r="511">
      <c r="A511" s="29"/>
      <c r="B511" s="29"/>
      <c r="C511" s="65" t="str">
        <f>IFERROR(__xludf.DUMMYFUNCTION("""COMPUTED_VALUE"""),"")</f>
        <v/>
      </c>
      <c r="D511" s="29"/>
      <c r="G511" s="65"/>
    </row>
    <row r="512">
      <c r="A512" s="29"/>
      <c r="B512" s="29"/>
      <c r="C512" s="65" t="str">
        <f>IFERROR(__xludf.DUMMYFUNCTION("""COMPUTED_VALUE"""),"")</f>
        <v/>
      </c>
      <c r="D512" s="29"/>
      <c r="G512" s="65"/>
    </row>
    <row r="513">
      <c r="A513" s="29"/>
      <c r="B513" s="29"/>
      <c r="C513" s="65" t="str">
        <f>IFERROR(__xludf.DUMMYFUNCTION("""COMPUTED_VALUE"""),"")</f>
        <v/>
      </c>
      <c r="D513" s="29"/>
      <c r="G513" s="65"/>
    </row>
    <row r="514">
      <c r="A514" s="29"/>
      <c r="B514" s="29"/>
      <c r="C514" s="65" t="str">
        <f>IFERROR(__xludf.DUMMYFUNCTION("""COMPUTED_VALUE"""),"")</f>
        <v/>
      </c>
      <c r="D514" s="29"/>
      <c r="G514" s="65"/>
    </row>
    <row r="515">
      <c r="A515" s="29"/>
      <c r="B515" s="29"/>
      <c r="C515" s="65" t="str">
        <f>IFERROR(__xludf.DUMMYFUNCTION("""COMPUTED_VALUE"""),"")</f>
        <v/>
      </c>
      <c r="D515" s="29"/>
      <c r="G515" s="65"/>
    </row>
    <row r="516">
      <c r="A516" s="29"/>
      <c r="B516" s="29"/>
      <c r="C516" s="65" t="str">
        <f>IFERROR(__xludf.DUMMYFUNCTION("""COMPUTED_VALUE"""),"")</f>
        <v/>
      </c>
      <c r="D516" s="29"/>
      <c r="G516" s="65"/>
    </row>
    <row r="517">
      <c r="A517" s="29"/>
      <c r="B517" s="29"/>
      <c r="C517" s="65" t="str">
        <f>IFERROR(__xludf.DUMMYFUNCTION("""COMPUTED_VALUE"""),"")</f>
        <v/>
      </c>
      <c r="D517" s="29"/>
      <c r="G517" s="65"/>
    </row>
    <row r="518">
      <c r="A518" s="29"/>
      <c r="B518" s="29"/>
      <c r="C518" s="65" t="str">
        <f>IFERROR(__xludf.DUMMYFUNCTION("""COMPUTED_VALUE"""),"")</f>
        <v/>
      </c>
      <c r="D518" s="29"/>
      <c r="G518" s="65"/>
    </row>
    <row r="519">
      <c r="A519" s="29"/>
      <c r="B519" s="29"/>
      <c r="C519" s="65" t="str">
        <f>IFERROR(__xludf.DUMMYFUNCTION("""COMPUTED_VALUE"""),"")</f>
        <v/>
      </c>
      <c r="D519" s="29"/>
      <c r="G519" s="65"/>
    </row>
    <row r="520">
      <c r="A520" s="29"/>
      <c r="B520" s="29"/>
      <c r="C520" s="65" t="str">
        <f>IFERROR(__xludf.DUMMYFUNCTION("""COMPUTED_VALUE"""),"")</f>
        <v/>
      </c>
      <c r="D520" s="29"/>
      <c r="G520" s="65"/>
    </row>
    <row r="521">
      <c r="A521" s="29"/>
      <c r="B521" s="29"/>
      <c r="C521" s="65" t="str">
        <f>IFERROR(__xludf.DUMMYFUNCTION("""COMPUTED_VALUE"""),"")</f>
        <v/>
      </c>
      <c r="D521" s="29"/>
      <c r="G521" s="65"/>
    </row>
    <row r="522">
      <c r="A522" s="29"/>
      <c r="B522" s="29"/>
      <c r="C522" s="65" t="str">
        <f>IFERROR(__xludf.DUMMYFUNCTION("""COMPUTED_VALUE"""),"")</f>
        <v/>
      </c>
      <c r="D522" s="29"/>
      <c r="G522" s="65"/>
    </row>
    <row r="523">
      <c r="A523" s="29"/>
      <c r="B523" s="29"/>
      <c r="C523" s="65" t="str">
        <f>IFERROR(__xludf.DUMMYFUNCTION("""COMPUTED_VALUE"""),"")</f>
        <v/>
      </c>
      <c r="D523" s="29"/>
      <c r="G523" s="65"/>
    </row>
    <row r="524">
      <c r="A524" s="29"/>
      <c r="B524" s="29"/>
      <c r="C524" s="65" t="str">
        <f>IFERROR(__xludf.DUMMYFUNCTION("""COMPUTED_VALUE"""),"")</f>
        <v/>
      </c>
      <c r="D524" s="29"/>
      <c r="G524" s="65"/>
    </row>
    <row r="525">
      <c r="A525" s="29"/>
      <c r="B525" s="29"/>
      <c r="C525" s="65" t="str">
        <f>IFERROR(__xludf.DUMMYFUNCTION("""COMPUTED_VALUE"""),"")</f>
        <v/>
      </c>
      <c r="D525" s="29"/>
      <c r="G525" s="65"/>
    </row>
    <row r="526">
      <c r="A526" s="29"/>
      <c r="B526" s="29"/>
      <c r="C526" s="65" t="str">
        <f>IFERROR(__xludf.DUMMYFUNCTION("""COMPUTED_VALUE"""),"")</f>
        <v/>
      </c>
      <c r="D526" s="29"/>
      <c r="G526" s="65"/>
    </row>
    <row r="527">
      <c r="A527" s="29"/>
      <c r="B527" s="29"/>
      <c r="C527" s="65" t="str">
        <f>IFERROR(__xludf.DUMMYFUNCTION("""COMPUTED_VALUE"""),"")</f>
        <v/>
      </c>
      <c r="D527" s="29"/>
      <c r="G527" s="65"/>
    </row>
    <row r="528">
      <c r="A528" s="29"/>
      <c r="B528" s="29"/>
      <c r="C528" s="65" t="str">
        <f>IFERROR(__xludf.DUMMYFUNCTION("""COMPUTED_VALUE"""),"")</f>
        <v/>
      </c>
      <c r="D528" s="29"/>
      <c r="G528" s="65"/>
    </row>
    <row r="529">
      <c r="A529" s="29"/>
      <c r="B529" s="29"/>
      <c r="C529" s="65" t="str">
        <f>IFERROR(__xludf.DUMMYFUNCTION("""COMPUTED_VALUE"""),"")</f>
        <v/>
      </c>
      <c r="D529" s="29"/>
      <c r="G529" s="65"/>
    </row>
    <row r="530">
      <c r="A530" s="29"/>
      <c r="B530" s="29"/>
      <c r="C530" s="65" t="str">
        <f>IFERROR(__xludf.DUMMYFUNCTION("""COMPUTED_VALUE"""),"")</f>
        <v/>
      </c>
      <c r="D530" s="29"/>
      <c r="G530" s="65"/>
    </row>
    <row r="531">
      <c r="A531" s="29"/>
      <c r="B531" s="29"/>
      <c r="C531" s="65" t="str">
        <f>IFERROR(__xludf.DUMMYFUNCTION("""COMPUTED_VALUE"""),"")</f>
        <v/>
      </c>
      <c r="D531" s="29"/>
      <c r="G531" s="65"/>
    </row>
    <row r="532">
      <c r="A532" s="29"/>
      <c r="B532" s="29"/>
      <c r="C532" s="65" t="str">
        <f>IFERROR(__xludf.DUMMYFUNCTION("""COMPUTED_VALUE"""),"")</f>
        <v/>
      </c>
      <c r="D532" s="29"/>
      <c r="G532" s="65"/>
    </row>
    <row r="533">
      <c r="A533" s="29"/>
      <c r="B533" s="29"/>
      <c r="C533" s="65" t="str">
        <f>IFERROR(__xludf.DUMMYFUNCTION("""COMPUTED_VALUE"""),"")</f>
        <v/>
      </c>
      <c r="D533" s="29"/>
      <c r="G533" s="65"/>
    </row>
    <row r="534">
      <c r="A534" s="29"/>
      <c r="B534" s="29"/>
      <c r="C534" s="65" t="str">
        <f>IFERROR(__xludf.DUMMYFUNCTION("""COMPUTED_VALUE"""),"")</f>
        <v/>
      </c>
      <c r="D534" s="29"/>
      <c r="G534" s="65"/>
    </row>
    <row r="535">
      <c r="A535" s="29"/>
      <c r="B535" s="29"/>
      <c r="C535" s="65" t="str">
        <f>IFERROR(__xludf.DUMMYFUNCTION("""COMPUTED_VALUE"""),"")</f>
        <v/>
      </c>
      <c r="D535" s="29"/>
      <c r="G535" s="65"/>
    </row>
    <row r="536">
      <c r="A536" s="29"/>
      <c r="B536" s="29"/>
      <c r="C536" s="65" t="str">
        <f>IFERROR(__xludf.DUMMYFUNCTION("""COMPUTED_VALUE"""),"")</f>
        <v/>
      </c>
      <c r="D536" s="29"/>
      <c r="G536" s="65"/>
    </row>
    <row r="537">
      <c r="A537" s="29"/>
      <c r="B537" s="29"/>
      <c r="C537" s="65" t="str">
        <f>IFERROR(__xludf.DUMMYFUNCTION("""COMPUTED_VALUE"""),"")</f>
        <v/>
      </c>
      <c r="D537" s="29"/>
      <c r="G537" s="65"/>
    </row>
    <row r="538">
      <c r="A538" s="29"/>
      <c r="B538" s="29"/>
      <c r="C538" s="65" t="str">
        <f>IFERROR(__xludf.DUMMYFUNCTION("""COMPUTED_VALUE"""),"")</f>
        <v/>
      </c>
      <c r="D538" s="29"/>
      <c r="G538" s="65"/>
    </row>
    <row r="539">
      <c r="A539" s="29"/>
      <c r="B539" s="29"/>
      <c r="C539" s="65" t="str">
        <f>IFERROR(__xludf.DUMMYFUNCTION("""COMPUTED_VALUE"""),"")</f>
        <v/>
      </c>
      <c r="D539" s="29"/>
      <c r="G539" s="65"/>
    </row>
    <row r="540">
      <c r="A540" s="29"/>
      <c r="B540" s="29"/>
      <c r="C540" s="65" t="str">
        <f>IFERROR(__xludf.DUMMYFUNCTION("""COMPUTED_VALUE"""),"")</f>
        <v/>
      </c>
      <c r="D540" s="29"/>
      <c r="G540" s="65"/>
    </row>
    <row r="541">
      <c r="A541" s="29"/>
      <c r="B541" s="29"/>
      <c r="C541" s="65" t="str">
        <f>IFERROR(__xludf.DUMMYFUNCTION("""COMPUTED_VALUE"""),"")</f>
        <v/>
      </c>
      <c r="D541" s="29"/>
      <c r="G541" s="65"/>
    </row>
    <row r="542">
      <c r="A542" s="29"/>
      <c r="B542" s="29"/>
      <c r="C542" s="65" t="str">
        <f>IFERROR(__xludf.DUMMYFUNCTION("""COMPUTED_VALUE"""),"")</f>
        <v/>
      </c>
      <c r="D542" s="29"/>
      <c r="G542" s="65"/>
    </row>
    <row r="543">
      <c r="A543" s="29"/>
      <c r="B543" s="29"/>
      <c r="C543" s="65" t="str">
        <f>IFERROR(__xludf.DUMMYFUNCTION("""COMPUTED_VALUE"""),"")</f>
        <v/>
      </c>
      <c r="D543" s="29"/>
      <c r="G543" s="65"/>
    </row>
    <row r="544">
      <c r="A544" s="29"/>
      <c r="B544" s="29"/>
      <c r="C544" s="65" t="str">
        <f>IFERROR(__xludf.DUMMYFUNCTION("""COMPUTED_VALUE"""),"")</f>
        <v/>
      </c>
      <c r="D544" s="29"/>
      <c r="G544" s="65"/>
    </row>
    <row r="545">
      <c r="A545" s="29"/>
      <c r="B545" s="29"/>
      <c r="C545" s="65" t="str">
        <f>IFERROR(__xludf.DUMMYFUNCTION("""COMPUTED_VALUE"""),"")</f>
        <v/>
      </c>
      <c r="D545" s="29"/>
      <c r="G545" s="65"/>
    </row>
    <row r="546">
      <c r="A546" s="29"/>
      <c r="B546" s="29"/>
      <c r="C546" s="65" t="str">
        <f>IFERROR(__xludf.DUMMYFUNCTION("""COMPUTED_VALUE"""),"")</f>
        <v/>
      </c>
      <c r="D546" s="29"/>
      <c r="G546" s="65"/>
    </row>
    <row r="547">
      <c r="A547" s="29"/>
      <c r="B547" s="29"/>
      <c r="C547" s="65" t="str">
        <f>IFERROR(__xludf.DUMMYFUNCTION("""COMPUTED_VALUE"""),"")</f>
        <v/>
      </c>
      <c r="D547" s="29"/>
      <c r="G547" s="65"/>
    </row>
    <row r="548">
      <c r="A548" s="29"/>
      <c r="B548" s="29"/>
      <c r="C548" s="65" t="str">
        <f>IFERROR(__xludf.DUMMYFUNCTION("""COMPUTED_VALUE"""),"")</f>
        <v/>
      </c>
      <c r="D548" s="29"/>
      <c r="G548" s="65"/>
    </row>
    <row r="549">
      <c r="A549" s="29"/>
      <c r="B549" s="29"/>
      <c r="C549" s="65" t="str">
        <f>IFERROR(__xludf.DUMMYFUNCTION("""COMPUTED_VALUE"""),"")</f>
        <v/>
      </c>
      <c r="D549" s="29"/>
      <c r="G549" s="65"/>
    </row>
    <row r="550">
      <c r="A550" s="29"/>
      <c r="B550" s="29"/>
      <c r="C550" s="65" t="str">
        <f>IFERROR(__xludf.DUMMYFUNCTION("""COMPUTED_VALUE"""),"")</f>
        <v/>
      </c>
      <c r="D550" s="29"/>
      <c r="G550" s="65"/>
    </row>
    <row r="551">
      <c r="A551" s="29"/>
      <c r="B551" s="29"/>
      <c r="C551" s="65" t="str">
        <f>IFERROR(__xludf.DUMMYFUNCTION("""COMPUTED_VALUE"""),"")</f>
        <v/>
      </c>
      <c r="D551" s="29"/>
      <c r="G551" s="65"/>
    </row>
    <row r="552">
      <c r="A552" s="29"/>
      <c r="B552" s="29"/>
      <c r="C552" s="65" t="str">
        <f>IFERROR(__xludf.DUMMYFUNCTION("""COMPUTED_VALUE"""),"")</f>
        <v/>
      </c>
      <c r="D552" s="29"/>
      <c r="G552" s="65"/>
    </row>
    <row r="553">
      <c r="A553" s="29"/>
      <c r="B553" s="29"/>
      <c r="C553" s="65" t="str">
        <f>IFERROR(__xludf.DUMMYFUNCTION("""COMPUTED_VALUE"""),"")</f>
        <v/>
      </c>
      <c r="D553" s="29"/>
      <c r="G553" s="65"/>
    </row>
    <row r="554">
      <c r="A554" s="29"/>
      <c r="B554" s="29"/>
      <c r="C554" s="65" t="str">
        <f>IFERROR(__xludf.DUMMYFUNCTION("""COMPUTED_VALUE"""),"")</f>
        <v/>
      </c>
      <c r="D554" s="29"/>
      <c r="G554" s="65"/>
    </row>
    <row r="555">
      <c r="A555" s="29"/>
      <c r="B555" s="29"/>
      <c r="C555" s="65" t="str">
        <f>IFERROR(__xludf.DUMMYFUNCTION("""COMPUTED_VALUE"""),"")</f>
        <v/>
      </c>
      <c r="D555" s="29"/>
      <c r="G555" s="65"/>
    </row>
    <row r="556">
      <c r="A556" s="29"/>
      <c r="B556" s="29"/>
      <c r="C556" s="65" t="str">
        <f>IFERROR(__xludf.DUMMYFUNCTION("""COMPUTED_VALUE"""),"")</f>
        <v/>
      </c>
      <c r="D556" s="29"/>
      <c r="G556" s="65"/>
    </row>
    <row r="557">
      <c r="A557" s="29"/>
      <c r="B557" s="29"/>
      <c r="C557" s="65" t="str">
        <f>IFERROR(__xludf.DUMMYFUNCTION("""COMPUTED_VALUE"""),"")</f>
        <v/>
      </c>
      <c r="D557" s="29"/>
      <c r="G557" s="65"/>
    </row>
    <row r="558">
      <c r="A558" s="29"/>
      <c r="B558" s="29"/>
      <c r="C558" s="65" t="str">
        <f>IFERROR(__xludf.DUMMYFUNCTION("""COMPUTED_VALUE"""),"")</f>
        <v/>
      </c>
      <c r="D558" s="29"/>
      <c r="G558" s="65"/>
    </row>
    <row r="559">
      <c r="A559" s="29"/>
      <c r="B559" s="29"/>
      <c r="C559" s="65" t="str">
        <f>IFERROR(__xludf.DUMMYFUNCTION("""COMPUTED_VALUE"""),"")</f>
        <v/>
      </c>
      <c r="D559" s="29"/>
      <c r="G559" s="65"/>
    </row>
    <row r="560">
      <c r="A560" s="29"/>
      <c r="B560" s="29"/>
      <c r="C560" s="65" t="str">
        <f>IFERROR(__xludf.DUMMYFUNCTION("""COMPUTED_VALUE"""),"")</f>
        <v/>
      </c>
      <c r="D560" s="29"/>
      <c r="G560" s="65"/>
    </row>
    <row r="561">
      <c r="A561" s="29"/>
      <c r="B561" s="29"/>
      <c r="C561" s="65" t="str">
        <f>IFERROR(__xludf.DUMMYFUNCTION("""COMPUTED_VALUE"""),"")</f>
        <v/>
      </c>
      <c r="D561" s="29"/>
      <c r="G561" s="65"/>
    </row>
    <row r="562">
      <c r="A562" s="29"/>
      <c r="B562" s="29"/>
      <c r="C562" s="65" t="str">
        <f>IFERROR(__xludf.DUMMYFUNCTION("""COMPUTED_VALUE"""),"")</f>
        <v/>
      </c>
      <c r="D562" s="29"/>
      <c r="G562" s="65"/>
    </row>
    <row r="563">
      <c r="A563" s="29"/>
      <c r="B563" s="29"/>
      <c r="C563" s="65" t="str">
        <f>IFERROR(__xludf.DUMMYFUNCTION("""COMPUTED_VALUE"""),"")</f>
        <v/>
      </c>
      <c r="D563" s="29"/>
      <c r="G563" s="65"/>
    </row>
    <row r="564">
      <c r="A564" s="29"/>
      <c r="B564" s="29"/>
      <c r="C564" s="65" t="str">
        <f>IFERROR(__xludf.DUMMYFUNCTION("""COMPUTED_VALUE"""),"")</f>
        <v/>
      </c>
      <c r="D564" s="29"/>
      <c r="G564" s="65"/>
    </row>
    <row r="565">
      <c r="A565" s="29"/>
      <c r="B565" s="29"/>
      <c r="C565" s="65" t="str">
        <f>IFERROR(__xludf.DUMMYFUNCTION("""COMPUTED_VALUE"""),"")</f>
        <v/>
      </c>
      <c r="D565" s="29"/>
      <c r="G565" s="65"/>
    </row>
    <row r="566">
      <c r="A566" s="29"/>
      <c r="B566" s="29"/>
      <c r="C566" s="65" t="str">
        <f>IFERROR(__xludf.DUMMYFUNCTION("""COMPUTED_VALUE"""),"")</f>
        <v/>
      </c>
      <c r="D566" s="29"/>
      <c r="G566" s="65"/>
    </row>
    <row r="567">
      <c r="A567" s="29"/>
      <c r="B567" s="29"/>
      <c r="C567" s="65" t="str">
        <f>IFERROR(__xludf.DUMMYFUNCTION("""COMPUTED_VALUE"""),"")</f>
        <v/>
      </c>
      <c r="D567" s="29"/>
      <c r="G567" s="65"/>
    </row>
    <row r="568">
      <c r="A568" s="29"/>
      <c r="B568" s="29"/>
      <c r="C568" s="65" t="str">
        <f>IFERROR(__xludf.DUMMYFUNCTION("""COMPUTED_VALUE"""),"")</f>
        <v/>
      </c>
      <c r="D568" s="29"/>
      <c r="G568" s="65"/>
    </row>
    <row r="569">
      <c r="A569" s="29"/>
      <c r="B569" s="29"/>
      <c r="C569" s="65" t="str">
        <f>IFERROR(__xludf.DUMMYFUNCTION("""COMPUTED_VALUE"""),"")</f>
        <v/>
      </c>
      <c r="D569" s="29"/>
      <c r="G569" s="65"/>
    </row>
    <row r="570">
      <c r="A570" s="29"/>
      <c r="B570" s="29"/>
      <c r="C570" s="65" t="str">
        <f>IFERROR(__xludf.DUMMYFUNCTION("""COMPUTED_VALUE"""),"")</f>
        <v/>
      </c>
      <c r="D570" s="29"/>
      <c r="G570" s="65"/>
    </row>
    <row r="571">
      <c r="A571" s="29"/>
      <c r="B571" s="29"/>
      <c r="C571" s="65" t="str">
        <f>IFERROR(__xludf.DUMMYFUNCTION("""COMPUTED_VALUE"""),"")</f>
        <v/>
      </c>
      <c r="D571" s="29"/>
      <c r="G571" s="65"/>
    </row>
    <row r="572">
      <c r="A572" s="29"/>
      <c r="B572" s="29"/>
      <c r="C572" s="65" t="str">
        <f>IFERROR(__xludf.DUMMYFUNCTION("""COMPUTED_VALUE"""),"")</f>
        <v/>
      </c>
      <c r="D572" s="29"/>
      <c r="G572" s="65"/>
    </row>
    <row r="573">
      <c r="A573" s="29"/>
      <c r="B573" s="29"/>
      <c r="C573" s="65" t="str">
        <f>IFERROR(__xludf.DUMMYFUNCTION("""COMPUTED_VALUE"""),"")</f>
        <v/>
      </c>
      <c r="D573" s="29"/>
      <c r="G573" s="65"/>
    </row>
    <row r="574">
      <c r="A574" s="29"/>
      <c r="B574" s="29"/>
      <c r="C574" s="65" t="str">
        <f>IFERROR(__xludf.DUMMYFUNCTION("""COMPUTED_VALUE"""),"")</f>
        <v/>
      </c>
      <c r="D574" s="29"/>
      <c r="G574" s="65"/>
    </row>
    <row r="575">
      <c r="A575" s="29"/>
      <c r="B575" s="29"/>
      <c r="C575" s="65" t="str">
        <f>IFERROR(__xludf.DUMMYFUNCTION("""COMPUTED_VALUE"""),"")</f>
        <v/>
      </c>
      <c r="D575" s="29"/>
      <c r="G575" s="65"/>
    </row>
    <row r="576">
      <c r="A576" s="29"/>
      <c r="B576" s="29"/>
      <c r="C576" s="65" t="str">
        <f>IFERROR(__xludf.DUMMYFUNCTION("""COMPUTED_VALUE"""),"")</f>
        <v/>
      </c>
      <c r="D576" s="29"/>
      <c r="G576" s="65"/>
    </row>
    <row r="577">
      <c r="A577" s="29"/>
      <c r="B577" s="29"/>
      <c r="C577" s="65" t="str">
        <f>IFERROR(__xludf.DUMMYFUNCTION("""COMPUTED_VALUE"""),"")</f>
        <v/>
      </c>
      <c r="D577" s="29"/>
      <c r="G577" s="65"/>
    </row>
    <row r="578">
      <c r="A578" s="29"/>
      <c r="B578" s="29"/>
      <c r="C578" s="65" t="str">
        <f>IFERROR(__xludf.DUMMYFUNCTION("""COMPUTED_VALUE"""),"")</f>
        <v/>
      </c>
      <c r="D578" s="29"/>
      <c r="G578" s="65"/>
    </row>
    <row r="579">
      <c r="A579" s="29"/>
      <c r="B579" s="29"/>
      <c r="C579" s="65" t="str">
        <f>IFERROR(__xludf.DUMMYFUNCTION("""COMPUTED_VALUE"""),"")</f>
        <v/>
      </c>
      <c r="D579" s="29"/>
      <c r="G579" s="65"/>
    </row>
    <row r="580">
      <c r="A580" s="29"/>
      <c r="B580" s="29"/>
      <c r="C580" s="65" t="str">
        <f>IFERROR(__xludf.DUMMYFUNCTION("""COMPUTED_VALUE"""),"")</f>
        <v/>
      </c>
      <c r="D580" s="29"/>
      <c r="G580" s="65"/>
    </row>
    <row r="581">
      <c r="A581" s="29"/>
      <c r="B581" s="29"/>
      <c r="C581" s="65" t="str">
        <f>IFERROR(__xludf.DUMMYFUNCTION("""COMPUTED_VALUE"""),"")</f>
        <v/>
      </c>
      <c r="D581" s="29"/>
      <c r="G581" s="65"/>
    </row>
    <row r="582">
      <c r="A582" s="29"/>
      <c r="B582" s="29"/>
      <c r="C582" s="65" t="str">
        <f>IFERROR(__xludf.DUMMYFUNCTION("""COMPUTED_VALUE"""),"")</f>
        <v/>
      </c>
      <c r="D582" s="29"/>
      <c r="G582" s="65"/>
    </row>
    <row r="583">
      <c r="A583" s="29"/>
      <c r="B583" s="29"/>
      <c r="C583" s="65" t="str">
        <f>IFERROR(__xludf.DUMMYFUNCTION("""COMPUTED_VALUE"""),"")</f>
        <v/>
      </c>
      <c r="D583" s="29"/>
      <c r="G583" s="65"/>
    </row>
    <row r="584">
      <c r="A584" s="29"/>
      <c r="B584" s="29"/>
      <c r="C584" s="65" t="str">
        <f>IFERROR(__xludf.DUMMYFUNCTION("""COMPUTED_VALUE"""),"")</f>
        <v/>
      </c>
      <c r="D584" s="29"/>
      <c r="G584" s="65"/>
    </row>
    <row r="585">
      <c r="A585" s="29"/>
      <c r="B585" s="29"/>
      <c r="C585" s="65" t="str">
        <f>IFERROR(__xludf.DUMMYFUNCTION("""COMPUTED_VALUE"""),"")</f>
        <v/>
      </c>
      <c r="D585" s="29"/>
      <c r="G585" s="65"/>
    </row>
    <row r="586">
      <c r="A586" s="29"/>
      <c r="B586" s="29"/>
      <c r="C586" s="65" t="str">
        <f>IFERROR(__xludf.DUMMYFUNCTION("""COMPUTED_VALUE"""),"")</f>
        <v/>
      </c>
      <c r="D586" s="29"/>
      <c r="G586" s="65"/>
    </row>
    <row r="587">
      <c r="A587" s="29"/>
      <c r="B587" s="29"/>
      <c r="C587" s="65" t="str">
        <f>IFERROR(__xludf.DUMMYFUNCTION("""COMPUTED_VALUE"""),"")</f>
        <v/>
      </c>
      <c r="D587" s="29"/>
      <c r="G587" s="65"/>
    </row>
    <row r="588">
      <c r="A588" s="29"/>
      <c r="B588" s="29"/>
      <c r="C588" s="65" t="str">
        <f>IFERROR(__xludf.DUMMYFUNCTION("""COMPUTED_VALUE"""),"")</f>
        <v/>
      </c>
      <c r="D588" s="29"/>
      <c r="G588" s="65"/>
    </row>
    <row r="589">
      <c r="A589" s="29"/>
      <c r="B589" s="29"/>
      <c r="C589" s="65" t="str">
        <f>IFERROR(__xludf.DUMMYFUNCTION("""COMPUTED_VALUE"""),"")</f>
        <v/>
      </c>
      <c r="D589" s="29"/>
      <c r="G589" s="65"/>
    </row>
    <row r="590">
      <c r="A590" s="29"/>
      <c r="B590" s="29"/>
      <c r="C590" s="65" t="str">
        <f>IFERROR(__xludf.DUMMYFUNCTION("""COMPUTED_VALUE"""),"")</f>
        <v/>
      </c>
      <c r="D590" s="29"/>
      <c r="G590" s="65"/>
    </row>
    <row r="591">
      <c r="A591" s="29"/>
      <c r="B591" s="29"/>
      <c r="C591" s="65" t="str">
        <f>IFERROR(__xludf.DUMMYFUNCTION("""COMPUTED_VALUE"""),"")</f>
        <v/>
      </c>
      <c r="D591" s="29"/>
      <c r="G591" s="65"/>
    </row>
    <row r="592">
      <c r="A592" s="29"/>
      <c r="B592" s="29"/>
      <c r="C592" s="65" t="str">
        <f>IFERROR(__xludf.DUMMYFUNCTION("""COMPUTED_VALUE"""),"")</f>
        <v/>
      </c>
      <c r="D592" s="29"/>
      <c r="G592" s="65"/>
    </row>
    <row r="593">
      <c r="A593" s="29"/>
      <c r="B593" s="29"/>
      <c r="C593" s="65" t="str">
        <f>IFERROR(__xludf.DUMMYFUNCTION("""COMPUTED_VALUE"""),"")</f>
        <v/>
      </c>
      <c r="D593" s="29"/>
      <c r="G593" s="65"/>
    </row>
    <row r="594">
      <c r="A594" s="29"/>
      <c r="B594" s="29"/>
      <c r="C594" s="65" t="str">
        <f>IFERROR(__xludf.DUMMYFUNCTION("""COMPUTED_VALUE"""),"")</f>
        <v/>
      </c>
      <c r="D594" s="29"/>
      <c r="G594" s="65"/>
    </row>
    <row r="595">
      <c r="A595" s="29"/>
      <c r="B595" s="29"/>
      <c r="C595" s="65" t="str">
        <f>IFERROR(__xludf.DUMMYFUNCTION("""COMPUTED_VALUE"""),"")</f>
        <v/>
      </c>
      <c r="D595" s="29"/>
      <c r="G595" s="65"/>
    </row>
    <row r="596">
      <c r="A596" s="29"/>
      <c r="B596" s="29"/>
      <c r="C596" s="65" t="str">
        <f>IFERROR(__xludf.DUMMYFUNCTION("""COMPUTED_VALUE"""),"")</f>
        <v/>
      </c>
      <c r="D596" s="29"/>
      <c r="G596" s="65"/>
    </row>
    <row r="597">
      <c r="A597" s="29"/>
      <c r="B597" s="29"/>
      <c r="C597" s="65" t="str">
        <f>IFERROR(__xludf.DUMMYFUNCTION("""COMPUTED_VALUE"""),"")</f>
        <v/>
      </c>
      <c r="D597" s="29"/>
      <c r="G597" s="65"/>
    </row>
    <row r="598">
      <c r="A598" s="29"/>
      <c r="B598" s="29"/>
      <c r="C598" s="65" t="str">
        <f>IFERROR(__xludf.DUMMYFUNCTION("""COMPUTED_VALUE"""),"")</f>
        <v/>
      </c>
      <c r="D598" s="29"/>
      <c r="G598" s="65"/>
    </row>
    <row r="599">
      <c r="A599" s="29"/>
      <c r="B599" s="29"/>
      <c r="C599" s="65" t="str">
        <f>IFERROR(__xludf.DUMMYFUNCTION("""COMPUTED_VALUE"""),"")</f>
        <v/>
      </c>
      <c r="D599" s="29"/>
      <c r="G599" s="65"/>
    </row>
    <row r="600">
      <c r="A600" s="29"/>
      <c r="B600" s="29"/>
      <c r="C600" s="65" t="str">
        <f>IFERROR(__xludf.DUMMYFUNCTION("""COMPUTED_VALUE"""),"")</f>
        <v/>
      </c>
      <c r="D600" s="29"/>
      <c r="G600" s="65"/>
    </row>
    <row r="601">
      <c r="A601" s="29"/>
      <c r="B601" s="29"/>
      <c r="C601" s="65" t="str">
        <f>IFERROR(__xludf.DUMMYFUNCTION("""COMPUTED_VALUE"""),"")</f>
        <v/>
      </c>
      <c r="D601" s="29"/>
      <c r="G601" s="65"/>
    </row>
    <row r="602">
      <c r="A602" s="29"/>
      <c r="B602" s="29"/>
      <c r="C602" s="65" t="str">
        <f>IFERROR(__xludf.DUMMYFUNCTION("""COMPUTED_VALUE"""),"")</f>
        <v/>
      </c>
      <c r="D602" s="29"/>
      <c r="G602" s="65"/>
    </row>
    <row r="603">
      <c r="A603" s="29"/>
      <c r="B603" s="29"/>
      <c r="C603" s="65" t="str">
        <f>IFERROR(__xludf.DUMMYFUNCTION("""COMPUTED_VALUE"""),"")</f>
        <v/>
      </c>
      <c r="D603" s="29"/>
      <c r="G603" s="65"/>
    </row>
    <row r="604">
      <c r="A604" s="29"/>
      <c r="B604" s="29"/>
      <c r="C604" s="65" t="str">
        <f>IFERROR(__xludf.DUMMYFUNCTION("""COMPUTED_VALUE"""),"")</f>
        <v/>
      </c>
      <c r="D604" s="29"/>
      <c r="G604" s="65"/>
    </row>
    <row r="605">
      <c r="A605" s="29"/>
      <c r="B605" s="29"/>
      <c r="C605" s="65" t="str">
        <f>IFERROR(__xludf.DUMMYFUNCTION("""COMPUTED_VALUE"""),"")</f>
        <v/>
      </c>
      <c r="D605" s="29"/>
      <c r="G605" s="65"/>
    </row>
    <row r="606">
      <c r="A606" s="29"/>
      <c r="B606" s="29"/>
      <c r="C606" s="65" t="str">
        <f>IFERROR(__xludf.DUMMYFUNCTION("""COMPUTED_VALUE"""),"")</f>
        <v/>
      </c>
      <c r="D606" s="29"/>
      <c r="G606" s="65"/>
    </row>
    <row r="607">
      <c r="A607" s="29"/>
      <c r="B607" s="29"/>
      <c r="C607" s="65" t="str">
        <f>IFERROR(__xludf.DUMMYFUNCTION("""COMPUTED_VALUE"""),"")</f>
        <v/>
      </c>
      <c r="D607" s="29"/>
      <c r="G607" s="65"/>
    </row>
    <row r="608">
      <c r="A608" s="29"/>
      <c r="B608" s="29"/>
      <c r="C608" s="65" t="str">
        <f>IFERROR(__xludf.DUMMYFUNCTION("""COMPUTED_VALUE"""),"")</f>
        <v/>
      </c>
      <c r="D608" s="29"/>
      <c r="G608" s="65"/>
    </row>
    <row r="609">
      <c r="A609" s="29"/>
      <c r="B609" s="29"/>
      <c r="C609" s="65" t="str">
        <f>IFERROR(__xludf.DUMMYFUNCTION("""COMPUTED_VALUE"""),"")</f>
        <v/>
      </c>
      <c r="D609" s="29"/>
      <c r="G609" s="65"/>
    </row>
    <row r="610">
      <c r="A610" s="29"/>
      <c r="B610" s="29"/>
      <c r="C610" s="65" t="str">
        <f>IFERROR(__xludf.DUMMYFUNCTION("""COMPUTED_VALUE"""),"")</f>
        <v/>
      </c>
      <c r="D610" s="29"/>
      <c r="G610" s="65"/>
    </row>
    <row r="611">
      <c r="A611" s="29"/>
      <c r="B611" s="29"/>
      <c r="C611" s="65" t="str">
        <f>IFERROR(__xludf.DUMMYFUNCTION("""COMPUTED_VALUE"""),"")</f>
        <v/>
      </c>
      <c r="D611" s="29"/>
      <c r="G611" s="65"/>
    </row>
    <row r="612">
      <c r="A612" s="29"/>
      <c r="B612" s="29"/>
      <c r="C612" s="65" t="str">
        <f>IFERROR(__xludf.DUMMYFUNCTION("""COMPUTED_VALUE"""),"")</f>
        <v/>
      </c>
      <c r="D612" s="29"/>
      <c r="G612" s="65"/>
    </row>
    <row r="613">
      <c r="A613" s="29"/>
      <c r="B613" s="29"/>
      <c r="C613" s="65" t="str">
        <f>IFERROR(__xludf.DUMMYFUNCTION("""COMPUTED_VALUE"""),"")</f>
        <v/>
      </c>
      <c r="D613" s="29"/>
      <c r="G613" s="65"/>
    </row>
    <row r="614">
      <c r="A614" s="29"/>
      <c r="B614" s="29"/>
      <c r="C614" s="65" t="str">
        <f>IFERROR(__xludf.DUMMYFUNCTION("""COMPUTED_VALUE"""),"")</f>
        <v/>
      </c>
      <c r="D614" s="29"/>
      <c r="G614" s="65"/>
    </row>
    <row r="615">
      <c r="A615" s="29"/>
      <c r="B615" s="29"/>
      <c r="C615" s="65" t="str">
        <f>IFERROR(__xludf.DUMMYFUNCTION("""COMPUTED_VALUE"""),"")</f>
        <v/>
      </c>
      <c r="D615" s="29"/>
      <c r="G615" s="65"/>
    </row>
    <row r="616">
      <c r="A616" s="29"/>
      <c r="B616" s="29"/>
      <c r="C616" s="65" t="str">
        <f>IFERROR(__xludf.DUMMYFUNCTION("""COMPUTED_VALUE"""),"")</f>
        <v/>
      </c>
      <c r="D616" s="29"/>
      <c r="G616" s="65"/>
    </row>
    <row r="617">
      <c r="A617" s="29"/>
      <c r="B617" s="29"/>
      <c r="C617" s="65" t="str">
        <f>IFERROR(__xludf.DUMMYFUNCTION("""COMPUTED_VALUE"""),"")</f>
        <v/>
      </c>
      <c r="D617" s="29"/>
      <c r="G617" s="65"/>
    </row>
    <row r="618">
      <c r="A618" s="29"/>
      <c r="B618" s="29"/>
      <c r="C618" s="65" t="str">
        <f>IFERROR(__xludf.DUMMYFUNCTION("""COMPUTED_VALUE"""),"")</f>
        <v/>
      </c>
      <c r="D618" s="29"/>
      <c r="G618" s="65"/>
    </row>
    <row r="619">
      <c r="A619" s="29"/>
      <c r="B619" s="29"/>
      <c r="C619" s="65" t="str">
        <f>IFERROR(__xludf.DUMMYFUNCTION("""COMPUTED_VALUE"""),"")</f>
        <v/>
      </c>
      <c r="D619" s="29"/>
      <c r="G619" s="65"/>
    </row>
    <row r="620">
      <c r="A620" s="29"/>
      <c r="B620" s="29"/>
      <c r="C620" s="65" t="str">
        <f>IFERROR(__xludf.DUMMYFUNCTION("""COMPUTED_VALUE"""),"")</f>
        <v/>
      </c>
      <c r="D620" s="29"/>
      <c r="G620" s="65"/>
    </row>
    <row r="621">
      <c r="A621" s="29"/>
      <c r="B621" s="29"/>
      <c r="C621" s="65" t="str">
        <f>IFERROR(__xludf.DUMMYFUNCTION("""COMPUTED_VALUE"""),"")</f>
        <v/>
      </c>
      <c r="D621" s="29"/>
      <c r="G621" s="65"/>
    </row>
    <row r="622">
      <c r="A622" s="29"/>
      <c r="B622" s="29"/>
      <c r="C622" s="65" t="str">
        <f>IFERROR(__xludf.DUMMYFUNCTION("""COMPUTED_VALUE"""),"")</f>
        <v/>
      </c>
      <c r="D622" s="29"/>
      <c r="G622" s="65"/>
    </row>
    <row r="623">
      <c r="A623" s="29"/>
      <c r="B623" s="29"/>
      <c r="C623" s="65" t="str">
        <f>IFERROR(__xludf.DUMMYFUNCTION("""COMPUTED_VALUE"""),"")</f>
        <v/>
      </c>
      <c r="D623" s="29"/>
      <c r="G623" s="65"/>
    </row>
    <row r="624">
      <c r="A624" s="29"/>
      <c r="B624" s="29"/>
      <c r="C624" s="65" t="str">
        <f>IFERROR(__xludf.DUMMYFUNCTION("""COMPUTED_VALUE"""),"")</f>
        <v/>
      </c>
      <c r="D624" s="29"/>
      <c r="G624" s="65"/>
    </row>
    <row r="625">
      <c r="A625" s="29"/>
      <c r="B625" s="29"/>
      <c r="C625" s="65" t="str">
        <f>IFERROR(__xludf.DUMMYFUNCTION("""COMPUTED_VALUE"""),"")</f>
        <v/>
      </c>
      <c r="D625" s="29"/>
      <c r="G625" s="65"/>
    </row>
    <row r="626">
      <c r="A626" s="29"/>
      <c r="B626" s="29"/>
      <c r="C626" s="65" t="str">
        <f>IFERROR(__xludf.DUMMYFUNCTION("""COMPUTED_VALUE"""),"")</f>
        <v/>
      </c>
      <c r="D626" s="29"/>
      <c r="G626" s="65"/>
    </row>
    <row r="627">
      <c r="A627" s="29"/>
      <c r="B627" s="29"/>
      <c r="C627" s="65" t="str">
        <f>IFERROR(__xludf.DUMMYFUNCTION("""COMPUTED_VALUE"""),"")</f>
        <v/>
      </c>
      <c r="D627" s="29"/>
      <c r="G627" s="65"/>
    </row>
    <row r="628">
      <c r="A628" s="29"/>
      <c r="B628" s="29"/>
      <c r="C628" s="65" t="str">
        <f>IFERROR(__xludf.DUMMYFUNCTION("""COMPUTED_VALUE"""),"")</f>
        <v/>
      </c>
      <c r="D628" s="29"/>
      <c r="G628" s="65"/>
    </row>
    <row r="629">
      <c r="A629" s="29"/>
      <c r="B629" s="29"/>
      <c r="C629" s="65" t="str">
        <f>IFERROR(__xludf.DUMMYFUNCTION("""COMPUTED_VALUE"""),"")</f>
        <v/>
      </c>
      <c r="D629" s="29"/>
      <c r="G629" s="65"/>
    </row>
    <row r="630">
      <c r="A630" s="29"/>
      <c r="B630" s="29"/>
      <c r="C630" s="65" t="str">
        <f>IFERROR(__xludf.DUMMYFUNCTION("""COMPUTED_VALUE"""),"")</f>
        <v/>
      </c>
      <c r="D630" s="29"/>
      <c r="G630" s="65"/>
    </row>
    <row r="631">
      <c r="A631" s="29"/>
      <c r="B631" s="29"/>
      <c r="C631" s="65" t="str">
        <f>IFERROR(__xludf.DUMMYFUNCTION("""COMPUTED_VALUE"""),"")</f>
        <v/>
      </c>
      <c r="D631" s="29"/>
      <c r="G631" s="65"/>
    </row>
    <row r="632">
      <c r="A632" s="29"/>
      <c r="B632" s="29"/>
      <c r="C632" s="65" t="str">
        <f>IFERROR(__xludf.DUMMYFUNCTION("""COMPUTED_VALUE"""),"")</f>
        <v/>
      </c>
      <c r="D632" s="29"/>
      <c r="G632" s="65"/>
    </row>
    <row r="633">
      <c r="A633" s="29"/>
      <c r="B633" s="29"/>
      <c r="C633" s="65" t="str">
        <f>IFERROR(__xludf.DUMMYFUNCTION("""COMPUTED_VALUE"""),"")</f>
        <v/>
      </c>
      <c r="D633" s="29"/>
      <c r="G633" s="65"/>
    </row>
    <row r="634">
      <c r="A634" s="29"/>
      <c r="B634" s="29"/>
      <c r="C634" s="65" t="str">
        <f>IFERROR(__xludf.DUMMYFUNCTION("""COMPUTED_VALUE"""),"")</f>
        <v/>
      </c>
      <c r="D634" s="29"/>
      <c r="G634" s="65"/>
    </row>
    <row r="635">
      <c r="A635" s="29"/>
      <c r="B635" s="29"/>
      <c r="C635" s="65" t="str">
        <f>IFERROR(__xludf.DUMMYFUNCTION("""COMPUTED_VALUE"""),"")</f>
        <v/>
      </c>
      <c r="D635" s="29"/>
      <c r="G635" s="65"/>
    </row>
    <row r="636">
      <c r="A636" s="29"/>
      <c r="B636" s="29"/>
      <c r="C636" s="65" t="str">
        <f>IFERROR(__xludf.DUMMYFUNCTION("""COMPUTED_VALUE"""),"")</f>
        <v/>
      </c>
      <c r="D636" s="29"/>
      <c r="G636" s="65"/>
    </row>
    <row r="637">
      <c r="A637" s="29"/>
      <c r="B637" s="29"/>
      <c r="C637" s="65" t="str">
        <f>IFERROR(__xludf.DUMMYFUNCTION("""COMPUTED_VALUE"""),"")</f>
        <v/>
      </c>
      <c r="D637" s="29"/>
      <c r="G637" s="65"/>
    </row>
    <row r="638">
      <c r="A638" s="29"/>
      <c r="B638" s="29"/>
      <c r="C638" s="65" t="str">
        <f>IFERROR(__xludf.DUMMYFUNCTION("""COMPUTED_VALUE"""),"")</f>
        <v/>
      </c>
      <c r="D638" s="29"/>
      <c r="G638" s="65"/>
    </row>
    <row r="639">
      <c r="A639" s="29"/>
      <c r="B639" s="29"/>
      <c r="C639" s="65" t="str">
        <f>IFERROR(__xludf.DUMMYFUNCTION("""COMPUTED_VALUE"""),"")</f>
        <v/>
      </c>
      <c r="D639" s="29"/>
      <c r="G639" s="65"/>
    </row>
    <row r="640">
      <c r="A640" s="29"/>
      <c r="B640" s="29"/>
      <c r="C640" s="65" t="str">
        <f>IFERROR(__xludf.DUMMYFUNCTION("""COMPUTED_VALUE"""),"")</f>
        <v/>
      </c>
      <c r="D640" s="29"/>
      <c r="G640" s="65"/>
    </row>
    <row r="641">
      <c r="A641" s="29"/>
      <c r="B641" s="29"/>
      <c r="C641" s="65" t="str">
        <f>IFERROR(__xludf.DUMMYFUNCTION("""COMPUTED_VALUE"""),"")</f>
        <v/>
      </c>
      <c r="D641" s="29"/>
      <c r="G641" s="65"/>
    </row>
    <row r="642">
      <c r="A642" s="29"/>
      <c r="B642" s="29"/>
      <c r="C642" s="65" t="str">
        <f>IFERROR(__xludf.DUMMYFUNCTION("""COMPUTED_VALUE"""),"")</f>
        <v/>
      </c>
      <c r="D642" s="29"/>
      <c r="G642" s="65"/>
    </row>
    <row r="643">
      <c r="A643" s="29"/>
      <c r="B643" s="29"/>
      <c r="C643" s="65" t="str">
        <f>IFERROR(__xludf.DUMMYFUNCTION("""COMPUTED_VALUE"""),"")</f>
        <v/>
      </c>
      <c r="D643" s="29"/>
      <c r="G643" s="65"/>
    </row>
    <row r="644">
      <c r="A644" s="29"/>
      <c r="B644" s="29"/>
      <c r="C644" s="65" t="str">
        <f>IFERROR(__xludf.DUMMYFUNCTION("""COMPUTED_VALUE"""),"")</f>
        <v/>
      </c>
      <c r="D644" s="29"/>
      <c r="G644" s="65"/>
    </row>
    <row r="645">
      <c r="A645" s="29"/>
      <c r="B645" s="29"/>
      <c r="C645" s="65" t="str">
        <f>IFERROR(__xludf.DUMMYFUNCTION("""COMPUTED_VALUE"""),"")</f>
        <v/>
      </c>
      <c r="D645" s="29"/>
      <c r="G645" s="65"/>
    </row>
    <row r="646">
      <c r="A646" s="29"/>
      <c r="B646" s="29"/>
      <c r="C646" s="65" t="str">
        <f>IFERROR(__xludf.DUMMYFUNCTION("""COMPUTED_VALUE"""),"")</f>
        <v/>
      </c>
      <c r="D646" s="29"/>
      <c r="G646" s="65"/>
    </row>
    <row r="647">
      <c r="A647" s="29"/>
      <c r="B647" s="29"/>
      <c r="C647" s="65" t="str">
        <f>IFERROR(__xludf.DUMMYFUNCTION("""COMPUTED_VALUE"""),"")</f>
        <v/>
      </c>
      <c r="D647" s="29"/>
      <c r="G647" s="65"/>
    </row>
    <row r="648">
      <c r="A648" s="29"/>
      <c r="B648" s="29"/>
      <c r="C648" s="65" t="str">
        <f>IFERROR(__xludf.DUMMYFUNCTION("""COMPUTED_VALUE"""),"")</f>
        <v/>
      </c>
      <c r="D648" s="29"/>
      <c r="G648" s="65"/>
    </row>
    <row r="649">
      <c r="A649" s="29"/>
      <c r="B649" s="29"/>
      <c r="C649" s="65" t="str">
        <f>IFERROR(__xludf.DUMMYFUNCTION("""COMPUTED_VALUE"""),"")</f>
        <v/>
      </c>
      <c r="D649" s="29"/>
      <c r="G649" s="65"/>
    </row>
    <row r="650">
      <c r="A650" s="29"/>
      <c r="B650" s="29"/>
      <c r="C650" s="65" t="str">
        <f>IFERROR(__xludf.DUMMYFUNCTION("""COMPUTED_VALUE"""),"")</f>
        <v/>
      </c>
      <c r="D650" s="29"/>
      <c r="G650" s="65"/>
    </row>
    <row r="651">
      <c r="A651" s="29"/>
      <c r="B651" s="29"/>
      <c r="C651" s="65" t="str">
        <f>IFERROR(__xludf.DUMMYFUNCTION("""COMPUTED_VALUE"""),"")</f>
        <v/>
      </c>
      <c r="D651" s="29"/>
      <c r="G651" s="65"/>
    </row>
    <row r="652">
      <c r="A652" s="29"/>
      <c r="B652" s="29"/>
      <c r="C652" s="65" t="str">
        <f>IFERROR(__xludf.DUMMYFUNCTION("""COMPUTED_VALUE"""),"")</f>
        <v/>
      </c>
      <c r="D652" s="29"/>
      <c r="G652" s="65"/>
    </row>
    <row r="653">
      <c r="A653" s="29"/>
      <c r="B653" s="29"/>
      <c r="C653" s="65" t="str">
        <f>IFERROR(__xludf.DUMMYFUNCTION("""COMPUTED_VALUE"""),"")</f>
        <v/>
      </c>
      <c r="D653" s="29"/>
      <c r="G653" s="65"/>
    </row>
    <row r="654">
      <c r="A654" s="29"/>
      <c r="B654" s="29"/>
      <c r="C654" s="65" t="str">
        <f>IFERROR(__xludf.DUMMYFUNCTION("""COMPUTED_VALUE"""),"")</f>
        <v/>
      </c>
      <c r="D654" s="29"/>
      <c r="G654" s="65"/>
    </row>
    <row r="655">
      <c r="A655" s="29"/>
      <c r="B655" s="29"/>
      <c r="C655" s="65" t="str">
        <f>IFERROR(__xludf.DUMMYFUNCTION("""COMPUTED_VALUE"""),"")</f>
        <v/>
      </c>
      <c r="D655" s="29"/>
      <c r="G655" s="65"/>
    </row>
    <row r="656">
      <c r="A656" s="29"/>
      <c r="B656" s="29"/>
      <c r="C656" s="65" t="str">
        <f>IFERROR(__xludf.DUMMYFUNCTION("""COMPUTED_VALUE"""),"")</f>
        <v/>
      </c>
      <c r="D656" s="29"/>
      <c r="G656" s="65"/>
    </row>
    <row r="657">
      <c r="A657" s="29"/>
      <c r="B657" s="29"/>
      <c r="C657" s="65" t="str">
        <f>IFERROR(__xludf.DUMMYFUNCTION("""COMPUTED_VALUE"""),"")</f>
        <v/>
      </c>
      <c r="D657" s="29"/>
      <c r="G657" s="65"/>
    </row>
    <row r="658">
      <c r="A658" s="29"/>
      <c r="B658" s="29"/>
      <c r="C658" s="65" t="str">
        <f>IFERROR(__xludf.DUMMYFUNCTION("""COMPUTED_VALUE"""),"")</f>
        <v/>
      </c>
      <c r="D658" s="29"/>
      <c r="G658" s="65"/>
    </row>
    <row r="659">
      <c r="A659" s="29"/>
      <c r="B659" s="29"/>
      <c r="C659" s="65" t="str">
        <f>IFERROR(__xludf.DUMMYFUNCTION("""COMPUTED_VALUE"""),"")</f>
        <v/>
      </c>
      <c r="D659" s="29"/>
      <c r="G659" s="65"/>
    </row>
    <row r="660">
      <c r="A660" s="29"/>
      <c r="B660" s="29"/>
      <c r="C660" s="65" t="str">
        <f>IFERROR(__xludf.DUMMYFUNCTION("""COMPUTED_VALUE"""),"")</f>
        <v/>
      </c>
      <c r="D660" s="29"/>
      <c r="G660" s="65"/>
    </row>
    <row r="661">
      <c r="A661" s="29"/>
      <c r="B661" s="29"/>
      <c r="C661" s="65" t="str">
        <f>IFERROR(__xludf.DUMMYFUNCTION("""COMPUTED_VALUE"""),"")</f>
        <v/>
      </c>
      <c r="D661" s="29"/>
      <c r="G661" s="65"/>
    </row>
    <row r="662">
      <c r="A662" s="29"/>
      <c r="B662" s="29"/>
      <c r="C662" s="65" t="str">
        <f>IFERROR(__xludf.DUMMYFUNCTION("""COMPUTED_VALUE"""),"")</f>
        <v/>
      </c>
      <c r="D662" s="29"/>
      <c r="G662" s="65"/>
    </row>
    <row r="663">
      <c r="A663" s="29"/>
      <c r="B663" s="29"/>
      <c r="C663" s="65" t="str">
        <f>IFERROR(__xludf.DUMMYFUNCTION("""COMPUTED_VALUE"""),"")</f>
        <v/>
      </c>
      <c r="D663" s="29"/>
      <c r="G663" s="65"/>
    </row>
    <row r="664">
      <c r="A664" s="29"/>
      <c r="B664" s="29"/>
      <c r="C664" s="65" t="str">
        <f>IFERROR(__xludf.DUMMYFUNCTION("""COMPUTED_VALUE"""),"")</f>
        <v/>
      </c>
      <c r="D664" s="29"/>
      <c r="G664" s="65"/>
    </row>
    <row r="665">
      <c r="A665" s="29"/>
      <c r="B665" s="29"/>
      <c r="C665" s="65" t="str">
        <f>IFERROR(__xludf.DUMMYFUNCTION("""COMPUTED_VALUE"""),"")</f>
        <v/>
      </c>
      <c r="D665" s="29"/>
      <c r="G665" s="65"/>
    </row>
    <row r="666">
      <c r="A666" s="29"/>
      <c r="B666" s="29"/>
      <c r="C666" s="65" t="str">
        <f>IFERROR(__xludf.DUMMYFUNCTION("""COMPUTED_VALUE"""),"")</f>
        <v/>
      </c>
      <c r="D666" s="29"/>
      <c r="G666" s="65"/>
    </row>
    <row r="667">
      <c r="A667" s="29"/>
      <c r="B667" s="29"/>
      <c r="C667" s="65" t="str">
        <f>IFERROR(__xludf.DUMMYFUNCTION("""COMPUTED_VALUE"""),"")</f>
        <v/>
      </c>
      <c r="D667" s="29"/>
      <c r="G667" s="65"/>
    </row>
    <row r="668">
      <c r="A668" s="29"/>
      <c r="B668" s="29"/>
      <c r="C668" s="65" t="str">
        <f>IFERROR(__xludf.DUMMYFUNCTION("""COMPUTED_VALUE"""),"")</f>
        <v/>
      </c>
      <c r="D668" s="29"/>
      <c r="G668" s="65"/>
    </row>
    <row r="669">
      <c r="A669" s="29"/>
      <c r="B669" s="29"/>
      <c r="C669" s="65" t="str">
        <f>IFERROR(__xludf.DUMMYFUNCTION("""COMPUTED_VALUE"""),"")</f>
        <v/>
      </c>
      <c r="D669" s="29"/>
      <c r="G669" s="65"/>
    </row>
    <row r="670">
      <c r="A670" s="29"/>
      <c r="B670" s="29"/>
      <c r="C670" s="65" t="str">
        <f>IFERROR(__xludf.DUMMYFUNCTION("""COMPUTED_VALUE"""),"")</f>
        <v/>
      </c>
      <c r="D670" s="29"/>
      <c r="G670" s="65"/>
    </row>
    <row r="671">
      <c r="A671" s="29"/>
      <c r="B671" s="29"/>
      <c r="C671" s="65" t="str">
        <f>IFERROR(__xludf.DUMMYFUNCTION("""COMPUTED_VALUE"""),"")</f>
        <v/>
      </c>
      <c r="D671" s="29"/>
      <c r="G671" s="65"/>
    </row>
    <row r="672">
      <c r="A672" s="29"/>
      <c r="B672" s="29"/>
      <c r="C672" s="65" t="str">
        <f>IFERROR(__xludf.DUMMYFUNCTION("""COMPUTED_VALUE"""),"")</f>
        <v/>
      </c>
      <c r="D672" s="29"/>
      <c r="G672" s="65"/>
    </row>
    <row r="673">
      <c r="A673" s="29"/>
      <c r="B673" s="29"/>
      <c r="C673" s="65" t="str">
        <f>IFERROR(__xludf.DUMMYFUNCTION("""COMPUTED_VALUE"""),"")</f>
        <v/>
      </c>
      <c r="D673" s="29"/>
      <c r="G673" s="65"/>
    </row>
    <row r="674">
      <c r="A674" s="29"/>
      <c r="B674" s="29"/>
      <c r="C674" s="65" t="str">
        <f>IFERROR(__xludf.DUMMYFUNCTION("""COMPUTED_VALUE"""),"")</f>
        <v/>
      </c>
      <c r="D674" s="29"/>
      <c r="G674" s="65"/>
    </row>
    <row r="675">
      <c r="A675" s="29"/>
      <c r="B675" s="29"/>
      <c r="C675" s="65" t="str">
        <f>IFERROR(__xludf.DUMMYFUNCTION("""COMPUTED_VALUE"""),"")</f>
        <v/>
      </c>
      <c r="D675" s="29"/>
      <c r="G675" s="65"/>
    </row>
    <row r="676">
      <c r="A676" s="29"/>
      <c r="B676" s="29"/>
      <c r="C676" s="65" t="str">
        <f>IFERROR(__xludf.DUMMYFUNCTION("""COMPUTED_VALUE"""),"")</f>
        <v/>
      </c>
      <c r="D676" s="29"/>
      <c r="G676" s="65"/>
    </row>
    <row r="677">
      <c r="A677" s="29"/>
      <c r="B677" s="29"/>
      <c r="C677" s="65" t="str">
        <f>IFERROR(__xludf.DUMMYFUNCTION("""COMPUTED_VALUE"""),"")</f>
        <v/>
      </c>
      <c r="D677" s="29"/>
      <c r="G677" s="65"/>
    </row>
    <row r="678">
      <c r="A678" s="29"/>
      <c r="B678" s="29"/>
      <c r="C678" s="65" t="str">
        <f>IFERROR(__xludf.DUMMYFUNCTION("""COMPUTED_VALUE"""),"")</f>
        <v/>
      </c>
      <c r="D678" s="29"/>
      <c r="G678" s="65"/>
    </row>
    <row r="679">
      <c r="A679" s="29"/>
      <c r="B679" s="29"/>
      <c r="C679" s="65" t="str">
        <f>IFERROR(__xludf.DUMMYFUNCTION("""COMPUTED_VALUE"""),"")</f>
        <v/>
      </c>
      <c r="D679" s="29"/>
      <c r="G679" s="65"/>
    </row>
    <row r="680">
      <c r="A680" s="29"/>
      <c r="B680" s="29"/>
      <c r="C680" s="65" t="str">
        <f>IFERROR(__xludf.DUMMYFUNCTION("""COMPUTED_VALUE"""),"")</f>
        <v/>
      </c>
      <c r="D680" s="29"/>
      <c r="G680" s="65"/>
    </row>
    <row r="681">
      <c r="A681" s="29"/>
      <c r="B681" s="29"/>
      <c r="C681" s="65" t="str">
        <f>IFERROR(__xludf.DUMMYFUNCTION("""COMPUTED_VALUE"""),"")</f>
        <v/>
      </c>
      <c r="D681" s="29"/>
      <c r="G681" s="65"/>
    </row>
    <row r="682">
      <c r="A682" s="29"/>
      <c r="B682" s="29"/>
      <c r="C682" s="65" t="str">
        <f>IFERROR(__xludf.DUMMYFUNCTION("""COMPUTED_VALUE"""),"")</f>
        <v/>
      </c>
      <c r="D682" s="29"/>
      <c r="G682" s="65"/>
    </row>
    <row r="683">
      <c r="A683" s="29"/>
      <c r="B683" s="29"/>
      <c r="C683" s="65" t="str">
        <f>IFERROR(__xludf.DUMMYFUNCTION("""COMPUTED_VALUE"""),"")</f>
        <v/>
      </c>
      <c r="D683" s="29"/>
      <c r="G683" s="65"/>
    </row>
    <row r="684">
      <c r="A684" s="29"/>
      <c r="B684" s="29"/>
      <c r="C684" s="65" t="str">
        <f>IFERROR(__xludf.DUMMYFUNCTION("""COMPUTED_VALUE"""),"")</f>
        <v/>
      </c>
      <c r="D684" s="29"/>
      <c r="G684" s="65"/>
    </row>
    <row r="685">
      <c r="A685" s="29"/>
      <c r="B685" s="29"/>
      <c r="C685" s="65" t="str">
        <f>IFERROR(__xludf.DUMMYFUNCTION("""COMPUTED_VALUE"""),"")</f>
        <v/>
      </c>
      <c r="D685" s="29"/>
      <c r="G685" s="65"/>
    </row>
    <row r="686">
      <c r="A686" s="29"/>
      <c r="B686" s="29"/>
      <c r="C686" s="65" t="str">
        <f>IFERROR(__xludf.DUMMYFUNCTION("""COMPUTED_VALUE"""),"")</f>
        <v/>
      </c>
      <c r="D686" s="29"/>
      <c r="G686" s="65"/>
    </row>
    <row r="687">
      <c r="A687" s="29"/>
      <c r="B687" s="29"/>
      <c r="C687" s="65" t="str">
        <f>IFERROR(__xludf.DUMMYFUNCTION("""COMPUTED_VALUE"""),"")</f>
        <v/>
      </c>
      <c r="D687" s="29"/>
      <c r="G687" s="65"/>
    </row>
    <row r="688">
      <c r="A688" s="29"/>
      <c r="B688" s="29"/>
      <c r="C688" s="65" t="str">
        <f>IFERROR(__xludf.DUMMYFUNCTION("""COMPUTED_VALUE"""),"")</f>
        <v/>
      </c>
      <c r="D688" s="29"/>
      <c r="G688" s="65"/>
    </row>
    <row r="689">
      <c r="A689" s="29"/>
      <c r="B689" s="29"/>
      <c r="C689" s="65" t="str">
        <f>IFERROR(__xludf.DUMMYFUNCTION("""COMPUTED_VALUE"""),"")</f>
        <v/>
      </c>
      <c r="D689" s="29"/>
      <c r="G689" s="65"/>
    </row>
    <row r="690">
      <c r="A690" s="29"/>
      <c r="B690" s="29"/>
      <c r="C690" s="65" t="str">
        <f>IFERROR(__xludf.DUMMYFUNCTION("""COMPUTED_VALUE"""),"")</f>
        <v/>
      </c>
      <c r="D690" s="29"/>
      <c r="G690" s="65"/>
    </row>
    <row r="691">
      <c r="A691" s="29"/>
      <c r="B691" s="29"/>
      <c r="C691" s="65" t="str">
        <f>IFERROR(__xludf.DUMMYFUNCTION("""COMPUTED_VALUE"""),"")</f>
        <v/>
      </c>
      <c r="D691" s="29"/>
      <c r="G691" s="65"/>
    </row>
    <row r="692">
      <c r="A692" s="29"/>
      <c r="B692" s="29"/>
      <c r="C692" s="65" t="str">
        <f>IFERROR(__xludf.DUMMYFUNCTION("""COMPUTED_VALUE"""),"")</f>
        <v/>
      </c>
      <c r="D692" s="29"/>
      <c r="G692" s="65"/>
    </row>
    <row r="693">
      <c r="A693" s="29"/>
      <c r="B693" s="29"/>
      <c r="C693" s="65" t="str">
        <f>IFERROR(__xludf.DUMMYFUNCTION("""COMPUTED_VALUE"""),"")</f>
        <v/>
      </c>
      <c r="D693" s="29"/>
      <c r="G693" s="65"/>
    </row>
    <row r="694">
      <c r="A694" s="29"/>
      <c r="B694" s="29"/>
      <c r="C694" s="65" t="str">
        <f>IFERROR(__xludf.DUMMYFUNCTION("""COMPUTED_VALUE"""),"")</f>
        <v/>
      </c>
      <c r="D694" s="29"/>
      <c r="G694" s="65"/>
    </row>
    <row r="695">
      <c r="A695" s="29"/>
      <c r="B695" s="29"/>
      <c r="C695" s="65" t="str">
        <f>IFERROR(__xludf.DUMMYFUNCTION("""COMPUTED_VALUE"""),"")</f>
        <v/>
      </c>
      <c r="D695" s="29"/>
      <c r="G695" s="65"/>
    </row>
    <row r="696">
      <c r="A696" s="29"/>
      <c r="B696" s="29"/>
      <c r="C696" s="65" t="str">
        <f>IFERROR(__xludf.DUMMYFUNCTION("""COMPUTED_VALUE"""),"")</f>
        <v/>
      </c>
      <c r="D696" s="29"/>
      <c r="G696" s="65"/>
    </row>
    <row r="697">
      <c r="A697" s="29"/>
      <c r="B697" s="29"/>
      <c r="C697" s="65" t="str">
        <f>IFERROR(__xludf.DUMMYFUNCTION("""COMPUTED_VALUE"""),"")</f>
        <v/>
      </c>
      <c r="D697" s="29"/>
      <c r="G697" s="65"/>
    </row>
    <row r="698">
      <c r="A698" s="29"/>
      <c r="B698" s="29"/>
      <c r="C698" s="65" t="str">
        <f>IFERROR(__xludf.DUMMYFUNCTION("""COMPUTED_VALUE"""),"")</f>
        <v/>
      </c>
      <c r="D698" s="29"/>
      <c r="G698" s="65"/>
    </row>
    <row r="699">
      <c r="A699" s="29"/>
      <c r="B699" s="29"/>
      <c r="C699" s="65" t="str">
        <f>IFERROR(__xludf.DUMMYFUNCTION("""COMPUTED_VALUE"""),"")</f>
        <v/>
      </c>
      <c r="D699" s="29"/>
      <c r="G699" s="65"/>
    </row>
    <row r="700">
      <c r="A700" s="29"/>
      <c r="B700" s="29"/>
      <c r="C700" s="65" t="str">
        <f>IFERROR(__xludf.DUMMYFUNCTION("""COMPUTED_VALUE"""),"")</f>
        <v/>
      </c>
      <c r="D700" s="29"/>
      <c r="G700" s="65"/>
    </row>
    <row r="701">
      <c r="A701" s="29"/>
      <c r="B701" s="29"/>
      <c r="C701" s="65" t="str">
        <f>IFERROR(__xludf.DUMMYFUNCTION("""COMPUTED_VALUE"""),"")</f>
        <v/>
      </c>
      <c r="D701" s="29"/>
      <c r="G701" s="65"/>
    </row>
    <row r="702">
      <c r="A702" s="29"/>
      <c r="B702" s="29"/>
      <c r="C702" s="65" t="str">
        <f>IFERROR(__xludf.DUMMYFUNCTION("""COMPUTED_VALUE"""),"")</f>
        <v/>
      </c>
      <c r="D702" s="29"/>
      <c r="G702" s="65"/>
    </row>
    <row r="703">
      <c r="A703" s="29"/>
      <c r="B703" s="29"/>
      <c r="C703" s="65" t="str">
        <f>IFERROR(__xludf.DUMMYFUNCTION("""COMPUTED_VALUE"""),"")</f>
        <v/>
      </c>
      <c r="D703" s="29"/>
      <c r="G703" s="65"/>
    </row>
    <row r="704">
      <c r="A704" s="29"/>
      <c r="B704" s="29"/>
      <c r="C704" s="65" t="str">
        <f>IFERROR(__xludf.DUMMYFUNCTION("""COMPUTED_VALUE"""),"")</f>
        <v/>
      </c>
      <c r="D704" s="29"/>
      <c r="G704" s="65"/>
    </row>
    <row r="705">
      <c r="A705" s="29"/>
      <c r="B705" s="29"/>
      <c r="C705" s="65" t="str">
        <f>IFERROR(__xludf.DUMMYFUNCTION("""COMPUTED_VALUE"""),"")</f>
        <v/>
      </c>
      <c r="D705" s="29"/>
      <c r="G705" s="65"/>
    </row>
    <row r="706">
      <c r="A706" s="29"/>
      <c r="B706" s="29"/>
      <c r="C706" s="65" t="str">
        <f>IFERROR(__xludf.DUMMYFUNCTION("""COMPUTED_VALUE"""),"")</f>
        <v/>
      </c>
      <c r="D706" s="29"/>
      <c r="G706" s="65"/>
    </row>
    <row r="707">
      <c r="A707" s="29"/>
      <c r="B707" s="29"/>
      <c r="C707" s="65" t="str">
        <f>IFERROR(__xludf.DUMMYFUNCTION("""COMPUTED_VALUE"""),"")</f>
        <v/>
      </c>
      <c r="D707" s="29"/>
      <c r="G707" s="65"/>
    </row>
    <row r="708">
      <c r="A708" s="29"/>
      <c r="B708" s="29"/>
      <c r="C708" s="65" t="str">
        <f>IFERROR(__xludf.DUMMYFUNCTION("""COMPUTED_VALUE"""),"")</f>
        <v/>
      </c>
      <c r="D708" s="29"/>
      <c r="G708" s="65"/>
    </row>
    <row r="709">
      <c r="A709" s="29"/>
      <c r="B709" s="29"/>
      <c r="C709" s="65" t="str">
        <f>IFERROR(__xludf.DUMMYFUNCTION("""COMPUTED_VALUE"""),"")</f>
        <v/>
      </c>
      <c r="D709" s="29"/>
      <c r="G709" s="65"/>
    </row>
    <row r="710">
      <c r="A710" s="29"/>
      <c r="B710" s="29"/>
      <c r="C710" s="65" t="str">
        <f>IFERROR(__xludf.DUMMYFUNCTION("""COMPUTED_VALUE"""),"")</f>
        <v/>
      </c>
      <c r="D710" s="29"/>
      <c r="G710" s="65"/>
    </row>
    <row r="711">
      <c r="A711" s="29"/>
      <c r="B711" s="29"/>
      <c r="C711" s="65" t="str">
        <f>IFERROR(__xludf.DUMMYFUNCTION("""COMPUTED_VALUE"""),"")</f>
        <v/>
      </c>
      <c r="D711" s="29"/>
      <c r="G711" s="65"/>
    </row>
    <row r="712">
      <c r="A712" s="29"/>
      <c r="B712" s="29"/>
      <c r="C712" s="65" t="str">
        <f>IFERROR(__xludf.DUMMYFUNCTION("""COMPUTED_VALUE"""),"")</f>
        <v/>
      </c>
      <c r="D712" s="29"/>
      <c r="G712" s="65"/>
    </row>
    <row r="713">
      <c r="A713" s="29"/>
      <c r="B713" s="29"/>
      <c r="C713" s="65" t="str">
        <f>IFERROR(__xludf.DUMMYFUNCTION("""COMPUTED_VALUE"""),"")</f>
        <v/>
      </c>
      <c r="D713" s="29"/>
      <c r="G713" s="65"/>
    </row>
    <row r="714">
      <c r="A714" s="29"/>
      <c r="B714" s="29"/>
      <c r="C714" s="65" t="str">
        <f>IFERROR(__xludf.DUMMYFUNCTION("""COMPUTED_VALUE"""),"")</f>
        <v/>
      </c>
      <c r="D714" s="29"/>
      <c r="G714" s="65"/>
    </row>
    <row r="715">
      <c r="A715" s="29"/>
      <c r="B715" s="29"/>
      <c r="C715" s="65" t="str">
        <f>IFERROR(__xludf.DUMMYFUNCTION("""COMPUTED_VALUE"""),"")</f>
        <v/>
      </c>
      <c r="D715" s="29"/>
      <c r="G715" s="65"/>
    </row>
    <row r="716">
      <c r="A716" s="29"/>
      <c r="B716" s="29"/>
      <c r="C716" s="65" t="str">
        <f>IFERROR(__xludf.DUMMYFUNCTION("""COMPUTED_VALUE"""),"")</f>
        <v/>
      </c>
      <c r="D716" s="29"/>
      <c r="G716" s="65"/>
    </row>
    <row r="717">
      <c r="A717" s="29"/>
      <c r="B717" s="29"/>
      <c r="C717" s="65" t="str">
        <f>IFERROR(__xludf.DUMMYFUNCTION("""COMPUTED_VALUE"""),"")</f>
        <v/>
      </c>
      <c r="D717" s="29"/>
      <c r="G717" s="65"/>
    </row>
    <row r="718">
      <c r="A718" s="29"/>
      <c r="B718" s="29"/>
      <c r="C718" s="65" t="str">
        <f>IFERROR(__xludf.DUMMYFUNCTION("""COMPUTED_VALUE"""),"")</f>
        <v/>
      </c>
      <c r="D718" s="29"/>
      <c r="G718" s="65"/>
    </row>
    <row r="719">
      <c r="A719" s="29"/>
      <c r="B719" s="29"/>
      <c r="C719" s="65" t="str">
        <f>IFERROR(__xludf.DUMMYFUNCTION("""COMPUTED_VALUE"""),"")</f>
        <v/>
      </c>
      <c r="D719" s="29"/>
      <c r="G719" s="65"/>
    </row>
    <row r="720">
      <c r="A720" s="29"/>
      <c r="B720" s="29"/>
      <c r="C720" s="65" t="str">
        <f>IFERROR(__xludf.DUMMYFUNCTION("""COMPUTED_VALUE"""),"")</f>
        <v/>
      </c>
      <c r="D720" s="29"/>
      <c r="G720" s="65"/>
    </row>
    <row r="721">
      <c r="A721" s="29"/>
      <c r="B721" s="29"/>
      <c r="C721" s="65" t="str">
        <f>IFERROR(__xludf.DUMMYFUNCTION("""COMPUTED_VALUE"""),"")</f>
        <v/>
      </c>
      <c r="D721" s="29"/>
      <c r="G721" s="65"/>
    </row>
    <row r="722">
      <c r="A722" s="29"/>
      <c r="B722" s="29"/>
      <c r="C722" s="65" t="str">
        <f>IFERROR(__xludf.DUMMYFUNCTION("""COMPUTED_VALUE"""),"")</f>
        <v/>
      </c>
      <c r="D722" s="29"/>
      <c r="G722" s="65"/>
    </row>
    <row r="723">
      <c r="A723" s="29"/>
      <c r="B723" s="29"/>
      <c r="C723" s="65" t="str">
        <f>IFERROR(__xludf.DUMMYFUNCTION("""COMPUTED_VALUE"""),"")</f>
        <v/>
      </c>
      <c r="D723" s="29"/>
      <c r="G723" s="65"/>
    </row>
    <row r="724">
      <c r="A724" s="29"/>
      <c r="B724" s="29"/>
      <c r="C724" s="65" t="str">
        <f>IFERROR(__xludf.DUMMYFUNCTION("""COMPUTED_VALUE"""),"")</f>
        <v/>
      </c>
      <c r="D724" s="29"/>
      <c r="G724" s="65"/>
    </row>
    <row r="725">
      <c r="A725" s="29"/>
      <c r="B725" s="29"/>
      <c r="C725" s="65" t="str">
        <f>IFERROR(__xludf.DUMMYFUNCTION("""COMPUTED_VALUE"""),"")</f>
        <v/>
      </c>
      <c r="D725" s="29"/>
      <c r="G725" s="65"/>
    </row>
    <row r="726">
      <c r="A726" s="29"/>
      <c r="B726" s="29"/>
      <c r="C726" s="65" t="str">
        <f>IFERROR(__xludf.DUMMYFUNCTION("""COMPUTED_VALUE"""),"")</f>
        <v/>
      </c>
      <c r="D726" s="29"/>
      <c r="G726" s="65"/>
    </row>
    <row r="727">
      <c r="A727" s="29"/>
      <c r="B727" s="29"/>
      <c r="C727" s="65" t="str">
        <f>IFERROR(__xludf.DUMMYFUNCTION("""COMPUTED_VALUE"""),"")</f>
        <v/>
      </c>
      <c r="D727" s="29"/>
      <c r="G727" s="65"/>
    </row>
    <row r="728">
      <c r="A728" s="29"/>
      <c r="B728" s="29"/>
      <c r="C728" s="65" t="str">
        <f>IFERROR(__xludf.DUMMYFUNCTION("""COMPUTED_VALUE"""),"")</f>
        <v/>
      </c>
      <c r="D728" s="29"/>
      <c r="G728" s="65"/>
    </row>
    <row r="729">
      <c r="A729" s="29"/>
      <c r="B729" s="29"/>
      <c r="C729" s="65" t="str">
        <f>IFERROR(__xludf.DUMMYFUNCTION("""COMPUTED_VALUE"""),"")</f>
        <v/>
      </c>
      <c r="D729" s="29"/>
      <c r="G729" s="65"/>
    </row>
    <row r="730">
      <c r="A730" s="29"/>
      <c r="B730" s="29"/>
      <c r="C730" s="65" t="str">
        <f>IFERROR(__xludf.DUMMYFUNCTION("""COMPUTED_VALUE"""),"")</f>
        <v/>
      </c>
      <c r="D730" s="29"/>
      <c r="G730" s="65"/>
    </row>
    <row r="731">
      <c r="A731" s="29"/>
      <c r="B731" s="29"/>
      <c r="C731" s="65" t="str">
        <f>IFERROR(__xludf.DUMMYFUNCTION("""COMPUTED_VALUE"""),"")</f>
        <v/>
      </c>
      <c r="D731" s="29"/>
      <c r="G731" s="65"/>
    </row>
    <row r="732">
      <c r="A732" s="29"/>
      <c r="B732" s="29"/>
      <c r="C732" s="65" t="str">
        <f>IFERROR(__xludf.DUMMYFUNCTION("""COMPUTED_VALUE"""),"")</f>
        <v/>
      </c>
      <c r="D732" s="29"/>
      <c r="G732" s="65"/>
    </row>
    <row r="733">
      <c r="A733" s="29"/>
      <c r="B733" s="29"/>
      <c r="C733" s="65" t="str">
        <f>IFERROR(__xludf.DUMMYFUNCTION("""COMPUTED_VALUE"""),"")</f>
        <v/>
      </c>
      <c r="D733" s="29"/>
      <c r="G733" s="65"/>
    </row>
    <row r="734">
      <c r="A734" s="29"/>
      <c r="B734" s="29"/>
      <c r="C734" s="65" t="str">
        <f>IFERROR(__xludf.DUMMYFUNCTION("""COMPUTED_VALUE"""),"")</f>
        <v/>
      </c>
      <c r="D734" s="29"/>
      <c r="G734" s="65"/>
    </row>
    <row r="735">
      <c r="A735" s="29"/>
      <c r="B735" s="29"/>
      <c r="C735" s="65" t="str">
        <f>IFERROR(__xludf.DUMMYFUNCTION("""COMPUTED_VALUE"""),"")</f>
        <v/>
      </c>
      <c r="D735" s="29"/>
      <c r="G735" s="65"/>
    </row>
    <row r="736">
      <c r="A736" s="29"/>
      <c r="B736" s="29"/>
      <c r="C736" s="65" t="str">
        <f>IFERROR(__xludf.DUMMYFUNCTION("""COMPUTED_VALUE"""),"")</f>
        <v/>
      </c>
      <c r="D736" s="29"/>
      <c r="G736" s="65"/>
    </row>
    <row r="737">
      <c r="A737" s="29"/>
      <c r="B737" s="29"/>
      <c r="C737" s="65" t="str">
        <f>IFERROR(__xludf.DUMMYFUNCTION("""COMPUTED_VALUE"""),"")</f>
        <v/>
      </c>
      <c r="D737" s="29"/>
      <c r="G737" s="65"/>
    </row>
    <row r="738">
      <c r="A738" s="29"/>
      <c r="B738" s="29"/>
      <c r="C738" s="65" t="str">
        <f>IFERROR(__xludf.DUMMYFUNCTION("""COMPUTED_VALUE"""),"")</f>
        <v/>
      </c>
      <c r="D738" s="29"/>
      <c r="G738" s="65"/>
    </row>
    <row r="739">
      <c r="A739" s="29"/>
      <c r="B739" s="29"/>
      <c r="C739" s="65" t="str">
        <f>IFERROR(__xludf.DUMMYFUNCTION("""COMPUTED_VALUE"""),"")</f>
        <v/>
      </c>
      <c r="D739" s="29"/>
      <c r="G739" s="65"/>
    </row>
    <row r="740">
      <c r="A740" s="29"/>
      <c r="B740" s="29"/>
      <c r="C740" s="65" t="str">
        <f>IFERROR(__xludf.DUMMYFUNCTION("""COMPUTED_VALUE"""),"")</f>
        <v/>
      </c>
      <c r="D740" s="29"/>
      <c r="G740" s="65"/>
    </row>
    <row r="741">
      <c r="A741" s="29"/>
      <c r="B741" s="29"/>
      <c r="C741" s="65" t="str">
        <f>IFERROR(__xludf.DUMMYFUNCTION("""COMPUTED_VALUE"""),"")</f>
        <v/>
      </c>
      <c r="D741" s="29"/>
      <c r="G741" s="65"/>
    </row>
    <row r="742">
      <c r="A742" s="29"/>
      <c r="B742" s="29"/>
      <c r="C742" s="65" t="str">
        <f>IFERROR(__xludf.DUMMYFUNCTION("""COMPUTED_VALUE"""),"")</f>
        <v/>
      </c>
      <c r="D742" s="29"/>
      <c r="G742" s="65"/>
    </row>
    <row r="743">
      <c r="A743" s="29"/>
      <c r="B743" s="29"/>
      <c r="C743" s="65" t="str">
        <f>IFERROR(__xludf.DUMMYFUNCTION("""COMPUTED_VALUE"""),"")</f>
        <v/>
      </c>
      <c r="D743" s="29"/>
      <c r="G743" s="65"/>
    </row>
    <row r="744">
      <c r="A744" s="29"/>
      <c r="B744" s="29"/>
      <c r="C744" s="65" t="str">
        <f>IFERROR(__xludf.DUMMYFUNCTION("""COMPUTED_VALUE"""),"")</f>
        <v/>
      </c>
      <c r="D744" s="29"/>
      <c r="G744" s="65"/>
    </row>
    <row r="745">
      <c r="A745" s="29"/>
      <c r="B745" s="29"/>
      <c r="C745" s="65" t="str">
        <f>IFERROR(__xludf.DUMMYFUNCTION("""COMPUTED_VALUE"""),"")</f>
        <v/>
      </c>
      <c r="D745" s="29"/>
      <c r="G745" s="65"/>
    </row>
    <row r="746">
      <c r="A746" s="29"/>
      <c r="B746" s="29"/>
      <c r="C746" s="65" t="str">
        <f>IFERROR(__xludf.DUMMYFUNCTION("""COMPUTED_VALUE"""),"")</f>
        <v/>
      </c>
      <c r="D746" s="29"/>
      <c r="G746" s="65"/>
    </row>
    <row r="747">
      <c r="A747" s="29"/>
      <c r="B747" s="29"/>
      <c r="C747" s="65" t="str">
        <f>IFERROR(__xludf.DUMMYFUNCTION("""COMPUTED_VALUE"""),"")</f>
        <v/>
      </c>
      <c r="D747" s="29"/>
      <c r="G747" s="65"/>
    </row>
    <row r="748">
      <c r="A748" s="29"/>
      <c r="B748" s="29"/>
      <c r="C748" s="65" t="str">
        <f>IFERROR(__xludf.DUMMYFUNCTION("""COMPUTED_VALUE"""),"")</f>
        <v/>
      </c>
      <c r="D748" s="29"/>
      <c r="G748" s="65"/>
    </row>
    <row r="749">
      <c r="A749" s="29"/>
      <c r="B749" s="29"/>
      <c r="C749" s="65" t="str">
        <f>IFERROR(__xludf.DUMMYFUNCTION("""COMPUTED_VALUE"""),"")</f>
        <v/>
      </c>
      <c r="D749" s="29"/>
      <c r="G749" s="65"/>
    </row>
    <row r="750">
      <c r="A750" s="29"/>
      <c r="B750" s="29"/>
      <c r="C750" s="65" t="str">
        <f>IFERROR(__xludf.DUMMYFUNCTION("""COMPUTED_VALUE"""),"")</f>
        <v/>
      </c>
      <c r="D750" s="29"/>
      <c r="G750" s="65"/>
    </row>
    <row r="751">
      <c r="A751" s="29"/>
      <c r="B751" s="29"/>
      <c r="C751" s="65" t="str">
        <f>IFERROR(__xludf.DUMMYFUNCTION("""COMPUTED_VALUE"""),"")</f>
        <v/>
      </c>
      <c r="D751" s="29"/>
      <c r="G751" s="65"/>
    </row>
    <row r="752">
      <c r="A752" s="29"/>
      <c r="B752" s="29"/>
      <c r="C752" s="65" t="str">
        <f>IFERROR(__xludf.DUMMYFUNCTION("""COMPUTED_VALUE"""),"")</f>
        <v/>
      </c>
      <c r="D752" s="29"/>
      <c r="G752" s="65"/>
    </row>
    <row r="753">
      <c r="A753" s="29"/>
      <c r="B753" s="29"/>
      <c r="C753" s="65" t="str">
        <f>IFERROR(__xludf.DUMMYFUNCTION("""COMPUTED_VALUE"""),"")</f>
        <v/>
      </c>
      <c r="D753" s="29"/>
      <c r="G753" s="65"/>
    </row>
    <row r="754">
      <c r="A754" s="29"/>
      <c r="B754" s="29"/>
      <c r="C754" s="65" t="str">
        <f>IFERROR(__xludf.DUMMYFUNCTION("""COMPUTED_VALUE"""),"")</f>
        <v/>
      </c>
      <c r="D754" s="29"/>
      <c r="G754" s="65"/>
    </row>
    <row r="755">
      <c r="A755" s="29"/>
      <c r="B755" s="29"/>
      <c r="C755" s="65" t="str">
        <f>IFERROR(__xludf.DUMMYFUNCTION("""COMPUTED_VALUE"""),"")</f>
        <v/>
      </c>
      <c r="D755" s="29"/>
      <c r="G755" s="65"/>
    </row>
    <row r="756">
      <c r="A756" s="29"/>
      <c r="B756" s="29"/>
      <c r="C756" s="65" t="str">
        <f>IFERROR(__xludf.DUMMYFUNCTION("""COMPUTED_VALUE"""),"")</f>
        <v/>
      </c>
      <c r="D756" s="29"/>
      <c r="G756" s="65"/>
    </row>
    <row r="757">
      <c r="A757" s="29"/>
      <c r="B757" s="29"/>
      <c r="C757" s="65" t="str">
        <f>IFERROR(__xludf.DUMMYFUNCTION("""COMPUTED_VALUE"""),"")</f>
        <v/>
      </c>
      <c r="D757" s="29"/>
      <c r="G757" s="65"/>
    </row>
    <row r="758">
      <c r="A758" s="29"/>
      <c r="B758" s="29"/>
      <c r="C758" s="65" t="str">
        <f>IFERROR(__xludf.DUMMYFUNCTION("""COMPUTED_VALUE"""),"")</f>
        <v/>
      </c>
      <c r="D758" s="29"/>
      <c r="G758" s="65"/>
    </row>
    <row r="759">
      <c r="A759" s="29"/>
      <c r="B759" s="29"/>
      <c r="C759" s="65" t="str">
        <f>IFERROR(__xludf.DUMMYFUNCTION("""COMPUTED_VALUE"""),"")</f>
        <v/>
      </c>
      <c r="D759" s="29"/>
      <c r="G759" s="65"/>
    </row>
    <row r="760">
      <c r="A760" s="29"/>
      <c r="B760" s="29"/>
      <c r="C760" s="65" t="str">
        <f>IFERROR(__xludf.DUMMYFUNCTION("""COMPUTED_VALUE"""),"")</f>
        <v/>
      </c>
      <c r="D760" s="29"/>
      <c r="G760" s="65"/>
    </row>
    <row r="761">
      <c r="A761" s="29"/>
      <c r="B761" s="29"/>
      <c r="C761" s="65" t="str">
        <f>IFERROR(__xludf.DUMMYFUNCTION("""COMPUTED_VALUE"""),"")</f>
        <v/>
      </c>
      <c r="D761" s="29"/>
      <c r="G761" s="65"/>
    </row>
    <row r="762">
      <c r="A762" s="29"/>
      <c r="B762" s="29"/>
      <c r="C762" s="65" t="str">
        <f>IFERROR(__xludf.DUMMYFUNCTION("""COMPUTED_VALUE"""),"")</f>
        <v/>
      </c>
      <c r="D762" s="29"/>
      <c r="G762" s="65"/>
    </row>
    <row r="763">
      <c r="A763" s="29"/>
      <c r="B763" s="29"/>
      <c r="C763" s="65" t="str">
        <f>IFERROR(__xludf.DUMMYFUNCTION("""COMPUTED_VALUE"""),"")</f>
        <v/>
      </c>
      <c r="D763" s="29"/>
      <c r="G763" s="65"/>
    </row>
    <row r="764">
      <c r="A764" s="29"/>
      <c r="B764" s="29"/>
      <c r="C764" s="65" t="str">
        <f>IFERROR(__xludf.DUMMYFUNCTION("""COMPUTED_VALUE"""),"")</f>
        <v/>
      </c>
      <c r="D764" s="29"/>
      <c r="G764" s="65"/>
    </row>
    <row r="765">
      <c r="A765" s="29"/>
      <c r="B765" s="29"/>
      <c r="C765" s="65" t="str">
        <f>IFERROR(__xludf.DUMMYFUNCTION("""COMPUTED_VALUE"""),"")</f>
        <v/>
      </c>
      <c r="D765" s="29"/>
      <c r="G765" s="65"/>
    </row>
    <row r="766">
      <c r="A766" s="29"/>
      <c r="B766" s="29"/>
      <c r="C766" s="65" t="str">
        <f>IFERROR(__xludf.DUMMYFUNCTION("""COMPUTED_VALUE"""),"")</f>
        <v/>
      </c>
      <c r="D766" s="29"/>
      <c r="G766" s="65"/>
    </row>
    <row r="767">
      <c r="A767" s="29"/>
      <c r="B767" s="29"/>
      <c r="C767" s="65" t="str">
        <f>IFERROR(__xludf.DUMMYFUNCTION("""COMPUTED_VALUE"""),"")</f>
        <v/>
      </c>
      <c r="D767" s="29"/>
      <c r="G767" s="65"/>
    </row>
    <row r="768">
      <c r="A768" s="29"/>
      <c r="B768" s="29"/>
      <c r="C768" s="65" t="str">
        <f>IFERROR(__xludf.DUMMYFUNCTION("""COMPUTED_VALUE"""),"")</f>
        <v/>
      </c>
      <c r="D768" s="29"/>
      <c r="G768" s="65"/>
    </row>
    <row r="769">
      <c r="A769" s="29"/>
      <c r="B769" s="29"/>
      <c r="C769" s="65" t="str">
        <f>IFERROR(__xludf.DUMMYFUNCTION("""COMPUTED_VALUE"""),"")</f>
        <v/>
      </c>
      <c r="D769" s="29"/>
      <c r="G769" s="65"/>
    </row>
    <row r="770">
      <c r="A770" s="29"/>
      <c r="B770" s="29"/>
      <c r="C770" s="65" t="str">
        <f>IFERROR(__xludf.DUMMYFUNCTION("""COMPUTED_VALUE"""),"")</f>
        <v/>
      </c>
      <c r="D770" s="29"/>
      <c r="G770" s="65"/>
    </row>
    <row r="771">
      <c r="A771" s="29"/>
      <c r="B771" s="29"/>
      <c r="C771" s="65" t="str">
        <f>IFERROR(__xludf.DUMMYFUNCTION("""COMPUTED_VALUE"""),"")</f>
        <v/>
      </c>
      <c r="D771" s="29"/>
      <c r="G771" s="65"/>
    </row>
    <row r="772">
      <c r="A772" s="29"/>
      <c r="B772" s="29"/>
      <c r="C772" s="65" t="str">
        <f>IFERROR(__xludf.DUMMYFUNCTION("""COMPUTED_VALUE"""),"")</f>
        <v/>
      </c>
      <c r="D772" s="29"/>
      <c r="G772" s="65"/>
    </row>
    <row r="773">
      <c r="A773" s="29"/>
      <c r="B773" s="29"/>
      <c r="C773" s="65" t="str">
        <f>IFERROR(__xludf.DUMMYFUNCTION("""COMPUTED_VALUE"""),"")</f>
        <v/>
      </c>
      <c r="D773" s="29"/>
      <c r="G773" s="65"/>
    </row>
    <row r="774">
      <c r="A774" s="29"/>
      <c r="B774" s="29"/>
      <c r="C774" s="65" t="str">
        <f>IFERROR(__xludf.DUMMYFUNCTION("""COMPUTED_VALUE"""),"")</f>
        <v/>
      </c>
      <c r="D774" s="29"/>
      <c r="G774" s="65"/>
    </row>
    <row r="775">
      <c r="A775" s="29"/>
      <c r="B775" s="29"/>
      <c r="C775" s="65" t="str">
        <f>IFERROR(__xludf.DUMMYFUNCTION("""COMPUTED_VALUE"""),"")</f>
        <v/>
      </c>
      <c r="D775" s="29"/>
      <c r="G775" s="65"/>
    </row>
    <row r="776">
      <c r="A776" s="29"/>
      <c r="B776" s="29"/>
      <c r="C776" s="65" t="str">
        <f>IFERROR(__xludf.DUMMYFUNCTION("""COMPUTED_VALUE"""),"")</f>
        <v/>
      </c>
      <c r="D776" s="29"/>
      <c r="G776" s="65"/>
    </row>
    <row r="777">
      <c r="A777" s="29"/>
      <c r="B777" s="29"/>
      <c r="C777" s="65" t="str">
        <f>IFERROR(__xludf.DUMMYFUNCTION("""COMPUTED_VALUE"""),"")</f>
        <v/>
      </c>
      <c r="D777" s="29"/>
      <c r="G777" s="65"/>
    </row>
    <row r="778">
      <c r="A778" s="29"/>
      <c r="B778" s="29"/>
      <c r="C778" s="65" t="str">
        <f>IFERROR(__xludf.DUMMYFUNCTION("""COMPUTED_VALUE"""),"")</f>
        <v/>
      </c>
      <c r="D778" s="29"/>
      <c r="G778" s="65"/>
    </row>
    <row r="779">
      <c r="A779" s="29"/>
      <c r="B779" s="29"/>
      <c r="C779" s="65" t="str">
        <f>IFERROR(__xludf.DUMMYFUNCTION("""COMPUTED_VALUE"""),"")</f>
        <v/>
      </c>
      <c r="D779" s="29"/>
      <c r="G779" s="65"/>
    </row>
    <row r="780">
      <c r="A780" s="29"/>
      <c r="B780" s="29"/>
      <c r="C780" s="65" t="str">
        <f>IFERROR(__xludf.DUMMYFUNCTION("""COMPUTED_VALUE"""),"")</f>
        <v/>
      </c>
      <c r="D780" s="29"/>
      <c r="G780" s="65"/>
    </row>
    <row r="781">
      <c r="A781" s="29"/>
      <c r="B781" s="29"/>
      <c r="C781" s="65" t="str">
        <f>IFERROR(__xludf.DUMMYFUNCTION("""COMPUTED_VALUE"""),"")</f>
        <v/>
      </c>
      <c r="D781" s="29"/>
      <c r="G781" s="65"/>
    </row>
    <row r="782">
      <c r="A782" s="29"/>
      <c r="B782" s="29"/>
      <c r="C782" s="65" t="str">
        <f>IFERROR(__xludf.DUMMYFUNCTION("""COMPUTED_VALUE"""),"")</f>
        <v/>
      </c>
      <c r="D782" s="29"/>
      <c r="G782" s="65"/>
    </row>
    <row r="783">
      <c r="A783" s="29"/>
      <c r="B783" s="29"/>
      <c r="C783" s="65" t="str">
        <f>IFERROR(__xludf.DUMMYFUNCTION("""COMPUTED_VALUE"""),"")</f>
        <v/>
      </c>
      <c r="D783" s="29"/>
      <c r="G783" s="65"/>
    </row>
    <row r="784">
      <c r="A784" s="29"/>
      <c r="B784" s="29"/>
      <c r="C784" s="65" t="str">
        <f>IFERROR(__xludf.DUMMYFUNCTION("""COMPUTED_VALUE"""),"")</f>
        <v/>
      </c>
      <c r="D784" s="29"/>
      <c r="G784" s="65"/>
    </row>
    <row r="785">
      <c r="A785" s="29"/>
      <c r="B785" s="29"/>
      <c r="C785" s="65" t="str">
        <f>IFERROR(__xludf.DUMMYFUNCTION("""COMPUTED_VALUE"""),"")</f>
        <v/>
      </c>
      <c r="D785" s="29"/>
      <c r="G785" s="65"/>
    </row>
    <row r="786">
      <c r="A786" s="29"/>
      <c r="B786" s="29"/>
      <c r="C786" s="65" t="str">
        <f>IFERROR(__xludf.DUMMYFUNCTION("""COMPUTED_VALUE"""),"")</f>
        <v/>
      </c>
      <c r="D786" s="29"/>
      <c r="G786" s="65"/>
    </row>
    <row r="787">
      <c r="A787" s="29"/>
      <c r="B787" s="29"/>
      <c r="C787" s="65" t="str">
        <f>IFERROR(__xludf.DUMMYFUNCTION("""COMPUTED_VALUE"""),"")</f>
        <v/>
      </c>
      <c r="D787" s="29"/>
      <c r="G787" s="65"/>
    </row>
    <row r="788">
      <c r="A788" s="29"/>
      <c r="B788" s="29"/>
      <c r="C788" s="65" t="str">
        <f>IFERROR(__xludf.DUMMYFUNCTION("""COMPUTED_VALUE"""),"")</f>
        <v/>
      </c>
      <c r="D788" s="29"/>
      <c r="G788" s="65"/>
    </row>
    <row r="789">
      <c r="A789" s="29"/>
      <c r="B789" s="29"/>
      <c r="C789" s="65" t="str">
        <f>IFERROR(__xludf.DUMMYFUNCTION("""COMPUTED_VALUE"""),"")</f>
        <v/>
      </c>
      <c r="D789" s="29"/>
      <c r="G789" s="65"/>
    </row>
    <row r="790">
      <c r="A790" s="29"/>
      <c r="B790" s="29"/>
      <c r="C790" s="65" t="str">
        <f>IFERROR(__xludf.DUMMYFUNCTION("""COMPUTED_VALUE"""),"")</f>
        <v/>
      </c>
      <c r="D790" s="29"/>
      <c r="G790" s="65"/>
    </row>
    <row r="791">
      <c r="A791" s="29"/>
      <c r="B791" s="29"/>
      <c r="C791" s="65" t="str">
        <f>IFERROR(__xludf.DUMMYFUNCTION("""COMPUTED_VALUE"""),"")</f>
        <v/>
      </c>
      <c r="D791" s="29"/>
      <c r="G791" s="65"/>
    </row>
    <row r="792">
      <c r="A792" s="29"/>
      <c r="B792" s="29"/>
      <c r="C792" s="65" t="str">
        <f>IFERROR(__xludf.DUMMYFUNCTION("""COMPUTED_VALUE"""),"")</f>
        <v/>
      </c>
      <c r="D792" s="29"/>
      <c r="G792" s="65"/>
    </row>
    <row r="793">
      <c r="A793" s="29"/>
      <c r="B793" s="29"/>
      <c r="C793" s="65" t="str">
        <f>IFERROR(__xludf.DUMMYFUNCTION("""COMPUTED_VALUE"""),"")</f>
        <v/>
      </c>
      <c r="D793" s="29"/>
      <c r="G793" s="65"/>
    </row>
    <row r="794">
      <c r="A794" s="29"/>
      <c r="B794" s="29"/>
      <c r="C794" s="65" t="str">
        <f>IFERROR(__xludf.DUMMYFUNCTION("""COMPUTED_VALUE"""),"")</f>
        <v/>
      </c>
      <c r="D794" s="29"/>
      <c r="G794" s="65"/>
    </row>
    <row r="795">
      <c r="A795" s="29"/>
      <c r="B795" s="29"/>
      <c r="C795" s="65" t="str">
        <f>IFERROR(__xludf.DUMMYFUNCTION("""COMPUTED_VALUE"""),"")</f>
        <v/>
      </c>
      <c r="D795" s="29"/>
      <c r="G795" s="65"/>
    </row>
    <row r="796">
      <c r="A796" s="29"/>
      <c r="B796" s="29"/>
      <c r="C796" s="65" t="str">
        <f>IFERROR(__xludf.DUMMYFUNCTION("""COMPUTED_VALUE"""),"")</f>
        <v/>
      </c>
      <c r="D796" s="29"/>
      <c r="G796" s="65"/>
    </row>
    <row r="797">
      <c r="A797" s="29"/>
      <c r="B797" s="29"/>
      <c r="C797" s="65" t="str">
        <f>IFERROR(__xludf.DUMMYFUNCTION("""COMPUTED_VALUE"""),"")</f>
        <v/>
      </c>
      <c r="D797" s="29"/>
      <c r="G797" s="65"/>
    </row>
    <row r="798">
      <c r="A798" s="29"/>
      <c r="B798" s="29"/>
      <c r="C798" s="65" t="str">
        <f>IFERROR(__xludf.DUMMYFUNCTION("""COMPUTED_VALUE"""),"")</f>
        <v/>
      </c>
      <c r="D798" s="29"/>
      <c r="G798" s="65"/>
    </row>
    <row r="799">
      <c r="A799" s="29"/>
      <c r="B799" s="29"/>
      <c r="C799" s="65" t="str">
        <f>IFERROR(__xludf.DUMMYFUNCTION("""COMPUTED_VALUE"""),"")</f>
        <v/>
      </c>
      <c r="D799" s="29"/>
      <c r="G799" s="65"/>
    </row>
    <row r="800">
      <c r="A800" s="29"/>
      <c r="B800" s="29"/>
      <c r="C800" s="65" t="str">
        <f>IFERROR(__xludf.DUMMYFUNCTION("""COMPUTED_VALUE"""),"")</f>
        <v/>
      </c>
      <c r="D800" s="29"/>
      <c r="G800" s="65"/>
    </row>
    <row r="801">
      <c r="A801" s="29"/>
      <c r="B801" s="29"/>
      <c r="C801" s="65" t="str">
        <f>IFERROR(__xludf.DUMMYFUNCTION("""COMPUTED_VALUE"""),"")</f>
        <v/>
      </c>
      <c r="D801" s="29"/>
      <c r="G801" s="65"/>
    </row>
    <row r="802">
      <c r="A802" s="29"/>
      <c r="B802" s="29"/>
      <c r="C802" s="65" t="str">
        <f>IFERROR(__xludf.DUMMYFUNCTION("""COMPUTED_VALUE"""),"")</f>
        <v/>
      </c>
      <c r="D802" s="29"/>
      <c r="G802" s="65"/>
    </row>
    <row r="803">
      <c r="A803" s="29"/>
      <c r="B803" s="29"/>
      <c r="C803" s="65" t="str">
        <f>IFERROR(__xludf.DUMMYFUNCTION("""COMPUTED_VALUE"""),"")</f>
        <v/>
      </c>
      <c r="D803" s="29"/>
      <c r="G803" s="65"/>
    </row>
    <row r="804">
      <c r="A804" s="29"/>
      <c r="B804" s="29"/>
      <c r="C804" s="65" t="str">
        <f>IFERROR(__xludf.DUMMYFUNCTION("""COMPUTED_VALUE"""),"")</f>
        <v/>
      </c>
      <c r="D804" s="29"/>
      <c r="G804" s="65"/>
    </row>
    <row r="805">
      <c r="A805" s="29"/>
      <c r="B805" s="29"/>
      <c r="C805" s="65" t="str">
        <f>IFERROR(__xludf.DUMMYFUNCTION("""COMPUTED_VALUE"""),"")</f>
        <v/>
      </c>
      <c r="D805" s="29"/>
      <c r="G805" s="65"/>
    </row>
    <row r="806">
      <c r="A806" s="29"/>
      <c r="B806" s="29"/>
      <c r="C806" s="65" t="str">
        <f>IFERROR(__xludf.DUMMYFUNCTION("""COMPUTED_VALUE"""),"")</f>
        <v/>
      </c>
      <c r="D806" s="29"/>
      <c r="G806" s="65"/>
    </row>
    <row r="807">
      <c r="A807" s="29"/>
      <c r="B807" s="29"/>
      <c r="C807" s="65" t="str">
        <f>IFERROR(__xludf.DUMMYFUNCTION("""COMPUTED_VALUE"""),"")</f>
        <v/>
      </c>
      <c r="D807" s="29"/>
      <c r="G807" s="65"/>
    </row>
    <row r="808">
      <c r="A808" s="29"/>
      <c r="B808" s="29"/>
      <c r="C808" s="65" t="str">
        <f>IFERROR(__xludf.DUMMYFUNCTION("""COMPUTED_VALUE"""),"")</f>
        <v/>
      </c>
      <c r="D808" s="29"/>
      <c r="G808" s="65"/>
    </row>
    <row r="809">
      <c r="A809" s="29"/>
      <c r="B809" s="29"/>
      <c r="C809" s="65" t="str">
        <f>IFERROR(__xludf.DUMMYFUNCTION("""COMPUTED_VALUE"""),"")</f>
        <v/>
      </c>
      <c r="D809" s="29"/>
      <c r="G809" s="65"/>
    </row>
    <row r="810">
      <c r="A810" s="29"/>
      <c r="B810" s="29"/>
      <c r="C810" s="65" t="str">
        <f>IFERROR(__xludf.DUMMYFUNCTION("""COMPUTED_VALUE"""),"")</f>
        <v/>
      </c>
      <c r="D810" s="29"/>
      <c r="G810" s="65"/>
    </row>
    <row r="811">
      <c r="A811" s="29"/>
      <c r="B811" s="29"/>
      <c r="C811" s="65" t="str">
        <f>IFERROR(__xludf.DUMMYFUNCTION("""COMPUTED_VALUE"""),"")</f>
        <v/>
      </c>
      <c r="D811" s="29"/>
      <c r="G811" s="65"/>
    </row>
    <row r="812">
      <c r="A812" s="29"/>
      <c r="B812" s="29"/>
      <c r="C812" s="65" t="str">
        <f>IFERROR(__xludf.DUMMYFUNCTION("""COMPUTED_VALUE"""),"")</f>
        <v/>
      </c>
      <c r="D812" s="29"/>
      <c r="G812" s="65"/>
    </row>
    <row r="813">
      <c r="A813" s="29"/>
      <c r="B813" s="29"/>
      <c r="C813" s="65" t="str">
        <f>IFERROR(__xludf.DUMMYFUNCTION("""COMPUTED_VALUE"""),"")</f>
        <v/>
      </c>
      <c r="D813" s="29"/>
      <c r="G813" s="65"/>
    </row>
    <row r="814">
      <c r="A814" s="29"/>
      <c r="B814" s="29"/>
      <c r="C814" s="65" t="str">
        <f>IFERROR(__xludf.DUMMYFUNCTION("""COMPUTED_VALUE"""),"")</f>
        <v/>
      </c>
      <c r="D814" s="29"/>
      <c r="G814" s="65"/>
    </row>
    <row r="815">
      <c r="A815" s="29"/>
      <c r="B815" s="29"/>
      <c r="C815" s="65" t="str">
        <f>IFERROR(__xludf.DUMMYFUNCTION("""COMPUTED_VALUE"""),"")</f>
        <v/>
      </c>
      <c r="D815" s="29"/>
      <c r="G815" s="65"/>
    </row>
    <row r="816">
      <c r="A816" s="29"/>
      <c r="B816" s="29"/>
      <c r="C816" s="65" t="str">
        <f>IFERROR(__xludf.DUMMYFUNCTION("""COMPUTED_VALUE"""),"")</f>
        <v/>
      </c>
      <c r="D816" s="29"/>
      <c r="G816" s="65"/>
    </row>
    <row r="817">
      <c r="A817" s="29"/>
      <c r="B817" s="29"/>
      <c r="C817" s="65" t="str">
        <f>IFERROR(__xludf.DUMMYFUNCTION("""COMPUTED_VALUE"""),"")</f>
        <v/>
      </c>
      <c r="D817" s="29"/>
      <c r="G817" s="65"/>
    </row>
    <row r="818">
      <c r="A818" s="29"/>
      <c r="B818" s="29"/>
      <c r="C818" s="65" t="str">
        <f>IFERROR(__xludf.DUMMYFUNCTION("""COMPUTED_VALUE"""),"")</f>
        <v/>
      </c>
      <c r="D818" s="29"/>
      <c r="G818" s="65"/>
    </row>
    <row r="819">
      <c r="A819" s="29"/>
      <c r="B819" s="29"/>
      <c r="C819" s="65" t="str">
        <f>IFERROR(__xludf.DUMMYFUNCTION("""COMPUTED_VALUE"""),"")</f>
        <v/>
      </c>
      <c r="D819" s="29"/>
      <c r="G819" s="65"/>
    </row>
    <row r="820">
      <c r="A820" s="29"/>
      <c r="B820" s="29"/>
      <c r="C820" s="65" t="str">
        <f>IFERROR(__xludf.DUMMYFUNCTION("""COMPUTED_VALUE"""),"")</f>
        <v/>
      </c>
      <c r="D820" s="29"/>
      <c r="G820" s="65"/>
    </row>
    <row r="821">
      <c r="A821" s="29"/>
      <c r="B821" s="29"/>
      <c r="C821" s="65" t="str">
        <f>IFERROR(__xludf.DUMMYFUNCTION("""COMPUTED_VALUE"""),"")</f>
        <v/>
      </c>
      <c r="D821" s="29"/>
      <c r="G821" s="65"/>
    </row>
    <row r="822">
      <c r="A822" s="29"/>
      <c r="B822" s="29"/>
      <c r="C822" s="65" t="str">
        <f>IFERROR(__xludf.DUMMYFUNCTION("""COMPUTED_VALUE"""),"")</f>
        <v/>
      </c>
      <c r="D822" s="29"/>
      <c r="G822" s="65"/>
    </row>
    <row r="823">
      <c r="A823" s="29"/>
      <c r="B823" s="29"/>
      <c r="C823" s="65" t="str">
        <f>IFERROR(__xludf.DUMMYFUNCTION("""COMPUTED_VALUE"""),"")</f>
        <v/>
      </c>
      <c r="D823" s="29"/>
      <c r="G823" s="65"/>
    </row>
    <row r="824">
      <c r="A824" s="29"/>
      <c r="B824" s="29"/>
      <c r="C824" s="65" t="str">
        <f>IFERROR(__xludf.DUMMYFUNCTION("""COMPUTED_VALUE"""),"")</f>
        <v/>
      </c>
      <c r="D824" s="29"/>
      <c r="G824" s="65"/>
    </row>
    <row r="825">
      <c r="A825" s="29"/>
      <c r="B825" s="29"/>
      <c r="C825" s="65" t="str">
        <f>IFERROR(__xludf.DUMMYFUNCTION("""COMPUTED_VALUE"""),"")</f>
        <v/>
      </c>
      <c r="D825" s="29"/>
      <c r="G825" s="65"/>
    </row>
    <row r="826">
      <c r="A826" s="29"/>
      <c r="B826" s="29"/>
      <c r="C826" s="65" t="str">
        <f>IFERROR(__xludf.DUMMYFUNCTION("""COMPUTED_VALUE"""),"")</f>
        <v/>
      </c>
      <c r="D826" s="29"/>
      <c r="G826" s="65"/>
    </row>
    <row r="827">
      <c r="A827" s="29"/>
      <c r="B827" s="29"/>
      <c r="C827" s="65" t="str">
        <f>IFERROR(__xludf.DUMMYFUNCTION("""COMPUTED_VALUE"""),"")</f>
        <v/>
      </c>
      <c r="D827" s="29"/>
      <c r="G827" s="65"/>
    </row>
    <row r="828">
      <c r="A828" s="29"/>
      <c r="B828" s="29"/>
      <c r="C828" s="65" t="str">
        <f>IFERROR(__xludf.DUMMYFUNCTION("""COMPUTED_VALUE"""),"")</f>
        <v/>
      </c>
      <c r="D828" s="29"/>
      <c r="G828" s="65"/>
    </row>
    <row r="829">
      <c r="A829" s="29"/>
      <c r="B829" s="29"/>
      <c r="C829" s="65" t="str">
        <f>IFERROR(__xludf.DUMMYFUNCTION("""COMPUTED_VALUE"""),"")</f>
        <v/>
      </c>
      <c r="D829" s="29"/>
      <c r="G829" s="65"/>
    </row>
    <row r="830">
      <c r="A830" s="29"/>
      <c r="B830" s="29"/>
      <c r="C830" s="65" t="str">
        <f>IFERROR(__xludf.DUMMYFUNCTION("""COMPUTED_VALUE"""),"")</f>
        <v/>
      </c>
      <c r="D830" s="29"/>
      <c r="G830" s="65"/>
    </row>
    <row r="831">
      <c r="A831" s="29"/>
      <c r="B831" s="29"/>
      <c r="C831" s="65" t="str">
        <f>IFERROR(__xludf.DUMMYFUNCTION("""COMPUTED_VALUE"""),"")</f>
        <v/>
      </c>
      <c r="D831" s="29"/>
      <c r="G831" s="65"/>
    </row>
    <row r="832">
      <c r="A832" s="29"/>
      <c r="B832" s="29"/>
      <c r="C832" s="65" t="str">
        <f>IFERROR(__xludf.DUMMYFUNCTION("""COMPUTED_VALUE"""),"")</f>
        <v/>
      </c>
      <c r="D832" s="29"/>
      <c r="G832" s="65"/>
    </row>
    <row r="833">
      <c r="A833" s="29"/>
      <c r="B833" s="29"/>
      <c r="C833" s="65" t="str">
        <f>IFERROR(__xludf.DUMMYFUNCTION("""COMPUTED_VALUE"""),"")</f>
        <v/>
      </c>
      <c r="D833" s="29"/>
      <c r="G833" s="65"/>
    </row>
    <row r="834">
      <c r="A834" s="29"/>
      <c r="B834" s="29"/>
      <c r="C834" s="65" t="str">
        <f>IFERROR(__xludf.DUMMYFUNCTION("""COMPUTED_VALUE"""),"")</f>
        <v/>
      </c>
      <c r="D834" s="29"/>
      <c r="G834" s="65"/>
    </row>
    <row r="835">
      <c r="A835" s="29"/>
      <c r="B835" s="29"/>
      <c r="C835" s="65" t="str">
        <f>IFERROR(__xludf.DUMMYFUNCTION("""COMPUTED_VALUE"""),"")</f>
        <v/>
      </c>
      <c r="D835" s="29"/>
      <c r="G835" s="65"/>
    </row>
    <row r="836">
      <c r="A836" s="29"/>
      <c r="B836" s="29"/>
      <c r="C836" s="65" t="str">
        <f>IFERROR(__xludf.DUMMYFUNCTION("""COMPUTED_VALUE"""),"")</f>
        <v/>
      </c>
      <c r="D836" s="29"/>
      <c r="G836" s="65"/>
    </row>
    <row r="837">
      <c r="A837" s="29"/>
      <c r="B837" s="29"/>
      <c r="C837" s="65" t="str">
        <f>IFERROR(__xludf.DUMMYFUNCTION("""COMPUTED_VALUE"""),"")</f>
        <v/>
      </c>
      <c r="D837" s="29"/>
      <c r="G837" s="65"/>
    </row>
    <row r="838">
      <c r="A838" s="29"/>
      <c r="B838" s="29"/>
      <c r="C838" s="65" t="str">
        <f>IFERROR(__xludf.DUMMYFUNCTION("""COMPUTED_VALUE"""),"")</f>
        <v/>
      </c>
      <c r="D838" s="29"/>
      <c r="G838" s="65"/>
    </row>
    <row r="839">
      <c r="A839" s="29"/>
      <c r="B839" s="29"/>
      <c r="C839" s="65" t="str">
        <f>IFERROR(__xludf.DUMMYFUNCTION("""COMPUTED_VALUE"""),"")</f>
        <v/>
      </c>
      <c r="D839" s="29"/>
      <c r="G839" s="65"/>
    </row>
    <row r="840">
      <c r="A840" s="29"/>
      <c r="B840" s="29"/>
      <c r="C840" s="65" t="str">
        <f>IFERROR(__xludf.DUMMYFUNCTION("""COMPUTED_VALUE"""),"")</f>
        <v/>
      </c>
      <c r="D840" s="29"/>
      <c r="G840" s="65"/>
    </row>
    <row r="841">
      <c r="A841" s="29"/>
      <c r="B841" s="29"/>
      <c r="C841" s="65" t="str">
        <f>IFERROR(__xludf.DUMMYFUNCTION("""COMPUTED_VALUE"""),"")</f>
        <v/>
      </c>
      <c r="D841" s="29"/>
      <c r="G841" s="65"/>
    </row>
    <row r="842">
      <c r="A842" s="29"/>
      <c r="B842" s="29"/>
      <c r="C842" s="65" t="str">
        <f>IFERROR(__xludf.DUMMYFUNCTION("""COMPUTED_VALUE"""),"")</f>
        <v/>
      </c>
      <c r="D842" s="29"/>
      <c r="G842" s="65"/>
    </row>
    <row r="843">
      <c r="A843" s="29"/>
      <c r="B843" s="29"/>
      <c r="C843" s="65" t="str">
        <f>IFERROR(__xludf.DUMMYFUNCTION("""COMPUTED_VALUE"""),"")</f>
        <v/>
      </c>
      <c r="D843" s="29"/>
      <c r="G843" s="65"/>
    </row>
    <row r="844">
      <c r="A844" s="29"/>
      <c r="B844" s="29"/>
      <c r="C844" s="65" t="str">
        <f>IFERROR(__xludf.DUMMYFUNCTION("""COMPUTED_VALUE"""),"")</f>
        <v/>
      </c>
      <c r="D844" s="29"/>
      <c r="G844" s="65"/>
    </row>
    <row r="845">
      <c r="A845" s="29"/>
      <c r="B845" s="29"/>
      <c r="C845" s="65" t="str">
        <f>IFERROR(__xludf.DUMMYFUNCTION("""COMPUTED_VALUE"""),"")</f>
        <v/>
      </c>
      <c r="D845" s="29"/>
      <c r="G845" s="65"/>
    </row>
    <row r="846">
      <c r="A846" s="29"/>
      <c r="B846" s="29"/>
      <c r="C846" s="65" t="str">
        <f>IFERROR(__xludf.DUMMYFUNCTION("""COMPUTED_VALUE"""),"")</f>
        <v/>
      </c>
      <c r="D846" s="29"/>
      <c r="G846" s="65"/>
    </row>
    <row r="847">
      <c r="A847" s="29"/>
      <c r="B847" s="29"/>
      <c r="C847" s="65" t="str">
        <f>IFERROR(__xludf.DUMMYFUNCTION("""COMPUTED_VALUE"""),"")</f>
        <v/>
      </c>
      <c r="D847" s="29"/>
      <c r="G847" s="65"/>
    </row>
    <row r="848">
      <c r="A848" s="29"/>
      <c r="B848" s="29"/>
      <c r="C848" s="65" t="str">
        <f>IFERROR(__xludf.DUMMYFUNCTION("""COMPUTED_VALUE"""),"")</f>
        <v/>
      </c>
      <c r="D848" s="29"/>
      <c r="G848" s="65"/>
    </row>
    <row r="849">
      <c r="A849" s="29"/>
      <c r="B849" s="29"/>
      <c r="C849" s="65" t="str">
        <f>IFERROR(__xludf.DUMMYFUNCTION("""COMPUTED_VALUE"""),"")</f>
        <v/>
      </c>
      <c r="D849" s="29"/>
      <c r="G849" s="65"/>
    </row>
    <row r="850">
      <c r="A850" s="29"/>
      <c r="B850" s="29"/>
      <c r="C850" s="65" t="str">
        <f>IFERROR(__xludf.DUMMYFUNCTION("""COMPUTED_VALUE"""),"")</f>
        <v/>
      </c>
      <c r="D850" s="29"/>
      <c r="G850" s="65"/>
    </row>
    <row r="851">
      <c r="A851" s="29"/>
      <c r="B851" s="29"/>
      <c r="C851" s="65" t="str">
        <f>IFERROR(__xludf.DUMMYFUNCTION("""COMPUTED_VALUE"""),"")</f>
        <v/>
      </c>
      <c r="D851" s="29"/>
      <c r="G851" s="65"/>
    </row>
    <row r="852">
      <c r="A852" s="29"/>
      <c r="B852" s="29"/>
      <c r="C852" s="65" t="str">
        <f>IFERROR(__xludf.DUMMYFUNCTION("""COMPUTED_VALUE"""),"")</f>
        <v/>
      </c>
      <c r="D852" s="29"/>
      <c r="G852" s="65"/>
    </row>
    <row r="853">
      <c r="A853" s="29"/>
      <c r="B853" s="29"/>
      <c r="C853" s="65" t="str">
        <f>IFERROR(__xludf.DUMMYFUNCTION("""COMPUTED_VALUE"""),"")</f>
        <v/>
      </c>
      <c r="D853" s="29"/>
      <c r="G853" s="65"/>
    </row>
    <row r="854">
      <c r="A854" s="29"/>
      <c r="B854" s="29"/>
      <c r="C854" s="65" t="str">
        <f>IFERROR(__xludf.DUMMYFUNCTION("""COMPUTED_VALUE"""),"")</f>
        <v/>
      </c>
      <c r="D854" s="29"/>
      <c r="G854" s="65"/>
    </row>
    <row r="855">
      <c r="A855" s="29"/>
      <c r="B855" s="29"/>
      <c r="C855" s="65" t="str">
        <f>IFERROR(__xludf.DUMMYFUNCTION("""COMPUTED_VALUE"""),"")</f>
        <v/>
      </c>
      <c r="D855" s="29"/>
      <c r="G855" s="65"/>
    </row>
    <row r="856">
      <c r="A856" s="29"/>
      <c r="B856" s="29"/>
      <c r="C856" s="65" t="str">
        <f>IFERROR(__xludf.DUMMYFUNCTION("""COMPUTED_VALUE"""),"")</f>
        <v/>
      </c>
      <c r="D856" s="29"/>
      <c r="G856" s="65"/>
    </row>
    <row r="857">
      <c r="A857" s="29"/>
      <c r="B857" s="29"/>
      <c r="C857" s="65" t="str">
        <f>IFERROR(__xludf.DUMMYFUNCTION("""COMPUTED_VALUE"""),"")</f>
        <v/>
      </c>
      <c r="D857" s="29"/>
      <c r="G857" s="65"/>
    </row>
    <row r="858">
      <c r="A858" s="29"/>
      <c r="B858" s="29"/>
      <c r="C858" s="65" t="str">
        <f>IFERROR(__xludf.DUMMYFUNCTION("""COMPUTED_VALUE"""),"")</f>
        <v/>
      </c>
      <c r="D858" s="29"/>
      <c r="G858" s="65"/>
    </row>
    <row r="859">
      <c r="A859" s="29"/>
      <c r="B859" s="29"/>
      <c r="C859" s="65" t="str">
        <f>IFERROR(__xludf.DUMMYFUNCTION("""COMPUTED_VALUE"""),"")</f>
        <v/>
      </c>
      <c r="D859" s="29"/>
      <c r="G859" s="65"/>
    </row>
    <row r="860">
      <c r="A860" s="29"/>
      <c r="B860" s="29"/>
      <c r="C860" s="65" t="str">
        <f>IFERROR(__xludf.DUMMYFUNCTION("""COMPUTED_VALUE"""),"")</f>
        <v/>
      </c>
      <c r="D860" s="29"/>
      <c r="G860" s="65"/>
    </row>
    <row r="861">
      <c r="A861" s="29"/>
      <c r="B861" s="29"/>
      <c r="C861" s="65" t="str">
        <f>IFERROR(__xludf.DUMMYFUNCTION("""COMPUTED_VALUE"""),"")</f>
        <v/>
      </c>
      <c r="D861" s="29"/>
      <c r="G861" s="65"/>
    </row>
    <row r="862">
      <c r="A862" s="29"/>
      <c r="B862" s="29"/>
      <c r="C862" s="65" t="str">
        <f>IFERROR(__xludf.DUMMYFUNCTION("""COMPUTED_VALUE"""),"")</f>
        <v/>
      </c>
      <c r="D862" s="29"/>
      <c r="G862" s="65"/>
    </row>
    <row r="863">
      <c r="A863" s="29"/>
      <c r="B863" s="29"/>
      <c r="C863" s="65" t="str">
        <f>IFERROR(__xludf.DUMMYFUNCTION("""COMPUTED_VALUE"""),"")</f>
        <v/>
      </c>
      <c r="D863" s="29"/>
      <c r="G863" s="65"/>
    </row>
    <row r="864">
      <c r="A864" s="29"/>
      <c r="B864" s="29"/>
      <c r="C864" s="65" t="str">
        <f>IFERROR(__xludf.DUMMYFUNCTION("""COMPUTED_VALUE"""),"")</f>
        <v/>
      </c>
      <c r="D864" s="29"/>
      <c r="G864" s="65"/>
    </row>
    <row r="865">
      <c r="A865" s="29"/>
      <c r="B865" s="29"/>
      <c r="C865" s="65" t="str">
        <f>IFERROR(__xludf.DUMMYFUNCTION("""COMPUTED_VALUE"""),"")</f>
        <v/>
      </c>
      <c r="D865" s="29"/>
      <c r="G865" s="65"/>
    </row>
    <row r="866">
      <c r="A866" s="29"/>
      <c r="B866" s="29"/>
      <c r="C866" s="65" t="str">
        <f>IFERROR(__xludf.DUMMYFUNCTION("""COMPUTED_VALUE"""),"")</f>
        <v/>
      </c>
      <c r="D866" s="29"/>
      <c r="G866" s="65"/>
    </row>
    <row r="867">
      <c r="A867" s="29"/>
      <c r="B867" s="29"/>
      <c r="C867" s="65" t="str">
        <f>IFERROR(__xludf.DUMMYFUNCTION("""COMPUTED_VALUE"""),"")</f>
        <v/>
      </c>
      <c r="D867" s="29"/>
      <c r="G867" s="65"/>
    </row>
    <row r="868">
      <c r="A868" s="29"/>
      <c r="B868" s="29"/>
      <c r="C868" s="65" t="str">
        <f>IFERROR(__xludf.DUMMYFUNCTION("""COMPUTED_VALUE"""),"")</f>
        <v/>
      </c>
      <c r="D868" s="29"/>
      <c r="G868" s="65"/>
    </row>
    <row r="869">
      <c r="A869" s="29"/>
      <c r="B869" s="29"/>
      <c r="C869" s="65" t="str">
        <f>IFERROR(__xludf.DUMMYFUNCTION("""COMPUTED_VALUE"""),"")</f>
        <v/>
      </c>
      <c r="D869" s="29"/>
      <c r="G869" s="65"/>
    </row>
    <row r="870">
      <c r="A870" s="29"/>
      <c r="B870" s="29"/>
      <c r="C870" s="65" t="str">
        <f>IFERROR(__xludf.DUMMYFUNCTION("""COMPUTED_VALUE"""),"")</f>
        <v/>
      </c>
      <c r="D870" s="29"/>
      <c r="G870" s="65"/>
    </row>
    <row r="871">
      <c r="A871" s="29"/>
      <c r="B871" s="29"/>
      <c r="C871" s="65" t="str">
        <f>IFERROR(__xludf.DUMMYFUNCTION("""COMPUTED_VALUE"""),"")</f>
        <v/>
      </c>
      <c r="D871" s="29"/>
      <c r="G871" s="65"/>
    </row>
    <row r="872">
      <c r="A872" s="29"/>
      <c r="B872" s="29"/>
      <c r="C872" s="65" t="str">
        <f>IFERROR(__xludf.DUMMYFUNCTION("""COMPUTED_VALUE"""),"")</f>
        <v/>
      </c>
      <c r="D872" s="29"/>
      <c r="G872" s="65"/>
    </row>
    <row r="873">
      <c r="A873" s="29"/>
      <c r="B873" s="29"/>
      <c r="C873" s="65" t="str">
        <f>IFERROR(__xludf.DUMMYFUNCTION("""COMPUTED_VALUE"""),"")</f>
        <v/>
      </c>
      <c r="D873" s="29"/>
      <c r="G873" s="65"/>
    </row>
    <row r="874">
      <c r="A874" s="29"/>
      <c r="B874" s="29"/>
      <c r="C874" s="65" t="str">
        <f>IFERROR(__xludf.DUMMYFUNCTION("""COMPUTED_VALUE"""),"")</f>
        <v/>
      </c>
      <c r="D874" s="29"/>
      <c r="G874" s="65"/>
    </row>
    <row r="875">
      <c r="A875" s="29"/>
      <c r="B875" s="29"/>
      <c r="C875" s="65" t="str">
        <f>IFERROR(__xludf.DUMMYFUNCTION("""COMPUTED_VALUE"""),"")</f>
        <v/>
      </c>
      <c r="D875" s="29"/>
      <c r="G875" s="65"/>
    </row>
    <row r="876">
      <c r="A876" s="29"/>
      <c r="B876" s="29"/>
      <c r="C876" s="65" t="str">
        <f>IFERROR(__xludf.DUMMYFUNCTION("""COMPUTED_VALUE"""),"")</f>
        <v/>
      </c>
      <c r="D876" s="29"/>
      <c r="G876" s="65"/>
    </row>
    <row r="877">
      <c r="A877" s="29"/>
      <c r="B877" s="29"/>
      <c r="C877" s="65" t="str">
        <f>IFERROR(__xludf.DUMMYFUNCTION("""COMPUTED_VALUE"""),"")</f>
        <v/>
      </c>
      <c r="D877" s="29"/>
      <c r="G877" s="65"/>
    </row>
    <row r="878">
      <c r="A878" s="29"/>
      <c r="B878" s="29"/>
      <c r="C878" s="65" t="str">
        <f>IFERROR(__xludf.DUMMYFUNCTION("""COMPUTED_VALUE"""),"")</f>
        <v/>
      </c>
      <c r="D878" s="29"/>
      <c r="G878" s="65"/>
    </row>
    <row r="879">
      <c r="A879" s="29"/>
      <c r="B879" s="29"/>
      <c r="C879" s="65" t="str">
        <f>IFERROR(__xludf.DUMMYFUNCTION("""COMPUTED_VALUE"""),"")</f>
        <v/>
      </c>
      <c r="D879" s="29"/>
      <c r="G879" s="65"/>
    </row>
    <row r="880">
      <c r="A880" s="29"/>
      <c r="B880" s="29"/>
      <c r="C880" s="65" t="str">
        <f>IFERROR(__xludf.DUMMYFUNCTION("""COMPUTED_VALUE"""),"")</f>
        <v/>
      </c>
      <c r="D880" s="29"/>
      <c r="G880" s="65"/>
    </row>
    <row r="881">
      <c r="A881" s="29"/>
      <c r="B881" s="29"/>
      <c r="C881" s="65" t="str">
        <f>IFERROR(__xludf.DUMMYFUNCTION("""COMPUTED_VALUE"""),"")</f>
        <v/>
      </c>
      <c r="D881" s="29"/>
      <c r="G881" s="65"/>
    </row>
    <row r="882">
      <c r="A882" s="29"/>
      <c r="B882" s="29"/>
      <c r="C882" s="65" t="str">
        <f>IFERROR(__xludf.DUMMYFUNCTION("""COMPUTED_VALUE"""),"")</f>
        <v/>
      </c>
      <c r="D882" s="29"/>
      <c r="G882" s="65"/>
    </row>
    <row r="883">
      <c r="A883" s="29"/>
      <c r="B883" s="29"/>
      <c r="C883" s="65" t="str">
        <f>IFERROR(__xludf.DUMMYFUNCTION("""COMPUTED_VALUE"""),"")</f>
        <v/>
      </c>
      <c r="D883" s="29"/>
      <c r="G883" s="65"/>
    </row>
    <row r="884">
      <c r="A884" s="29"/>
      <c r="B884" s="29"/>
      <c r="C884" s="65" t="str">
        <f>IFERROR(__xludf.DUMMYFUNCTION("""COMPUTED_VALUE"""),"")</f>
        <v/>
      </c>
      <c r="D884" s="29"/>
      <c r="G884" s="65"/>
    </row>
    <row r="885">
      <c r="A885" s="29"/>
      <c r="B885" s="29"/>
      <c r="C885" s="65" t="str">
        <f>IFERROR(__xludf.DUMMYFUNCTION("""COMPUTED_VALUE"""),"")</f>
        <v/>
      </c>
      <c r="D885" s="29"/>
      <c r="G885" s="65"/>
    </row>
    <row r="886">
      <c r="A886" s="29"/>
      <c r="B886" s="29"/>
      <c r="C886" s="65" t="str">
        <f>IFERROR(__xludf.DUMMYFUNCTION("""COMPUTED_VALUE"""),"")</f>
        <v/>
      </c>
      <c r="D886" s="29"/>
      <c r="G886" s="65"/>
    </row>
    <row r="887">
      <c r="A887" s="29"/>
      <c r="B887" s="29"/>
      <c r="C887" s="65" t="str">
        <f>IFERROR(__xludf.DUMMYFUNCTION("""COMPUTED_VALUE"""),"")</f>
        <v/>
      </c>
      <c r="D887" s="29"/>
      <c r="G887" s="65"/>
    </row>
    <row r="888">
      <c r="A888" s="29"/>
      <c r="B888" s="29"/>
      <c r="C888" s="65" t="str">
        <f>IFERROR(__xludf.DUMMYFUNCTION("""COMPUTED_VALUE"""),"")</f>
        <v/>
      </c>
      <c r="D888" s="29"/>
      <c r="G888" s="65"/>
    </row>
    <row r="889">
      <c r="A889" s="29"/>
      <c r="B889" s="29"/>
      <c r="C889" s="65" t="str">
        <f>IFERROR(__xludf.DUMMYFUNCTION("""COMPUTED_VALUE"""),"")</f>
        <v/>
      </c>
      <c r="D889" s="29"/>
      <c r="G889" s="65"/>
    </row>
    <row r="890">
      <c r="A890" s="29"/>
      <c r="B890" s="29"/>
      <c r="C890" s="65" t="str">
        <f>IFERROR(__xludf.DUMMYFUNCTION("""COMPUTED_VALUE"""),"")</f>
        <v/>
      </c>
      <c r="D890" s="29"/>
      <c r="G890" s="65"/>
    </row>
    <row r="891">
      <c r="A891" s="29"/>
      <c r="B891" s="29"/>
      <c r="C891" s="65" t="str">
        <f>IFERROR(__xludf.DUMMYFUNCTION("""COMPUTED_VALUE"""),"")</f>
        <v/>
      </c>
      <c r="D891" s="29"/>
      <c r="G891" s="65"/>
    </row>
    <row r="892">
      <c r="A892" s="29"/>
      <c r="B892" s="29"/>
      <c r="C892" s="65" t="str">
        <f>IFERROR(__xludf.DUMMYFUNCTION("""COMPUTED_VALUE"""),"")</f>
        <v/>
      </c>
      <c r="D892" s="29"/>
      <c r="G892" s="65"/>
    </row>
    <row r="893">
      <c r="A893" s="29"/>
      <c r="B893" s="29"/>
      <c r="C893" s="65" t="str">
        <f>IFERROR(__xludf.DUMMYFUNCTION("""COMPUTED_VALUE"""),"")</f>
        <v/>
      </c>
      <c r="D893" s="29"/>
      <c r="G893" s="65"/>
    </row>
    <row r="894">
      <c r="A894" s="29"/>
      <c r="B894" s="29"/>
      <c r="C894" s="65" t="str">
        <f>IFERROR(__xludf.DUMMYFUNCTION("""COMPUTED_VALUE"""),"")</f>
        <v/>
      </c>
      <c r="D894" s="29"/>
      <c r="G894" s="65"/>
    </row>
    <row r="895">
      <c r="A895" s="29"/>
      <c r="B895" s="29"/>
      <c r="C895" s="65" t="str">
        <f>IFERROR(__xludf.DUMMYFUNCTION("""COMPUTED_VALUE"""),"")</f>
        <v/>
      </c>
      <c r="D895" s="29"/>
      <c r="G895" s="65"/>
    </row>
    <row r="896">
      <c r="A896" s="29"/>
      <c r="B896" s="29"/>
      <c r="C896" s="65" t="str">
        <f>IFERROR(__xludf.DUMMYFUNCTION("""COMPUTED_VALUE"""),"")</f>
        <v/>
      </c>
      <c r="D896" s="29"/>
      <c r="G896" s="65"/>
    </row>
    <row r="897">
      <c r="A897" s="29"/>
      <c r="B897" s="29"/>
      <c r="C897" s="65" t="str">
        <f>IFERROR(__xludf.DUMMYFUNCTION("""COMPUTED_VALUE"""),"")</f>
        <v/>
      </c>
      <c r="D897" s="29"/>
      <c r="G897" s="65"/>
    </row>
    <row r="898">
      <c r="A898" s="29"/>
      <c r="B898" s="29"/>
      <c r="C898" s="65" t="str">
        <f>IFERROR(__xludf.DUMMYFUNCTION("""COMPUTED_VALUE"""),"")</f>
        <v/>
      </c>
      <c r="D898" s="29"/>
      <c r="G898" s="65"/>
    </row>
    <row r="899">
      <c r="A899" s="29"/>
      <c r="B899" s="29"/>
      <c r="C899" s="65" t="str">
        <f>IFERROR(__xludf.DUMMYFUNCTION("""COMPUTED_VALUE"""),"")</f>
        <v/>
      </c>
      <c r="D899" s="29"/>
      <c r="G899" s="65"/>
    </row>
    <row r="900">
      <c r="A900" s="29"/>
      <c r="B900" s="29"/>
      <c r="C900" s="65" t="str">
        <f>IFERROR(__xludf.DUMMYFUNCTION("""COMPUTED_VALUE"""),"")</f>
        <v/>
      </c>
      <c r="D900" s="29"/>
      <c r="G900" s="65"/>
    </row>
    <row r="901">
      <c r="A901" s="29"/>
      <c r="B901" s="29"/>
      <c r="C901" s="65" t="str">
        <f>IFERROR(__xludf.DUMMYFUNCTION("""COMPUTED_VALUE"""),"")</f>
        <v/>
      </c>
      <c r="D901" s="29"/>
      <c r="G901" s="65"/>
    </row>
    <row r="902">
      <c r="A902" s="29"/>
      <c r="B902" s="29"/>
      <c r="C902" s="65" t="str">
        <f>IFERROR(__xludf.DUMMYFUNCTION("""COMPUTED_VALUE"""),"")</f>
        <v/>
      </c>
      <c r="D902" s="29"/>
      <c r="G902" s="65"/>
    </row>
    <row r="903">
      <c r="A903" s="29"/>
      <c r="B903" s="29"/>
      <c r="C903" s="65" t="str">
        <f>IFERROR(__xludf.DUMMYFUNCTION("""COMPUTED_VALUE"""),"")</f>
        <v/>
      </c>
      <c r="D903" s="29"/>
      <c r="G903" s="65"/>
    </row>
    <row r="904">
      <c r="A904" s="29"/>
      <c r="B904" s="29"/>
      <c r="C904" s="65" t="str">
        <f>IFERROR(__xludf.DUMMYFUNCTION("""COMPUTED_VALUE"""),"")</f>
        <v/>
      </c>
      <c r="D904" s="29"/>
      <c r="G904" s="65"/>
    </row>
    <row r="905">
      <c r="A905" s="29"/>
      <c r="B905" s="29"/>
      <c r="C905" s="65" t="str">
        <f>IFERROR(__xludf.DUMMYFUNCTION("""COMPUTED_VALUE"""),"")</f>
        <v/>
      </c>
      <c r="D905" s="29"/>
      <c r="G905" s="65"/>
    </row>
    <row r="906">
      <c r="A906" s="29"/>
      <c r="B906" s="29"/>
      <c r="C906" s="65" t="str">
        <f>IFERROR(__xludf.DUMMYFUNCTION("""COMPUTED_VALUE"""),"")</f>
        <v/>
      </c>
      <c r="D906" s="29"/>
      <c r="G906" s="65"/>
    </row>
    <row r="907">
      <c r="A907" s="29"/>
      <c r="B907" s="29"/>
      <c r="C907" s="65" t="str">
        <f>IFERROR(__xludf.DUMMYFUNCTION("""COMPUTED_VALUE"""),"")</f>
        <v/>
      </c>
      <c r="D907" s="29"/>
      <c r="G907" s="65"/>
    </row>
    <row r="908">
      <c r="A908" s="29"/>
      <c r="B908" s="29"/>
      <c r="C908" s="65" t="str">
        <f>IFERROR(__xludf.DUMMYFUNCTION("""COMPUTED_VALUE"""),"")</f>
        <v/>
      </c>
      <c r="D908" s="29"/>
      <c r="G908" s="65"/>
    </row>
    <row r="909">
      <c r="A909" s="29"/>
      <c r="B909" s="29"/>
      <c r="C909" s="65" t="str">
        <f>IFERROR(__xludf.DUMMYFUNCTION("""COMPUTED_VALUE"""),"")</f>
        <v/>
      </c>
      <c r="D909" s="29"/>
      <c r="G909" s="65"/>
    </row>
    <row r="910">
      <c r="A910" s="29"/>
      <c r="B910" s="29"/>
      <c r="C910" s="65" t="str">
        <f>IFERROR(__xludf.DUMMYFUNCTION("""COMPUTED_VALUE"""),"")</f>
        <v/>
      </c>
      <c r="D910" s="29"/>
      <c r="G910" s="65"/>
    </row>
    <row r="911">
      <c r="A911" s="29"/>
      <c r="B911" s="29"/>
      <c r="C911" s="65" t="str">
        <f>IFERROR(__xludf.DUMMYFUNCTION("""COMPUTED_VALUE"""),"")</f>
        <v/>
      </c>
      <c r="D911" s="29"/>
      <c r="G911" s="65"/>
    </row>
    <row r="912">
      <c r="A912" s="29"/>
      <c r="B912" s="29"/>
      <c r="C912" s="65" t="str">
        <f>IFERROR(__xludf.DUMMYFUNCTION("""COMPUTED_VALUE"""),"")</f>
        <v/>
      </c>
      <c r="D912" s="29"/>
      <c r="G912" s="65"/>
    </row>
    <row r="913">
      <c r="A913" s="29"/>
      <c r="B913" s="29"/>
      <c r="C913" s="65" t="str">
        <f>IFERROR(__xludf.DUMMYFUNCTION("""COMPUTED_VALUE"""),"")</f>
        <v/>
      </c>
      <c r="D913" s="29"/>
      <c r="G913" s="65"/>
    </row>
    <row r="914">
      <c r="A914" s="29"/>
      <c r="B914" s="29"/>
      <c r="C914" s="65" t="str">
        <f>IFERROR(__xludf.DUMMYFUNCTION("""COMPUTED_VALUE"""),"")</f>
        <v/>
      </c>
      <c r="D914" s="29"/>
      <c r="G914" s="65"/>
    </row>
    <row r="915">
      <c r="A915" s="29"/>
      <c r="B915" s="29"/>
      <c r="C915" s="65" t="str">
        <f>IFERROR(__xludf.DUMMYFUNCTION("""COMPUTED_VALUE"""),"")</f>
        <v/>
      </c>
      <c r="D915" s="29"/>
      <c r="G915" s="65"/>
    </row>
    <row r="916">
      <c r="A916" s="29"/>
      <c r="B916" s="29"/>
      <c r="C916" s="65" t="str">
        <f>IFERROR(__xludf.DUMMYFUNCTION("""COMPUTED_VALUE"""),"")</f>
        <v/>
      </c>
      <c r="D916" s="29"/>
      <c r="G916" s="65"/>
    </row>
    <row r="917">
      <c r="A917" s="29"/>
      <c r="B917" s="29"/>
      <c r="C917" s="65" t="str">
        <f>IFERROR(__xludf.DUMMYFUNCTION("""COMPUTED_VALUE"""),"")</f>
        <v/>
      </c>
      <c r="D917" s="29"/>
      <c r="G917" s="65"/>
    </row>
    <row r="918">
      <c r="A918" s="29"/>
      <c r="B918" s="29"/>
      <c r="C918" s="65" t="str">
        <f>IFERROR(__xludf.DUMMYFUNCTION("""COMPUTED_VALUE"""),"")</f>
        <v/>
      </c>
      <c r="D918" s="29"/>
      <c r="G918" s="65"/>
    </row>
    <row r="919">
      <c r="A919" s="29"/>
      <c r="B919" s="29"/>
      <c r="C919" s="65" t="str">
        <f>IFERROR(__xludf.DUMMYFUNCTION("""COMPUTED_VALUE"""),"")</f>
        <v/>
      </c>
      <c r="D919" s="29"/>
      <c r="G919" s="65"/>
    </row>
    <row r="920">
      <c r="A920" s="29"/>
      <c r="B920" s="29"/>
      <c r="C920" s="65" t="str">
        <f>IFERROR(__xludf.DUMMYFUNCTION("""COMPUTED_VALUE"""),"")</f>
        <v/>
      </c>
      <c r="D920" s="29"/>
      <c r="G920" s="65"/>
    </row>
    <row r="921">
      <c r="A921" s="29"/>
      <c r="B921" s="29"/>
      <c r="C921" s="65" t="str">
        <f>IFERROR(__xludf.DUMMYFUNCTION("""COMPUTED_VALUE"""),"")</f>
        <v/>
      </c>
      <c r="D921" s="29"/>
      <c r="G921" s="65"/>
    </row>
    <row r="922">
      <c r="A922" s="29"/>
      <c r="B922" s="29"/>
      <c r="C922" s="65" t="str">
        <f>IFERROR(__xludf.DUMMYFUNCTION("""COMPUTED_VALUE"""),"")</f>
        <v/>
      </c>
      <c r="D922" s="29"/>
      <c r="G922" s="65"/>
    </row>
    <row r="923">
      <c r="A923" s="29"/>
      <c r="B923" s="29"/>
      <c r="C923" s="65" t="str">
        <f>IFERROR(__xludf.DUMMYFUNCTION("""COMPUTED_VALUE"""),"")</f>
        <v/>
      </c>
      <c r="D923" s="29"/>
      <c r="G923" s="65"/>
    </row>
    <row r="924">
      <c r="A924" s="29"/>
      <c r="B924" s="29"/>
      <c r="C924" s="65" t="str">
        <f>IFERROR(__xludf.DUMMYFUNCTION("""COMPUTED_VALUE"""),"")</f>
        <v/>
      </c>
      <c r="D924" s="29"/>
      <c r="G924" s="65"/>
    </row>
    <row r="925">
      <c r="A925" s="29"/>
      <c r="B925" s="29"/>
      <c r="C925" s="65" t="str">
        <f>IFERROR(__xludf.DUMMYFUNCTION("""COMPUTED_VALUE"""),"")</f>
        <v/>
      </c>
      <c r="D925" s="29"/>
      <c r="G925" s="65"/>
    </row>
    <row r="926">
      <c r="A926" s="29"/>
      <c r="B926" s="29"/>
      <c r="C926" s="65" t="str">
        <f>IFERROR(__xludf.DUMMYFUNCTION("""COMPUTED_VALUE"""),"")</f>
        <v/>
      </c>
      <c r="D926" s="29"/>
      <c r="G926" s="65"/>
    </row>
    <row r="927">
      <c r="A927" s="29"/>
      <c r="B927" s="29"/>
      <c r="C927" s="65" t="str">
        <f>IFERROR(__xludf.DUMMYFUNCTION("""COMPUTED_VALUE"""),"")</f>
        <v/>
      </c>
      <c r="D927" s="29"/>
      <c r="G927" s="65"/>
    </row>
    <row r="928">
      <c r="A928" s="29"/>
      <c r="B928" s="29"/>
      <c r="C928" s="65" t="str">
        <f>IFERROR(__xludf.DUMMYFUNCTION("""COMPUTED_VALUE"""),"")</f>
        <v/>
      </c>
      <c r="D928" s="29"/>
      <c r="G928" s="65"/>
    </row>
    <row r="929">
      <c r="A929" s="29"/>
      <c r="B929" s="29"/>
      <c r="C929" s="65" t="str">
        <f>IFERROR(__xludf.DUMMYFUNCTION("""COMPUTED_VALUE"""),"")</f>
        <v/>
      </c>
      <c r="D929" s="29"/>
      <c r="G929" s="65"/>
    </row>
    <row r="930">
      <c r="A930" s="29"/>
      <c r="B930" s="29"/>
      <c r="C930" s="65" t="str">
        <f>IFERROR(__xludf.DUMMYFUNCTION("""COMPUTED_VALUE"""),"")</f>
        <v/>
      </c>
      <c r="D930" s="29"/>
      <c r="G930" s="65"/>
    </row>
    <row r="931">
      <c r="A931" s="29"/>
      <c r="B931" s="29"/>
      <c r="C931" s="65" t="str">
        <f>IFERROR(__xludf.DUMMYFUNCTION("""COMPUTED_VALUE"""),"")</f>
        <v/>
      </c>
      <c r="D931" s="29"/>
      <c r="G931" s="65"/>
    </row>
    <row r="932">
      <c r="A932" s="29"/>
      <c r="B932" s="29"/>
      <c r="C932" s="65" t="str">
        <f>IFERROR(__xludf.DUMMYFUNCTION("""COMPUTED_VALUE"""),"")</f>
        <v/>
      </c>
      <c r="D932" s="29"/>
      <c r="G932" s="65"/>
    </row>
    <row r="933">
      <c r="A933" s="29"/>
      <c r="B933" s="29"/>
      <c r="C933" s="65" t="str">
        <f>IFERROR(__xludf.DUMMYFUNCTION("""COMPUTED_VALUE"""),"")</f>
        <v/>
      </c>
      <c r="D933" s="29"/>
      <c r="G933" s="65"/>
    </row>
    <row r="934">
      <c r="A934" s="29"/>
      <c r="B934" s="29"/>
      <c r="C934" s="65" t="str">
        <f>IFERROR(__xludf.DUMMYFUNCTION("""COMPUTED_VALUE"""),"")</f>
        <v/>
      </c>
      <c r="D934" s="29"/>
      <c r="G934" s="65"/>
    </row>
    <row r="935">
      <c r="A935" s="29"/>
      <c r="B935" s="29"/>
      <c r="C935" s="65" t="str">
        <f>IFERROR(__xludf.DUMMYFUNCTION("""COMPUTED_VALUE"""),"")</f>
        <v/>
      </c>
      <c r="D935" s="29"/>
      <c r="G935" s="65"/>
    </row>
    <row r="936">
      <c r="A936" s="29"/>
      <c r="B936" s="29"/>
      <c r="C936" s="65" t="str">
        <f>IFERROR(__xludf.DUMMYFUNCTION("""COMPUTED_VALUE"""),"")</f>
        <v/>
      </c>
      <c r="D936" s="29"/>
      <c r="G936" s="65"/>
    </row>
    <row r="937">
      <c r="A937" s="29"/>
      <c r="B937" s="29"/>
      <c r="C937" s="65" t="str">
        <f>IFERROR(__xludf.DUMMYFUNCTION("""COMPUTED_VALUE"""),"")</f>
        <v/>
      </c>
      <c r="D937" s="29"/>
      <c r="G937" s="65"/>
    </row>
    <row r="938">
      <c r="A938" s="29"/>
      <c r="B938" s="29"/>
      <c r="C938" s="65" t="str">
        <f>IFERROR(__xludf.DUMMYFUNCTION("""COMPUTED_VALUE"""),"")</f>
        <v/>
      </c>
      <c r="D938" s="29"/>
      <c r="G938" s="65"/>
    </row>
    <row r="939">
      <c r="A939" s="29"/>
      <c r="B939" s="29"/>
      <c r="C939" s="65" t="str">
        <f>IFERROR(__xludf.DUMMYFUNCTION("""COMPUTED_VALUE"""),"")</f>
        <v/>
      </c>
      <c r="D939" s="29"/>
      <c r="G939" s="65"/>
    </row>
    <row r="940">
      <c r="A940" s="29"/>
      <c r="B940" s="29"/>
      <c r="C940" s="65" t="str">
        <f>IFERROR(__xludf.DUMMYFUNCTION("""COMPUTED_VALUE"""),"")</f>
        <v/>
      </c>
      <c r="D940" s="29"/>
      <c r="G940" s="65"/>
    </row>
    <row r="941">
      <c r="A941" s="29"/>
      <c r="B941" s="29"/>
      <c r="C941" s="65" t="str">
        <f>IFERROR(__xludf.DUMMYFUNCTION("""COMPUTED_VALUE"""),"")</f>
        <v/>
      </c>
      <c r="D941" s="29"/>
      <c r="G941" s="65"/>
    </row>
    <row r="942">
      <c r="A942" s="29"/>
      <c r="B942" s="29"/>
      <c r="C942" s="65" t="str">
        <f>IFERROR(__xludf.DUMMYFUNCTION("""COMPUTED_VALUE"""),"")</f>
        <v/>
      </c>
      <c r="D942" s="29"/>
      <c r="G942" s="65"/>
    </row>
    <row r="943">
      <c r="A943" s="29"/>
      <c r="B943" s="29"/>
      <c r="C943" s="65" t="str">
        <f>IFERROR(__xludf.DUMMYFUNCTION("""COMPUTED_VALUE"""),"")</f>
        <v/>
      </c>
      <c r="D943" s="29"/>
      <c r="G943" s="65"/>
    </row>
    <row r="944">
      <c r="A944" s="29"/>
      <c r="B944" s="29"/>
      <c r="C944" s="65" t="str">
        <f>IFERROR(__xludf.DUMMYFUNCTION("""COMPUTED_VALUE"""),"")</f>
        <v/>
      </c>
      <c r="D944" s="29"/>
      <c r="G944" s="65"/>
    </row>
    <row r="945">
      <c r="A945" s="29"/>
      <c r="B945" s="29"/>
      <c r="C945" s="65" t="str">
        <f>IFERROR(__xludf.DUMMYFUNCTION("""COMPUTED_VALUE"""),"")</f>
        <v/>
      </c>
      <c r="D945" s="29"/>
      <c r="G945" s="65"/>
    </row>
    <row r="946">
      <c r="A946" s="29"/>
      <c r="B946" s="29"/>
      <c r="C946" s="65" t="str">
        <f>IFERROR(__xludf.DUMMYFUNCTION("""COMPUTED_VALUE"""),"")</f>
        <v/>
      </c>
      <c r="D946" s="29"/>
      <c r="G946" s="65"/>
    </row>
    <row r="947">
      <c r="A947" s="29"/>
      <c r="B947" s="29"/>
      <c r="C947" s="65" t="str">
        <f>IFERROR(__xludf.DUMMYFUNCTION("""COMPUTED_VALUE"""),"")</f>
        <v/>
      </c>
      <c r="D947" s="29"/>
      <c r="G947" s="65"/>
    </row>
    <row r="948">
      <c r="A948" s="29"/>
      <c r="B948" s="29"/>
      <c r="C948" s="65" t="str">
        <f>IFERROR(__xludf.DUMMYFUNCTION("""COMPUTED_VALUE"""),"")</f>
        <v/>
      </c>
      <c r="D948" s="29"/>
      <c r="G948" s="65"/>
    </row>
    <row r="949">
      <c r="A949" s="29"/>
      <c r="B949" s="29"/>
      <c r="C949" s="65" t="str">
        <f>IFERROR(__xludf.DUMMYFUNCTION("""COMPUTED_VALUE"""),"")</f>
        <v/>
      </c>
      <c r="D949" s="29"/>
      <c r="G949" s="65"/>
    </row>
    <row r="950">
      <c r="A950" s="29"/>
      <c r="B950" s="29"/>
      <c r="C950" s="65" t="str">
        <f>IFERROR(__xludf.DUMMYFUNCTION("""COMPUTED_VALUE"""),"")</f>
        <v/>
      </c>
      <c r="D950" s="29"/>
      <c r="G950" s="65"/>
    </row>
    <row r="951">
      <c r="A951" s="29"/>
      <c r="B951" s="29"/>
      <c r="C951" s="65" t="str">
        <f>IFERROR(__xludf.DUMMYFUNCTION("""COMPUTED_VALUE"""),"")</f>
        <v/>
      </c>
      <c r="D951" s="29"/>
      <c r="G951" s="65"/>
    </row>
    <row r="952">
      <c r="A952" s="29"/>
      <c r="B952" s="29"/>
      <c r="C952" s="65" t="str">
        <f>IFERROR(__xludf.DUMMYFUNCTION("""COMPUTED_VALUE"""),"")</f>
        <v/>
      </c>
      <c r="D952" s="29"/>
      <c r="G952" s="65"/>
    </row>
    <row r="953">
      <c r="A953" s="29"/>
      <c r="B953" s="29"/>
      <c r="C953" s="65" t="str">
        <f>IFERROR(__xludf.DUMMYFUNCTION("""COMPUTED_VALUE"""),"")</f>
        <v/>
      </c>
      <c r="D953" s="29"/>
      <c r="G953" s="65"/>
    </row>
    <row r="954">
      <c r="A954" s="29"/>
      <c r="B954" s="29"/>
      <c r="C954" s="65" t="str">
        <f>IFERROR(__xludf.DUMMYFUNCTION("""COMPUTED_VALUE"""),"")</f>
        <v/>
      </c>
      <c r="D954" s="29"/>
      <c r="G954" s="65"/>
    </row>
    <row r="955">
      <c r="A955" s="29"/>
      <c r="B955" s="29"/>
      <c r="C955" s="65" t="str">
        <f>IFERROR(__xludf.DUMMYFUNCTION("""COMPUTED_VALUE"""),"")</f>
        <v/>
      </c>
      <c r="D955" s="29"/>
      <c r="G955" s="65"/>
    </row>
    <row r="956">
      <c r="A956" s="29"/>
      <c r="B956" s="29"/>
      <c r="C956" s="65" t="str">
        <f>IFERROR(__xludf.DUMMYFUNCTION("""COMPUTED_VALUE"""),"")</f>
        <v/>
      </c>
      <c r="D956" s="29"/>
      <c r="G956" s="65"/>
    </row>
    <row r="957">
      <c r="A957" s="29"/>
      <c r="B957" s="29"/>
      <c r="C957" s="65" t="str">
        <f>IFERROR(__xludf.DUMMYFUNCTION("""COMPUTED_VALUE"""),"")</f>
        <v/>
      </c>
      <c r="D957" s="29"/>
      <c r="G957" s="65"/>
    </row>
    <row r="958">
      <c r="A958" s="29"/>
      <c r="B958" s="29"/>
      <c r="C958" s="65" t="str">
        <f>IFERROR(__xludf.DUMMYFUNCTION("""COMPUTED_VALUE"""),"")</f>
        <v/>
      </c>
      <c r="D958" s="29"/>
      <c r="G958" s="65"/>
    </row>
    <row r="959">
      <c r="A959" s="29"/>
      <c r="B959" s="29"/>
      <c r="C959" s="65" t="str">
        <f>IFERROR(__xludf.DUMMYFUNCTION("""COMPUTED_VALUE"""),"")</f>
        <v/>
      </c>
      <c r="D959" s="29"/>
      <c r="G959" s="65"/>
    </row>
    <row r="960">
      <c r="A960" s="29"/>
      <c r="B960" s="29"/>
      <c r="C960" s="65" t="str">
        <f>IFERROR(__xludf.DUMMYFUNCTION("""COMPUTED_VALUE"""),"")</f>
        <v/>
      </c>
      <c r="D960" s="29"/>
      <c r="G960" s="65"/>
    </row>
    <row r="961">
      <c r="A961" s="29"/>
      <c r="B961" s="29"/>
      <c r="C961" s="65" t="str">
        <f>IFERROR(__xludf.DUMMYFUNCTION("""COMPUTED_VALUE"""),"")</f>
        <v/>
      </c>
      <c r="D961" s="29"/>
      <c r="G961" s="65"/>
    </row>
    <row r="962">
      <c r="A962" s="29"/>
      <c r="B962" s="29"/>
      <c r="C962" s="65" t="str">
        <f>IFERROR(__xludf.DUMMYFUNCTION("""COMPUTED_VALUE"""),"")</f>
        <v/>
      </c>
      <c r="D962" s="29"/>
      <c r="G962" s="65"/>
    </row>
    <row r="963">
      <c r="A963" s="29"/>
      <c r="B963" s="29"/>
      <c r="C963" s="65" t="str">
        <f>IFERROR(__xludf.DUMMYFUNCTION("""COMPUTED_VALUE"""),"")</f>
        <v/>
      </c>
      <c r="D963" s="29"/>
      <c r="G963" s="65"/>
    </row>
    <row r="964">
      <c r="A964" s="29"/>
      <c r="B964" s="29"/>
      <c r="C964" s="65" t="str">
        <f>IFERROR(__xludf.DUMMYFUNCTION("""COMPUTED_VALUE"""),"")</f>
        <v/>
      </c>
      <c r="D964" s="29"/>
      <c r="G964" s="65"/>
    </row>
    <row r="965">
      <c r="A965" s="29"/>
      <c r="B965" s="29"/>
      <c r="C965" s="65" t="str">
        <f>IFERROR(__xludf.DUMMYFUNCTION("""COMPUTED_VALUE"""),"")</f>
        <v/>
      </c>
      <c r="D965" s="29"/>
      <c r="G965" s="65"/>
    </row>
    <row r="966">
      <c r="A966" s="29"/>
      <c r="B966" s="29"/>
      <c r="C966" s="65" t="str">
        <f>IFERROR(__xludf.DUMMYFUNCTION("""COMPUTED_VALUE"""),"")</f>
        <v/>
      </c>
      <c r="D966" s="29"/>
      <c r="G966" s="65"/>
    </row>
    <row r="967">
      <c r="A967" s="29"/>
      <c r="B967" s="29"/>
      <c r="C967" s="65" t="str">
        <f>IFERROR(__xludf.DUMMYFUNCTION("""COMPUTED_VALUE"""),"")</f>
        <v/>
      </c>
      <c r="D967" s="29"/>
      <c r="G967" s="65"/>
    </row>
    <row r="968">
      <c r="A968" s="29"/>
      <c r="B968" s="29"/>
      <c r="C968" s="65" t="str">
        <f>IFERROR(__xludf.DUMMYFUNCTION("""COMPUTED_VALUE"""),"")</f>
        <v/>
      </c>
      <c r="D968" s="29"/>
      <c r="G968" s="65"/>
    </row>
    <row r="969">
      <c r="A969" s="29"/>
      <c r="B969" s="29"/>
      <c r="C969" s="65" t="str">
        <f>IFERROR(__xludf.DUMMYFUNCTION("""COMPUTED_VALUE"""),"")</f>
        <v/>
      </c>
      <c r="D969" s="29"/>
      <c r="G969" s="65"/>
    </row>
    <row r="970">
      <c r="A970" s="29"/>
      <c r="B970" s="29"/>
      <c r="C970" s="65" t="str">
        <f>IFERROR(__xludf.DUMMYFUNCTION("""COMPUTED_VALUE"""),"")</f>
        <v/>
      </c>
      <c r="D970" s="29"/>
      <c r="G970" s="65"/>
    </row>
    <row r="971">
      <c r="A971" s="29"/>
      <c r="B971" s="29"/>
      <c r="C971" s="65" t="str">
        <f>IFERROR(__xludf.DUMMYFUNCTION("""COMPUTED_VALUE"""),"")</f>
        <v/>
      </c>
      <c r="D971" s="29"/>
      <c r="G971" s="65"/>
    </row>
    <row r="972">
      <c r="A972" s="29"/>
      <c r="B972" s="29"/>
      <c r="C972" s="65" t="str">
        <f>IFERROR(__xludf.DUMMYFUNCTION("""COMPUTED_VALUE"""),"")</f>
        <v/>
      </c>
      <c r="D972" s="29"/>
      <c r="G972" s="65"/>
    </row>
    <row r="973">
      <c r="A973" s="29"/>
      <c r="B973" s="29"/>
      <c r="C973" s="65" t="str">
        <f>IFERROR(__xludf.DUMMYFUNCTION("""COMPUTED_VALUE"""),"")</f>
        <v/>
      </c>
      <c r="D973" s="29"/>
      <c r="G973" s="65"/>
    </row>
    <row r="974">
      <c r="A974" s="29"/>
      <c r="B974" s="29"/>
      <c r="C974" s="65" t="str">
        <f>IFERROR(__xludf.DUMMYFUNCTION("""COMPUTED_VALUE"""),"")</f>
        <v/>
      </c>
      <c r="D974" s="29"/>
      <c r="G974" s="65"/>
    </row>
    <row r="975">
      <c r="A975" s="29"/>
      <c r="B975" s="29"/>
      <c r="C975" s="65" t="str">
        <f>IFERROR(__xludf.DUMMYFUNCTION("""COMPUTED_VALUE"""),"")</f>
        <v/>
      </c>
      <c r="D975" s="29"/>
      <c r="G975" s="65"/>
    </row>
    <row r="976">
      <c r="A976" s="29"/>
      <c r="B976" s="29"/>
      <c r="C976" s="65" t="str">
        <f>IFERROR(__xludf.DUMMYFUNCTION("""COMPUTED_VALUE"""),"")</f>
        <v/>
      </c>
      <c r="D976" s="29"/>
      <c r="G976" s="65"/>
    </row>
    <row r="977">
      <c r="A977" s="29"/>
      <c r="B977" s="29"/>
      <c r="C977" s="65" t="str">
        <f>IFERROR(__xludf.DUMMYFUNCTION("""COMPUTED_VALUE"""),"")</f>
        <v/>
      </c>
      <c r="D977" s="29"/>
      <c r="G977" s="65"/>
    </row>
    <row r="978">
      <c r="A978" s="29"/>
      <c r="B978" s="29"/>
      <c r="C978" s="65" t="str">
        <f>IFERROR(__xludf.DUMMYFUNCTION("""COMPUTED_VALUE"""),"")</f>
        <v/>
      </c>
      <c r="D978" s="29"/>
      <c r="G978" s="65"/>
    </row>
    <row r="979">
      <c r="A979" s="29"/>
      <c r="B979" s="29"/>
      <c r="C979" s="65" t="str">
        <f>IFERROR(__xludf.DUMMYFUNCTION("""COMPUTED_VALUE"""),"")</f>
        <v/>
      </c>
      <c r="D979" s="29"/>
      <c r="G979" s="65"/>
    </row>
    <row r="980">
      <c r="A980" s="29"/>
      <c r="B980" s="29"/>
      <c r="C980" s="65" t="str">
        <f>IFERROR(__xludf.DUMMYFUNCTION("""COMPUTED_VALUE"""),"")</f>
        <v/>
      </c>
      <c r="D980" s="29"/>
      <c r="G980" s="65"/>
    </row>
    <row r="981">
      <c r="A981" s="29"/>
      <c r="B981" s="29"/>
      <c r="C981" s="65" t="str">
        <f>IFERROR(__xludf.DUMMYFUNCTION("""COMPUTED_VALUE"""),"")</f>
        <v/>
      </c>
      <c r="D981" s="29"/>
      <c r="G981" s="65"/>
    </row>
    <row r="982">
      <c r="A982" s="29"/>
      <c r="B982" s="29"/>
      <c r="C982" s="65" t="str">
        <f>IFERROR(__xludf.DUMMYFUNCTION("""COMPUTED_VALUE"""),"")</f>
        <v/>
      </c>
      <c r="D982" s="29"/>
      <c r="G982" s="65"/>
    </row>
    <row r="983">
      <c r="A983" s="29"/>
      <c r="B983" s="29"/>
      <c r="C983" s="65" t="str">
        <f>IFERROR(__xludf.DUMMYFUNCTION("""COMPUTED_VALUE"""),"")</f>
        <v/>
      </c>
      <c r="D983" s="29"/>
      <c r="G983" s="65"/>
    </row>
    <row r="984">
      <c r="A984" s="29"/>
      <c r="B984" s="29"/>
      <c r="C984" s="65" t="str">
        <f>IFERROR(__xludf.DUMMYFUNCTION("""COMPUTED_VALUE"""),"")</f>
        <v/>
      </c>
      <c r="D984" s="29"/>
      <c r="G984" s="65"/>
    </row>
    <row r="985">
      <c r="A985" s="29"/>
      <c r="B985" s="29"/>
      <c r="C985" s="65" t="str">
        <f>IFERROR(__xludf.DUMMYFUNCTION("""COMPUTED_VALUE"""),"")</f>
        <v/>
      </c>
      <c r="D985" s="29"/>
      <c r="G985" s="65"/>
    </row>
    <row r="986">
      <c r="A986" s="29"/>
      <c r="B986" s="29"/>
      <c r="C986" s="65" t="str">
        <f>IFERROR(__xludf.DUMMYFUNCTION("""COMPUTED_VALUE"""),"")</f>
        <v/>
      </c>
      <c r="D986" s="29"/>
      <c r="G986" s="65"/>
    </row>
    <row r="987">
      <c r="A987" s="29"/>
      <c r="B987" s="29"/>
      <c r="C987" s="65" t="str">
        <f>IFERROR(__xludf.DUMMYFUNCTION("""COMPUTED_VALUE"""),"")</f>
        <v/>
      </c>
      <c r="D987" s="29"/>
      <c r="G987" s="65"/>
    </row>
    <row r="988">
      <c r="A988" s="29"/>
      <c r="B988" s="29"/>
      <c r="C988" s="65" t="str">
        <f>IFERROR(__xludf.DUMMYFUNCTION("""COMPUTED_VALUE"""),"")</f>
        <v/>
      </c>
      <c r="D988" s="29"/>
      <c r="G988" s="65"/>
    </row>
    <row r="989">
      <c r="A989" s="29"/>
      <c r="B989" s="29"/>
      <c r="C989" s="65" t="str">
        <f>IFERROR(__xludf.DUMMYFUNCTION("""COMPUTED_VALUE"""),"")</f>
        <v/>
      </c>
      <c r="D989" s="29"/>
      <c r="G989" s="65"/>
    </row>
    <row r="990">
      <c r="A990" s="29"/>
      <c r="B990" s="29"/>
      <c r="C990" s="65" t="str">
        <f>IFERROR(__xludf.DUMMYFUNCTION("""COMPUTED_VALUE"""),"")</f>
        <v/>
      </c>
      <c r="D990" s="29"/>
      <c r="G990" s="65"/>
    </row>
    <row r="991">
      <c r="A991" s="29"/>
      <c r="B991" s="29"/>
      <c r="C991" s="65" t="str">
        <f>IFERROR(__xludf.DUMMYFUNCTION("""COMPUTED_VALUE"""),"")</f>
        <v/>
      </c>
      <c r="D991" s="29"/>
      <c r="G991" s="65"/>
    </row>
    <row r="992">
      <c r="A992" s="29"/>
      <c r="B992" s="29"/>
      <c r="C992" s="65" t="str">
        <f>IFERROR(__xludf.DUMMYFUNCTION("""COMPUTED_VALUE"""),"")</f>
        <v/>
      </c>
      <c r="D992" s="29"/>
      <c r="G992" s="65"/>
    </row>
    <row r="993">
      <c r="A993" s="29"/>
      <c r="B993" s="29"/>
      <c r="C993" s="65" t="str">
        <f>IFERROR(__xludf.DUMMYFUNCTION("""COMPUTED_VALUE"""),"")</f>
        <v/>
      </c>
      <c r="D993" s="29"/>
      <c r="G993" s="65"/>
    </row>
    <row r="994">
      <c r="A994" s="29"/>
      <c r="B994" s="29"/>
      <c r="C994" s="65" t="str">
        <f>IFERROR(__xludf.DUMMYFUNCTION("""COMPUTED_VALUE"""),"")</f>
        <v/>
      </c>
      <c r="D994" s="29"/>
      <c r="G994" s="65"/>
    </row>
    <row r="995">
      <c r="A995" s="29"/>
      <c r="B995" s="29"/>
      <c r="C995" s="65" t="str">
        <f>IFERROR(__xludf.DUMMYFUNCTION("""COMPUTED_VALUE"""),"")</f>
        <v/>
      </c>
      <c r="D995" s="29"/>
      <c r="G995" s="65"/>
    </row>
    <row r="996">
      <c r="A996" s="29"/>
      <c r="B996" s="29"/>
      <c r="C996" s="65" t="str">
        <f>IFERROR(__xludf.DUMMYFUNCTION("""COMPUTED_VALUE"""),"")</f>
        <v/>
      </c>
      <c r="D996" s="29"/>
      <c r="G996" s="65"/>
    </row>
    <row r="997">
      <c r="A997" s="29"/>
      <c r="B997" s="29"/>
      <c r="C997" s="65" t="str">
        <f>IFERROR(__xludf.DUMMYFUNCTION("""COMPUTED_VALUE"""),"")</f>
        <v/>
      </c>
      <c r="D997" s="29"/>
      <c r="G997" s="65"/>
    </row>
    <row r="998">
      <c r="A998" s="29"/>
      <c r="B998" s="29"/>
      <c r="C998" s="65" t="str">
        <f>IFERROR(__xludf.DUMMYFUNCTION("""COMPUTED_VALUE"""),"")</f>
        <v/>
      </c>
      <c r="D998" s="29"/>
      <c r="G998" s="65"/>
    </row>
    <row r="999">
      <c r="A999" s="29"/>
      <c r="B999" s="29"/>
      <c r="C999" s="65" t="str">
        <f>IFERROR(__xludf.DUMMYFUNCTION("""COMPUTED_VALUE"""),"")</f>
        <v/>
      </c>
      <c r="D999" s="29"/>
      <c r="G999" s="65"/>
    </row>
    <row r="1000">
      <c r="A1000" s="29"/>
      <c r="B1000" s="29"/>
      <c r="C1000" s="65" t="str">
        <f>IFERROR(__xludf.DUMMYFUNCTION("""COMPUTED_VALUE"""),"")</f>
        <v/>
      </c>
      <c r="D1000" s="29"/>
      <c r="G1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>IFERROR(__xludf.DUMMYFUNCTION("IMPORTRANGE(""https://docs.google.com/spreadsheets/d/11T3QCvm1KgW6THRDEack4lDxO4QN3BI-8Q0At5dCy7A"",""Juniper!A1:D1000"")"),"Devices")</f>
        <v>Devices</v>
      </c>
      <c r="B1" s="66" t="str">
        <f>IFERROR(__xludf.DUMMYFUNCTION("""COMPUTED_VALUE"""),"List Price")</f>
        <v>List Price</v>
      </c>
      <c r="C1" s="7" t="str">
        <f>IFERROR(__xludf.DUMMYFUNCTION("""COMPUTED_VALUE"""),"Giá AM nhập")</f>
        <v>Giá AM nhập</v>
      </c>
      <c r="D1" s="7" t="str">
        <f>IFERROR(__xludf.DUMMYFUNCTION("""COMPUTED_VALUE"""),"Final Price")</f>
        <v>Final Price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9" t="str">
        <f>IFERROR(__xludf.DUMMYFUNCTION("""COMPUTED_VALUE"""),"EX4200-24T")</f>
        <v>EX4200-24T</v>
      </c>
      <c r="B2" s="65">
        <f>IFERROR(__xludf.DUMMYFUNCTION("""COMPUTED_VALUE"""),10000.0)</f>
        <v>10000</v>
      </c>
      <c r="C2" s="65">
        <f>IFERROR(__xludf.DUMMYFUNCTION("""COMPUTED_VALUE"""),26500.0)</f>
        <v>26500</v>
      </c>
      <c r="D2" s="65">
        <f>IFERROR(__xludf.DUMMYFUNCTION("""COMPUTED_VALUE"""),26500.0)</f>
        <v>26500</v>
      </c>
    </row>
    <row r="3">
      <c r="A3" s="29" t="str">
        <f>IFERROR(__xludf.DUMMYFUNCTION("""COMPUTED_VALUE"""),"EX4300-48S")</f>
        <v>EX4300-48S</v>
      </c>
      <c r="B3" s="65">
        <f>IFERROR(__xludf.DUMMYFUNCTION("""COMPUTED_VALUE"""),20000.0)</f>
        <v>20000</v>
      </c>
      <c r="C3" s="65">
        <f>IFERROR(__xludf.DUMMYFUNCTION("""COMPUTED_VALUE"""),32500.0)</f>
        <v>32500</v>
      </c>
      <c r="D3" s="65">
        <f>IFERROR(__xludf.DUMMYFUNCTION("""COMPUTED_VALUE"""),32500.0)</f>
        <v>32500</v>
      </c>
    </row>
    <row r="4">
      <c r="A4" s="29" t="str">
        <f>IFERROR(__xludf.DUMMYFUNCTION("""COMPUTED_VALUE"""),"EX4600")</f>
        <v>EX4600</v>
      </c>
      <c r="B4" s="65">
        <f>IFERROR(__xludf.DUMMYFUNCTION("""COMPUTED_VALUE"""),30000.0)</f>
        <v>30000</v>
      </c>
      <c r="C4" s="65">
        <f>IFERROR(__xludf.DUMMYFUNCTION("""COMPUTED_VALUE"""),192000.0)</f>
        <v>192000</v>
      </c>
      <c r="D4" s="65">
        <f>IFERROR(__xludf.DUMMYFUNCTION("""COMPUTED_VALUE"""),192000.0)</f>
        <v>192000</v>
      </c>
    </row>
    <row r="5">
      <c r="A5" s="29"/>
      <c r="B5" s="29"/>
      <c r="C5" s="29"/>
      <c r="D5" s="29"/>
    </row>
    <row r="6">
      <c r="A6" s="29"/>
      <c r="B6" s="29"/>
      <c r="C6" s="29"/>
      <c r="D6" s="29"/>
    </row>
    <row r="7">
      <c r="A7" s="29"/>
      <c r="B7" s="29"/>
      <c r="C7" s="29"/>
      <c r="D7" s="29"/>
    </row>
    <row r="8">
      <c r="A8" s="29"/>
      <c r="B8" s="29"/>
      <c r="C8" s="29"/>
      <c r="D8" s="29"/>
    </row>
    <row r="9">
      <c r="A9" s="29"/>
      <c r="B9" s="29"/>
      <c r="C9" s="29"/>
      <c r="D9" s="29"/>
    </row>
    <row r="10">
      <c r="A10" s="29"/>
      <c r="B10" s="29"/>
      <c r="C10" s="29"/>
      <c r="D10" s="29"/>
    </row>
    <row r="11">
      <c r="A11" s="29"/>
      <c r="B11" s="29"/>
      <c r="C11" s="29"/>
      <c r="D11" s="29"/>
    </row>
    <row r="12">
      <c r="A12" s="29"/>
      <c r="B12" s="29"/>
      <c r="C12" s="29"/>
      <c r="D12" s="29"/>
    </row>
    <row r="13">
      <c r="A13" s="29"/>
      <c r="B13" s="29"/>
      <c r="C13" s="29"/>
      <c r="D13" s="29"/>
    </row>
    <row r="14">
      <c r="A14" s="29"/>
      <c r="B14" s="29"/>
      <c r="C14" s="29"/>
      <c r="D14" s="29"/>
    </row>
    <row r="15">
      <c r="A15" s="29"/>
      <c r="B15" s="29"/>
      <c r="C15" s="29"/>
      <c r="D15" s="29"/>
    </row>
    <row r="16">
      <c r="A16" s="29"/>
      <c r="B16" s="29"/>
      <c r="C16" s="29"/>
      <c r="D16" s="29"/>
    </row>
    <row r="17">
      <c r="A17" s="29"/>
      <c r="B17" s="29"/>
      <c r="C17" s="29"/>
      <c r="D17" s="29"/>
    </row>
    <row r="18">
      <c r="A18" s="29"/>
      <c r="B18" s="29"/>
      <c r="C18" s="29"/>
      <c r="D18" s="29"/>
    </row>
    <row r="19">
      <c r="A19" s="29"/>
      <c r="B19" s="29"/>
      <c r="C19" s="29"/>
      <c r="D19" s="29"/>
    </row>
    <row r="20">
      <c r="A20" s="29"/>
      <c r="B20" s="29"/>
      <c r="C20" s="29"/>
      <c r="D20" s="29"/>
    </row>
    <row r="21">
      <c r="A21" s="29"/>
      <c r="B21" s="29"/>
      <c r="C21" s="29"/>
      <c r="D21" s="29"/>
    </row>
    <row r="22">
      <c r="A22" s="29"/>
      <c r="B22" s="29"/>
      <c r="C22" s="29"/>
      <c r="D22" s="29"/>
    </row>
    <row r="23">
      <c r="A23" s="29"/>
      <c r="B23" s="29"/>
      <c r="C23" s="29"/>
      <c r="D23" s="29"/>
    </row>
    <row r="24">
      <c r="A24" s="29"/>
      <c r="B24" s="29"/>
      <c r="C24" s="29"/>
      <c r="D24" s="29"/>
    </row>
    <row r="25">
      <c r="A25" s="29"/>
      <c r="B25" s="29"/>
      <c r="C25" s="29"/>
      <c r="D25" s="29"/>
    </row>
    <row r="26">
      <c r="A26" s="29"/>
      <c r="B26" s="29"/>
      <c r="C26" s="29"/>
      <c r="D26" s="29"/>
    </row>
    <row r="27">
      <c r="A27" s="29"/>
      <c r="B27" s="29"/>
      <c r="C27" s="29"/>
      <c r="D27" s="29"/>
    </row>
    <row r="28">
      <c r="A28" s="29"/>
      <c r="B28" s="29"/>
      <c r="C28" s="29"/>
      <c r="D28" s="29"/>
    </row>
    <row r="29">
      <c r="A29" s="29"/>
      <c r="B29" s="29"/>
      <c r="C29" s="29"/>
      <c r="D29" s="29"/>
    </row>
    <row r="30">
      <c r="A30" s="29"/>
      <c r="B30" s="29"/>
      <c r="C30" s="29"/>
      <c r="D30" s="29"/>
    </row>
    <row r="31">
      <c r="A31" s="29"/>
      <c r="B31" s="29"/>
      <c r="C31" s="29"/>
      <c r="D31" s="29"/>
    </row>
    <row r="32">
      <c r="A32" s="29"/>
      <c r="B32" s="29"/>
      <c r="C32" s="29"/>
      <c r="D32" s="29"/>
    </row>
    <row r="33">
      <c r="A33" s="29"/>
      <c r="B33" s="29"/>
      <c r="C33" s="29"/>
      <c r="D33" s="29"/>
    </row>
    <row r="34">
      <c r="A34" s="29"/>
      <c r="B34" s="29"/>
      <c r="C34" s="29"/>
      <c r="D34" s="29"/>
    </row>
    <row r="35">
      <c r="A35" s="29"/>
      <c r="B35" s="29"/>
      <c r="C35" s="29"/>
      <c r="D35" s="29"/>
    </row>
    <row r="36">
      <c r="A36" s="29"/>
      <c r="B36" s="29"/>
      <c r="C36" s="29"/>
      <c r="D36" s="29"/>
    </row>
    <row r="37">
      <c r="A37" s="29"/>
      <c r="B37" s="29"/>
      <c r="C37" s="29"/>
      <c r="D37" s="29"/>
    </row>
    <row r="38">
      <c r="A38" s="29"/>
      <c r="B38" s="29"/>
      <c r="C38" s="29"/>
      <c r="D38" s="29"/>
    </row>
    <row r="39">
      <c r="A39" s="29"/>
      <c r="B39" s="29"/>
      <c r="C39" s="29"/>
      <c r="D39" s="29"/>
    </row>
    <row r="40">
      <c r="A40" s="29"/>
      <c r="B40" s="29"/>
      <c r="C40" s="29"/>
      <c r="D40" s="29"/>
    </row>
    <row r="41">
      <c r="A41" s="29"/>
      <c r="B41" s="29"/>
      <c r="C41" s="29"/>
      <c r="D41" s="29"/>
    </row>
    <row r="42">
      <c r="A42" s="29"/>
      <c r="B42" s="29"/>
      <c r="C42" s="29"/>
      <c r="D42" s="29"/>
    </row>
    <row r="43">
      <c r="A43" s="29"/>
      <c r="B43" s="29"/>
      <c r="C43" s="29"/>
      <c r="D43" s="29"/>
    </row>
    <row r="44">
      <c r="A44" s="29"/>
      <c r="B44" s="29"/>
      <c r="C44" s="29"/>
      <c r="D44" s="29"/>
    </row>
    <row r="45">
      <c r="A45" s="29"/>
      <c r="B45" s="29"/>
      <c r="C45" s="29"/>
      <c r="D45" s="29"/>
    </row>
    <row r="46">
      <c r="A46" s="29"/>
      <c r="B46" s="29"/>
      <c r="C46" s="29"/>
      <c r="D46" s="29"/>
    </row>
    <row r="47">
      <c r="A47" s="29"/>
      <c r="B47" s="29"/>
      <c r="C47" s="29"/>
      <c r="D47" s="29"/>
    </row>
    <row r="48">
      <c r="A48" s="29"/>
      <c r="B48" s="29"/>
      <c r="C48" s="29"/>
      <c r="D48" s="29"/>
    </row>
    <row r="49">
      <c r="A49" s="29"/>
      <c r="B49" s="29"/>
      <c r="C49" s="29"/>
      <c r="D49" s="29"/>
    </row>
    <row r="50">
      <c r="A50" s="29"/>
      <c r="B50" s="29"/>
      <c r="C50" s="29"/>
      <c r="D50" s="29"/>
    </row>
    <row r="51">
      <c r="A51" s="29"/>
      <c r="B51" s="29"/>
      <c r="C51" s="29"/>
      <c r="D51" s="29"/>
    </row>
    <row r="52">
      <c r="A52" s="29"/>
      <c r="B52" s="29"/>
      <c r="C52" s="29"/>
      <c r="D52" s="29"/>
    </row>
    <row r="53">
      <c r="A53" s="29"/>
      <c r="B53" s="29"/>
      <c r="C53" s="29"/>
      <c r="D53" s="29"/>
    </row>
    <row r="54">
      <c r="A54" s="29"/>
      <c r="B54" s="29"/>
      <c r="C54" s="29"/>
      <c r="D54" s="29"/>
    </row>
    <row r="55">
      <c r="A55" s="29"/>
      <c r="B55" s="29"/>
      <c r="C55" s="29"/>
      <c r="D55" s="29"/>
    </row>
    <row r="56">
      <c r="A56" s="29"/>
      <c r="B56" s="29"/>
      <c r="C56" s="29"/>
      <c r="D56" s="29"/>
    </row>
    <row r="57">
      <c r="A57" s="29"/>
      <c r="B57" s="29"/>
      <c r="C57" s="29"/>
      <c r="D57" s="29"/>
    </row>
    <row r="58">
      <c r="A58" s="29"/>
      <c r="B58" s="29"/>
      <c r="C58" s="29"/>
      <c r="D58" s="29"/>
    </row>
    <row r="59">
      <c r="A59" s="29"/>
      <c r="B59" s="29"/>
      <c r="C59" s="29"/>
      <c r="D59" s="29"/>
    </row>
    <row r="60">
      <c r="A60" s="29"/>
      <c r="B60" s="29"/>
      <c r="C60" s="29"/>
      <c r="D60" s="29"/>
    </row>
    <row r="61">
      <c r="A61" s="29"/>
      <c r="B61" s="29"/>
      <c r="C61" s="29"/>
      <c r="D61" s="29"/>
    </row>
    <row r="62">
      <c r="A62" s="29"/>
      <c r="B62" s="29"/>
      <c r="C62" s="29"/>
      <c r="D62" s="29"/>
    </row>
    <row r="63">
      <c r="A63" s="29"/>
      <c r="B63" s="29"/>
      <c r="C63" s="29"/>
      <c r="D63" s="29"/>
    </row>
    <row r="64">
      <c r="A64" s="29"/>
      <c r="B64" s="29"/>
      <c r="C64" s="29"/>
      <c r="D64" s="29"/>
    </row>
    <row r="65">
      <c r="A65" s="29"/>
      <c r="B65" s="29"/>
      <c r="C65" s="29"/>
      <c r="D65" s="29"/>
    </row>
    <row r="66">
      <c r="A66" s="29"/>
      <c r="B66" s="29"/>
      <c r="C66" s="29"/>
      <c r="D66" s="29"/>
    </row>
    <row r="67">
      <c r="A67" s="29"/>
      <c r="B67" s="29"/>
      <c r="C67" s="29"/>
      <c r="D67" s="29"/>
    </row>
    <row r="68">
      <c r="A68" s="29"/>
      <c r="B68" s="29"/>
      <c r="C68" s="29"/>
      <c r="D68" s="29"/>
    </row>
    <row r="69">
      <c r="A69" s="29"/>
      <c r="B69" s="29"/>
      <c r="C69" s="29"/>
      <c r="D69" s="29"/>
    </row>
    <row r="70">
      <c r="A70" s="29"/>
      <c r="B70" s="29"/>
      <c r="C70" s="29"/>
      <c r="D70" s="29"/>
    </row>
    <row r="71">
      <c r="A71" s="29"/>
      <c r="B71" s="29"/>
      <c r="C71" s="29"/>
      <c r="D71" s="29"/>
    </row>
    <row r="72">
      <c r="A72" s="29"/>
      <c r="B72" s="29"/>
      <c r="C72" s="29"/>
      <c r="D72" s="29"/>
    </row>
    <row r="73">
      <c r="A73" s="29"/>
      <c r="B73" s="29"/>
      <c r="C73" s="29"/>
      <c r="D73" s="29"/>
    </row>
    <row r="74">
      <c r="A74" s="29"/>
      <c r="B74" s="29"/>
      <c r="C74" s="29"/>
      <c r="D74" s="29"/>
    </row>
    <row r="75">
      <c r="A75" s="29"/>
      <c r="B75" s="29"/>
      <c r="C75" s="29"/>
      <c r="D75" s="29"/>
    </row>
    <row r="76">
      <c r="A76" s="29"/>
      <c r="B76" s="29"/>
      <c r="C76" s="29"/>
      <c r="D76" s="29"/>
    </row>
    <row r="77">
      <c r="A77" s="29"/>
      <c r="B77" s="29"/>
      <c r="C77" s="29"/>
      <c r="D77" s="29"/>
    </row>
    <row r="78">
      <c r="A78" s="29"/>
      <c r="B78" s="29"/>
      <c r="C78" s="29"/>
      <c r="D78" s="29"/>
    </row>
    <row r="79">
      <c r="A79" s="29"/>
      <c r="B79" s="29"/>
      <c r="C79" s="29"/>
      <c r="D79" s="29"/>
    </row>
    <row r="80">
      <c r="A80" s="29"/>
      <c r="B80" s="29"/>
      <c r="C80" s="29"/>
      <c r="D80" s="29"/>
    </row>
    <row r="81">
      <c r="A81" s="29"/>
      <c r="B81" s="29"/>
      <c r="C81" s="29"/>
      <c r="D81" s="29"/>
    </row>
    <row r="82">
      <c r="A82" s="29"/>
      <c r="B82" s="29"/>
      <c r="C82" s="29"/>
      <c r="D82" s="29"/>
    </row>
    <row r="83">
      <c r="A83" s="29"/>
      <c r="B83" s="29"/>
      <c r="C83" s="29"/>
      <c r="D83" s="29"/>
    </row>
    <row r="84">
      <c r="A84" s="29"/>
      <c r="B84" s="29"/>
      <c r="C84" s="29"/>
      <c r="D84" s="29"/>
    </row>
    <row r="85">
      <c r="A85" s="29"/>
      <c r="B85" s="29"/>
      <c r="C85" s="29"/>
      <c r="D85" s="29"/>
    </row>
    <row r="86">
      <c r="A86" s="29"/>
      <c r="B86" s="29"/>
      <c r="C86" s="29"/>
      <c r="D86" s="29"/>
    </row>
    <row r="87">
      <c r="A87" s="29"/>
      <c r="B87" s="29"/>
      <c r="C87" s="29"/>
      <c r="D87" s="29"/>
    </row>
    <row r="88">
      <c r="A88" s="29"/>
      <c r="B88" s="29"/>
      <c r="C88" s="29"/>
      <c r="D88" s="29"/>
    </row>
    <row r="89">
      <c r="A89" s="29"/>
      <c r="B89" s="29"/>
      <c r="C89" s="29"/>
      <c r="D89" s="29"/>
    </row>
    <row r="90">
      <c r="A90" s="29"/>
      <c r="B90" s="29"/>
      <c r="C90" s="29"/>
      <c r="D90" s="29"/>
    </row>
    <row r="91">
      <c r="A91" s="29"/>
      <c r="B91" s="29"/>
      <c r="C91" s="29"/>
      <c r="D91" s="29"/>
    </row>
    <row r="92">
      <c r="A92" s="29"/>
      <c r="B92" s="29"/>
      <c r="C92" s="29"/>
      <c r="D92" s="29"/>
    </row>
    <row r="93">
      <c r="A93" s="29"/>
      <c r="B93" s="29"/>
      <c r="C93" s="29"/>
      <c r="D93" s="29"/>
    </row>
    <row r="94">
      <c r="A94" s="29"/>
      <c r="B94" s="29"/>
      <c r="C94" s="29"/>
      <c r="D94" s="29"/>
    </row>
    <row r="95">
      <c r="A95" s="29"/>
      <c r="B95" s="29"/>
      <c r="C95" s="29"/>
      <c r="D95" s="29"/>
    </row>
    <row r="96">
      <c r="A96" s="29"/>
      <c r="B96" s="29"/>
      <c r="C96" s="29"/>
      <c r="D96" s="29"/>
    </row>
    <row r="97">
      <c r="A97" s="29"/>
      <c r="B97" s="29"/>
      <c r="C97" s="29"/>
      <c r="D97" s="29"/>
    </row>
    <row r="98">
      <c r="A98" s="29"/>
      <c r="B98" s="29"/>
      <c r="C98" s="29"/>
      <c r="D98" s="29"/>
    </row>
    <row r="99">
      <c r="A99" s="29"/>
      <c r="B99" s="29"/>
      <c r="C99" s="29"/>
      <c r="D99" s="29"/>
    </row>
    <row r="100">
      <c r="A100" s="29"/>
      <c r="B100" s="29"/>
      <c r="C100" s="29"/>
      <c r="D100" s="29"/>
    </row>
    <row r="101">
      <c r="A101" s="29"/>
      <c r="B101" s="29"/>
      <c r="C101" s="29"/>
      <c r="D101" s="29"/>
    </row>
    <row r="102">
      <c r="A102" s="29"/>
      <c r="B102" s="29"/>
      <c r="C102" s="29"/>
      <c r="D102" s="29"/>
    </row>
    <row r="103">
      <c r="A103" s="29"/>
      <c r="B103" s="29"/>
      <c r="C103" s="29"/>
      <c r="D103" s="29"/>
    </row>
    <row r="104">
      <c r="A104" s="29"/>
      <c r="B104" s="29"/>
      <c r="C104" s="29"/>
      <c r="D104" s="29"/>
    </row>
    <row r="105">
      <c r="A105" s="29"/>
      <c r="B105" s="29"/>
      <c r="C105" s="29"/>
      <c r="D105" s="29"/>
    </row>
    <row r="106">
      <c r="A106" s="29"/>
      <c r="B106" s="29"/>
      <c r="C106" s="29"/>
      <c r="D106" s="29"/>
    </row>
    <row r="107">
      <c r="A107" s="29"/>
      <c r="B107" s="29"/>
      <c r="C107" s="29"/>
      <c r="D107" s="29"/>
    </row>
    <row r="108">
      <c r="A108" s="29"/>
      <c r="B108" s="29"/>
      <c r="C108" s="29"/>
      <c r="D108" s="29"/>
    </row>
    <row r="109">
      <c r="A109" s="29"/>
      <c r="B109" s="29"/>
      <c r="C109" s="29"/>
      <c r="D109" s="29"/>
    </row>
    <row r="110">
      <c r="A110" s="29"/>
      <c r="B110" s="29"/>
      <c r="C110" s="29"/>
      <c r="D110" s="29"/>
    </row>
    <row r="111">
      <c r="A111" s="29"/>
      <c r="B111" s="29"/>
      <c r="C111" s="29"/>
      <c r="D111" s="29"/>
    </row>
    <row r="112">
      <c r="A112" s="29"/>
      <c r="B112" s="29"/>
      <c r="C112" s="29"/>
      <c r="D112" s="29"/>
    </row>
    <row r="113">
      <c r="A113" s="29"/>
      <c r="B113" s="29"/>
      <c r="C113" s="29"/>
      <c r="D113" s="29"/>
    </row>
    <row r="114">
      <c r="A114" s="29"/>
      <c r="B114" s="29"/>
      <c r="C114" s="29"/>
      <c r="D114" s="29"/>
    </row>
    <row r="115">
      <c r="A115" s="29"/>
      <c r="B115" s="29"/>
      <c r="C115" s="29"/>
      <c r="D115" s="29"/>
    </row>
    <row r="116">
      <c r="A116" s="29"/>
      <c r="B116" s="29"/>
      <c r="C116" s="29"/>
      <c r="D116" s="29"/>
    </row>
    <row r="117">
      <c r="A117" s="29"/>
      <c r="B117" s="29"/>
      <c r="C117" s="29"/>
      <c r="D117" s="29"/>
    </row>
    <row r="118">
      <c r="A118" s="29"/>
      <c r="B118" s="29"/>
      <c r="C118" s="29"/>
      <c r="D118" s="29"/>
    </row>
    <row r="119">
      <c r="A119" s="29"/>
      <c r="B119" s="29"/>
      <c r="C119" s="29"/>
      <c r="D119" s="29"/>
    </row>
    <row r="120">
      <c r="A120" s="29"/>
      <c r="B120" s="29"/>
      <c r="C120" s="29"/>
      <c r="D120" s="29"/>
    </row>
    <row r="121">
      <c r="A121" s="29"/>
      <c r="B121" s="29"/>
      <c r="C121" s="29"/>
      <c r="D121" s="29"/>
    </row>
    <row r="122">
      <c r="A122" s="29"/>
      <c r="B122" s="29"/>
      <c r="C122" s="29"/>
      <c r="D122" s="29"/>
    </row>
    <row r="123">
      <c r="A123" s="29"/>
      <c r="B123" s="29"/>
      <c r="C123" s="29"/>
      <c r="D123" s="29"/>
    </row>
    <row r="124">
      <c r="A124" s="29"/>
      <c r="B124" s="29"/>
      <c r="C124" s="29"/>
      <c r="D124" s="29"/>
    </row>
    <row r="125">
      <c r="A125" s="29"/>
      <c r="B125" s="29"/>
      <c r="C125" s="29"/>
      <c r="D125" s="29"/>
    </row>
    <row r="126">
      <c r="A126" s="29"/>
      <c r="B126" s="29"/>
      <c r="C126" s="29"/>
      <c r="D126" s="29"/>
    </row>
    <row r="127">
      <c r="A127" s="29"/>
      <c r="B127" s="29"/>
      <c r="C127" s="29"/>
      <c r="D127" s="29"/>
    </row>
    <row r="128">
      <c r="A128" s="29"/>
      <c r="B128" s="29"/>
      <c r="C128" s="29"/>
      <c r="D128" s="29"/>
    </row>
    <row r="129">
      <c r="A129" s="29"/>
      <c r="B129" s="29"/>
      <c r="C129" s="29"/>
      <c r="D129" s="29"/>
    </row>
    <row r="130">
      <c r="A130" s="29"/>
      <c r="B130" s="29"/>
      <c r="C130" s="29"/>
      <c r="D130" s="29"/>
    </row>
    <row r="131">
      <c r="A131" s="29"/>
      <c r="B131" s="29"/>
      <c r="C131" s="29"/>
      <c r="D131" s="29"/>
    </row>
    <row r="132">
      <c r="A132" s="29"/>
      <c r="B132" s="29"/>
      <c r="C132" s="29"/>
      <c r="D132" s="29"/>
    </row>
    <row r="133">
      <c r="A133" s="29"/>
      <c r="B133" s="29"/>
      <c r="C133" s="29"/>
      <c r="D133" s="29"/>
    </row>
    <row r="134">
      <c r="A134" s="29"/>
      <c r="B134" s="29"/>
      <c r="C134" s="29"/>
      <c r="D134" s="29"/>
    </row>
    <row r="135">
      <c r="A135" s="29"/>
      <c r="B135" s="29"/>
      <c r="C135" s="29"/>
      <c r="D135" s="29"/>
    </row>
    <row r="136">
      <c r="A136" s="29"/>
      <c r="B136" s="29"/>
      <c r="C136" s="29"/>
      <c r="D136" s="29"/>
    </row>
    <row r="137">
      <c r="A137" s="29"/>
      <c r="B137" s="29"/>
      <c r="C137" s="29"/>
      <c r="D137" s="29"/>
    </row>
    <row r="138">
      <c r="A138" s="29"/>
      <c r="B138" s="29"/>
      <c r="C138" s="29"/>
      <c r="D138" s="29"/>
    </row>
    <row r="139">
      <c r="A139" s="29"/>
      <c r="B139" s="29"/>
      <c r="C139" s="29"/>
      <c r="D139" s="29"/>
    </row>
    <row r="140">
      <c r="A140" s="29"/>
      <c r="B140" s="29"/>
      <c r="C140" s="29"/>
      <c r="D140" s="29"/>
    </row>
    <row r="141">
      <c r="A141" s="29"/>
      <c r="B141" s="29"/>
      <c r="C141" s="29"/>
      <c r="D141" s="29"/>
    </row>
    <row r="142">
      <c r="A142" s="29"/>
      <c r="B142" s="29"/>
      <c r="C142" s="29"/>
      <c r="D142" s="29"/>
    </row>
    <row r="143">
      <c r="A143" s="29"/>
      <c r="B143" s="29"/>
      <c r="C143" s="29"/>
      <c r="D143" s="29"/>
    </row>
    <row r="144">
      <c r="A144" s="29"/>
      <c r="B144" s="29"/>
      <c r="C144" s="29"/>
      <c r="D144" s="29"/>
    </row>
    <row r="145">
      <c r="A145" s="29"/>
      <c r="B145" s="29"/>
      <c r="C145" s="29"/>
      <c r="D145" s="29"/>
    </row>
    <row r="146">
      <c r="A146" s="29"/>
      <c r="B146" s="29"/>
      <c r="C146" s="29"/>
      <c r="D146" s="29"/>
    </row>
    <row r="147">
      <c r="A147" s="29"/>
      <c r="B147" s="29"/>
      <c r="C147" s="29"/>
      <c r="D147" s="29"/>
    </row>
    <row r="148">
      <c r="A148" s="29"/>
      <c r="B148" s="29"/>
      <c r="C148" s="29"/>
      <c r="D148" s="29"/>
    </row>
    <row r="149">
      <c r="A149" s="29"/>
      <c r="B149" s="29"/>
      <c r="C149" s="29"/>
      <c r="D149" s="29"/>
    </row>
    <row r="150">
      <c r="A150" s="29"/>
      <c r="B150" s="29"/>
      <c r="C150" s="29"/>
      <c r="D150" s="29"/>
    </row>
    <row r="151">
      <c r="A151" s="29"/>
      <c r="B151" s="29"/>
      <c r="C151" s="29"/>
      <c r="D151" s="29"/>
    </row>
    <row r="152">
      <c r="A152" s="29"/>
      <c r="B152" s="29"/>
      <c r="C152" s="29"/>
      <c r="D152" s="29"/>
    </row>
    <row r="153">
      <c r="A153" s="29"/>
      <c r="B153" s="29"/>
      <c r="C153" s="29"/>
      <c r="D153" s="29"/>
    </row>
    <row r="154">
      <c r="A154" s="29"/>
      <c r="B154" s="29"/>
      <c r="C154" s="29"/>
      <c r="D154" s="29"/>
    </row>
    <row r="155">
      <c r="A155" s="29"/>
      <c r="B155" s="29"/>
      <c r="C155" s="29"/>
      <c r="D155" s="29"/>
    </row>
    <row r="156">
      <c r="A156" s="29"/>
      <c r="B156" s="29"/>
      <c r="C156" s="29"/>
      <c r="D156" s="29"/>
    </row>
    <row r="157">
      <c r="A157" s="29"/>
      <c r="B157" s="29"/>
      <c r="C157" s="29"/>
      <c r="D157" s="29"/>
    </row>
    <row r="158">
      <c r="A158" s="29"/>
      <c r="B158" s="29"/>
      <c r="C158" s="29"/>
      <c r="D158" s="29"/>
    </row>
    <row r="159">
      <c r="A159" s="29"/>
      <c r="B159" s="29"/>
      <c r="C159" s="29"/>
      <c r="D159" s="29"/>
    </row>
    <row r="160">
      <c r="A160" s="29"/>
      <c r="B160" s="29"/>
      <c r="C160" s="29"/>
      <c r="D160" s="29"/>
    </row>
    <row r="161">
      <c r="A161" s="29"/>
      <c r="B161" s="29"/>
      <c r="C161" s="29"/>
      <c r="D161" s="29"/>
    </row>
    <row r="162">
      <c r="A162" s="29"/>
      <c r="B162" s="29"/>
      <c r="C162" s="29"/>
      <c r="D162" s="29"/>
    </row>
    <row r="163">
      <c r="A163" s="29"/>
      <c r="B163" s="29"/>
      <c r="C163" s="29"/>
      <c r="D163" s="29"/>
    </row>
    <row r="164">
      <c r="A164" s="29"/>
      <c r="B164" s="29"/>
      <c r="C164" s="29"/>
      <c r="D164" s="29"/>
    </row>
    <row r="165">
      <c r="A165" s="29"/>
      <c r="B165" s="29"/>
      <c r="C165" s="29"/>
      <c r="D165" s="29"/>
    </row>
    <row r="166">
      <c r="A166" s="29"/>
      <c r="B166" s="29"/>
      <c r="C166" s="29"/>
      <c r="D166" s="29"/>
    </row>
    <row r="167">
      <c r="A167" s="29"/>
      <c r="B167" s="29"/>
      <c r="C167" s="29"/>
      <c r="D167" s="29"/>
    </row>
    <row r="168">
      <c r="A168" s="29"/>
      <c r="B168" s="29"/>
      <c r="C168" s="29"/>
      <c r="D168" s="29"/>
    </row>
    <row r="169">
      <c r="A169" s="29"/>
      <c r="B169" s="29"/>
      <c r="C169" s="29"/>
      <c r="D169" s="29"/>
    </row>
    <row r="170">
      <c r="A170" s="29"/>
      <c r="B170" s="29"/>
      <c r="C170" s="29"/>
      <c r="D170" s="29"/>
    </row>
    <row r="171">
      <c r="A171" s="29"/>
      <c r="B171" s="29"/>
      <c r="C171" s="29"/>
      <c r="D171" s="29"/>
    </row>
    <row r="172">
      <c r="A172" s="29"/>
      <c r="B172" s="29"/>
      <c r="C172" s="29"/>
      <c r="D172" s="29"/>
    </row>
    <row r="173">
      <c r="A173" s="29"/>
      <c r="B173" s="29"/>
      <c r="C173" s="29"/>
      <c r="D173" s="29"/>
    </row>
    <row r="174">
      <c r="A174" s="29"/>
      <c r="B174" s="29"/>
      <c r="C174" s="29"/>
      <c r="D174" s="29"/>
    </row>
    <row r="175">
      <c r="A175" s="29"/>
      <c r="B175" s="29"/>
      <c r="C175" s="29"/>
      <c r="D175" s="29"/>
    </row>
    <row r="176">
      <c r="A176" s="29"/>
      <c r="B176" s="29"/>
      <c r="C176" s="29"/>
      <c r="D176" s="29"/>
    </row>
    <row r="177">
      <c r="A177" s="29"/>
      <c r="B177" s="29"/>
      <c r="C177" s="29"/>
      <c r="D177" s="29"/>
    </row>
    <row r="178">
      <c r="A178" s="29"/>
      <c r="B178" s="29"/>
      <c r="C178" s="29"/>
      <c r="D178" s="29"/>
    </row>
    <row r="179">
      <c r="A179" s="29"/>
      <c r="B179" s="29"/>
      <c r="C179" s="29"/>
      <c r="D179" s="29"/>
    </row>
    <row r="180">
      <c r="A180" s="29"/>
      <c r="B180" s="29"/>
      <c r="C180" s="29"/>
      <c r="D180" s="29"/>
    </row>
    <row r="181">
      <c r="A181" s="29"/>
      <c r="B181" s="29"/>
      <c r="C181" s="29"/>
      <c r="D181" s="29"/>
    </row>
    <row r="182">
      <c r="A182" s="29"/>
      <c r="B182" s="29"/>
      <c r="C182" s="29"/>
      <c r="D182" s="29"/>
    </row>
    <row r="183">
      <c r="A183" s="29"/>
      <c r="B183" s="29"/>
      <c r="C183" s="29"/>
      <c r="D183" s="29"/>
    </row>
    <row r="184">
      <c r="A184" s="29"/>
      <c r="B184" s="29"/>
      <c r="C184" s="29"/>
      <c r="D184" s="29"/>
    </row>
    <row r="185">
      <c r="A185" s="29"/>
      <c r="B185" s="29"/>
      <c r="C185" s="29"/>
      <c r="D185" s="29"/>
    </row>
    <row r="186">
      <c r="A186" s="29"/>
      <c r="B186" s="29"/>
      <c r="C186" s="29"/>
      <c r="D186" s="29"/>
    </row>
    <row r="187">
      <c r="A187" s="29"/>
      <c r="B187" s="29"/>
      <c r="C187" s="29"/>
      <c r="D187" s="29"/>
    </row>
    <row r="188">
      <c r="A188" s="29"/>
      <c r="B188" s="29"/>
      <c r="C188" s="29"/>
      <c r="D188" s="29"/>
    </row>
    <row r="189">
      <c r="A189" s="29"/>
      <c r="B189" s="29"/>
      <c r="C189" s="29"/>
      <c r="D189" s="29"/>
    </row>
    <row r="190">
      <c r="A190" s="29"/>
      <c r="B190" s="29"/>
      <c r="C190" s="29"/>
      <c r="D190" s="29"/>
    </row>
    <row r="191">
      <c r="A191" s="29"/>
      <c r="B191" s="29"/>
      <c r="C191" s="29"/>
      <c r="D191" s="29"/>
    </row>
    <row r="192">
      <c r="A192" s="29"/>
      <c r="B192" s="29"/>
      <c r="C192" s="29"/>
      <c r="D192" s="29"/>
    </row>
    <row r="193">
      <c r="A193" s="29"/>
      <c r="B193" s="29"/>
      <c r="C193" s="29"/>
      <c r="D193" s="29"/>
    </row>
    <row r="194">
      <c r="A194" s="29"/>
      <c r="B194" s="29"/>
      <c r="C194" s="29"/>
      <c r="D194" s="29"/>
    </row>
    <row r="195">
      <c r="A195" s="29"/>
      <c r="B195" s="29"/>
      <c r="C195" s="29"/>
      <c r="D195" s="29"/>
    </row>
    <row r="196">
      <c r="A196" s="29"/>
      <c r="B196" s="29"/>
      <c r="C196" s="29"/>
      <c r="D196" s="29"/>
    </row>
    <row r="197">
      <c r="A197" s="29"/>
      <c r="B197" s="29"/>
      <c r="C197" s="29"/>
      <c r="D197" s="29"/>
    </row>
    <row r="198">
      <c r="A198" s="29"/>
      <c r="B198" s="29"/>
      <c r="C198" s="29"/>
      <c r="D198" s="29"/>
    </row>
    <row r="199">
      <c r="A199" s="29"/>
      <c r="B199" s="29"/>
      <c r="C199" s="29"/>
      <c r="D199" s="29"/>
    </row>
    <row r="200">
      <c r="A200" s="29"/>
      <c r="B200" s="29"/>
      <c r="C200" s="29"/>
      <c r="D200" s="29"/>
    </row>
    <row r="201">
      <c r="A201" s="29"/>
      <c r="B201" s="29"/>
      <c r="C201" s="29"/>
      <c r="D201" s="29"/>
    </row>
    <row r="202">
      <c r="A202" s="29"/>
      <c r="B202" s="29"/>
      <c r="C202" s="29"/>
      <c r="D202" s="29"/>
    </row>
    <row r="203">
      <c r="A203" s="29"/>
      <c r="B203" s="29"/>
      <c r="C203" s="29"/>
      <c r="D203" s="29"/>
    </row>
    <row r="204">
      <c r="A204" s="29"/>
      <c r="B204" s="29"/>
      <c r="C204" s="29"/>
      <c r="D204" s="29"/>
    </row>
    <row r="205">
      <c r="A205" s="29"/>
      <c r="B205" s="29"/>
      <c r="C205" s="29"/>
      <c r="D205" s="29"/>
    </row>
    <row r="206">
      <c r="A206" s="29"/>
      <c r="B206" s="29"/>
      <c r="C206" s="29"/>
      <c r="D206" s="29"/>
    </row>
    <row r="207">
      <c r="A207" s="29"/>
      <c r="B207" s="29"/>
      <c r="C207" s="29"/>
      <c r="D207" s="29"/>
    </row>
    <row r="208">
      <c r="A208" s="29"/>
      <c r="B208" s="29"/>
      <c r="C208" s="29"/>
      <c r="D208" s="29"/>
    </row>
    <row r="209">
      <c r="A209" s="29"/>
      <c r="B209" s="29"/>
      <c r="C209" s="29"/>
      <c r="D209" s="29"/>
    </row>
    <row r="210">
      <c r="A210" s="29"/>
      <c r="B210" s="29"/>
      <c r="C210" s="29"/>
      <c r="D210" s="29"/>
    </row>
    <row r="211">
      <c r="A211" s="29"/>
      <c r="B211" s="29"/>
      <c r="C211" s="29"/>
      <c r="D211" s="29"/>
    </row>
    <row r="212">
      <c r="A212" s="29"/>
      <c r="B212" s="29"/>
      <c r="C212" s="29"/>
      <c r="D212" s="29"/>
    </row>
    <row r="213">
      <c r="A213" s="29"/>
      <c r="B213" s="29"/>
      <c r="C213" s="29"/>
      <c r="D213" s="29"/>
    </row>
    <row r="214">
      <c r="A214" s="29"/>
      <c r="B214" s="29"/>
      <c r="C214" s="29"/>
      <c r="D214" s="29"/>
    </row>
    <row r="215">
      <c r="A215" s="29"/>
      <c r="B215" s="29"/>
      <c r="C215" s="29"/>
      <c r="D215" s="29"/>
    </row>
    <row r="216">
      <c r="A216" s="29"/>
      <c r="B216" s="29"/>
      <c r="C216" s="29"/>
      <c r="D216" s="29"/>
    </row>
    <row r="217">
      <c r="A217" s="29"/>
      <c r="B217" s="29"/>
      <c r="C217" s="29"/>
      <c r="D217" s="29"/>
    </row>
    <row r="218">
      <c r="A218" s="29"/>
      <c r="B218" s="29"/>
      <c r="C218" s="29"/>
      <c r="D218" s="29"/>
    </row>
    <row r="219">
      <c r="A219" s="29"/>
      <c r="B219" s="29"/>
      <c r="C219" s="29"/>
      <c r="D219" s="29"/>
    </row>
    <row r="220">
      <c r="A220" s="29"/>
      <c r="B220" s="29"/>
      <c r="C220" s="29"/>
      <c r="D220" s="29"/>
    </row>
    <row r="221">
      <c r="A221" s="29"/>
      <c r="B221" s="29"/>
      <c r="C221" s="29"/>
      <c r="D221" s="29"/>
    </row>
    <row r="222">
      <c r="A222" s="29"/>
      <c r="B222" s="29"/>
      <c r="C222" s="29"/>
      <c r="D222" s="29"/>
    </row>
    <row r="223">
      <c r="A223" s="29"/>
      <c r="B223" s="29"/>
      <c r="C223" s="29"/>
      <c r="D223" s="29"/>
    </row>
    <row r="224">
      <c r="A224" s="29"/>
      <c r="B224" s="29"/>
      <c r="C224" s="29"/>
      <c r="D224" s="29"/>
    </row>
    <row r="225">
      <c r="A225" s="29"/>
      <c r="B225" s="29"/>
      <c r="C225" s="29"/>
      <c r="D225" s="29"/>
    </row>
    <row r="226">
      <c r="A226" s="29"/>
      <c r="B226" s="29"/>
      <c r="C226" s="29"/>
      <c r="D226" s="29"/>
    </row>
    <row r="227">
      <c r="A227" s="29"/>
      <c r="B227" s="29"/>
      <c r="C227" s="29"/>
      <c r="D227" s="29"/>
    </row>
    <row r="228">
      <c r="A228" s="29"/>
      <c r="B228" s="29"/>
      <c r="C228" s="29"/>
      <c r="D228" s="29"/>
    </row>
    <row r="229">
      <c r="A229" s="29"/>
      <c r="B229" s="29"/>
      <c r="C229" s="29"/>
      <c r="D229" s="29"/>
    </row>
    <row r="230">
      <c r="A230" s="29"/>
      <c r="B230" s="29"/>
      <c r="C230" s="29"/>
      <c r="D230" s="29"/>
    </row>
    <row r="231">
      <c r="A231" s="29"/>
      <c r="B231" s="29"/>
      <c r="C231" s="29"/>
      <c r="D231" s="29"/>
    </row>
    <row r="232">
      <c r="A232" s="29"/>
      <c r="B232" s="29"/>
      <c r="C232" s="29"/>
      <c r="D232" s="29"/>
    </row>
    <row r="233">
      <c r="A233" s="29"/>
      <c r="B233" s="29"/>
      <c r="C233" s="29"/>
      <c r="D233" s="29"/>
    </row>
    <row r="234">
      <c r="A234" s="29"/>
      <c r="B234" s="29"/>
      <c r="C234" s="29"/>
      <c r="D234" s="29"/>
    </row>
    <row r="235">
      <c r="A235" s="29"/>
      <c r="B235" s="29"/>
      <c r="C235" s="29"/>
      <c r="D235" s="29"/>
    </row>
    <row r="236">
      <c r="A236" s="29"/>
      <c r="B236" s="29"/>
      <c r="C236" s="29"/>
      <c r="D236" s="29"/>
    </row>
    <row r="237">
      <c r="A237" s="29"/>
      <c r="B237" s="29"/>
      <c r="C237" s="29"/>
      <c r="D237" s="29"/>
    </row>
    <row r="238">
      <c r="A238" s="29"/>
      <c r="B238" s="29"/>
      <c r="C238" s="29"/>
      <c r="D238" s="29"/>
    </row>
    <row r="239">
      <c r="A239" s="29"/>
      <c r="B239" s="29"/>
      <c r="C239" s="29"/>
      <c r="D239" s="29"/>
    </row>
    <row r="240">
      <c r="A240" s="29"/>
      <c r="B240" s="29"/>
      <c r="C240" s="29"/>
      <c r="D240" s="29"/>
    </row>
    <row r="241">
      <c r="A241" s="29"/>
      <c r="B241" s="29"/>
      <c r="C241" s="29"/>
      <c r="D241" s="29"/>
    </row>
    <row r="242">
      <c r="A242" s="29"/>
      <c r="B242" s="29"/>
      <c r="C242" s="29"/>
      <c r="D242" s="29"/>
    </row>
    <row r="243">
      <c r="A243" s="29"/>
      <c r="B243" s="29"/>
      <c r="C243" s="29"/>
      <c r="D243" s="29"/>
    </row>
    <row r="244">
      <c r="A244" s="29"/>
      <c r="B244" s="29"/>
      <c r="C244" s="29"/>
      <c r="D244" s="29"/>
    </row>
    <row r="245">
      <c r="A245" s="29"/>
      <c r="B245" s="29"/>
      <c r="C245" s="29"/>
      <c r="D245" s="29"/>
    </row>
    <row r="246">
      <c r="A246" s="29"/>
      <c r="B246" s="29"/>
      <c r="C246" s="29"/>
      <c r="D246" s="29"/>
    </row>
    <row r="247">
      <c r="A247" s="29"/>
      <c r="B247" s="29"/>
      <c r="C247" s="29"/>
      <c r="D247" s="29"/>
    </row>
    <row r="248">
      <c r="A248" s="29"/>
      <c r="B248" s="29"/>
      <c r="C248" s="29"/>
      <c r="D248" s="29"/>
    </row>
    <row r="249">
      <c r="A249" s="29"/>
      <c r="B249" s="29"/>
      <c r="C249" s="29"/>
      <c r="D249" s="29"/>
    </row>
    <row r="250">
      <c r="A250" s="29"/>
      <c r="B250" s="29"/>
      <c r="C250" s="29"/>
      <c r="D250" s="29"/>
    </row>
    <row r="251">
      <c r="A251" s="29"/>
      <c r="B251" s="29"/>
      <c r="C251" s="29"/>
      <c r="D251" s="29"/>
    </row>
    <row r="252">
      <c r="A252" s="29"/>
      <c r="B252" s="29"/>
      <c r="C252" s="29"/>
      <c r="D252" s="29"/>
    </row>
    <row r="253">
      <c r="A253" s="29"/>
      <c r="B253" s="29"/>
      <c r="C253" s="29"/>
      <c r="D253" s="29"/>
    </row>
    <row r="254">
      <c r="A254" s="29"/>
      <c r="B254" s="29"/>
      <c r="C254" s="29"/>
      <c r="D254" s="29"/>
    </row>
    <row r="255">
      <c r="A255" s="29"/>
      <c r="B255" s="29"/>
      <c r="C255" s="29"/>
      <c r="D255" s="29"/>
    </row>
    <row r="256">
      <c r="A256" s="29"/>
      <c r="B256" s="29"/>
      <c r="C256" s="29"/>
      <c r="D256" s="29"/>
    </row>
    <row r="257">
      <c r="A257" s="29"/>
      <c r="B257" s="29"/>
      <c r="C257" s="29"/>
      <c r="D257" s="29"/>
    </row>
    <row r="258">
      <c r="A258" s="29"/>
      <c r="B258" s="29"/>
      <c r="C258" s="29"/>
      <c r="D258" s="29"/>
    </row>
    <row r="259">
      <c r="A259" s="29"/>
      <c r="B259" s="29"/>
      <c r="C259" s="29"/>
      <c r="D259" s="29"/>
    </row>
    <row r="260">
      <c r="A260" s="29"/>
      <c r="B260" s="29"/>
      <c r="C260" s="29"/>
      <c r="D260" s="29"/>
    </row>
    <row r="261">
      <c r="A261" s="29"/>
      <c r="B261" s="29"/>
      <c r="C261" s="29"/>
      <c r="D261" s="29"/>
    </row>
    <row r="262">
      <c r="A262" s="29"/>
      <c r="B262" s="29"/>
      <c r="C262" s="29"/>
      <c r="D262" s="29"/>
    </row>
    <row r="263">
      <c r="A263" s="29"/>
      <c r="B263" s="29"/>
      <c r="C263" s="29"/>
      <c r="D263" s="29"/>
    </row>
    <row r="264">
      <c r="A264" s="29"/>
      <c r="B264" s="29"/>
      <c r="C264" s="29"/>
      <c r="D264" s="29"/>
    </row>
    <row r="265">
      <c r="A265" s="29"/>
      <c r="B265" s="29"/>
      <c r="C265" s="29"/>
      <c r="D265" s="29"/>
    </row>
    <row r="266">
      <c r="A266" s="29"/>
      <c r="B266" s="29"/>
      <c r="C266" s="29"/>
      <c r="D266" s="29"/>
    </row>
    <row r="267">
      <c r="A267" s="29"/>
      <c r="B267" s="29"/>
      <c r="C267" s="29"/>
      <c r="D267" s="29"/>
    </row>
    <row r="268">
      <c r="A268" s="29"/>
      <c r="B268" s="29"/>
      <c r="C268" s="29"/>
      <c r="D268" s="29"/>
    </row>
    <row r="269">
      <c r="A269" s="29"/>
      <c r="B269" s="29"/>
      <c r="C269" s="29"/>
      <c r="D269" s="29"/>
    </row>
    <row r="270">
      <c r="A270" s="29"/>
      <c r="B270" s="29"/>
      <c r="C270" s="29"/>
      <c r="D270" s="29"/>
    </row>
    <row r="271">
      <c r="A271" s="29"/>
      <c r="B271" s="29"/>
      <c r="C271" s="29"/>
      <c r="D271" s="29"/>
    </row>
    <row r="272">
      <c r="A272" s="29"/>
      <c r="B272" s="29"/>
      <c r="C272" s="29"/>
      <c r="D272" s="29"/>
    </row>
    <row r="273">
      <c r="A273" s="29"/>
      <c r="B273" s="29"/>
      <c r="C273" s="29"/>
      <c r="D273" s="29"/>
    </row>
    <row r="274">
      <c r="A274" s="29"/>
      <c r="B274" s="29"/>
      <c r="C274" s="29"/>
      <c r="D274" s="29"/>
    </row>
    <row r="275">
      <c r="A275" s="29"/>
      <c r="B275" s="29"/>
      <c r="C275" s="29"/>
      <c r="D275" s="29"/>
    </row>
    <row r="276">
      <c r="A276" s="29"/>
      <c r="B276" s="29"/>
      <c r="C276" s="29"/>
      <c r="D276" s="29"/>
    </row>
    <row r="277">
      <c r="A277" s="29"/>
      <c r="B277" s="29"/>
      <c r="C277" s="29"/>
      <c r="D277" s="29"/>
    </row>
    <row r="278">
      <c r="A278" s="29"/>
      <c r="B278" s="29"/>
      <c r="C278" s="29"/>
      <c r="D278" s="29"/>
    </row>
    <row r="279">
      <c r="A279" s="29"/>
      <c r="B279" s="29"/>
      <c r="C279" s="29"/>
      <c r="D279" s="29"/>
    </row>
    <row r="280">
      <c r="A280" s="29"/>
      <c r="B280" s="29"/>
      <c r="C280" s="29"/>
      <c r="D280" s="29"/>
    </row>
    <row r="281">
      <c r="A281" s="29"/>
      <c r="B281" s="29"/>
      <c r="C281" s="29"/>
      <c r="D281" s="29"/>
    </row>
    <row r="282">
      <c r="A282" s="29"/>
      <c r="B282" s="29"/>
      <c r="C282" s="29"/>
      <c r="D282" s="29"/>
    </row>
    <row r="283">
      <c r="A283" s="29"/>
      <c r="B283" s="29"/>
      <c r="C283" s="29"/>
      <c r="D283" s="29"/>
    </row>
    <row r="284">
      <c r="A284" s="29"/>
      <c r="B284" s="29"/>
      <c r="C284" s="29"/>
      <c r="D284" s="29"/>
    </row>
    <row r="285">
      <c r="A285" s="29"/>
      <c r="B285" s="29"/>
      <c r="C285" s="29"/>
      <c r="D285" s="29"/>
    </row>
    <row r="286">
      <c r="A286" s="29"/>
      <c r="B286" s="29"/>
      <c r="C286" s="29"/>
      <c r="D286" s="29"/>
    </row>
    <row r="287">
      <c r="A287" s="29"/>
      <c r="B287" s="29"/>
      <c r="C287" s="29"/>
      <c r="D287" s="29"/>
    </row>
    <row r="288">
      <c r="A288" s="29"/>
      <c r="B288" s="29"/>
      <c r="C288" s="29"/>
      <c r="D288" s="29"/>
    </row>
    <row r="289">
      <c r="A289" s="29"/>
      <c r="B289" s="29"/>
      <c r="C289" s="29"/>
      <c r="D289" s="29"/>
    </row>
    <row r="290">
      <c r="A290" s="29"/>
      <c r="B290" s="29"/>
      <c r="C290" s="29"/>
      <c r="D290" s="29"/>
    </row>
    <row r="291">
      <c r="A291" s="29"/>
      <c r="B291" s="29"/>
      <c r="C291" s="29"/>
      <c r="D291" s="29"/>
    </row>
    <row r="292">
      <c r="A292" s="29"/>
      <c r="B292" s="29"/>
      <c r="C292" s="29"/>
      <c r="D292" s="29"/>
    </row>
    <row r="293">
      <c r="A293" s="29"/>
      <c r="B293" s="29"/>
      <c r="C293" s="29"/>
      <c r="D293" s="29"/>
    </row>
    <row r="294">
      <c r="A294" s="29"/>
      <c r="B294" s="29"/>
      <c r="C294" s="29"/>
      <c r="D294" s="29"/>
    </row>
    <row r="295">
      <c r="A295" s="29"/>
      <c r="B295" s="29"/>
      <c r="C295" s="29"/>
      <c r="D295" s="29"/>
    </row>
    <row r="296">
      <c r="A296" s="29"/>
      <c r="B296" s="29"/>
      <c r="C296" s="29"/>
      <c r="D296" s="29"/>
    </row>
    <row r="297">
      <c r="A297" s="29"/>
      <c r="B297" s="29"/>
      <c r="C297" s="29"/>
      <c r="D297" s="29"/>
    </row>
    <row r="298">
      <c r="A298" s="29"/>
      <c r="B298" s="29"/>
      <c r="C298" s="29"/>
      <c r="D298" s="29"/>
    </row>
    <row r="299">
      <c r="A299" s="29"/>
      <c r="B299" s="29"/>
      <c r="C299" s="29"/>
      <c r="D299" s="29"/>
    </row>
    <row r="300">
      <c r="A300" s="29"/>
      <c r="B300" s="29"/>
      <c r="C300" s="29"/>
      <c r="D300" s="29"/>
    </row>
    <row r="301">
      <c r="A301" s="29"/>
      <c r="B301" s="29"/>
      <c r="C301" s="29"/>
      <c r="D301" s="29"/>
    </row>
    <row r="302">
      <c r="A302" s="29"/>
      <c r="B302" s="29"/>
      <c r="C302" s="29"/>
      <c r="D302" s="29"/>
    </row>
    <row r="303">
      <c r="A303" s="29"/>
      <c r="B303" s="29"/>
      <c r="C303" s="29"/>
      <c r="D303" s="29"/>
    </row>
    <row r="304">
      <c r="A304" s="29"/>
      <c r="B304" s="29"/>
      <c r="C304" s="29"/>
      <c r="D304" s="29"/>
    </row>
    <row r="305">
      <c r="A305" s="29"/>
      <c r="B305" s="29"/>
      <c r="C305" s="29"/>
      <c r="D305" s="29"/>
    </row>
    <row r="306">
      <c r="A306" s="29"/>
      <c r="B306" s="29"/>
      <c r="C306" s="29"/>
      <c r="D306" s="29"/>
    </row>
    <row r="307">
      <c r="A307" s="29"/>
      <c r="B307" s="29"/>
      <c r="C307" s="29"/>
      <c r="D307" s="29"/>
    </row>
    <row r="308">
      <c r="A308" s="29"/>
      <c r="B308" s="29"/>
      <c r="C308" s="29"/>
      <c r="D308" s="29"/>
    </row>
    <row r="309">
      <c r="A309" s="29"/>
      <c r="B309" s="29"/>
      <c r="C309" s="29"/>
      <c r="D309" s="29"/>
    </row>
    <row r="310">
      <c r="A310" s="29"/>
      <c r="B310" s="29"/>
      <c r="C310" s="29"/>
      <c r="D310" s="29"/>
    </row>
    <row r="311">
      <c r="A311" s="29"/>
      <c r="B311" s="29"/>
      <c r="C311" s="29"/>
      <c r="D311" s="29"/>
    </row>
    <row r="312">
      <c r="A312" s="29"/>
      <c r="B312" s="29"/>
      <c r="C312" s="29"/>
      <c r="D312" s="29"/>
    </row>
    <row r="313">
      <c r="A313" s="29"/>
      <c r="B313" s="29"/>
      <c r="C313" s="29"/>
      <c r="D313" s="29"/>
    </row>
    <row r="314">
      <c r="A314" s="29"/>
      <c r="B314" s="29"/>
      <c r="C314" s="29"/>
      <c r="D314" s="29"/>
    </row>
    <row r="315">
      <c r="A315" s="29"/>
      <c r="B315" s="29"/>
      <c r="C315" s="29"/>
      <c r="D315" s="29"/>
    </row>
    <row r="316">
      <c r="A316" s="29"/>
      <c r="B316" s="29"/>
      <c r="C316" s="29"/>
      <c r="D316" s="29"/>
    </row>
    <row r="317">
      <c r="A317" s="29"/>
      <c r="B317" s="29"/>
      <c r="C317" s="29"/>
      <c r="D317" s="29"/>
    </row>
    <row r="318">
      <c r="A318" s="29"/>
      <c r="B318" s="29"/>
      <c r="C318" s="29"/>
      <c r="D318" s="29"/>
    </row>
    <row r="319">
      <c r="A319" s="29"/>
      <c r="B319" s="29"/>
      <c r="C319" s="29"/>
      <c r="D319" s="29"/>
    </row>
    <row r="320">
      <c r="A320" s="29"/>
      <c r="B320" s="29"/>
      <c r="C320" s="29"/>
      <c r="D320" s="29"/>
    </row>
    <row r="321">
      <c r="A321" s="29"/>
      <c r="B321" s="29"/>
      <c r="C321" s="29"/>
      <c r="D321" s="29"/>
    </row>
    <row r="322">
      <c r="A322" s="29"/>
      <c r="B322" s="29"/>
      <c r="C322" s="29"/>
      <c r="D322" s="29"/>
    </row>
    <row r="323">
      <c r="A323" s="29"/>
      <c r="B323" s="29"/>
      <c r="C323" s="29"/>
      <c r="D323" s="29"/>
    </row>
    <row r="324">
      <c r="A324" s="29"/>
      <c r="B324" s="29"/>
      <c r="C324" s="29"/>
      <c r="D324" s="29"/>
    </row>
    <row r="325">
      <c r="A325" s="29"/>
      <c r="B325" s="29"/>
      <c r="C325" s="29"/>
      <c r="D325" s="29"/>
    </row>
    <row r="326">
      <c r="A326" s="29"/>
      <c r="B326" s="29"/>
      <c r="C326" s="29"/>
      <c r="D326" s="29"/>
    </row>
    <row r="327">
      <c r="A327" s="29"/>
      <c r="B327" s="29"/>
      <c r="C327" s="29"/>
      <c r="D327" s="29"/>
    </row>
    <row r="328">
      <c r="A328" s="29"/>
      <c r="B328" s="29"/>
      <c r="C328" s="29"/>
      <c r="D328" s="29"/>
    </row>
    <row r="329">
      <c r="A329" s="29"/>
      <c r="B329" s="29"/>
      <c r="C329" s="29"/>
      <c r="D329" s="29"/>
    </row>
    <row r="330">
      <c r="A330" s="29"/>
      <c r="B330" s="29"/>
      <c r="C330" s="29"/>
      <c r="D330" s="29"/>
    </row>
    <row r="331">
      <c r="A331" s="29"/>
      <c r="B331" s="29"/>
      <c r="C331" s="29"/>
      <c r="D331" s="29"/>
    </row>
    <row r="332">
      <c r="A332" s="29"/>
      <c r="B332" s="29"/>
      <c r="C332" s="29"/>
      <c r="D332" s="29"/>
    </row>
    <row r="333">
      <c r="A333" s="29"/>
      <c r="B333" s="29"/>
      <c r="C333" s="29"/>
      <c r="D333" s="29"/>
    </row>
    <row r="334">
      <c r="A334" s="29"/>
      <c r="B334" s="29"/>
      <c r="C334" s="29"/>
      <c r="D334" s="29"/>
    </row>
    <row r="335">
      <c r="A335" s="29"/>
      <c r="B335" s="29"/>
      <c r="C335" s="29"/>
      <c r="D335" s="29"/>
    </row>
    <row r="336">
      <c r="A336" s="29"/>
      <c r="B336" s="29"/>
      <c r="C336" s="29"/>
      <c r="D336" s="29"/>
    </row>
    <row r="337">
      <c r="A337" s="29"/>
      <c r="B337" s="29"/>
      <c r="C337" s="29"/>
      <c r="D337" s="29"/>
    </row>
    <row r="338">
      <c r="A338" s="29"/>
      <c r="B338" s="29"/>
      <c r="C338" s="29"/>
      <c r="D338" s="29"/>
    </row>
    <row r="339">
      <c r="A339" s="29"/>
      <c r="B339" s="29"/>
      <c r="C339" s="29"/>
      <c r="D339" s="29"/>
    </row>
    <row r="340">
      <c r="A340" s="29"/>
      <c r="B340" s="29"/>
      <c r="C340" s="29"/>
      <c r="D340" s="29"/>
    </row>
    <row r="341">
      <c r="A341" s="29"/>
      <c r="B341" s="29"/>
      <c r="C341" s="29"/>
      <c r="D341" s="29"/>
    </row>
    <row r="342">
      <c r="A342" s="29"/>
      <c r="B342" s="29"/>
      <c r="C342" s="29"/>
      <c r="D342" s="29"/>
    </row>
    <row r="343">
      <c r="A343" s="29"/>
      <c r="B343" s="29"/>
      <c r="C343" s="29"/>
      <c r="D343" s="29"/>
    </row>
    <row r="344">
      <c r="A344" s="29"/>
      <c r="B344" s="29"/>
      <c r="C344" s="29"/>
      <c r="D344" s="29"/>
    </row>
    <row r="345">
      <c r="A345" s="29"/>
      <c r="B345" s="29"/>
      <c r="C345" s="29"/>
      <c r="D345" s="29"/>
    </row>
    <row r="346">
      <c r="A346" s="29"/>
      <c r="B346" s="29"/>
      <c r="C346" s="29"/>
      <c r="D346" s="29"/>
    </row>
    <row r="347">
      <c r="A347" s="29"/>
      <c r="B347" s="29"/>
      <c r="C347" s="29"/>
      <c r="D347" s="29"/>
    </row>
    <row r="348">
      <c r="A348" s="29"/>
      <c r="B348" s="29"/>
      <c r="C348" s="29"/>
      <c r="D348" s="29"/>
    </row>
    <row r="349">
      <c r="A349" s="29"/>
      <c r="B349" s="29"/>
      <c r="C349" s="29"/>
      <c r="D349" s="29"/>
    </row>
    <row r="350">
      <c r="A350" s="29"/>
      <c r="B350" s="29"/>
      <c r="C350" s="29"/>
      <c r="D350" s="29"/>
    </row>
    <row r="351">
      <c r="A351" s="29"/>
      <c r="B351" s="29"/>
      <c r="C351" s="29"/>
      <c r="D351" s="29"/>
    </row>
    <row r="352">
      <c r="A352" s="29"/>
      <c r="B352" s="29"/>
      <c r="C352" s="29"/>
      <c r="D352" s="29"/>
    </row>
    <row r="353">
      <c r="A353" s="29"/>
      <c r="B353" s="29"/>
      <c r="C353" s="29"/>
      <c r="D353" s="29"/>
    </row>
    <row r="354">
      <c r="A354" s="29"/>
      <c r="B354" s="29"/>
      <c r="C354" s="29"/>
      <c r="D354" s="29"/>
    </row>
    <row r="355">
      <c r="A355" s="29"/>
      <c r="B355" s="29"/>
      <c r="C355" s="29"/>
      <c r="D355" s="29"/>
    </row>
    <row r="356">
      <c r="A356" s="29"/>
      <c r="B356" s="29"/>
      <c r="C356" s="29"/>
      <c r="D356" s="29"/>
    </row>
    <row r="357">
      <c r="A357" s="29"/>
      <c r="B357" s="29"/>
      <c r="C357" s="29"/>
      <c r="D357" s="29"/>
    </row>
    <row r="358">
      <c r="A358" s="29"/>
      <c r="B358" s="29"/>
      <c r="C358" s="29"/>
      <c r="D358" s="29"/>
    </row>
    <row r="359">
      <c r="A359" s="29"/>
      <c r="B359" s="29"/>
      <c r="C359" s="29"/>
      <c r="D359" s="29"/>
    </row>
    <row r="360">
      <c r="A360" s="29"/>
      <c r="B360" s="29"/>
      <c r="C360" s="29"/>
      <c r="D360" s="29"/>
    </row>
    <row r="361">
      <c r="A361" s="29"/>
      <c r="B361" s="29"/>
      <c r="C361" s="29"/>
      <c r="D361" s="29"/>
    </row>
    <row r="362">
      <c r="A362" s="29"/>
      <c r="B362" s="29"/>
      <c r="C362" s="29"/>
      <c r="D362" s="29"/>
    </row>
    <row r="363">
      <c r="A363" s="29"/>
      <c r="B363" s="29"/>
      <c r="C363" s="29"/>
      <c r="D363" s="29"/>
    </row>
    <row r="364">
      <c r="A364" s="29"/>
      <c r="B364" s="29"/>
      <c r="C364" s="29"/>
      <c r="D364" s="29"/>
    </row>
    <row r="365">
      <c r="A365" s="29"/>
      <c r="B365" s="29"/>
      <c r="C365" s="29"/>
      <c r="D365" s="29"/>
    </row>
    <row r="366">
      <c r="A366" s="29"/>
      <c r="B366" s="29"/>
      <c r="C366" s="29"/>
      <c r="D366" s="29"/>
    </row>
    <row r="367">
      <c r="A367" s="29"/>
      <c r="B367" s="29"/>
      <c r="C367" s="29"/>
      <c r="D367" s="29"/>
    </row>
    <row r="368">
      <c r="A368" s="29"/>
      <c r="B368" s="29"/>
      <c r="C368" s="29"/>
      <c r="D368" s="29"/>
    </row>
    <row r="369">
      <c r="A369" s="29"/>
      <c r="B369" s="29"/>
      <c r="C369" s="29"/>
      <c r="D369" s="29"/>
    </row>
    <row r="370">
      <c r="A370" s="29"/>
      <c r="B370" s="29"/>
      <c r="C370" s="29"/>
      <c r="D370" s="29"/>
    </row>
    <row r="371">
      <c r="A371" s="29"/>
      <c r="B371" s="29"/>
      <c r="C371" s="29"/>
      <c r="D371" s="29"/>
    </row>
    <row r="372">
      <c r="A372" s="29"/>
      <c r="B372" s="29"/>
      <c r="C372" s="29"/>
      <c r="D372" s="29"/>
    </row>
    <row r="373">
      <c r="A373" s="29"/>
      <c r="B373" s="29"/>
      <c r="C373" s="29"/>
      <c r="D373" s="29"/>
    </row>
    <row r="374">
      <c r="A374" s="29"/>
      <c r="B374" s="29"/>
      <c r="C374" s="29"/>
      <c r="D374" s="29"/>
    </row>
    <row r="375">
      <c r="A375" s="29"/>
      <c r="B375" s="29"/>
      <c r="C375" s="29"/>
      <c r="D375" s="29"/>
    </row>
    <row r="376">
      <c r="A376" s="29"/>
      <c r="B376" s="29"/>
      <c r="C376" s="29"/>
      <c r="D376" s="29"/>
    </row>
    <row r="377">
      <c r="A377" s="29"/>
      <c r="B377" s="29"/>
      <c r="C377" s="29"/>
      <c r="D377" s="29"/>
    </row>
    <row r="378">
      <c r="A378" s="29"/>
      <c r="B378" s="29"/>
      <c r="C378" s="29"/>
      <c r="D378" s="29"/>
    </row>
    <row r="379">
      <c r="A379" s="29"/>
      <c r="B379" s="29"/>
      <c r="C379" s="29"/>
      <c r="D379" s="29"/>
    </row>
    <row r="380">
      <c r="A380" s="29"/>
      <c r="B380" s="29"/>
      <c r="C380" s="29"/>
      <c r="D380" s="29"/>
    </row>
    <row r="381">
      <c r="A381" s="29"/>
      <c r="B381" s="29"/>
      <c r="C381" s="29"/>
      <c r="D381" s="29"/>
    </row>
    <row r="382">
      <c r="A382" s="29"/>
      <c r="B382" s="29"/>
      <c r="C382" s="29"/>
      <c r="D382" s="29"/>
    </row>
    <row r="383">
      <c r="A383" s="29"/>
      <c r="B383" s="29"/>
      <c r="C383" s="29"/>
      <c r="D383" s="29"/>
    </row>
    <row r="384">
      <c r="A384" s="29"/>
      <c r="B384" s="29"/>
      <c r="C384" s="29"/>
      <c r="D384" s="29"/>
    </row>
    <row r="385">
      <c r="A385" s="29"/>
      <c r="B385" s="29"/>
      <c r="C385" s="29"/>
      <c r="D385" s="29"/>
    </row>
    <row r="386">
      <c r="A386" s="29"/>
      <c r="B386" s="29"/>
      <c r="C386" s="29"/>
      <c r="D386" s="29"/>
    </row>
    <row r="387">
      <c r="A387" s="29"/>
      <c r="B387" s="29"/>
      <c r="C387" s="29"/>
      <c r="D387" s="29"/>
    </row>
    <row r="388">
      <c r="A388" s="29"/>
      <c r="B388" s="29"/>
      <c r="C388" s="29"/>
      <c r="D388" s="29"/>
    </row>
    <row r="389">
      <c r="A389" s="29"/>
      <c r="B389" s="29"/>
      <c r="C389" s="29"/>
      <c r="D389" s="29"/>
    </row>
    <row r="390">
      <c r="A390" s="29"/>
      <c r="B390" s="29"/>
      <c r="C390" s="29"/>
      <c r="D390" s="29"/>
    </row>
    <row r="391">
      <c r="A391" s="29"/>
      <c r="B391" s="29"/>
      <c r="C391" s="29"/>
      <c r="D391" s="29"/>
    </row>
    <row r="392">
      <c r="A392" s="29"/>
      <c r="B392" s="29"/>
      <c r="C392" s="29"/>
      <c r="D392" s="29"/>
    </row>
    <row r="393">
      <c r="A393" s="29"/>
      <c r="B393" s="29"/>
      <c r="C393" s="29"/>
      <c r="D393" s="29"/>
    </row>
    <row r="394">
      <c r="A394" s="29"/>
      <c r="B394" s="29"/>
      <c r="C394" s="29"/>
      <c r="D394" s="29"/>
    </row>
    <row r="395">
      <c r="A395" s="29"/>
      <c r="B395" s="29"/>
      <c r="C395" s="29"/>
      <c r="D395" s="29"/>
    </row>
    <row r="396">
      <c r="A396" s="29"/>
      <c r="B396" s="29"/>
      <c r="C396" s="29"/>
      <c r="D396" s="29"/>
    </row>
    <row r="397">
      <c r="A397" s="29"/>
      <c r="B397" s="29"/>
      <c r="C397" s="29"/>
      <c r="D397" s="29"/>
    </row>
    <row r="398">
      <c r="A398" s="29"/>
      <c r="B398" s="29"/>
      <c r="C398" s="29"/>
      <c r="D398" s="29"/>
    </row>
    <row r="399">
      <c r="A399" s="29"/>
      <c r="B399" s="29"/>
      <c r="C399" s="29"/>
      <c r="D399" s="29"/>
    </row>
    <row r="400">
      <c r="A400" s="29"/>
      <c r="B400" s="29"/>
      <c r="C400" s="29"/>
      <c r="D400" s="29"/>
    </row>
    <row r="401">
      <c r="A401" s="29"/>
      <c r="B401" s="29"/>
      <c r="C401" s="29"/>
      <c r="D401" s="29"/>
    </row>
    <row r="402">
      <c r="A402" s="29"/>
      <c r="B402" s="29"/>
      <c r="C402" s="29"/>
      <c r="D402" s="29"/>
    </row>
    <row r="403">
      <c r="A403" s="29"/>
      <c r="B403" s="29"/>
      <c r="C403" s="29"/>
      <c r="D403" s="29"/>
    </row>
    <row r="404">
      <c r="A404" s="29"/>
      <c r="B404" s="29"/>
      <c r="C404" s="29"/>
      <c r="D404" s="29"/>
    </row>
    <row r="405">
      <c r="A405" s="29"/>
      <c r="B405" s="29"/>
      <c r="C405" s="29"/>
      <c r="D405" s="29"/>
    </row>
    <row r="406">
      <c r="A406" s="29"/>
      <c r="B406" s="29"/>
      <c r="C406" s="29"/>
      <c r="D406" s="29"/>
    </row>
    <row r="407">
      <c r="A407" s="29"/>
      <c r="B407" s="29"/>
      <c r="C407" s="29"/>
      <c r="D407" s="29"/>
    </row>
    <row r="408">
      <c r="A408" s="29"/>
      <c r="B408" s="29"/>
      <c r="C408" s="29"/>
      <c r="D408" s="29"/>
    </row>
    <row r="409">
      <c r="A409" s="29"/>
      <c r="B409" s="29"/>
      <c r="C409" s="29"/>
      <c r="D409" s="29"/>
    </row>
    <row r="410">
      <c r="A410" s="29"/>
      <c r="B410" s="29"/>
      <c r="C410" s="29"/>
      <c r="D410" s="29"/>
    </row>
    <row r="411">
      <c r="A411" s="29"/>
      <c r="B411" s="29"/>
      <c r="C411" s="29"/>
      <c r="D411" s="29"/>
    </row>
    <row r="412">
      <c r="A412" s="29"/>
      <c r="B412" s="29"/>
      <c r="C412" s="29"/>
      <c r="D412" s="29"/>
    </row>
    <row r="413">
      <c r="A413" s="29"/>
      <c r="B413" s="29"/>
      <c r="C413" s="29"/>
      <c r="D413" s="29"/>
    </row>
    <row r="414">
      <c r="A414" s="29"/>
      <c r="B414" s="29"/>
      <c r="C414" s="29"/>
      <c r="D414" s="29"/>
    </row>
    <row r="415">
      <c r="A415" s="29"/>
      <c r="B415" s="29"/>
      <c r="C415" s="29"/>
      <c r="D415" s="29"/>
    </row>
    <row r="416">
      <c r="A416" s="29"/>
      <c r="B416" s="29"/>
      <c r="C416" s="29"/>
      <c r="D416" s="29"/>
    </row>
    <row r="417">
      <c r="A417" s="29"/>
      <c r="B417" s="29"/>
      <c r="C417" s="29"/>
      <c r="D417" s="29"/>
    </row>
    <row r="418">
      <c r="A418" s="29"/>
      <c r="B418" s="29"/>
      <c r="C418" s="29"/>
      <c r="D418" s="29"/>
    </row>
    <row r="419">
      <c r="A419" s="29"/>
      <c r="B419" s="29"/>
      <c r="C419" s="29"/>
      <c r="D419" s="29"/>
    </row>
    <row r="420">
      <c r="A420" s="29"/>
      <c r="B420" s="29"/>
      <c r="C420" s="29"/>
      <c r="D420" s="29"/>
    </row>
    <row r="421">
      <c r="A421" s="29"/>
      <c r="B421" s="29"/>
      <c r="C421" s="29"/>
      <c r="D421" s="29"/>
    </row>
    <row r="422">
      <c r="A422" s="29"/>
      <c r="B422" s="29"/>
      <c r="C422" s="29"/>
      <c r="D422" s="29"/>
    </row>
    <row r="423">
      <c r="A423" s="29"/>
      <c r="B423" s="29"/>
      <c r="C423" s="29"/>
      <c r="D423" s="29"/>
    </row>
    <row r="424">
      <c r="A424" s="29"/>
      <c r="B424" s="29"/>
      <c r="C424" s="29"/>
      <c r="D424" s="29"/>
    </row>
    <row r="425">
      <c r="A425" s="29"/>
      <c r="B425" s="29"/>
      <c r="C425" s="29"/>
      <c r="D425" s="29"/>
    </row>
    <row r="426">
      <c r="A426" s="29"/>
      <c r="B426" s="29"/>
      <c r="C426" s="29"/>
      <c r="D426" s="29"/>
    </row>
    <row r="427">
      <c r="A427" s="29"/>
      <c r="B427" s="29"/>
      <c r="C427" s="29"/>
      <c r="D427" s="29"/>
    </row>
    <row r="428">
      <c r="A428" s="29"/>
      <c r="B428" s="29"/>
      <c r="C428" s="29"/>
      <c r="D428" s="29"/>
    </row>
    <row r="429">
      <c r="A429" s="29"/>
      <c r="B429" s="29"/>
      <c r="C429" s="29"/>
      <c r="D429" s="29"/>
    </row>
    <row r="430">
      <c r="A430" s="29"/>
      <c r="B430" s="29"/>
      <c r="C430" s="29"/>
      <c r="D430" s="29"/>
    </row>
    <row r="431">
      <c r="A431" s="29"/>
      <c r="B431" s="29"/>
      <c r="C431" s="29"/>
      <c r="D431" s="29"/>
    </row>
    <row r="432">
      <c r="A432" s="29"/>
      <c r="B432" s="29"/>
      <c r="C432" s="29"/>
      <c r="D432" s="29"/>
    </row>
    <row r="433">
      <c r="A433" s="29"/>
      <c r="B433" s="29"/>
      <c r="C433" s="29"/>
      <c r="D433" s="29"/>
    </row>
    <row r="434">
      <c r="A434" s="29"/>
      <c r="B434" s="29"/>
      <c r="C434" s="29"/>
      <c r="D434" s="29"/>
    </row>
    <row r="435">
      <c r="A435" s="29"/>
      <c r="B435" s="29"/>
      <c r="C435" s="29"/>
      <c r="D435" s="29"/>
    </row>
    <row r="436">
      <c r="A436" s="29"/>
      <c r="B436" s="29"/>
      <c r="C436" s="29"/>
      <c r="D436" s="29"/>
    </row>
    <row r="437">
      <c r="A437" s="29"/>
      <c r="B437" s="29"/>
      <c r="C437" s="29"/>
      <c r="D437" s="29"/>
    </row>
    <row r="438">
      <c r="A438" s="29"/>
      <c r="B438" s="29"/>
      <c r="C438" s="29"/>
      <c r="D438" s="29"/>
    </row>
    <row r="439">
      <c r="A439" s="29"/>
      <c r="B439" s="29"/>
      <c r="C439" s="29"/>
      <c r="D439" s="29"/>
    </row>
    <row r="440">
      <c r="A440" s="29"/>
      <c r="B440" s="29"/>
      <c r="C440" s="29"/>
      <c r="D440" s="29"/>
    </row>
    <row r="441">
      <c r="A441" s="29"/>
      <c r="B441" s="29"/>
      <c r="C441" s="29"/>
      <c r="D441" s="29"/>
    </row>
    <row r="442">
      <c r="A442" s="29"/>
      <c r="B442" s="29"/>
      <c r="C442" s="29"/>
      <c r="D442" s="29"/>
    </row>
    <row r="443">
      <c r="A443" s="29"/>
      <c r="B443" s="29"/>
      <c r="C443" s="29"/>
      <c r="D443" s="29"/>
    </row>
    <row r="444">
      <c r="A444" s="29"/>
      <c r="B444" s="29"/>
      <c r="C444" s="29"/>
      <c r="D444" s="29"/>
    </row>
    <row r="445">
      <c r="A445" s="29"/>
      <c r="B445" s="29"/>
      <c r="C445" s="29"/>
      <c r="D445" s="29"/>
    </row>
    <row r="446">
      <c r="A446" s="29"/>
      <c r="B446" s="29"/>
      <c r="C446" s="29"/>
      <c r="D446" s="29"/>
    </row>
    <row r="447">
      <c r="A447" s="29"/>
      <c r="B447" s="29"/>
      <c r="C447" s="29"/>
      <c r="D447" s="29"/>
    </row>
    <row r="448">
      <c r="A448" s="29"/>
      <c r="B448" s="29"/>
      <c r="C448" s="29"/>
      <c r="D448" s="29"/>
    </row>
    <row r="449">
      <c r="A449" s="29"/>
      <c r="B449" s="29"/>
      <c r="C449" s="29"/>
      <c r="D449" s="29"/>
    </row>
    <row r="450">
      <c r="A450" s="29"/>
      <c r="B450" s="29"/>
      <c r="C450" s="29"/>
      <c r="D450" s="29"/>
    </row>
    <row r="451">
      <c r="A451" s="29"/>
      <c r="B451" s="29"/>
      <c r="C451" s="29"/>
      <c r="D451" s="29"/>
    </row>
    <row r="452">
      <c r="A452" s="29"/>
      <c r="B452" s="29"/>
      <c r="C452" s="29"/>
      <c r="D452" s="29"/>
    </row>
    <row r="453">
      <c r="A453" s="29"/>
      <c r="B453" s="29"/>
      <c r="C453" s="29"/>
      <c r="D453" s="29"/>
    </row>
    <row r="454">
      <c r="A454" s="29"/>
      <c r="B454" s="29"/>
      <c r="C454" s="29"/>
      <c r="D454" s="29"/>
    </row>
    <row r="455">
      <c r="A455" s="29"/>
      <c r="B455" s="29"/>
      <c r="C455" s="29"/>
      <c r="D455" s="29"/>
    </row>
    <row r="456">
      <c r="A456" s="29"/>
      <c r="B456" s="29"/>
      <c r="C456" s="29"/>
      <c r="D456" s="29"/>
    </row>
    <row r="457">
      <c r="A457" s="29"/>
      <c r="B457" s="29"/>
      <c r="C457" s="29"/>
      <c r="D457" s="29"/>
    </row>
    <row r="458">
      <c r="A458" s="29"/>
      <c r="B458" s="29"/>
      <c r="C458" s="29"/>
      <c r="D458" s="29"/>
    </row>
    <row r="459">
      <c r="A459" s="29"/>
      <c r="B459" s="29"/>
      <c r="C459" s="29"/>
      <c r="D459" s="29"/>
    </row>
    <row r="460">
      <c r="A460" s="29"/>
      <c r="B460" s="29"/>
      <c r="C460" s="29"/>
      <c r="D460" s="29"/>
    </row>
    <row r="461">
      <c r="A461" s="29"/>
      <c r="B461" s="29"/>
      <c r="C461" s="29"/>
      <c r="D461" s="29"/>
    </row>
    <row r="462">
      <c r="A462" s="29"/>
      <c r="B462" s="29"/>
      <c r="C462" s="29"/>
      <c r="D462" s="29"/>
    </row>
    <row r="463">
      <c r="A463" s="29"/>
      <c r="B463" s="29"/>
      <c r="C463" s="29"/>
      <c r="D463" s="29"/>
    </row>
    <row r="464">
      <c r="A464" s="29"/>
      <c r="B464" s="29"/>
      <c r="C464" s="29"/>
      <c r="D464" s="29"/>
    </row>
    <row r="465">
      <c r="A465" s="29"/>
      <c r="B465" s="29"/>
      <c r="C465" s="29"/>
      <c r="D465" s="29"/>
    </row>
    <row r="466">
      <c r="A466" s="29"/>
      <c r="B466" s="29"/>
      <c r="C466" s="29"/>
      <c r="D466" s="29"/>
    </row>
    <row r="467">
      <c r="A467" s="29"/>
      <c r="B467" s="29"/>
      <c r="C467" s="29"/>
      <c r="D467" s="29"/>
    </row>
    <row r="468">
      <c r="A468" s="29"/>
      <c r="B468" s="29"/>
      <c r="C468" s="29"/>
      <c r="D468" s="29"/>
    </row>
    <row r="469">
      <c r="A469" s="29"/>
      <c r="B469" s="29"/>
      <c r="C469" s="29"/>
      <c r="D469" s="29"/>
    </row>
    <row r="470">
      <c r="A470" s="29"/>
      <c r="B470" s="29"/>
      <c r="C470" s="29"/>
      <c r="D470" s="29"/>
    </row>
    <row r="471">
      <c r="A471" s="29"/>
      <c r="B471" s="29"/>
      <c r="C471" s="29"/>
      <c r="D471" s="29"/>
    </row>
    <row r="472">
      <c r="A472" s="29"/>
      <c r="B472" s="29"/>
      <c r="C472" s="29"/>
      <c r="D472" s="29"/>
    </row>
    <row r="473">
      <c r="A473" s="29"/>
      <c r="B473" s="29"/>
      <c r="C473" s="29"/>
      <c r="D473" s="29"/>
    </row>
    <row r="474">
      <c r="A474" s="29"/>
      <c r="B474" s="29"/>
      <c r="C474" s="29"/>
      <c r="D474" s="29"/>
    </row>
    <row r="475">
      <c r="A475" s="29"/>
      <c r="B475" s="29"/>
      <c r="C475" s="29"/>
      <c r="D475" s="29"/>
    </row>
    <row r="476">
      <c r="A476" s="29"/>
      <c r="B476" s="29"/>
      <c r="C476" s="29"/>
      <c r="D476" s="29"/>
    </row>
    <row r="477">
      <c r="A477" s="29"/>
      <c r="B477" s="29"/>
      <c r="C477" s="29"/>
      <c r="D477" s="29"/>
    </row>
    <row r="478">
      <c r="A478" s="29"/>
      <c r="B478" s="29"/>
      <c r="C478" s="29"/>
      <c r="D478" s="29"/>
    </row>
    <row r="479">
      <c r="A479" s="29"/>
      <c r="B479" s="29"/>
      <c r="C479" s="29"/>
      <c r="D479" s="29"/>
    </row>
    <row r="480">
      <c r="A480" s="29"/>
      <c r="B480" s="29"/>
      <c r="C480" s="29"/>
      <c r="D480" s="29"/>
    </row>
    <row r="481">
      <c r="A481" s="29"/>
      <c r="B481" s="29"/>
      <c r="C481" s="29"/>
      <c r="D481" s="29"/>
    </row>
    <row r="482">
      <c r="A482" s="29"/>
      <c r="B482" s="29"/>
      <c r="C482" s="29"/>
      <c r="D482" s="29"/>
    </row>
    <row r="483">
      <c r="A483" s="29"/>
      <c r="B483" s="29"/>
      <c r="C483" s="29"/>
      <c r="D483" s="29"/>
    </row>
    <row r="484">
      <c r="A484" s="29"/>
      <c r="B484" s="29"/>
      <c r="C484" s="29"/>
      <c r="D484" s="29"/>
    </row>
    <row r="485">
      <c r="A485" s="29"/>
      <c r="B485" s="29"/>
      <c r="C485" s="29"/>
      <c r="D485" s="29"/>
    </row>
    <row r="486">
      <c r="A486" s="29"/>
      <c r="B486" s="29"/>
      <c r="C486" s="29"/>
      <c r="D486" s="29"/>
    </row>
    <row r="487">
      <c r="A487" s="29"/>
      <c r="B487" s="29"/>
      <c r="C487" s="29"/>
      <c r="D487" s="29"/>
    </row>
    <row r="488">
      <c r="A488" s="29"/>
      <c r="B488" s="29"/>
      <c r="C488" s="29"/>
      <c r="D488" s="29"/>
    </row>
    <row r="489">
      <c r="A489" s="29"/>
      <c r="B489" s="29"/>
      <c r="C489" s="29"/>
      <c r="D489" s="29"/>
    </row>
    <row r="490">
      <c r="A490" s="29"/>
      <c r="B490" s="29"/>
      <c r="C490" s="29"/>
      <c r="D490" s="29"/>
    </row>
    <row r="491">
      <c r="A491" s="29"/>
      <c r="B491" s="29"/>
      <c r="C491" s="29"/>
      <c r="D491" s="29"/>
    </row>
    <row r="492">
      <c r="A492" s="29"/>
      <c r="B492" s="29"/>
      <c r="C492" s="29"/>
      <c r="D492" s="29"/>
    </row>
    <row r="493">
      <c r="A493" s="29"/>
      <c r="B493" s="29"/>
      <c r="C493" s="29"/>
      <c r="D493" s="29"/>
    </row>
    <row r="494">
      <c r="A494" s="29"/>
      <c r="B494" s="29"/>
      <c r="C494" s="29"/>
      <c r="D494" s="29"/>
    </row>
    <row r="495">
      <c r="A495" s="29"/>
      <c r="B495" s="29"/>
      <c r="C495" s="29"/>
      <c r="D495" s="29"/>
    </row>
    <row r="496">
      <c r="A496" s="29"/>
      <c r="B496" s="29"/>
      <c r="C496" s="29"/>
      <c r="D496" s="29"/>
    </row>
    <row r="497">
      <c r="A497" s="29"/>
      <c r="B497" s="29"/>
      <c r="C497" s="29"/>
      <c r="D497" s="29"/>
    </row>
    <row r="498">
      <c r="A498" s="29"/>
      <c r="B498" s="29"/>
      <c r="C498" s="29"/>
      <c r="D498" s="29"/>
    </row>
    <row r="499">
      <c r="A499" s="29"/>
      <c r="B499" s="29"/>
      <c r="C499" s="29"/>
      <c r="D499" s="29"/>
    </row>
    <row r="500">
      <c r="A500" s="29"/>
      <c r="B500" s="29"/>
      <c r="C500" s="29"/>
      <c r="D500" s="29"/>
    </row>
    <row r="501">
      <c r="A501" s="29"/>
      <c r="B501" s="29"/>
      <c r="C501" s="29"/>
      <c r="D501" s="29"/>
    </row>
    <row r="502">
      <c r="A502" s="29"/>
      <c r="B502" s="29"/>
      <c r="C502" s="29"/>
      <c r="D502" s="29"/>
    </row>
    <row r="503">
      <c r="A503" s="29"/>
      <c r="B503" s="29"/>
      <c r="C503" s="29"/>
      <c r="D503" s="29"/>
    </row>
    <row r="504">
      <c r="A504" s="29"/>
      <c r="B504" s="29"/>
      <c r="C504" s="29"/>
      <c r="D504" s="29"/>
    </row>
    <row r="505">
      <c r="A505" s="29"/>
      <c r="B505" s="29"/>
      <c r="C505" s="29"/>
      <c r="D505" s="29"/>
    </row>
    <row r="506">
      <c r="A506" s="29"/>
      <c r="B506" s="29"/>
      <c r="C506" s="29"/>
      <c r="D506" s="29"/>
    </row>
    <row r="507">
      <c r="A507" s="29"/>
      <c r="B507" s="29"/>
      <c r="C507" s="29"/>
      <c r="D507" s="29"/>
    </row>
    <row r="508">
      <c r="A508" s="29"/>
      <c r="B508" s="29"/>
      <c r="C508" s="29"/>
      <c r="D508" s="29"/>
    </row>
    <row r="509">
      <c r="A509" s="29"/>
      <c r="B509" s="29"/>
      <c r="C509" s="29"/>
      <c r="D509" s="29"/>
    </row>
    <row r="510">
      <c r="A510" s="29"/>
      <c r="B510" s="29"/>
      <c r="C510" s="29"/>
      <c r="D510" s="29"/>
    </row>
    <row r="511">
      <c r="A511" s="29"/>
      <c r="B511" s="29"/>
      <c r="C511" s="29"/>
      <c r="D511" s="29"/>
    </row>
    <row r="512">
      <c r="A512" s="29"/>
      <c r="B512" s="29"/>
      <c r="C512" s="29"/>
      <c r="D512" s="29"/>
    </row>
    <row r="513">
      <c r="A513" s="29"/>
      <c r="B513" s="29"/>
      <c r="C513" s="29"/>
      <c r="D513" s="29"/>
    </row>
    <row r="514">
      <c r="A514" s="29"/>
      <c r="B514" s="29"/>
      <c r="C514" s="29"/>
      <c r="D514" s="29"/>
    </row>
    <row r="515">
      <c r="A515" s="29"/>
      <c r="B515" s="29"/>
      <c r="C515" s="29"/>
      <c r="D515" s="29"/>
    </row>
    <row r="516">
      <c r="A516" s="29"/>
      <c r="B516" s="29"/>
      <c r="C516" s="29"/>
      <c r="D516" s="29"/>
    </row>
    <row r="517">
      <c r="A517" s="29"/>
      <c r="B517" s="29"/>
      <c r="C517" s="29"/>
      <c r="D517" s="29"/>
    </row>
    <row r="518">
      <c r="A518" s="29"/>
      <c r="B518" s="29"/>
      <c r="C518" s="29"/>
      <c r="D518" s="29"/>
    </row>
    <row r="519">
      <c r="A519" s="29"/>
      <c r="B519" s="29"/>
      <c r="C519" s="29"/>
      <c r="D519" s="29"/>
    </row>
    <row r="520">
      <c r="A520" s="29"/>
      <c r="B520" s="29"/>
      <c r="C520" s="29"/>
      <c r="D520" s="29"/>
    </row>
    <row r="521">
      <c r="A521" s="29"/>
      <c r="B521" s="29"/>
      <c r="C521" s="29"/>
      <c r="D521" s="29"/>
    </row>
    <row r="522">
      <c r="A522" s="29"/>
      <c r="B522" s="29"/>
      <c r="C522" s="29"/>
      <c r="D522" s="29"/>
    </row>
    <row r="523">
      <c r="A523" s="29"/>
      <c r="B523" s="29"/>
      <c r="C523" s="29"/>
      <c r="D523" s="29"/>
    </row>
    <row r="524">
      <c r="A524" s="29"/>
      <c r="B524" s="29"/>
      <c r="C524" s="29"/>
      <c r="D524" s="29"/>
    </row>
    <row r="525">
      <c r="A525" s="29"/>
      <c r="B525" s="29"/>
      <c r="C525" s="29"/>
      <c r="D525" s="29"/>
    </row>
    <row r="526">
      <c r="A526" s="29"/>
      <c r="B526" s="29"/>
      <c r="C526" s="29"/>
      <c r="D526" s="29"/>
    </row>
    <row r="527">
      <c r="A527" s="29"/>
      <c r="B527" s="29"/>
      <c r="C527" s="29"/>
      <c r="D527" s="29"/>
    </row>
    <row r="528">
      <c r="A528" s="29"/>
      <c r="B528" s="29"/>
      <c r="C528" s="29"/>
      <c r="D528" s="29"/>
    </row>
    <row r="529">
      <c r="A529" s="29"/>
      <c r="B529" s="29"/>
      <c r="C529" s="29"/>
      <c r="D529" s="29"/>
    </row>
    <row r="530">
      <c r="A530" s="29"/>
      <c r="B530" s="29"/>
      <c r="C530" s="29"/>
      <c r="D530" s="29"/>
    </row>
    <row r="531">
      <c r="A531" s="29"/>
      <c r="B531" s="29"/>
      <c r="C531" s="29"/>
      <c r="D531" s="29"/>
    </row>
    <row r="532">
      <c r="A532" s="29"/>
      <c r="B532" s="29"/>
      <c r="C532" s="29"/>
      <c r="D532" s="29"/>
    </row>
    <row r="533">
      <c r="A533" s="29"/>
      <c r="B533" s="29"/>
      <c r="C533" s="29"/>
      <c r="D533" s="29"/>
    </row>
    <row r="534">
      <c r="A534" s="29"/>
      <c r="B534" s="29"/>
      <c r="C534" s="29"/>
      <c r="D534" s="29"/>
    </row>
    <row r="535">
      <c r="A535" s="29"/>
      <c r="B535" s="29"/>
      <c r="C535" s="29"/>
      <c r="D535" s="29"/>
    </row>
    <row r="536">
      <c r="A536" s="29"/>
      <c r="B536" s="29"/>
      <c r="C536" s="29"/>
      <c r="D536" s="29"/>
    </row>
    <row r="537">
      <c r="A537" s="29"/>
      <c r="B537" s="29"/>
      <c r="C537" s="29"/>
      <c r="D537" s="29"/>
    </row>
    <row r="538">
      <c r="A538" s="29"/>
      <c r="B538" s="29"/>
      <c r="C538" s="29"/>
      <c r="D538" s="29"/>
    </row>
    <row r="539">
      <c r="A539" s="29"/>
      <c r="B539" s="29"/>
      <c r="C539" s="29"/>
      <c r="D539" s="29"/>
    </row>
    <row r="540">
      <c r="A540" s="29"/>
      <c r="B540" s="29"/>
      <c r="C540" s="29"/>
      <c r="D540" s="29"/>
    </row>
    <row r="541">
      <c r="A541" s="29"/>
      <c r="B541" s="29"/>
      <c r="C541" s="29"/>
      <c r="D541" s="29"/>
    </row>
    <row r="542">
      <c r="A542" s="29"/>
      <c r="B542" s="29"/>
      <c r="C542" s="29"/>
      <c r="D542" s="29"/>
    </row>
    <row r="543">
      <c r="A543" s="29"/>
      <c r="B543" s="29"/>
      <c r="C543" s="29"/>
      <c r="D543" s="29"/>
    </row>
    <row r="544">
      <c r="A544" s="29"/>
      <c r="B544" s="29"/>
      <c r="C544" s="29"/>
      <c r="D544" s="29"/>
    </row>
    <row r="545">
      <c r="A545" s="29"/>
      <c r="B545" s="29"/>
      <c r="C545" s="29"/>
      <c r="D545" s="29"/>
    </row>
    <row r="546">
      <c r="A546" s="29"/>
      <c r="B546" s="29"/>
      <c r="C546" s="29"/>
      <c r="D546" s="29"/>
    </row>
    <row r="547">
      <c r="A547" s="29"/>
      <c r="B547" s="29"/>
      <c r="C547" s="29"/>
      <c r="D547" s="29"/>
    </row>
    <row r="548">
      <c r="A548" s="29"/>
      <c r="B548" s="29"/>
      <c r="C548" s="29"/>
      <c r="D548" s="29"/>
    </row>
    <row r="549">
      <c r="A549" s="29"/>
      <c r="B549" s="29"/>
      <c r="C549" s="29"/>
      <c r="D549" s="29"/>
    </row>
    <row r="550">
      <c r="A550" s="29"/>
      <c r="B550" s="29"/>
      <c r="C550" s="29"/>
      <c r="D550" s="29"/>
    </row>
    <row r="551">
      <c r="A551" s="29"/>
      <c r="B551" s="29"/>
      <c r="C551" s="29"/>
      <c r="D551" s="29"/>
    </row>
    <row r="552">
      <c r="A552" s="29"/>
      <c r="B552" s="29"/>
      <c r="C552" s="29"/>
      <c r="D552" s="29"/>
    </row>
    <row r="553">
      <c r="A553" s="29"/>
      <c r="B553" s="29"/>
      <c r="C553" s="29"/>
      <c r="D553" s="29"/>
    </row>
    <row r="554">
      <c r="A554" s="29"/>
      <c r="B554" s="29"/>
      <c r="C554" s="29"/>
      <c r="D554" s="29"/>
    </row>
    <row r="555">
      <c r="A555" s="29"/>
      <c r="B555" s="29"/>
      <c r="C555" s="29"/>
      <c r="D555" s="29"/>
    </row>
    <row r="556">
      <c r="A556" s="29"/>
      <c r="B556" s="29"/>
      <c r="C556" s="29"/>
      <c r="D556" s="29"/>
    </row>
    <row r="557">
      <c r="A557" s="29"/>
      <c r="B557" s="29"/>
      <c r="C557" s="29"/>
      <c r="D557" s="29"/>
    </row>
    <row r="558">
      <c r="A558" s="29"/>
      <c r="B558" s="29"/>
      <c r="C558" s="29"/>
      <c r="D558" s="29"/>
    </row>
    <row r="559">
      <c r="A559" s="29"/>
      <c r="B559" s="29"/>
      <c r="C559" s="29"/>
      <c r="D559" s="29"/>
    </row>
    <row r="560">
      <c r="A560" s="29"/>
      <c r="B560" s="29"/>
      <c r="C560" s="29"/>
      <c r="D560" s="29"/>
    </row>
    <row r="561">
      <c r="A561" s="29"/>
      <c r="B561" s="29"/>
      <c r="C561" s="29"/>
      <c r="D561" s="29"/>
    </row>
    <row r="562">
      <c r="A562" s="29"/>
      <c r="B562" s="29"/>
      <c r="C562" s="29"/>
      <c r="D562" s="29"/>
    </row>
    <row r="563">
      <c r="A563" s="29"/>
      <c r="B563" s="29"/>
      <c r="C563" s="29"/>
      <c r="D563" s="29"/>
    </row>
    <row r="564">
      <c r="A564" s="29"/>
      <c r="B564" s="29"/>
      <c r="C564" s="29"/>
      <c r="D564" s="29"/>
    </row>
    <row r="565">
      <c r="A565" s="29"/>
      <c r="B565" s="29"/>
      <c r="C565" s="29"/>
      <c r="D565" s="29"/>
    </row>
    <row r="566">
      <c r="A566" s="29"/>
      <c r="B566" s="29"/>
      <c r="C566" s="29"/>
      <c r="D566" s="29"/>
    </row>
    <row r="567">
      <c r="A567" s="29"/>
      <c r="B567" s="29"/>
      <c r="C567" s="29"/>
      <c r="D567" s="29"/>
    </row>
    <row r="568">
      <c r="A568" s="29"/>
      <c r="B568" s="29"/>
      <c r="C568" s="29"/>
      <c r="D568" s="29"/>
    </row>
    <row r="569">
      <c r="A569" s="29"/>
      <c r="B569" s="29"/>
      <c r="C569" s="29"/>
      <c r="D569" s="29"/>
    </row>
    <row r="570">
      <c r="A570" s="29"/>
      <c r="B570" s="29"/>
      <c r="C570" s="29"/>
      <c r="D570" s="29"/>
    </row>
    <row r="571">
      <c r="A571" s="29"/>
      <c r="B571" s="29"/>
      <c r="C571" s="29"/>
      <c r="D571" s="29"/>
    </row>
    <row r="572">
      <c r="A572" s="29"/>
      <c r="B572" s="29"/>
      <c r="C572" s="29"/>
      <c r="D572" s="29"/>
    </row>
    <row r="573">
      <c r="A573" s="29"/>
      <c r="B573" s="29"/>
      <c r="C573" s="29"/>
      <c r="D573" s="29"/>
    </row>
    <row r="574">
      <c r="A574" s="29"/>
      <c r="B574" s="29"/>
      <c r="C574" s="29"/>
      <c r="D574" s="29"/>
    </row>
    <row r="575">
      <c r="A575" s="29"/>
      <c r="B575" s="29"/>
      <c r="C575" s="29"/>
      <c r="D575" s="29"/>
    </row>
    <row r="576">
      <c r="A576" s="29"/>
      <c r="B576" s="29"/>
      <c r="C576" s="29"/>
      <c r="D576" s="29"/>
    </row>
    <row r="577">
      <c r="A577" s="29"/>
      <c r="B577" s="29"/>
      <c r="C577" s="29"/>
      <c r="D577" s="29"/>
    </row>
    <row r="578">
      <c r="A578" s="29"/>
      <c r="B578" s="29"/>
      <c r="C578" s="29"/>
      <c r="D578" s="29"/>
    </row>
    <row r="579">
      <c r="A579" s="29"/>
      <c r="B579" s="29"/>
      <c r="C579" s="29"/>
      <c r="D579" s="29"/>
    </row>
    <row r="580">
      <c r="A580" s="29"/>
      <c r="B580" s="29"/>
      <c r="C580" s="29"/>
      <c r="D580" s="29"/>
    </row>
    <row r="581">
      <c r="A581" s="29"/>
      <c r="B581" s="29"/>
      <c r="C581" s="29"/>
      <c r="D581" s="29"/>
    </row>
    <row r="582">
      <c r="A582" s="29"/>
      <c r="B582" s="29"/>
      <c r="C582" s="29"/>
      <c r="D582" s="29"/>
    </row>
    <row r="583">
      <c r="A583" s="29"/>
      <c r="B583" s="29"/>
      <c r="C583" s="29"/>
      <c r="D583" s="29"/>
    </row>
    <row r="584">
      <c r="A584" s="29"/>
      <c r="B584" s="29"/>
      <c r="C584" s="29"/>
      <c r="D584" s="29"/>
    </row>
    <row r="585">
      <c r="A585" s="29"/>
      <c r="B585" s="29"/>
      <c r="C585" s="29"/>
      <c r="D585" s="29"/>
    </row>
    <row r="586">
      <c r="A586" s="29"/>
      <c r="B586" s="29"/>
      <c r="C586" s="29"/>
      <c r="D586" s="29"/>
    </row>
    <row r="587">
      <c r="A587" s="29"/>
      <c r="B587" s="29"/>
      <c r="C587" s="29"/>
      <c r="D587" s="29"/>
    </row>
    <row r="588">
      <c r="A588" s="29"/>
      <c r="B588" s="29"/>
      <c r="C588" s="29"/>
      <c r="D588" s="29"/>
    </row>
    <row r="589">
      <c r="A589" s="29"/>
      <c r="B589" s="29"/>
      <c r="C589" s="29"/>
      <c r="D589" s="29"/>
    </row>
    <row r="590">
      <c r="A590" s="29"/>
      <c r="B590" s="29"/>
      <c r="C590" s="29"/>
      <c r="D590" s="29"/>
    </row>
    <row r="591">
      <c r="A591" s="29"/>
      <c r="B591" s="29"/>
      <c r="C591" s="29"/>
      <c r="D591" s="29"/>
    </row>
    <row r="592">
      <c r="A592" s="29"/>
      <c r="B592" s="29"/>
      <c r="C592" s="29"/>
      <c r="D592" s="29"/>
    </row>
    <row r="593">
      <c r="A593" s="29"/>
      <c r="B593" s="29"/>
      <c r="C593" s="29"/>
      <c r="D593" s="29"/>
    </row>
    <row r="594">
      <c r="A594" s="29"/>
      <c r="B594" s="29"/>
      <c r="C594" s="29"/>
      <c r="D594" s="29"/>
    </row>
    <row r="595">
      <c r="A595" s="29"/>
      <c r="B595" s="29"/>
      <c r="C595" s="29"/>
      <c r="D595" s="29"/>
    </row>
    <row r="596">
      <c r="A596" s="29"/>
      <c r="B596" s="29"/>
      <c r="C596" s="29"/>
      <c r="D596" s="29"/>
    </row>
    <row r="597">
      <c r="A597" s="29"/>
      <c r="B597" s="29"/>
      <c r="C597" s="29"/>
      <c r="D597" s="29"/>
    </row>
    <row r="598">
      <c r="A598" s="29"/>
      <c r="B598" s="29"/>
      <c r="C598" s="29"/>
      <c r="D598" s="29"/>
    </row>
    <row r="599">
      <c r="A599" s="29"/>
      <c r="B599" s="29"/>
      <c r="C599" s="29"/>
      <c r="D599" s="29"/>
    </row>
    <row r="600">
      <c r="A600" s="29"/>
      <c r="B600" s="29"/>
      <c r="C600" s="29"/>
      <c r="D600" s="29"/>
    </row>
    <row r="601">
      <c r="A601" s="29"/>
      <c r="B601" s="29"/>
      <c r="C601" s="29"/>
      <c r="D601" s="29"/>
    </row>
    <row r="602">
      <c r="A602" s="29"/>
      <c r="B602" s="29"/>
      <c r="C602" s="29"/>
      <c r="D602" s="29"/>
    </row>
    <row r="603">
      <c r="A603" s="29"/>
      <c r="B603" s="29"/>
      <c r="C603" s="29"/>
      <c r="D603" s="29"/>
    </row>
    <row r="604">
      <c r="A604" s="29"/>
      <c r="B604" s="29"/>
      <c r="C604" s="29"/>
      <c r="D604" s="29"/>
    </row>
    <row r="605">
      <c r="A605" s="29"/>
      <c r="B605" s="29"/>
      <c r="C605" s="29"/>
      <c r="D605" s="29"/>
    </row>
    <row r="606">
      <c r="A606" s="29"/>
      <c r="B606" s="29"/>
      <c r="C606" s="29"/>
      <c r="D606" s="29"/>
    </row>
    <row r="607">
      <c r="A607" s="29"/>
      <c r="B607" s="29"/>
      <c r="C607" s="29"/>
      <c r="D607" s="29"/>
    </row>
    <row r="608">
      <c r="A608" s="29"/>
      <c r="B608" s="29"/>
      <c r="C608" s="29"/>
      <c r="D608" s="29"/>
    </row>
    <row r="609">
      <c r="A609" s="29"/>
      <c r="B609" s="29"/>
      <c r="C609" s="29"/>
      <c r="D609" s="29"/>
    </row>
    <row r="610">
      <c r="A610" s="29"/>
      <c r="B610" s="29"/>
      <c r="C610" s="29"/>
      <c r="D610" s="29"/>
    </row>
    <row r="611">
      <c r="A611" s="29"/>
      <c r="B611" s="29"/>
      <c r="C611" s="29"/>
      <c r="D611" s="29"/>
    </row>
    <row r="612">
      <c r="A612" s="29"/>
      <c r="B612" s="29"/>
      <c r="C612" s="29"/>
      <c r="D612" s="29"/>
    </row>
    <row r="613">
      <c r="A613" s="29"/>
      <c r="B613" s="29"/>
      <c r="C613" s="29"/>
      <c r="D613" s="29"/>
    </row>
    <row r="614">
      <c r="A614" s="29"/>
      <c r="B614" s="29"/>
      <c r="C614" s="29"/>
      <c r="D614" s="29"/>
    </row>
    <row r="615">
      <c r="A615" s="29"/>
      <c r="B615" s="29"/>
      <c r="C615" s="29"/>
      <c r="D615" s="29"/>
    </row>
    <row r="616">
      <c r="A616" s="29"/>
      <c r="B616" s="29"/>
      <c r="C616" s="29"/>
      <c r="D616" s="29"/>
    </row>
    <row r="617">
      <c r="A617" s="29"/>
      <c r="B617" s="29"/>
      <c r="C617" s="29"/>
      <c r="D617" s="29"/>
    </row>
    <row r="618">
      <c r="A618" s="29"/>
      <c r="B618" s="29"/>
      <c r="C618" s="29"/>
      <c r="D618" s="29"/>
    </row>
    <row r="619">
      <c r="A619" s="29"/>
      <c r="B619" s="29"/>
      <c r="C619" s="29"/>
      <c r="D619" s="29"/>
    </row>
    <row r="620">
      <c r="A620" s="29"/>
      <c r="B620" s="29"/>
      <c r="C620" s="29"/>
      <c r="D620" s="29"/>
    </row>
    <row r="621">
      <c r="A621" s="29"/>
      <c r="B621" s="29"/>
      <c r="C621" s="29"/>
      <c r="D621" s="29"/>
    </row>
    <row r="622">
      <c r="A622" s="29"/>
      <c r="B622" s="29"/>
      <c r="C622" s="29"/>
      <c r="D622" s="29"/>
    </row>
    <row r="623">
      <c r="A623" s="29"/>
      <c r="B623" s="29"/>
      <c r="C623" s="29"/>
      <c r="D623" s="29"/>
    </row>
    <row r="624">
      <c r="A624" s="29"/>
      <c r="B624" s="29"/>
      <c r="C624" s="29"/>
      <c r="D624" s="29"/>
    </row>
    <row r="625">
      <c r="A625" s="29"/>
      <c r="B625" s="29"/>
      <c r="C625" s="29"/>
      <c r="D625" s="29"/>
    </row>
    <row r="626">
      <c r="A626" s="29"/>
      <c r="B626" s="29"/>
      <c r="C626" s="29"/>
      <c r="D626" s="29"/>
    </row>
    <row r="627">
      <c r="A627" s="29"/>
      <c r="B627" s="29"/>
      <c r="C627" s="29"/>
      <c r="D627" s="29"/>
    </row>
    <row r="628">
      <c r="A628" s="29"/>
      <c r="B628" s="29"/>
      <c r="C628" s="29"/>
      <c r="D628" s="29"/>
    </row>
    <row r="629">
      <c r="A629" s="29"/>
      <c r="B629" s="29"/>
      <c r="C629" s="29"/>
      <c r="D629" s="29"/>
    </row>
    <row r="630">
      <c r="A630" s="29"/>
      <c r="B630" s="29"/>
      <c r="C630" s="29"/>
      <c r="D630" s="29"/>
    </row>
    <row r="631">
      <c r="A631" s="29"/>
      <c r="B631" s="29"/>
      <c r="C631" s="29"/>
      <c r="D631" s="29"/>
    </row>
    <row r="632">
      <c r="A632" s="29"/>
      <c r="B632" s="29"/>
      <c r="C632" s="29"/>
      <c r="D632" s="29"/>
    </row>
    <row r="633">
      <c r="A633" s="29"/>
      <c r="B633" s="29"/>
      <c r="C633" s="29"/>
      <c r="D633" s="29"/>
    </row>
    <row r="634">
      <c r="A634" s="29"/>
      <c r="B634" s="29"/>
      <c r="C634" s="29"/>
      <c r="D634" s="29"/>
    </row>
    <row r="635">
      <c r="A635" s="29"/>
      <c r="B635" s="29"/>
      <c r="C635" s="29"/>
      <c r="D635" s="29"/>
    </row>
    <row r="636">
      <c r="A636" s="29"/>
      <c r="B636" s="29"/>
      <c r="C636" s="29"/>
      <c r="D636" s="29"/>
    </row>
    <row r="637">
      <c r="A637" s="29"/>
      <c r="B637" s="29"/>
      <c r="C637" s="29"/>
      <c r="D637" s="29"/>
    </row>
    <row r="638">
      <c r="A638" s="29"/>
      <c r="B638" s="29"/>
      <c r="C638" s="29"/>
      <c r="D638" s="29"/>
    </row>
    <row r="639">
      <c r="A639" s="29"/>
      <c r="B639" s="29"/>
      <c r="C639" s="29"/>
      <c r="D639" s="29"/>
    </row>
    <row r="640">
      <c r="A640" s="29"/>
      <c r="B640" s="29"/>
      <c r="C640" s="29"/>
      <c r="D640" s="29"/>
    </row>
    <row r="641">
      <c r="A641" s="29"/>
      <c r="B641" s="29"/>
      <c r="C641" s="29"/>
      <c r="D641" s="29"/>
    </row>
    <row r="642">
      <c r="A642" s="29"/>
      <c r="B642" s="29"/>
      <c r="C642" s="29"/>
      <c r="D642" s="29"/>
    </row>
    <row r="643">
      <c r="A643" s="29"/>
      <c r="B643" s="29"/>
      <c r="C643" s="29"/>
      <c r="D643" s="29"/>
    </row>
    <row r="644">
      <c r="A644" s="29"/>
      <c r="B644" s="29"/>
      <c r="C644" s="29"/>
      <c r="D644" s="29"/>
    </row>
    <row r="645">
      <c r="A645" s="29"/>
      <c r="B645" s="29"/>
      <c r="C645" s="29"/>
      <c r="D645" s="29"/>
    </row>
    <row r="646">
      <c r="A646" s="29"/>
      <c r="B646" s="29"/>
      <c r="C646" s="29"/>
      <c r="D646" s="29"/>
    </row>
    <row r="647">
      <c r="A647" s="29"/>
      <c r="B647" s="29"/>
      <c r="C647" s="29"/>
      <c r="D647" s="29"/>
    </row>
    <row r="648">
      <c r="A648" s="29"/>
      <c r="B648" s="29"/>
      <c r="C648" s="29"/>
      <c r="D648" s="29"/>
    </row>
    <row r="649">
      <c r="A649" s="29"/>
      <c r="B649" s="29"/>
      <c r="C649" s="29"/>
      <c r="D649" s="29"/>
    </row>
    <row r="650">
      <c r="A650" s="29"/>
      <c r="B650" s="29"/>
      <c r="C650" s="29"/>
      <c r="D650" s="29"/>
    </row>
    <row r="651">
      <c r="A651" s="29"/>
      <c r="B651" s="29"/>
      <c r="C651" s="29"/>
      <c r="D651" s="29"/>
    </row>
    <row r="652">
      <c r="A652" s="29"/>
      <c r="B652" s="29"/>
      <c r="C652" s="29"/>
      <c r="D652" s="29"/>
    </row>
    <row r="653">
      <c r="A653" s="29"/>
      <c r="B653" s="29"/>
      <c r="C653" s="29"/>
      <c r="D653" s="29"/>
    </row>
    <row r="654">
      <c r="A654" s="29"/>
      <c r="B654" s="29"/>
      <c r="C654" s="29"/>
      <c r="D654" s="29"/>
    </row>
    <row r="655">
      <c r="A655" s="29"/>
      <c r="B655" s="29"/>
      <c r="C655" s="29"/>
      <c r="D655" s="29"/>
    </row>
    <row r="656">
      <c r="A656" s="29"/>
      <c r="B656" s="29"/>
      <c r="C656" s="29"/>
      <c r="D656" s="29"/>
    </row>
    <row r="657">
      <c r="A657" s="29"/>
      <c r="B657" s="29"/>
      <c r="C657" s="29"/>
      <c r="D657" s="29"/>
    </row>
    <row r="658">
      <c r="A658" s="29"/>
      <c r="B658" s="29"/>
      <c r="C658" s="29"/>
      <c r="D658" s="29"/>
    </row>
    <row r="659">
      <c r="A659" s="29"/>
      <c r="B659" s="29"/>
      <c r="C659" s="29"/>
      <c r="D659" s="29"/>
    </row>
    <row r="660">
      <c r="A660" s="29"/>
      <c r="B660" s="29"/>
      <c r="C660" s="29"/>
      <c r="D660" s="29"/>
    </row>
    <row r="661">
      <c r="A661" s="29"/>
      <c r="B661" s="29"/>
      <c r="C661" s="29"/>
      <c r="D661" s="29"/>
    </row>
    <row r="662">
      <c r="A662" s="29"/>
      <c r="B662" s="29"/>
      <c r="C662" s="29"/>
      <c r="D662" s="29"/>
    </row>
    <row r="663">
      <c r="A663" s="29"/>
      <c r="B663" s="29"/>
      <c r="C663" s="29"/>
      <c r="D663" s="29"/>
    </row>
    <row r="664">
      <c r="A664" s="29"/>
      <c r="B664" s="29"/>
      <c r="C664" s="29"/>
      <c r="D664" s="29"/>
    </row>
    <row r="665">
      <c r="A665" s="29"/>
      <c r="B665" s="29"/>
      <c r="C665" s="29"/>
      <c r="D665" s="29"/>
    </row>
    <row r="666">
      <c r="A666" s="29"/>
      <c r="B666" s="29"/>
      <c r="C666" s="29"/>
      <c r="D666" s="29"/>
    </row>
    <row r="667">
      <c r="A667" s="29"/>
      <c r="B667" s="29"/>
      <c r="C667" s="29"/>
      <c r="D667" s="29"/>
    </row>
    <row r="668">
      <c r="A668" s="29"/>
      <c r="B668" s="29"/>
      <c r="C668" s="29"/>
      <c r="D668" s="29"/>
    </row>
    <row r="669">
      <c r="A669" s="29"/>
      <c r="B669" s="29"/>
      <c r="C669" s="29"/>
      <c r="D669" s="29"/>
    </row>
    <row r="670">
      <c r="A670" s="29"/>
      <c r="B670" s="29"/>
      <c r="C670" s="29"/>
      <c r="D670" s="29"/>
    </row>
    <row r="671">
      <c r="A671" s="29"/>
      <c r="B671" s="29"/>
      <c r="C671" s="29"/>
      <c r="D671" s="29"/>
    </row>
    <row r="672">
      <c r="A672" s="29"/>
      <c r="B672" s="29"/>
      <c r="C672" s="29"/>
      <c r="D672" s="29"/>
    </row>
    <row r="673">
      <c r="A673" s="29"/>
      <c r="B673" s="29"/>
      <c r="C673" s="29"/>
      <c r="D673" s="29"/>
    </row>
    <row r="674">
      <c r="A674" s="29"/>
      <c r="B674" s="29"/>
      <c r="C674" s="29"/>
      <c r="D674" s="29"/>
    </row>
    <row r="675">
      <c r="A675" s="29"/>
      <c r="B675" s="29"/>
      <c r="C675" s="29"/>
      <c r="D675" s="29"/>
    </row>
    <row r="676">
      <c r="A676" s="29"/>
      <c r="B676" s="29"/>
      <c r="C676" s="29"/>
      <c r="D676" s="29"/>
    </row>
    <row r="677">
      <c r="A677" s="29"/>
      <c r="B677" s="29"/>
      <c r="C677" s="29"/>
      <c r="D677" s="29"/>
    </row>
    <row r="678">
      <c r="A678" s="29"/>
      <c r="B678" s="29"/>
      <c r="C678" s="29"/>
      <c r="D678" s="29"/>
    </row>
    <row r="679">
      <c r="A679" s="29"/>
      <c r="B679" s="29"/>
      <c r="C679" s="29"/>
      <c r="D679" s="29"/>
    </row>
    <row r="680">
      <c r="A680" s="29"/>
      <c r="B680" s="29"/>
      <c r="C680" s="29"/>
      <c r="D680" s="29"/>
    </row>
    <row r="681">
      <c r="A681" s="29"/>
      <c r="B681" s="29"/>
      <c r="C681" s="29"/>
      <c r="D681" s="29"/>
    </row>
    <row r="682">
      <c r="A682" s="29"/>
      <c r="B682" s="29"/>
      <c r="C682" s="29"/>
      <c r="D682" s="29"/>
    </row>
    <row r="683">
      <c r="A683" s="29"/>
      <c r="B683" s="29"/>
      <c r="C683" s="29"/>
      <c r="D683" s="29"/>
    </row>
    <row r="684">
      <c r="A684" s="29"/>
      <c r="B684" s="29"/>
      <c r="C684" s="29"/>
      <c r="D684" s="29"/>
    </row>
    <row r="685">
      <c r="A685" s="29"/>
      <c r="B685" s="29"/>
      <c r="C685" s="29"/>
      <c r="D685" s="29"/>
    </row>
    <row r="686">
      <c r="A686" s="29"/>
      <c r="B686" s="29"/>
      <c r="C686" s="29"/>
      <c r="D686" s="29"/>
    </row>
    <row r="687">
      <c r="A687" s="29"/>
      <c r="B687" s="29"/>
      <c r="C687" s="29"/>
      <c r="D687" s="29"/>
    </row>
    <row r="688">
      <c r="A688" s="29"/>
      <c r="B688" s="29"/>
      <c r="C688" s="29"/>
      <c r="D688" s="29"/>
    </row>
    <row r="689">
      <c r="A689" s="29"/>
      <c r="B689" s="29"/>
      <c r="C689" s="29"/>
      <c r="D689" s="29"/>
    </row>
    <row r="690">
      <c r="A690" s="29"/>
      <c r="B690" s="29"/>
      <c r="C690" s="29"/>
      <c r="D690" s="29"/>
    </row>
    <row r="691">
      <c r="A691" s="29"/>
      <c r="B691" s="29"/>
      <c r="C691" s="29"/>
      <c r="D691" s="29"/>
    </row>
    <row r="692">
      <c r="A692" s="29"/>
      <c r="B692" s="29"/>
      <c r="C692" s="29"/>
      <c r="D692" s="29"/>
    </row>
    <row r="693">
      <c r="A693" s="29"/>
      <c r="B693" s="29"/>
      <c r="C693" s="29"/>
      <c r="D693" s="29"/>
    </row>
    <row r="694">
      <c r="A694" s="29"/>
      <c r="B694" s="29"/>
      <c r="C694" s="29"/>
      <c r="D694" s="29"/>
    </row>
    <row r="695">
      <c r="A695" s="29"/>
      <c r="B695" s="29"/>
      <c r="C695" s="29"/>
      <c r="D695" s="29"/>
    </row>
    <row r="696">
      <c r="A696" s="29"/>
      <c r="B696" s="29"/>
      <c r="C696" s="29"/>
      <c r="D696" s="29"/>
    </row>
    <row r="697">
      <c r="A697" s="29"/>
      <c r="B697" s="29"/>
      <c r="C697" s="29"/>
      <c r="D697" s="29"/>
    </row>
    <row r="698">
      <c r="A698" s="29"/>
      <c r="B698" s="29"/>
      <c r="C698" s="29"/>
      <c r="D698" s="29"/>
    </row>
    <row r="699">
      <c r="A699" s="29"/>
      <c r="B699" s="29"/>
      <c r="C699" s="29"/>
      <c r="D699" s="29"/>
    </row>
    <row r="700">
      <c r="A700" s="29"/>
      <c r="B700" s="29"/>
      <c r="C700" s="29"/>
      <c r="D700" s="29"/>
    </row>
    <row r="701">
      <c r="A701" s="29"/>
      <c r="B701" s="29"/>
      <c r="C701" s="29"/>
      <c r="D701" s="29"/>
    </row>
    <row r="702">
      <c r="A702" s="29"/>
      <c r="B702" s="29"/>
      <c r="C702" s="29"/>
      <c r="D702" s="29"/>
    </row>
    <row r="703">
      <c r="A703" s="29"/>
      <c r="B703" s="29"/>
      <c r="C703" s="29"/>
      <c r="D703" s="29"/>
    </row>
    <row r="704">
      <c r="A704" s="29"/>
      <c r="B704" s="29"/>
      <c r="C704" s="29"/>
      <c r="D704" s="29"/>
    </row>
    <row r="705">
      <c r="A705" s="29"/>
      <c r="B705" s="29"/>
      <c r="C705" s="29"/>
      <c r="D705" s="29"/>
    </row>
    <row r="706">
      <c r="A706" s="29"/>
      <c r="B706" s="29"/>
      <c r="C706" s="29"/>
      <c r="D706" s="29"/>
    </row>
    <row r="707">
      <c r="A707" s="29"/>
      <c r="B707" s="29"/>
      <c r="C707" s="29"/>
      <c r="D707" s="29"/>
    </row>
    <row r="708">
      <c r="A708" s="29"/>
      <c r="B708" s="29"/>
      <c r="C708" s="29"/>
      <c r="D708" s="29"/>
    </row>
    <row r="709">
      <c r="A709" s="29"/>
      <c r="B709" s="29"/>
      <c r="C709" s="29"/>
      <c r="D709" s="29"/>
    </row>
    <row r="710">
      <c r="A710" s="29"/>
      <c r="B710" s="29"/>
      <c r="C710" s="29"/>
      <c r="D710" s="29"/>
    </row>
    <row r="711">
      <c r="A711" s="29"/>
      <c r="B711" s="29"/>
      <c r="C711" s="29"/>
      <c r="D711" s="29"/>
    </row>
    <row r="712">
      <c r="A712" s="29"/>
      <c r="B712" s="29"/>
      <c r="C712" s="29"/>
      <c r="D712" s="29"/>
    </row>
    <row r="713">
      <c r="A713" s="29"/>
      <c r="B713" s="29"/>
      <c r="C713" s="29"/>
      <c r="D713" s="29"/>
    </row>
    <row r="714">
      <c r="A714" s="29"/>
      <c r="B714" s="29"/>
      <c r="C714" s="29"/>
      <c r="D714" s="29"/>
    </row>
    <row r="715">
      <c r="A715" s="29"/>
      <c r="B715" s="29"/>
      <c r="C715" s="29"/>
      <c r="D715" s="29"/>
    </row>
    <row r="716">
      <c r="A716" s="29"/>
      <c r="B716" s="29"/>
      <c r="C716" s="29"/>
      <c r="D716" s="29"/>
    </row>
    <row r="717">
      <c r="A717" s="29"/>
      <c r="B717" s="29"/>
      <c r="C717" s="29"/>
      <c r="D717" s="29"/>
    </row>
    <row r="718">
      <c r="A718" s="29"/>
      <c r="B718" s="29"/>
      <c r="C718" s="29"/>
      <c r="D718" s="29"/>
    </row>
    <row r="719">
      <c r="A719" s="29"/>
      <c r="B719" s="29"/>
      <c r="C719" s="29"/>
      <c r="D719" s="29"/>
    </row>
    <row r="720">
      <c r="A720" s="29"/>
      <c r="B720" s="29"/>
      <c r="C720" s="29"/>
      <c r="D720" s="29"/>
    </row>
    <row r="721">
      <c r="A721" s="29"/>
      <c r="B721" s="29"/>
      <c r="C721" s="29"/>
      <c r="D721" s="29"/>
    </row>
    <row r="722">
      <c r="A722" s="29"/>
      <c r="B722" s="29"/>
      <c r="C722" s="29"/>
      <c r="D722" s="29"/>
    </row>
    <row r="723">
      <c r="A723" s="29"/>
      <c r="B723" s="29"/>
      <c r="C723" s="29"/>
      <c r="D723" s="29"/>
    </row>
    <row r="724">
      <c r="A724" s="29"/>
      <c r="B724" s="29"/>
      <c r="C724" s="29"/>
      <c r="D724" s="29"/>
    </row>
    <row r="725">
      <c r="A725" s="29"/>
      <c r="B725" s="29"/>
      <c r="C725" s="29"/>
      <c r="D725" s="29"/>
    </row>
    <row r="726">
      <c r="A726" s="29"/>
      <c r="B726" s="29"/>
      <c r="C726" s="29"/>
      <c r="D726" s="29"/>
    </row>
    <row r="727">
      <c r="A727" s="29"/>
      <c r="B727" s="29"/>
      <c r="C727" s="29"/>
      <c r="D727" s="29"/>
    </row>
    <row r="728">
      <c r="A728" s="29"/>
      <c r="B728" s="29"/>
      <c r="C728" s="29"/>
      <c r="D728" s="29"/>
    </row>
    <row r="729">
      <c r="A729" s="29"/>
      <c r="B729" s="29"/>
      <c r="C729" s="29"/>
      <c r="D729" s="29"/>
    </row>
    <row r="730">
      <c r="A730" s="29"/>
      <c r="B730" s="29"/>
      <c r="C730" s="29"/>
      <c r="D730" s="29"/>
    </row>
    <row r="731">
      <c r="A731" s="29"/>
      <c r="B731" s="29"/>
      <c r="C731" s="29"/>
      <c r="D731" s="29"/>
    </row>
    <row r="732">
      <c r="A732" s="29"/>
      <c r="B732" s="29"/>
      <c r="C732" s="29"/>
      <c r="D732" s="29"/>
    </row>
    <row r="733">
      <c r="A733" s="29"/>
      <c r="B733" s="29"/>
      <c r="C733" s="29"/>
      <c r="D733" s="29"/>
    </row>
    <row r="734">
      <c r="A734" s="29"/>
      <c r="B734" s="29"/>
      <c r="C734" s="29"/>
      <c r="D734" s="29"/>
    </row>
    <row r="735">
      <c r="A735" s="29"/>
      <c r="B735" s="29"/>
      <c r="C735" s="29"/>
      <c r="D735" s="29"/>
    </row>
    <row r="736">
      <c r="A736" s="29"/>
      <c r="B736" s="29"/>
      <c r="C736" s="29"/>
      <c r="D736" s="29"/>
    </row>
    <row r="737">
      <c r="A737" s="29"/>
      <c r="B737" s="29"/>
      <c r="C737" s="29"/>
      <c r="D737" s="29"/>
    </row>
    <row r="738">
      <c r="A738" s="29"/>
      <c r="B738" s="29"/>
      <c r="C738" s="29"/>
      <c r="D738" s="29"/>
    </row>
    <row r="739">
      <c r="A739" s="29"/>
      <c r="B739" s="29"/>
      <c r="C739" s="29"/>
      <c r="D739" s="29"/>
    </row>
    <row r="740">
      <c r="A740" s="29"/>
      <c r="B740" s="29"/>
      <c r="C740" s="29"/>
      <c r="D740" s="29"/>
    </row>
    <row r="741">
      <c r="A741" s="29"/>
      <c r="B741" s="29"/>
      <c r="C741" s="29"/>
      <c r="D741" s="29"/>
    </row>
    <row r="742">
      <c r="A742" s="29"/>
      <c r="B742" s="29"/>
      <c r="C742" s="29"/>
      <c r="D742" s="29"/>
    </row>
    <row r="743">
      <c r="A743" s="29"/>
      <c r="B743" s="29"/>
      <c r="C743" s="29"/>
      <c r="D743" s="29"/>
    </row>
    <row r="744">
      <c r="A744" s="29"/>
      <c r="B744" s="29"/>
      <c r="C744" s="29"/>
      <c r="D744" s="29"/>
    </row>
    <row r="745">
      <c r="A745" s="29"/>
      <c r="B745" s="29"/>
      <c r="C745" s="29"/>
      <c r="D745" s="29"/>
    </row>
    <row r="746">
      <c r="A746" s="29"/>
      <c r="B746" s="29"/>
      <c r="C746" s="29"/>
      <c r="D746" s="29"/>
    </row>
    <row r="747">
      <c r="A747" s="29"/>
      <c r="B747" s="29"/>
      <c r="C747" s="29"/>
      <c r="D747" s="29"/>
    </row>
    <row r="748">
      <c r="A748" s="29"/>
      <c r="B748" s="29"/>
      <c r="C748" s="29"/>
      <c r="D748" s="29"/>
    </row>
    <row r="749">
      <c r="A749" s="29"/>
      <c r="B749" s="29"/>
      <c r="C749" s="29"/>
      <c r="D749" s="29"/>
    </row>
    <row r="750">
      <c r="A750" s="29"/>
      <c r="B750" s="29"/>
      <c r="C750" s="29"/>
      <c r="D750" s="29"/>
    </row>
    <row r="751">
      <c r="A751" s="29"/>
      <c r="B751" s="29"/>
      <c r="C751" s="29"/>
      <c r="D751" s="29"/>
    </row>
    <row r="752">
      <c r="A752" s="29"/>
      <c r="B752" s="29"/>
      <c r="C752" s="29"/>
      <c r="D752" s="29"/>
    </row>
    <row r="753">
      <c r="A753" s="29"/>
      <c r="B753" s="29"/>
      <c r="C753" s="29"/>
      <c r="D753" s="29"/>
    </row>
    <row r="754">
      <c r="A754" s="29"/>
      <c r="B754" s="29"/>
      <c r="C754" s="29"/>
      <c r="D754" s="29"/>
    </row>
    <row r="755">
      <c r="A755" s="29"/>
      <c r="B755" s="29"/>
      <c r="C755" s="29"/>
      <c r="D755" s="29"/>
    </row>
    <row r="756">
      <c r="A756" s="29"/>
      <c r="B756" s="29"/>
      <c r="C756" s="29"/>
      <c r="D756" s="29"/>
    </row>
    <row r="757">
      <c r="A757" s="29"/>
      <c r="B757" s="29"/>
      <c r="C757" s="29"/>
      <c r="D757" s="29"/>
    </row>
    <row r="758">
      <c r="A758" s="29"/>
      <c r="B758" s="29"/>
      <c r="C758" s="29"/>
      <c r="D758" s="29"/>
    </row>
    <row r="759">
      <c r="A759" s="29"/>
      <c r="B759" s="29"/>
      <c r="C759" s="29"/>
      <c r="D759" s="29"/>
    </row>
    <row r="760">
      <c r="A760" s="29"/>
      <c r="B760" s="29"/>
      <c r="C760" s="29"/>
      <c r="D760" s="29"/>
    </row>
    <row r="761">
      <c r="A761" s="29"/>
      <c r="B761" s="29"/>
      <c r="C761" s="29"/>
      <c r="D761" s="29"/>
    </row>
    <row r="762">
      <c r="A762" s="29"/>
      <c r="B762" s="29"/>
      <c r="C762" s="29"/>
      <c r="D762" s="29"/>
    </row>
    <row r="763">
      <c r="A763" s="29"/>
      <c r="B763" s="29"/>
      <c r="C763" s="29"/>
      <c r="D763" s="29"/>
    </row>
    <row r="764">
      <c r="A764" s="29"/>
      <c r="B764" s="29"/>
      <c r="C764" s="29"/>
      <c r="D764" s="29"/>
    </row>
    <row r="765">
      <c r="A765" s="29"/>
      <c r="B765" s="29"/>
      <c r="C765" s="29"/>
      <c r="D765" s="29"/>
    </row>
    <row r="766">
      <c r="A766" s="29"/>
      <c r="B766" s="29"/>
      <c r="C766" s="29"/>
      <c r="D766" s="29"/>
    </row>
    <row r="767">
      <c r="A767" s="29"/>
      <c r="B767" s="29"/>
      <c r="C767" s="29"/>
      <c r="D767" s="29"/>
    </row>
    <row r="768">
      <c r="A768" s="29"/>
      <c r="B768" s="29"/>
      <c r="C768" s="29"/>
      <c r="D768" s="29"/>
    </row>
    <row r="769">
      <c r="A769" s="29"/>
      <c r="B769" s="29"/>
      <c r="C769" s="29"/>
      <c r="D769" s="29"/>
    </row>
    <row r="770">
      <c r="A770" s="29"/>
      <c r="B770" s="29"/>
      <c r="C770" s="29"/>
      <c r="D770" s="29"/>
    </row>
    <row r="771">
      <c r="A771" s="29"/>
      <c r="B771" s="29"/>
      <c r="C771" s="29"/>
      <c r="D771" s="29"/>
    </row>
    <row r="772">
      <c r="A772" s="29"/>
      <c r="B772" s="29"/>
      <c r="C772" s="29"/>
      <c r="D772" s="29"/>
    </row>
    <row r="773">
      <c r="A773" s="29"/>
      <c r="B773" s="29"/>
      <c r="C773" s="29"/>
      <c r="D773" s="29"/>
    </row>
    <row r="774">
      <c r="A774" s="29"/>
      <c r="B774" s="29"/>
      <c r="C774" s="29"/>
      <c r="D774" s="29"/>
    </row>
    <row r="775">
      <c r="A775" s="29"/>
      <c r="B775" s="29"/>
      <c r="C775" s="29"/>
      <c r="D775" s="29"/>
    </row>
    <row r="776">
      <c r="A776" s="29"/>
      <c r="B776" s="29"/>
      <c r="C776" s="29"/>
      <c r="D776" s="29"/>
    </row>
    <row r="777">
      <c r="A777" s="29"/>
      <c r="B777" s="29"/>
      <c r="C777" s="29"/>
      <c r="D777" s="29"/>
    </row>
    <row r="778">
      <c r="A778" s="29"/>
      <c r="B778" s="29"/>
      <c r="C778" s="29"/>
      <c r="D778" s="29"/>
    </row>
    <row r="779">
      <c r="A779" s="29"/>
      <c r="B779" s="29"/>
      <c r="C779" s="29"/>
      <c r="D779" s="29"/>
    </row>
    <row r="780">
      <c r="A780" s="29"/>
      <c r="B780" s="29"/>
      <c r="C780" s="29"/>
      <c r="D780" s="29"/>
    </row>
    <row r="781">
      <c r="A781" s="29"/>
      <c r="B781" s="29"/>
      <c r="C781" s="29"/>
      <c r="D781" s="29"/>
    </row>
    <row r="782">
      <c r="A782" s="29"/>
      <c r="B782" s="29"/>
      <c r="C782" s="29"/>
      <c r="D782" s="29"/>
    </row>
    <row r="783">
      <c r="A783" s="29"/>
      <c r="B783" s="29"/>
      <c r="C783" s="29"/>
      <c r="D783" s="29"/>
    </row>
    <row r="784">
      <c r="A784" s="29"/>
      <c r="B784" s="29"/>
      <c r="C784" s="29"/>
      <c r="D784" s="29"/>
    </row>
    <row r="785">
      <c r="A785" s="29"/>
      <c r="B785" s="29"/>
      <c r="C785" s="29"/>
      <c r="D785" s="29"/>
    </row>
    <row r="786">
      <c r="A786" s="29"/>
      <c r="B786" s="29"/>
      <c r="C786" s="29"/>
      <c r="D786" s="29"/>
    </row>
    <row r="787">
      <c r="A787" s="29"/>
      <c r="B787" s="29"/>
      <c r="C787" s="29"/>
      <c r="D787" s="29"/>
    </row>
    <row r="788">
      <c r="A788" s="29"/>
      <c r="B788" s="29"/>
      <c r="C788" s="29"/>
      <c r="D788" s="29"/>
    </row>
    <row r="789">
      <c r="A789" s="29"/>
      <c r="B789" s="29"/>
      <c r="C789" s="29"/>
      <c r="D789" s="29"/>
    </row>
    <row r="790">
      <c r="A790" s="29"/>
      <c r="B790" s="29"/>
      <c r="C790" s="29"/>
      <c r="D790" s="29"/>
    </row>
    <row r="791">
      <c r="A791" s="29"/>
      <c r="B791" s="29"/>
      <c r="C791" s="29"/>
      <c r="D791" s="29"/>
    </row>
    <row r="792">
      <c r="A792" s="29"/>
      <c r="B792" s="29"/>
      <c r="C792" s="29"/>
      <c r="D792" s="29"/>
    </row>
    <row r="793">
      <c r="A793" s="29"/>
      <c r="B793" s="29"/>
      <c r="C793" s="29"/>
      <c r="D793" s="29"/>
    </row>
    <row r="794">
      <c r="A794" s="29"/>
      <c r="B794" s="29"/>
      <c r="C794" s="29"/>
      <c r="D794" s="29"/>
    </row>
    <row r="795">
      <c r="A795" s="29"/>
      <c r="B795" s="29"/>
      <c r="C795" s="29"/>
      <c r="D795" s="29"/>
    </row>
    <row r="796">
      <c r="A796" s="29"/>
      <c r="B796" s="29"/>
      <c r="C796" s="29"/>
      <c r="D796" s="29"/>
    </row>
    <row r="797">
      <c r="A797" s="29"/>
      <c r="B797" s="29"/>
      <c r="C797" s="29"/>
      <c r="D797" s="29"/>
    </row>
    <row r="798">
      <c r="A798" s="29"/>
      <c r="B798" s="29"/>
      <c r="C798" s="29"/>
      <c r="D798" s="29"/>
    </row>
    <row r="799">
      <c r="A799" s="29"/>
      <c r="B799" s="29"/>
      <c r="C799" s="29"/>
      <c r="D799" s="29"/>
    </row>
    <row r="800">
      <c r="A800" s="29"/>
      <c r="B800" s="29"/>
      <c r="C800" s="29"/>
      <c r="D800" s="29"/>
    </row>
    <row r="801">
      <c r="A801" s="29"/>
      <c r="B801" s="29"/>
      <c r="C801" s="29"/>
      <c r="D801" s="29"/>
    </row>
    <row r="802">
      <c r="A802" s="29"/>
      <c r="B802" s="29"/>
      <c r="C802" s="29"/>
      <c r="D802" s="29"/>
    </row>
    <row r="803">
      <c r="A803" s="29"/>
      <c r="B803" s="29"/>
      <c r="C803" s="29"/>
      <c r="D803" s="29"/>
    </row>
    <row r="804">
      <c r="A804" s="29"/>
      <c r="B804" s="29"/>
      <c r="C804" s="29"/>
      <c r="D804" s="29"/>
    </row>
    <row r="805">
      <c r="A805" s="29"/>
      <c r="B805" s="29"/>
      <c r="C805" s="29"/>
      <c r="D805" s="29"/>
    </row>
    <row r="806">
      <c r="A806" s="29"/>
      <c r="B806" s="29"/>
      <c r="C806" s="29"/>
      <c r="D806" s="29"/>
    </row>
    <row r="807">
      <c r="A807" s="29"/>
      <c r="B807" s="29"/>
      <c r="C807" s="29"/>
      <c r="D807" s="29"/>
    </row>
    <row r="808">
      <c r="A808" s="29"/>
      <c r="B808" s="29"/>
      <c r="C808" s="29"/>
      <c r="D808" s="29"/>
    </row>
    <row r="809">
      <c r="A809" s="29"/>
      <c r="B809" s="29"/>
      <c r="C809" s="29"/>
      <c r="D809" s="29"/>
    </row>
    <row r="810">
      <c r="A810" s="29"/>
      <c r="B810" s="29"/>
      <c r="C810" s="29"/>
      <c r="D810" s="29"/>
    </row>
    <row r="811">
      <c r="A811" s="29"/>
      <c r="B811" s="29"/>
      <c r="C811" s="29"/>
      <c r="D811" s="29"/>
    </row>
    <row r="812">
      <c r="A812" s="29"/>
      <c r="B812" s="29"/>
      <c r="C812" s="29"/>
      <c r="D812" s="29"/>
    </row>
    <row r="813">
      <c r="A813" s="29"/>
      <c r="B813" s="29"/>
      <c r="C813" s="29"/>
      <c r="D813" s="29"/>
    </row>
    <row r="814">
      <c r="A814" s="29"/>
      <c r="B814" s="29"/>
      <c r="C814" s="29"/>
      <c r="D814" s="29"/>
    </row>
    <row r="815">
      <c r="A815" s="29"/>
      <c r="B815" s="29"/>
      <c r="C815" s="29"/>
      <c r="D815" s="29"/>
    </row>
    <row r="816">
      <c r="A816" s="29"/>
      <c r="B816" s="29"/>
      <c r="C816" s="29"/>
      <c r="D816" s="29"/>
    </row>
    <row r="817">
      <c r="A817" s="29"/>
      <c r="B817" s="29"/>
      <c r="C817" s="29"/>
      <c r="D817" s="29"/>
    </row>
    <row r="818">
      <c r="A818" s="29"/>
      <c r="B818" s="29"/>
      <c r="C818" s="29"/>
      <c r="D818" s="29"/>
    </row>
    <row r="819">
      <c r="A819" s="29"/>
      <c r="B819" s="29"/>
      <c r="C819" s="29"/>
      <c r="D819" s="29"/>
    </row>
    <row r="820">
      <c r="A820" s="29"/>
      <c r="B820" s="29"/>
      <c r="C820" s="29"/>
      <c r="D820" s="29"/>
    </row>
    <row r="821">
      <c r="A821" s="29"/>
      <c r="B821" s="29"/>
      <c r="C821" s="29"/>
      <c r="D821" s="29"/>
    </row>
    <row r="822">
      <c r="A822" s="29"/>
      <c r="B822" s="29"/>
      <c r="C822" s="29"/>
      <c r="D822" s="29"/>
    </row>
    <row r="823">
      <c r="A823" s="29"/>
      <c r="B823" s="29"/>
      <c r="C823" s="29"/>
      <c r="D823" s="29"/>
    </row>
    <row r="824">
      <c r="A824" s="29"/>
      <c r="B824" s="29"/>
      <c r="C824" s="29"/>
      <c r="D824" s="29"/>
    </row>
    <row r="825">
      <c r="A825" s="29"/>
      <c r="B825" s="29"/>
      <c r="C825" s="29"/>
      <c r="D825" s="29"/>
    </row>
    <row r="826">
      <c r="A826" s="29"/>
      <c r="B826" s="29"/>
      <c r="C826" s="29"/>
      <c r="D826" s="29"/>
    </row>
    <row r="827">
      <c r="A827" s="29"/>
      <c r="B827" s="29"/>
      <c r="C827" s="29"/>
      <c r="D827" s="29"/>
    </row>
    <row r="828">
      <c r="A828" s="29"/>
      <c r="B828" s="29"/>
      <c r="C828" s="29"/>
      <c r="D828" s="29"/>
    </row>
    <row r="829">
      <c r="A829" s="29"/>
      <c r="B829" s="29"/>
      <c r="C829" s="29"/>
      <c r="D829" s="29"/>
    </row>
    <row r="830">
      <c r="A830" s="29"/>
      <c r="B830" s="29"/>
      <c r="C830" s="29"/>
      <c r="D830" s="29"/>
    </row>
    <row r="831">
      <c r="A831" s="29"/>
      <c r="B831" s="29"/>
      <c r="C831" s="29"/>
      <c r="D831" s="29"/>
    </row>
    <row r="832">
      <c r="A832" s="29"/>
      <c r="B832" s="29"/>
      <c r="C832" s="29"/>
      <c r="D832" s="29"/>
    </row>
    <row r="833">
      <c r="A833" s="29"/>
      <c r="B833" s="29"/>
      <c r="C833" s="29"/>
      <c r="D833" s="29"/>
    </row>
    <row r="834">
      <c r="A834" s="29"/>
      <c r="B834" s="29"/>
      <c r="C834" s="29"/>
      <c r="D834" s="29"/>
    </row>
    <row r="835">
      <c r="A835" s="29"/>
      <c r="B835" s="29"/>
      <c r="C835" s="29"/>
      <c r="D835" s="29"/>
    </row>
    <row r="836">
      <c r="A836" s="29"/>
      <c r="B836" s="29"/>
      <c r="C836" s="29"/>
      <c r="D836" s="29"/>
    </row>
    <row r="837">
      <c r="A837" s="29"/>
      <c r="B837" s="29"/>
      <c r="C837" s="29"/>
      <c r="D837" s="29"/>
    </row>
    <row r="838">
      <c r="A838" s="29"/>
      <c r="B838" s="29"/>
      <c r="C838" s="29"/>
      <c r="D838" s="29"/>
    </row>
    <row r="839">
      <c r="A839" s="29"/>
      <c r="B839" s="29"/>
      <c r="C839" s="29"/>
      <c r="D839" s="29"/>
    </row>
    <row r="840">
      <c r="A840" s="29"/>
      <c r="B840" s="29"/>
      <c r="C840" s="29"/>
      <c r="D840" s="29"/>
    </row>
    <row r="841">
      <c r="A841" s="29"/>
      <c r="B841" s="29"/>
      <c r="C841" s="29"/>
      <c r="D841" s="29"/>
    </row>
    <row r="842">
      <c r="A842" s="29"/>
      <c r="B842" s="29"/>
      <c r="C842" s="29"/>
      <c r="D842" s="29"/>
    </row>
    <row r="843">
      <c r="A843" s="29"/>
      <c r="B843" s="29"/>
      <c r="C843" s="29"/>
      <c r="D843" s="29"/>
    </row>
    <row r="844">
      <c r="A844" s="29"/>
      <c r="B844" s="29"/>
      <c r="C844" s="29"/>
      <c r="D844" s="29"/>
    </row>
    <row r="845">
      <c r="A845" s="29"/>
      <c r="B845" s="29"/>
      <c r="C845" s="29"/>
      <c r="D845" s="29"/>
    </row>
    <row r="846">
      <c r="A846" s="29"/>
      <c r="B846" s="29"/>
      <c r="C846" s="29"/>
      <c r="D846" s="29"/>
    </row>
    <row r="847">
      <c r="A847" s="29"/>
      <c r="B847" s="29"/>
      <c r="C847" s="29"/>
      <c r="D847" s="29"/>
    </row>
    <row r="848">
      <c r="A848" s="29"/>
      <c r="B848" s="29"/>
      <c r="C848" s="29"/>
      <c r="D848" s="29"/>
    </row>
    <row r="849">
      <c r="A849" s="29"/>
      <c r="B849" s="29"/>
      <c r="C849" s="29"/>
      <c r="D849" s="29"/>
    </row>
    <row r="850">
      <c r="A850" s="29"/>
      <c r="B850" s="29"/>
      <c r="C850" s="29"/>
      <c r="D850" s="29"/>
    </row>
    <row r="851">
      <c r="A851" s="29"/>
      <c r="B851" s="29"/>
      <c r="C851" s="29"/>
      <c r="D851" s="29"/>
    </row>
    <row r="852">
      <c r="A852" s="29"/>
      <c r="B852" s="29"/>
      <c r="C852" s="29"/>
      <c r="D852" s="29"/>
    </row>
    <row r="853">
      <c r="A853" s="29"/>
      <c r="B853" s="29"/>
      <c r="C853" s="29"/>
      <c r="D853" s="29"/>
    </row>
    <row r="854">
      <c r="A854" s="29"/>
      <c r="B854" s="29"/>
      <c r="C854" s="29"/>
      <c r="D854" s="29"/>
    </row>
    <row r="855">
      <c r="A855" s="29"/>
      <c r="B855" s="29"/>
      <c r="C855" s="29"/>
      <c r="D855" s="29"/>
    </row>
    <row r="856">
      <c r="A856" s="29"/>
      <c r="B856" s="29"/>
      <c r="C856" s="29"/>
      <c r="D856" s="29"/>
    </row>
    <row r="857">
      <c r="A857" s="29"/>
      <c r="B857" s="29"/>
      <c r="C857" s="29"/>
      <c r="D857" s="29"/>
    </row>
    <row r="858">
      <c r="A858" s="29"/>
      <c r="B858" s="29"/>
      <c r="C858" s="29"/>
      <c r="D858" s="29"/>
    </row>
    <row r="859">
      <c r="A859" s="29"/>
      <c r="B859" s="29"/>
      <c r="C859" s="29"/>
      <c r="D859" s="29"/>
    </row>
    <row r="860">
      <c r="A860" s="29"/>
      <c r="B860" s="29"/>
      <c r="C860" s="29"/>
      <c r="D860" s="29"/>
    </row>
    <row r="861">
      <c r="A861" s="29"/>
      <c r="B861" s="29"/>
      <c r="C861" s="29"/>
      <c r="D861" s="29"/>
    </row>
    <row r="862">
      <c r="A862" s="29"/>
      <c r="B862" s="29"/>
      <c r="C862" s="29"/>
      <c r="D862" s="29"/>
    </row>
    <row r="863">
      <c r="A863" s="29"/>
      <c r="B863" s="29"/>
      <c r="C863" s="29"/>
      <c r="D863" s="29"/>
    </row>
    <row r="864">
      <c r="A864" s="29"/>
      <c r="B864" s="29"/>
      <c r="C864" s="29"/>
      <c r="D864" s="29"/>
    </row>
    <row r="865">
      <c r="A865" s="29"/>
      <c r="B865" s="29"/>
      <c r="C865" s="29"/>
      <c r="D865" s="29"/>
    </row>
    <row r="866">
      <c r="A866" s="29"/>
      <c r="B866" s="29"/>
      <c r="C866" s="29"/>
      <c r="D866" s="29"/>
    </row>
    <row r="867">
      <c r="A867" s="29"/>
      <c r="B867" s="29"/>
      <c r="C867" s="29"/>
      <c r="D867" s="29"/>
    </row>
    <row r="868">
      <c r="A868" s="29"/>
      <c r="B868" s="29"/>
      <c r="C868" s="29"/>
      <c r="D868" s="29"/>
    </row>
    <row r="869">
      <c r="A869" s="29"/>
      <c r="B869" s="29"/>
      <c r="C869" s="29"/>
      <c r="D869" s="29"/>
    </row>
    <row r="870">
      <c r="A870" s="29"/>
      <c r="B870" s="29"/>
      <c r="C870" s="29"/>
      <c r="D870" s="29"/>
    </row>
    <row r="871">
      <c r="A871" s="29"/>
      <c r="B871" s="29"/>
      <c r="C871" s="29"/>
      <c r="D871" s="29"/>
    </row>
    <row r="872">
      <c r="A872" s="29"/>
      <c r="B872" s="29"/>
      <c r="C872" s="29"/>
      <c r="D872" s="29"/>
    </row>
    <row r="873">
      <c r="A873" s="29"/>
      <c r="B873" s="29"/>
      <c r="C873" s="29"/>
      <c r="D873" s="29"/>
    </row>
    <row r="874">
      <c r="A874" s="29"/>
      <c r="B874" s="29"/>
      <c r="C874" s="29"/>
      <c r="D874" s="29"/>
    </row>
    <row r="875">
      <c r="A875" s="29"/>
      <c r="B875" s="29"/>
      <c r="C875" s="29"/>
      <c r="D875" s="29"/>
    </row>
    <row r="876">
      <c r="A876" s="29"/>
      <c r="B876" s="29"/>
      <c r="C876" s="29"/>
      <c r="D876" s="29"/>
    </row>
    <row r="877">
      <c r="A877" s="29"/>
      <c r="B877" s="29"/>
      <c r="C877" s="29"/>
      <c r="D877" s="29"/>
    </row>
    <row r="878">
      <c r="A878" s="29"/>
      <c r="B878" s="29"/>
      <c r="C878" s="29"/>
      <c r="D878" s="29"/>
    </row>
    <row r="879">
      <c r="A879" s="29"/>
      <c r="B879" s="29"/>
      <c r="C879" s="29"/>
      <c r="D879" s="29"/>
    </row>
    <row r="880">
      <c r="A880" s="29"/>
      <c r="B880" s="29"/>
      <c r="C880" s="29"/>
      <c r="D880" s="29"/>
    </row>
    <row r="881">
      <c r="A881" s="29"/>
      <c r="B881" s="29"/>
      <c r="C881" s="29"/>
      <c r="D881" s="29"/>
    </row>
    <row r="882">
      <c r="A882" s="29"/>
      <c r="B882" s="29"/>
      <c r="C882" s="29"/>
      <c r="D882" s="29"/>
    </row>
    <row r="883">
      <c r="A883" s="29"/>
      <c r="B883" s="29"/>
      <c r="C883" s="29"/>
      <c r="D883" s="29"/>
    </row>
    <row r="884">
      <c r="A884" s="29"/>
      <c r="B884" s="29"/>
      <c r="C884" s="29"/>
      <c r="D884" s="29"/>
    </row>
    <row r="885">
      <c r="A885" s="29"/>
      <c r="B885" s="29"/>
      <c r="C885" s="29"/>
      <c r="D885" s="29"/>
    </row>
    <row r="886">
      <c r="A886" s="29"/>
      <c r="B886" s="29"/>
      <c r="C886" s="29"/>
      <c r="D886" s="29"/>
    </row>
    <row r="887">
      <c r="A887" s="29"/>
      <c r="B887" s="29"/>
      <c r="C887" s="29"/>
      <c r="D887" s="29"/>
    </row>
    <row r="888">
      <c r="A888" s="29"/>
      <c r="B888" s="29"/>
      <c r="C888" s="29"/>
      <c r="D888" s="29"/>
    </row>
    <row r="889">
      <c r="A889" s="29"/>
      <c r="B889" s="29"/>
      <c r="C889" s="29"/>
      <c r="D889" s="29"/>
    </row>
    <row r="890">
      <c r="A890" s="29"/>
      <c r="B890" s="29"/>
      <c r="C890" s="29"/>
      <c r="D890" s="29"/>
    </row>
    <row r="891">
      <c r="A891" s="29"/>
      <c r="B891" s="29"/>
      <c r="C891" s="29"/>
      <c r="D891" s="29"/>
    </row>
    <row r="892">
      <c r="A892" s="29"/>
      <c r="B892" s="29"/>
      <c r="C892" s="29"/>
      <c r="D892" s="29"/>
    </row>
    <row r="893">
      <c r="A893" s="29"/>
      <c r="B893" s="29"/>
      <c r="C893" s="29"/>
      <c r="D893" s="29"/>
    </row>
    <row r="894">
      <c r="A894" s="29"/>
      <c r="B894" s="29"/>
      <c r="C894" s="29"/>
      <c r="D894" s="29"/>
    </row>
    <row r="895">
      <c r="A895" s="29"/>
      <c r="B895" s="29"/>
      <c r="C895" s="29"/>
      <c r="D895" s="29"/>
    </row>
    <row r="896">
      <c r="A896" s="29"/>
      <c r="B896" s="29"/>
      <c r="C896" s="29"/>
      <c r="D896" s="29"/>
    </row>
    <row r="897">
      <c r="A897" s="29"/>
      <c r="B897" s="29"/>
      <c r="C897" s="29"/>
      <c r="D897" s="29"/>
    </row>
    <row r="898">
      <c r="A898" s="29"/>
      <c r="B898" s="29"/>
      <c r="C898" s="29"/>
      <c r="D898" s="29"/>
    </row>
    <row r="899">
      <c r="A899" s="29"/>
      <c r="B899" s="29"/>
      <c r="C899" s="29"/>
      <c r="D899" s="29"/>
    </row>
    <row r="900">
      <c r="A900" s="29"/>
      <c r="B900" s="29"/>
      <c r="C900" s="29"/>
      <c r="D900" s="29"/>
    </row>
    <row r="901">
      <c r="A901" s="29"/>
      <c r="B901" s="29"/>
      <c r="C901" s="29"/>
      <c r="D901" s="29"/>
    </row>
    <row r="902">
      <c r="A902" s="29"/>
      <c r="B902" s="29"/>
      <c r="C902" s="29"/>
      <c r="D902" s="29"/>
    </row>
    <row r="903">
      <c r="A903" s="29"/>
      <c r="B903" s="29"/>
      <c r="C903" s="29"/>
      <c r="D903" s="29"/>
    </row>
    <row r="904">
      <c r="A904" s="29"/>
      <c r="B904" s="29"/>
      <c r="C904" s="29"/>
      <c r="D904" s="29"/>
    </row>
    <row r="905">
      <c r="A905" s="29"/>
      <c r="B905" s="29"/>
      <c r="C905" s="29"/>
      <c r="D905" s="29"/>
    </row>
    <row r="906">
      <c r="A906" s="29"/>
      <c r="B906" s="29"/>
      <c r="C906" s="29"/>
      <c r="D906" s="29"/>
    </row>
    <row r="907">
      <c r="A907" s="29"/>
      <c r="B907" s="29"/>
      <c r="C907" s="29"/>
      <c r="D907" s="29"/>
    </row>
    <row r="908">
      <c r="A908" s="29"/>
      <c r="B908" s="29"/>
      <c r="C908" s="29"/>
      <c r="D908" s="29"/>
    </row>
    <row r="909">
      <c r="A909" s="29"/>
      <c r="B909" s="29"/>
      <c r="C909" s="29"/>
      <c r="D909" s="29"/>
    </row>
    <row r="910">
      <c r="A910" s="29"/>
      <c r="B910" s="29"/>
      <c r="C910" s="29"/>
      <c r="D910" s="29"/>
    </row>
    <row r="911">
      <c r="A911" s="29"/>
      <c r="B911" s="29"/>
      <c r="C911" s="29"/>
      <c r="D911" s="29"/>
    </row>
    <row r="912">
      <c r="A912" s="29"/>
      <c r="B912" s="29"/>
      <c r="C912" s="29"/>
      <c r="D912" s="29"/>
    </row>
    <row r="913">
      <c r="A913" s="29"/>
      <c r="B913" s="29"/>
      <c r="C913" s="29"/>
      <c r="D913" s="29"/>
    </row>
    <row r="914">
      <c r="A914" s="29"/>
      <c r="B914" s="29"/>
      <c r="C914" s="29"/>
      <c r="D914" s="29"/>
    </row>
    <row r="915">
      <c r="A915" s="29"/>
      <c r="B915" s="29"/>
      <c r="C915" s="29"/>
      <c r="D915" s="29"/>
    </row>
    <row r="916">
      <c r="A916" s="29"/>
      <c r="B916" s="29"/>
      <c r="C916" s="29"/>
      <c r="D916" s="29"/>
    </row>
    <row r="917">
      <c r="A917" s="29"/>
      <c r="B917" s="29"/>
      <c r="C917" s="29"/>
      <c r="D917" s="29"/>
    </row>
    <row r="918">
      <c r="A918" s="29"/>
      <c r="B918" s="29"/>
      <c r="C918" s="29"/>
      <c r="D918" s="29"/>
    </row>
    <row r="919">
      <c r="A919" s="29"/>
      <c r="B919" s="29"/>
      <c r="C919" s="29"/>
      <c r="D919" s="29"/>
    </row>
    <row r="920">
      <c r="A920" s="29"/>
      <c r="B920" s="29"/>
      <c r="C920" s="29"/>
      <c r="D920" s="29"/>
    </row>
    <row r="921">
      <c r="A921" s="29"/>
      <c r="B921" s="29"/>
      <c r="C921" s="29"/>
      <c r="D921" s="29"/>
    </row>
    <row r="922">
      <c r="A922" s="29"/>
      <c r="B922" s="29"/>
      <c r="C922" s="29"/>
      <c r="D922" s="29"/>
    </row>
    <row r="923">
      <c r="A923" s="29"/>
      <c r="B923" s="29"/>
      <c r="C923" s="29"/>
      <c r="D923" s="29"/>
    </row>
    <row r="924">
      <c r="A924" s="29"/>
      <c r="B924" s="29"/>
      <c r="C924" s="29"/>
      <c r="D924" s="29"/>
    </row>
    <row r="925">
      <c r="A925" s="29"/>
      <c r="B925" s="29"/>
      <c r="C925" s="29"/>
      <c r="D925" s="29"/>
    </row>
    <row r="926">
      <c r="A926" s="29"/>
      <c r="B926" s="29"/>
      <c r="C926" s="29"/>
      <c r="D926" s="29"/>
    </row>
    <row r="927">
      <c r="A927" s="29"/>
      <c r="B927" s="29"/>
      <c r="C927" s="29"/>
      <c r="D927" s="29"/>
    </row>
    <row r="928">
      <c r="A928" s="29"/>
      <c r="B928" s="29"/>
      <c r="C928" s="29"/>
      <c r="D928" s="29"/>
    </row>
    <row r="929">
      <c r="A929" s="29"/>
      <c r="B929" s="29"/>
      <c r="C929" s="29"/>
      <c r="D929" s="29"/>
    </row>
    <row r="930">
      <c r="A930" s="29"/>
      <c r="B930" s="29"/>
      <c r="C930" s="29"/>
      <c r="D930" s="29"/>
    </row>
    <row r="931">
      <c r="A931" s="29"/>
      <c r="B931" s="29"/>
      <c r="C931" s="29"/>
      <c r="D931" s="29"/>
    </row>
    <row r="932">
      <c r="A932" s="29"/>
      <c r="B932" s="29"/>
      <c r="C932" s="29"/>
      <c r="D932" s="29"/>
    </row>
    <row r="933">
      <c r="A933" s="29"/>
      <c r="B933" s="29"/>
      <c r="C933" s="29"/>
      <c r="D933" s="29"/>
    </row>
    <row r="934">
      <c r="A934" s="29"/>
      <c r="B934" s="29"/>
      <c r="C934" s="29"/>
      <c r="D934" s="29"/>
    </row>
    <row r="935">
      <c r="A935" s="29"/>
      <c r="B935" s="29"/>
      <c r="C935" s="29"/>
      <c r="D935" s="29"/>
    </row>
    <row r="936">
      <c r="A936" s="29"/>
      <c r="B936" s="29"/>
      <c r="C936" s="29"/>
      <c r="D936" s="29"/>
    </row>
    <row r="937">
      <c r="A937" s="29"/>
      <c r="B937" s="29"/>
      <c r="C937" s="29"/>
      <c r="D937" s="29"/>
    </row>
    <row r="938">
      <c r="A938" s="29"/>
      <c r="B938" s="29"/>
      <c r="C938" s="29"/>
      <c r="D938" s="29"/>
    </row>
    <row r="939">
      <c r="A939" s="29"/>
      <c r="B939" s="29"/>
      <c r="C939" s="29"/>
      <c r="D939" s="29"/>
    </row>
    <row r="940">
      <c r="A940" s="29"/>
      <c r="B940" s="29"/>
      <c r="C940" s="29"/>
      <c r="D940" s="29"/>
    </row>
    <row r="941">
      <c r="A941" s="29"/>
      <c r="B941" s="29"/>
      <c r="C941" s="29"/>
      <c r="D941" s="29"/>
    </row>
    <row r="942">
      <c r="A942" s="29"/>
      <c r="B942" s="29"/>
      <c r="C942" s="29"/>
      <c r="D942" s="29"/>
    </row>
    <row r="943">
      <c r="A943" s="29"/>
      <c r="B943" s="29"/>
      <c r="C943" s="29"/>
      <c r="D943" s="29"/>
    </row>
    <row r="944">
      <c r="A944" s="29"/>
      <c r="B944" s="29"/>
      <c r="C944" s="29"/>
      <c r="D944" s="29"/>
    </row>
    <row r="945">
      <c r="A945" s="29"/>
      <c r="B945" s="29"/>
      <c r="C945" s="29"/>
      <c r="D945" s="29"/>
    </row>
    <row r="946">
      <c r="A946" s="29"/>
      <c r="B946" s="29"/>
      <c r="C946" s="29"/>
      <c r="D946" s="29"/>
    </row>
    <row r="947">
      <c r="A947" s="29"/>
      <c r="B947" s="29"/>
      <c r="C947" s="29"/>
      <c r="D947" s="29"/>
    </row>
    <row r="948">
      <c r="A948" s="29"/>
      <c r="B948" s="29"/>
      <c r="C948" s="29"/>
      <c r="D948" s="29"/>
    </row>
    <row r="949">
      <c r="A949" s="29"/>
      <c r="B949" s="29"/>
      <c r="C949" s="29"/>
      <c r="D949" s="29"/>
    </row>
    <row r="950">
      <c r="A950" s="29"/>
      <c r="B950" s="29"/>
      <c r="C950" s="29"/>
      <c r="D950" s="29"/>
    </row>
    <row r="951">
      <c r="A951" s="29"/>
      <c r="B951" s="29"/>
      <c r="C951" s="29"/>
      <c r="D951" s="29"/>
    </row>
    <row r="952">
      <c r="A952" s="29"/>
      <c r="B952" s="29"/>
      <c r="C952" s="29"/>
      <c r="D952" s="29"/>
    </row>
    <row r="953">
      <c r="A953" s="29"/>
      <c r="B953" s="29"/>
      <c r="C953" s="29"/>
      <c r="D953" s="29"/>
    </row>
    <row r="954">
      <c r="A954" s="29"/>
      <c r="B954" s="29"/>
      <c r="C954" s="29"/>
      <c r="D954" s="29"/>
    </row>
    <row r="955">
      <c r="A955" s="29"/>
      <c r="B955" s="29"/>
      <c r="C955" s="29"/>
      <c r="D955" s="29"/>
    </row>
    <row r="956">
      <c r="A956" s="29"/>
      <c r="B956" s="29"/>
      <c r="C956" s="29"/>
      <c r="D956" s="29"/>
    </row>
    <row r="957">
      <c r="A957" s="29"/>
      <c r="B957" s="29"/>
      <c r="C957" s="29"/>
      <c r="D957" s="29"/>
    </row>
    <row r="958">
      <c r="A958" s="29"/>
      <c r="B958" s="29"/>
      <c r="C958" s="29"/>
      <c r="D958" s="29"/>
    </row>
    <row r="959">
      <c r="A959" s="29"/>
      <c r="B959" s="29"/>
      <c r="C959" s="29"/>
      <c r="D959" s="29"/>
    </row>
    <row r="960">
      <c r="A960" s="29"/>
      <c r="B960" s="29"/>
      <c r="C960" s="29"/>
      <c r="D960" s="29"/>
    </row>
    <row r="961">
      <c r="A961" s="29"/>
      <c r="B961" s="29"/>
      <c r="C961" s="29"/>
      <c r="D961" s="29"/>
    </row>
    <row r="962">
      <c r="A962" s="29"/>
      <c r="B962" s="29"/>
      <c r="C962" s="29"/>
      <c r="D962" s="29"/>
    </row>
    <row r="963">
      <c r="A963" s="29"/>
      <c r="B963" s="29"/>
      <c r="C963" s="29"/>
      <c r="D963" s="29"/>
    </row>
    <row r="964">
      <c r="A964" s="29"/>
      <c r="B964" s="29"/>
      <c r="C964" s="29"/>
      <c r="D964" s="29"/>
    </row>
    <row r="965">
      <c r="A965" s="29"/>
      <c r="B965" s="29"/>
      <c r="C965" s="29"/>
      <c r="D965" s="29"/>
    </row>
    <row r="966">
      <c r="A966" s="29"/>
      <c r="B966" s="29"/>
      <c r="C966" s="29"/>
      <c r="D966" s="29"/>
    </row>
    <row r="967">
      <c r="A967" s="29"/>
      <c r="B967" s="29"/>
      <c r="C967" s="29"/>
      <c r="D967" s="29"/>
    </row>
    <row r="968">
      <c r="A968" s="29"/>
      <c r="B968" s="29"/>
      <c r="C968" s="29"/>
      <c r="D968" s="29"/>
    </row>
    <row r="969">
      <c r="A969" s="29"/>
      <c r="B969" s="29"/>
      <c r="C969" s="29"/>
      <c r="D969" s="29"/>
    </row>
    <row r="970">
      <c r="A970" s="29"/>
      <c r="B970" s="29"/>
      <c r="C970" s="29"/>
      <c r="D970" s="29"/>
    </row>
    <row r="971">
      <c r="A971" s="29"/>
      <c r="B971" s="29"/>
      <c r="C971" s="29"/>
      <c r="D971" s="29"/>
    </row>
    <row r="972">
      <c r="A972" s="29"/>
      <c r="B972" s="29"/>
      <c r="C972" s="29"/>
      <c r="D972" s="29"/>
    </row>
    <row r="973">
      <c r="A973" s="29"/>
      <c r="B973" s="29"/>
      <c r="C973" s="29"/>
      <c r="D973" s="29"/>
    </row>
    <row r="974">
      <c r="A974" s="29"/>
      <c r="B974" s="29"/>
      <c r="C974" s="29"/>
      <c r="D974" s="29"/>
    </row>
    <row r="975">
      <c r="A975" s="29"/>
      <c r="B975" s="29"/>
      <c r="C975" s="29"/>
      <c r="D975" s="29"/>
    </row>
    <row r="976">
      <c r="A976" s="29"/>
      <c r="B976" s="29"/>
      <c r="C976" s="29"/>
      <c r="D976" s="29"/>
    </row>
    <row r="977">
      <c r="A977" s="29"/>
      <c r="B977" s="29"/>
      <c r="C977" s="29"/>
      <c r="D977" s="29"/>
    </row>
    <row r="978">
      <c r="A978" s="29"/>
      <c r="B978" s="29"/>
      <c r="C978" s="29"/>
      <c r="D978" s="29"/>
    </row>
    <row r="979">
      <c r="A979" s="29"/>
      <c r="B979" s="29"/>
      <c r="C979" s="29"/>
      <c r="D979" s="29"/>
    </row>
    <row r="980">
      <c r="A980" s="29"/>
      <c r="B980" s="29"/>
      <c r="C980" s="29"/>
      <c r="D980" s="29"/>
    </row>
    <row r="981">
      <c r="A981" s="29"/>
      <c r="B981" s="29"/>
      <c r="C981" s="29"/>
      <c r="D981" s="29"/>
    </row>
    <row r="982">
      <c r="A982" s="29"/>
      <c r="B982" s="29"/>
      <c r="C982" s="29"/>
      <c r="D982" s="29"/>
    </row>
    <row r="983">
      <c r="A983" s="29"/>
      <c r="B983" s="29"/>
      <c r="C983" s="29"/>
      <c r="D983" s="29"/>
    </row>
    <row r="984">
      <c r="A984" s="29"/>
      <c r="B984" s="29"/>
      <c r="C984" s="29"/>
      <c r="D984" s="29"/>
    </row>
    <row r="985">
      <c r="A985" s="29"/>
      <c r="B985" s="29"/>
      <c r="C985" s="29"/>
      <c r="D985" s="29"/>
    </row>
    <row r="986">
      <c r="A986" s="29"/>
      <c r="B986" s="29"/>
      <c r="C986" s="29"/>
      <c r="D986" s="29"/>
    </row>
    <row r="987">
      <c r="A987" s="29"/>
      <c r="B987" s="29"/>
      <c r="C987" s="29"/>
      <c r="D987" s="29"/>
    </row>
    <row r="988">
      <c r="A988" s="29"/>
      <c r="B988" s="29"/>
      <c r="C988" s="29"/>
      <c r="D988" s="29"/>
    </row>
    <row r="989">
      <c r="A989" s="29"/>
      <c r="B989" s="29"/>
      <c r="C989" s="29"/>
      <c r="D989" s="29"/>
    </row>
    <row r="990">
      <c r="A990" s="29"/>
      <c r="B990" s="29"/>
      <c r="C990" s="29"/>
      <c r="D990" s="29"/>
    </row>
    <row r="991">
      <c r="A991" s="29"/>
      <c r="B991" s="29"/>
      <c r="C991" s="29"/>
      <c r="D991" s="29"/>
    </row>
    <row r="992">
      <c r="A992" s="29"/>
      <c r="B992" s="29"/>
      <c r="C992" s="29"/>
      <c r="D992" s="29"/>
    </row>
    <row r="993">
      <c r="A993" s="29"/>
      <c r="B993" s="29"/>
      <c r="C993" s="29"/>
      <c r="D993" s="29"/>
    </row>
    <row r="994">
      <c r="A994" s="29"/>
      <c r="B994" s="29"/>
      <c r="C994" s="29"/>
      <c r="D994" s="29"/>
    </row>
    <row r="995">
      <c r="A995" s="29"/>
      <c r="B995" s="29"/>
      <c r="C995" s="29"/>
      <c r="D995" s="29"/>
    </row>
    <row r="996">
      <c r="A996" s="29"/>
      <c r="B996" s="29"/>
      <c r="C996" s="29"/>
      <c r="D996" s="29"/>
    </row>
    <row r="997">
      <c r="A997" s="29"/>
      <c r="B997" s="29"/>
      <c r="C997" s="29"/>
      <c r="D997" s="29"/>
    </row>
    <row r="998">
      <c r="A998" s="29"/>
      <c r="B998" s="29"/>
      <c r="C998" s="29"/>
      <c r="D998" s="29"/>
    </row>
    <row r="999">
      <c r="A999" s="29"/>
      <c r="B999" s="29"/>
      <c r="C999" s="29"/>
      <c r="D999" s="29"/>
    </row>
    <row r="1000">
      <c r="A1000" s="29"/>
      <c r="B1000" s="29"/>
      <c r="C1000" s="29"/>
      <c r="D1000" s="2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tr">
        <f>IFERROR(__xludf.DUMMYFUNCTION("IMPORTRANGE(""https://docs.google.com/spreadsheets/d/1aV0B6Gxj-0nrk6BuLOd0oAcYNDP0RsY2DTUzMmin9YQ"",""3rdSFP!A1:D1000"")"),"Devices")</f>
        <v>Devices</v>
      </c>
      <c r="B1" s="67" t="str">
        <f>IFERROR(__xludf.DUMMYFUNCTION("""COMPUTED_VALUE"""),"List Price")</f>
        <v>List Price</v>
      </c>
      <c r="C1" s="67" t="str">
        <f>IFERROR(__xludf.DUMMYFUNCTION("""COMPUTED_VALUE"""),"Giá AM nhập")</f>
        <v>Giá AM nhập</v>
      </c>
      <c r="D1" s="67" t="str">
        <f>IFERROR(__xludf.DUMMYFUNCTION("""COMPUTED_VALUE"""),"Final Price")</f>
        <v>Final Price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tr">
        <f>IFERROR(__xludf.DUMMYFUNCTION("""COMPUTED_VALUE"""),"Ficer-1G-0.5km")</f>
        <v>Ficer-1G-0.5km</v>
      </c>
      <c r="B2" s="65">
        <f>IFERROR(__xludf.DUMMYFUNCTION("""COMPUTED_VALUE"""),8.0)</f>
        <v>8</v>
      </c>
      <c r="C2" s="29"/>
      <c r="D2" s="65">
        <f>IFERROR(__xludf.DUMMYFUNCTION("""COMPUTED_VALUE"""),8.0)</f>
        <v>8</v>
      </c>
    </row>
    <row r="3">
      <c r="A3" s="29" t="str">
        <f>IFERROR(__xludf.DUMMYFUNCTION("""COMPUTED_VALUE"""),"Ficer-1G-10km")</f>
        <v>Ficer-1G-10km</v>
      </c>
      <c r="B3" s="65">
        <f>IFERROR(__xludf.DUMMYFUNCTION("""COMPUTED_VALUE"""),9.0)</f>
        <v>9</v>
      </c>
      <c r="C3" s="29"/>
      <c r="D3" s="65">
        <f>IFERROR(__xludf.DUMMYFUNCTION("""COMPUTED_VALUE"""),9.0)</f>
        <v>9</v>
      </c>
    </row>
    <row r="4">
      <c r="A4" s="29" t="str">
        <f>IFERROR(__xludf.DUMMYFUNCTION("""COMPUTED_VALUE"""),"Ficer-1G-40km")</f>
        <v>Ficer-1G-40km</v>
      </c>
      <c r="B4" s="65">
        <f>IFERROR(__xludf.DUMMYFUNCTION("""COMPUTED_VALUE"""),21.0)</f>
        <v>21</v>
      </c>
      <c r="C4" s="29"/>
      <c r="D4" s="65">
        <f>IFERROR(__xludf.DUMMYFUNCTION("""COMPUTED_VALUE"""),21.0)</f>
        <v>21</v>
      </c>
    </row>
    <row r="5">
      <c r="A5" s="29" t="str">
        <f>IFERROR(__xludf.DUMMYFUNCTION("""COMPUTED_VALUE"""),"Ficer-1G-80km")</f>
        <v>Ficer-1G-80km</v>
      </c>
      <c r="B5" s="65">
        <f>IFERROR(__xludf.DUMMYFUNCTION("""COMPUTED_VALUE"""),35.0)</f>
        <v>35</v>
      </c>
      <c r="C5" s="29"/>
      <c r="D5" s="65">
        <f>IFERROR(__xludf.DUMMYFUNCTION("""COMPUTED_VALUE"""),35.0)</f>
        <v>35</v>
      </c>
    </row>
    <row r="6">
      <c r="A6" s="29" t="str">
        <f>IFERROR(__xludf.DUMMYFUNCTION("""COMPUTED_VALUE"""),"Ficer-10G-0.5km")</f>
        <v>Ficer-10G-0.5km</v>
      </c>
      <c r="B6" s="65">
        <f>IFERROR(__xludf.DUMMYFUNCTION("""COMPUTED_VALUE"""),12.5)</f>
        <v>12.5</v>
      </c>
      <c r="C6" s="29"/>
      <c r="D6" s="65">
        <f>IFERROR(__xludf.DUMMYFUNCTION("""COMPUTED_VALUE"""),12.5)</f>
        <v>12.5</v>
      </c>
    </row>
    <row r="7">
      <c r="A7" s="29" t="str">
        <f>IFERROR(__xludf.DUMMYFUNCTION("""COMPUTED_VALUE"""),"Ficer-10G-10km")</f>
        <v>Ficer-10G-10km</v>
      </c>
      <c r="B7" s="65">
        <f>IFERROR(__xludf.DUMMYFUNCTION("""COMPUTED_VALUE"""),32.0)</f>
        <v>32</v>
      </c>
      <c r="C7" s="29"/>
      <c r="D7" s="65">
        <f>IFERROR(__xludf.DUMMYFUNCTION("""COMPUTED_VALUE"""),32.0)</f>
        <v>32</v>
      </c>
    </row>
    <row r="8">
      <c r="A8" s="29" t="str">
        <f>IFERROR(__xludf.DUMMYFUNCTION("""COMPUTED_VALUE"""),"Ficer-10G-40km")</f>
        <v>Ficer-10G-40km</v>
      </c>
      <c r="B8" s="65">
        <f>IFERROR(__xludf.DUMMYFUNCTION("""COMPUTED_VALUE"""),150.0)</f>
        <v>150</v>
      </c>
      <c r="C8" s="29"/>
      <c r="D8" s="65">
        <f>IFERROR(__xludf.DUMMYFUNCTION("""COMPUTED_VALUE"""),150.0)</f>
        <v>150</v>
      </c>
    </row>
    <row r="9">
      <c r="A9" s="29" t="str">
        <f>IFERROR(__xludf.DUMMYFUNCTION("""COMPUTED_VALUE"""),"Ficer-10G-80km")</f>
        <v>Ficer-10G-80km</v>
      </c>
      <c r="B9" s="65">
        <f>IFERROR(__xludf.DUMMYFUNCTION("""COMPUTED_VALUE"""),290.0)</f>
        <v>290</v>
      </c>
      <c r="C9" s="29"/>
      <c r="D9" s="65">
        <f>IFERROR(__xludf.DUMMYFUNCTION("""COMPUTED_VALUE"""),290.0)</f>
        <v>290</v>
      </c>
    </row>
    <row r="10">
      <c r="A10" s="29" t="str">
        <f>IFERROR(__xludf.DUMMYFUNCTION("""COMPUTED_VALUE"""),"Ficer-100G-10km")</f>
        <v>Ficer-100G-10km</v>
      </c>
      <c r="B10" s="29"/>
      <c r="C10" s="65">
        <f>IFERROR(__xludf.DUMMYFUNCTION("""COMPUTED_VALUE"""),500.0)</f>
        <v>500</v>
      </c>
      <c r="D10" s="65">
        <f>IFERROR(__xludf.DUMMYFUNCTION("""COMPUTED_VALUE"""),500.0)</f>
        <v>500</v>
      </c>
    </row>
    <row r="11">
      <c r="A11" s="29" t="str">
        <f>IFERROR(__xludf.DUMMYFUNCTION("""COMPUTED_VALUE"""),"Ficer-100G-40km")</f>
        <v>Ficer-100G-40km</v>
      </c>
      <c r="B11" s="29"/>
      <c r="C11" s="65">
        <f>IFERROR(__xludf.DUMMYFUNCTION("""COMPUTED_VALUE"""),800.0)</f>
        <v>800</v>
      </c>
      <c r="D11" s="65">
        <f>IFERROR(__xludf.DUMMYFUNCTION("""COMPUTED_VALUE"""),800.0)</f>
        <v>800</v>
      </c>
    </row>
    <row r="12">
      <c r="A12" s="29" t="str">
        <f>IFERROR(__xludf.DUMMYFUNCTION("""COMPUTED_VALUE"""),"Ficer-100G-80km")</f>
        <v>Ficer-100G-80km</v>
      </c>
      <c r="B12" s="29"/>
      <c r="C12" s="65">
        <f>IFERROR(__xludf.DUMMYFUNCTION("""COMPUTED_VALUE"""),1000.0)</f>
        <v>1000</v>
      </c>
      <c r="D12" s="65">
        <f>IFERROR(__xludf.DUMMYFUNCTION("""COMPUTED_VALUE"""),1000.0)</f>
        <v>1000</v>
      </c>
    </row>
    <row r="13">
      <c r="A13" s="29"/>
      <c r="B13" s="29"/>
      <c r="C13" s="65" t="str">
        <f>IFERROR(__xludf.DUMMYFUNCTION("""COMPUTED_VALUE"""),"")</f>
        <v/>
      </c>
      <c r="D13" s="29"/>
    </row>
    <row r="14">
      <c r="A14" s="29"/>
      <c r="B14" s="29"/>
      <c r="C14" s="65" t="str">
        <f>IFERROR(__xludf.DUMMYFUNCTION("""COMPUTED_VALUE"""),"")</f>
        <v/>
      </c>
      <c r="D14" s="29"/>
    </row>
    <row r="15">
      <c r="A15" s="29"/>
      <c r="B15" s="29"/>
      <c r="C15" s="65" t="str">
        <f>IFERROR(__xludf.DUMMYFUNCTION("""COMPUTED_VALUE"""),"")</f>
        <v/>
      </c>
      <c r="D15" s="29"/>
    </row>
    <row r="16">
      <c r="A16" s="29"/>
      <c r="B16" s="29"/>
      <c r="C16" s="65" t="str">
        <f>IFERROR(__xludf.DUMMYFUNCTION("""COMPUTED_VALUE"""),"")</f>
        <v/>
      </c>
      <c r="D16" s="29"/>
    </row>
    <row r="17">
      <c r="A17" s="29"/>
      <c r="B17" s="29"/>
      <c r="C17" s="65" t="str">
        <f>IFERROR(__xludf.DUMMYFUNCTION("""COMPUTED_VALUE"""),"")</f>
        <v/>
      </c>
      <c r="D17" s="29"/>
    </row>
    <row r="18">
      <c r="A18" s="29"/>
      <c r="B18" s="29"/>
      <c r="C18" s="65" t="str">
        <f>IFERROR(__xludf.DUMMYFUNCTION("""COMPUTED_VALUE"""),"")</f>
        <v/>
      </c>
      <c r="D18" s="29"/>
    </row>
    <row r="19">
      <c r="A19" s="29"/>
      <c r="B19" s="29"/>
      <c r="C19" s="65" t="str">
        <f>IFERROR(__xludf.DUMMYFUNCTION("""COMPUTED_VALUE"""),"")</f>
        <v/>
      </c>
      <c r="D19" s="29"/>
    </row>
    <row r="20">
      <c r="A20" s="29"/>
      <c r="B20" s="29"/>
      <c r="C20" s="65" t="str">
        <f>IFERROR(__xludf.DUMMYFUNCTION("""COMPUTED_VALUE"""),"")</f>
        <v/>
      </c>
      <c r="D20" s="29"/>
    </row>
    <row r="21">
      <c r="A21" s="29"/>
      <c r="B21" s="29"/>
      <c r="C21" s="65" t="str">
        <f>IFERROR(__xludf.DUMMYFUNCTION("""COMPUTED_VALUE"""),"")</f>
        <v/>
      </c>
      <c r="D21" s="29"/>
    </row>
    <row r="22">
      <c r="A22" s="29"/>
      <c r="B22" s="29"/>
      <c r="C22" s="65" t="str">
        <f>IFERROR(__xludf.DUMMYFUNCTION("""COMPUTED_VALUE"""),"")</f>
        <v/>
      </c>
      <c r="D22" s="29"/>
    </row>
    <row r="23">
      <c r="A23" s="29"/>
      <c r="B23" s="29"/>
      <c r="C23" s="65" t="str">
        <f>IFERROR(__xludf.DUMMYFUNCTION("""COMPUTED_VALUE"""),"")</f>
        <v/>
      </c>
      <c r="D23" s="29"/>
    </row>
    <row r="24">
      <c r="A24" s="29"/>
      <c r="B24" s="29"/>
      <c r="C24" s="65" t="str">
        <f>IFERROR(__xludf.DUMMYFUNCTION("""COMPUTED_VALUE"""),"")</f>
        <v/>
      </c>
      <c r="D24" s="29"/>
    </row>
    <row r="25">
      <c r="A25" s="29"/>
      <c r="B25" s="29"/>
      <c r="C25" s="65" t="str">
        <f>IFERROR(__xludf.DUMMYFUNCTION("""COMPUTED_VALUE"""),"")</f>
        <v/>
      </c>
      <c r="D25" s="29"/>
    </row>
    <row r="26">
      <c r="A26" s="29"/>
      <c r="B26" s="29"/>
      <c r="C26" s="65" t="str">
        <f>IFERROR(__xludf.DUMMYFUNCTION("""COMPUTED_VALUE"""),"")</f>
        <v/>
      </c>
      <c r="D26" s="29"/>
    </row>
    <row r="27">
      <c r="A27" s="29"/>
      <c r="B27" s="29"/>
      <c r="C27" s="65" t="str">
        <f>IFERROR(__xludf.DUMMYFUNCTION("""COMPUTED_VALUE"""),"")</f>
        <v/>
      </c>
      <c r="D27" s="29"/>
    </row>
    <row r="28">
      <c r="A28" s="29"/>
      <c r="B28" s="29"/>
      <c r="C28" s="65" t="str">
        <f>IFERROR(__xludf.DUMMYFUNCTION("""COMPUTED_VALUE"""),"")</f>
        <v/>
      </c>
      <c r="D28" s="29"/>
    </row>
    <row r="29">
      <c r="A29" s="29"/>
      <c r="B29" s="29"/>
      <c r="C29" s="65" t="str">
        <f>IFERROR(__xludf.DUMMYFUNCTION("""COMPUTED_VALUE"""),"")</f>
        <v/>
      </c>
      <c r="D29" s="29"/>
    </row>
    <row r="30">
      <c r="A30" s="29"/>
      <c r="B30" s="29"/>
      <c r="C30" s="65" t="str">
        <f>IFERROR(__xludf.DUMMYFUNCTION("""COMPUTED_VALUE"""),"")</f>
        <v/>
      </c>
      <c r="D30" s="29"/>
    </row>
    <row r="31">
      <c r="A31" s="29"/>
      <c r="B31" s="29"/>
      <c r="C31" s="65" t="str">
        <f>IFERROR(__xludf.DUMMYFUNCTION("""COMPUTED_VALUE"""),"")</f>
        <v/>
      </c>
      <c r="D31" s="29"/>
    </row>
    <row r="32">
      <c r="A32" s="29"/>
      <c r="B32" s="29"/>
      <c r="C32" s="65" t="str">
        <f>IFERROR(__xludf.DUMMYFUNCTION("""COMPUTED_VALUE"""),"")</f>
        <v/>
      </c>
      <c r="D32" s="29"/>
    </row>
    <row r="33">
      <c r="A33" s="29"/>
      <c r="B33" s="29"/>
      <c r="C33" s="65" t="str">
        <f>IFERROR(__xludf.DUMMYFUNCTION("""COMPUTED_VALUE"""),"")</f>
        <v/>
      </c>
      <c r="D33" s="29"/>
    </row>
    <row r="34">
      <c r="A34" s="29"/>
      <c r="B34" s="29"/>
      <c r="C34" s="65" t="str">
        <f>IFERROR(__xludf.DUMMYFUNCTION("""COMPUTED_VALUE"""),"")</f>
        <v/>
      </c>
      <c r="D34" s="29"/>
    </row>
    <row r="35">
      <c r="A35" s="29"/>
      <c r="B35" s="29"/>
      <c r="C35" s="65" t="str">
        <f>IFERROR(__xludf.DUMMYFUNCTION("""COMPUTED_VALUE"""),"")</f>
        <v/>
      </c>
      <c r="D35" s="29"/>
    </row>
    <row r="36">
      <c r="A36" s="29"/>
      <c r="B36" s="29"/>
      <c r="C36" s="65" t="str">
        <f>IFERROR(__xludf.DUMMYFUNCTION("""COMPUTED_VALUE"""),"")</f>
        <v/>
      </c>
      <c r="D36" s="29"/>
    </row>
    <row r="37">
      <c r="A37" s="29"/>
      <c r="B37" s="29"/>
      <c r="C37" s="65" t="str">
        <f>IFERROR(__xludf.DUMMYFUNCTION("""COMPUTED_VALUE"""),"")</f>
        <v/>
      </c>
      <c r="D37" s="29"/>
    </row>
    <row r="38">
      <c r="A38" s="29"/>
      <c r="B38" s="29"/>
      <c r="C38" s="65" t="str">
        <f>IFERROR(__xludf.DUMMYFUNCTION("""COMPUTED_VALUE"""),"")</f>
        <v/>
      </c>
      <c r="D38" s="29"/>
    </row>
    <row r="39">
      <c r="A39" s="29"/>
      <c r="B39" s="29"/>
      <c r="C39" s="65" t="str">
        <f>IFERROR(__xludf.DUMMYFUNCTION("""COMPUTED_VALUE"""),"")</f>
        <v/>
      </c>
      <c r="D39" s="29"/>
    </row>
    <row r="40">
      <c r="A40" s="29"/>
      <c r="B40" s="29"/>
      <c r="C40" s="65" t="str">
        <f>IFERROR(__xludf.DUMMYFUNCTION("""COMPUTED_VALUE"""),"")</f>
        <v/>
      </c>
      <c r="D40" s="29"/>
    </row>
    <row r="41">
      <c r="A41" s="29"/>
      <c r="B41" s="29"/>
      <c r="C41" s="65" t="str">
        <f>IFERROR(__xludf.DUMMYFUNCTION("""COMPUTED_VALUE"""),"")</f>
        <v/>
      </c>
      <c r="D41" s="29"/>
    </row>
    <row r="42">
      <c r="A42" s="29"/>
      <c r="B42" s="29"/>
      <c r="C42" s="65" t="str">
        <f>IFERROR(__xludf.DUMMYFUNCTION("""COMPUTED_VALUE"""),"")</f>
        <v/>
      </c>
      <c r="D42" s="29"/>
    </row>
    <row r="43">
      <c r="A43" s="29"/>
      <c r="B43" s="29"/>
      <c r="C43" s="65" t="str">
        <f>IFERROR(__xludf.DUMMYFUNCTION("""COMPUTED_VALUE"""),"")</f>
        <v/>
      </c>
      <c r="D43" s="29"/>
    </row>
    <row r="44">
      <c r="A44" s="29"/>
      <c r="B44" s="29"/>
      <c r="C44" s="65" t="str">
        <f>IFERROR(__xludf.DUMMYFUNCTION("""COMPUTED_VALUE"""),"")</f>
        <v/>
      </c>
      <c r="D44" s="29"/>
    </row>
    <row r="45">
      <c r="A45" s="29"/>
      <c r="B45" s="29"/>
      <c r="C45" s="65" t="str">
        <f>IFERROR(__xludf.DUMMYFUNCTION("""COMPUTED_VALUE"""),"")</f>
        <v/>
      </c>
      <c r="D45" s="29"/>
    </row>
    <row r="46">
      <c r="A46" s="29"/>
      <c r="B46" s="29"/>
      <c r="C46" s="65" t="str">
        <f>IFERROR(__xludf.DUMMYFUNCTION("""COMPUTED_VALUE"""),"")</f>
        <v/>
      </c>
      <c r="D46" s="29"/>
    </row>
    <row r="47">
      <c r="A47" s="29"/>
      <c r="B47" s="29"/>
      <c r="C47" s="65" t="str">
        <f>IFERROR(__xludf.DUMMYFUNCTION("""COMPUTED_VALUE"""),"")</f>
        <v/>
      </c>
      <c r="D47" s="29"/>
    </row>
    <row r="48">
      <c r="A48" s="29"/>
      <c r="B48" s="29"/>
      <c r="C48" s="65" t="str">
        <f>IFERROR(__xludf.DUMMYFUNCTION("""COMPUTED_VALUE"""),"")</f>
        <v/>
      </c>
      <c r="D48" s="29"/>
    </row>
    <row r="49">
      <c r="A49" s="29"/>
      <c r="B49" s="29"/>
      <c r="C49" s="65" t="str">
        <f>IFERROR(__xludf.DUMMYFUNCTION("""COMPUTED_VALUE"""),"")</f>
        <v/>
      </c>
      <c r="D49" s="29"/>
    </row>
    <row r="50">
      <c r="A50" s="29"/>
      <c r="B50" s="29"/>
      <c r="C50" s="65" t="str">
        <f>IFERROR(__xludf.DUMMYFUNCTION("""COMPUTED_VALUE"""),"")</f>
        <v/>
      </c>
      <c r="D50" s="29"/>
    </row>
    <row r="51">
      <c r="A51" s="29"/>
      <c r="B51" s="29"/>
      <c r="C51" s="65" t="str">
        <f>IFERROR(__xludf.DUMMYFUNCTION("""COMPUTED_VALUE"""),"")</f>
        <v/>
      </c>
      <c r="D51" s="29"/>
    </row>
    <row r="52">
      <c r="A52" s="29"/>
      <c r="B52" s="29"/>
      <c r="C52" s="65" t="str">
        <f>IFERROR(__xludf.DUMMYFUNCTION("""COMPUTED_VALUE"""),"")</f>
        <v/>
      </c>
      <c r="D52" s="29"/>
    </row>
    <row r="53">
      <c r="A53" s="29"/>
      <c r="B53" s="29"/>
      <c r="C53" s="65" t="str">
        <f>IFERROR(__xludf.DUMMYFUNCTION("""COMPUTED_VALUE"""),"")</f>
        <v/>
      </c>
      <c r="D53" s="29"/>
    </row>
    <row r="54">
      <c r="A54" s="29"/>
      <c r="B54" s="29"/>
      <c r="C54" s="65" t="str">
        <f>IFERROR(__xludf.DUMMYFUNCTION("""COMPUTED_VALUE"""),"")</f>
        <v/>
      </c>
      <c r="D54" s="29"/>
    </row>
    <row r="55">
      <c r="A55" s="29"/>
      <c r="B55" s="29"/>
      <c r="C55" s="65" t="str">
        <f>IFERROR(__xludf.DUMMYFUNCTION("""COMPUTED_VALUE"""),"")</f>
        <v/>
      </c>
      <c r="D55" s="29"/>
    </row>
    <row r="56">
      <c r="A56" s="29"/>
      <c r="B56" s="29"/>
      <c r="C56" s="65" t="str">
        <f>IFERROR(__xludf.DUMMYFUNCTION("""COMPUTED_VALUE"""),"")</f>
        <v/>
      </c>
      <c r="D56" s="29"/>
    </row>
    <row r="57">
      <c r="A57" s="29"/>
      <c r="B57" s="29"/>
      <c r="C57" s="65" t="str">
        <f>IFERROR(__xludf.DUMMYFUNCTION("""COMPUTED_VALUE"""),"")</f>
        <v/>
      </c>
      <c r="D57" s="29"/>
    </row>
    <row r="58">
      <c r="A58" s="29"/>
      <c r="B58" s="29"/>
      <c r="C58" s="65" t="str">
        <f>IFERROR(__xludf.DUMMYFUNCTION("""COMPUTED_VALUE"""),"")</f>
        <v/>
      </c>
      <c r="D58" s="29"/>
    </row>
    <row r="59">
      <c r="A59" s="29"/>
      <c r="B59" s="29"/>
      <c r="C59" s="65" t="str">
        <f>IFERROR(__xludf.DUMMYFUNCTION("""COMPUTED_VALUE"""),"")</f>
        <v/>
      </c>
      <c r="D59" s="29"/>
    </row>
    <row r="60">
      <c r="A60" s="29"/>
      <c r="B60" s="29"/>
      <c r="C60" s="65" t="str">
        <f>IFERROR(__xludf.DUMMYFUNCTION("""COMPUTED_VALUE"""),"")</f>
        <v/>
      </c>
      <c r="D60" s="29"/>
    </row>
    <row r="61">
      <c r="A61" s="29"/>
      <c r="B61" s="29"/>
      <c r="C61" s="65" t="str">
        <f>IFERROR(__xludf.DUMMYFUNCTION("""COMPUTED_VALUE"""),"")</f>
        <v/>
      </c>
      <c r="D61" s="29"/>
    </row>
    <row r="62">
      <c r="A62" s="29"/>
      <c r="B62" s="29"/>
      <c r="C62" s="65" t="str">
        <f>IFERROR(__xludf.DUMMYFUNCTION("""COMPUTED_VALUE"""),"")</f>
        <v/>
      </c>
      <c r="D62" s="29"/>
    </row>
    <row r="63">
      <c r="A63" s="29"/>
      <c r="B63" s="29"/>
      <c r="C63" s="65" t="str">
        <f>IFERROR(__xludf.DUMMYFUNCTION("""COMPUTED_VALUE"""),"")</f>
        <v/>
      </c>
      <c r="D63" s="29"/>
    </row>
    <row r="64">
      <c r="A64" s="29"/>
      <c r="B64" s="29"/>
      <c r="C64" s="65" t="str">
        <f>IFERROR(__xludf.DUMMYFUNCTION("""COMPUTED_VALUE"""),"")</f>
        <v/>
      </c>
      <c r="D64" s="29"/>
    </row>
    <row r="65">
      <c r="A65" s="29"/>
      <c r="B65" s="29"/>
      <c r="C65" s="65" t="str">
        <f>IFERROR(__xludf.DUMMYFUNCTION("""COMPUTED_VALUE"""),"")</f>
        <v/>
      </c>
      <c r="D65" s="29"/>
    </row>
    <row r="66">
      <c r="A66" s="29"/>
      <c r="B66" s="29"/>
      <c r="C66" s="65" t="str">
        <f>IFERROR(__xludf.DUMMYFUNCTION("""COMPUTED_VALUE"""),"")</f>
        <v/>
      </c>
      <c r="D66" s="29"/>
    </row>
    <row r="67">
      <c r="A67" s="29"/>
      <c r="B67" s="29"/>
      <c r="C67" s="65" t="str">
        <f>IFERROR(__xludf.DUMMYFUNCTION("""COMPUTED_VALUE"""),"")</f>
        <v/>
      </c>
      <c r="D67" s="29"/>
    </row>
    <row r="68">
      <c r="A68" s="29"/>
      <c r="B68" s="29"/>
      <c r="C68" s="65" t="str">
        <f>IFERROR(__xludf.DUMMYFUNCTION("""COMPUTED_VALUE"""),"")</f>
        <v/>
      </c>
      <c r="D68" s="29"/>
    </row>
    <row r="69">
      <c r="A69" s="29"/>
      <c r="B69" s="29"/>
      <c r="C69" s="65" t="str">
        <f>IFERROR(__xludf.DUMMYFUNCTION("""COMPUTED_VALUE"""),"")</f>
        <v/>
      </c>
      <c r="D69" s="29"/>
    </row>
    <row r="70">
      <c r="A70" s="29"/>
      <c r="B70" s="29"/>
      <c r="C70" s="65" t="str">
        <f>IFERROR(__xludf.DUMMYFUNCTION("""COMPUTED_VALUE"""),"")</f>
        <v/>
      </c>
      <c r="D70" s="29"/>
    </row>
    <row r="71">
      <c r="A71" s="29"/>
      <c r="B71" s="29"/>
      <c r="C71" s="65" t="str">
        <f>IFERROR(__xludf.DUMMYFUNCTION("""COMPUTED_VALUE"""),"")</f>
        <v/>
      </c>
      <c r="D71" s="29"/>
    </row>
    <row r="72">
      <c r="A72" s="29"/>
      <c r="B72" s="29"/>
      <c r="C72" s="65" t="str">
        <f>IFERROR(__xludf.DUMMYFUNCTION("""COMPUTED_VALUE"""),"")</f>
        <v/>
      </c>
      <c r="D72" s="29"/>
    </row>
    <row r="73">
      <c r="A73" s="29"/>
      <c r="B73" s="29"/>
      <c r="C73" s="65" t="str">
        <f>IFERROR(__xludf.DUMMYFUNCTION("""COMPUTED_VALUE"""),"")</f>
        <v/>
      </c>
      <c r="D73" s="29"/>
    </row>
    <row r="74">
      <c r="A74" s="29"/>
      <c r="B74" s="29"/>
      <c r="C74" s="65" t="str">
        <f>IFERROR(__xludf.DUMMYFUNCTION("""COMPUTED_VALUE"""),"")</f>
        <v/>
      </c>
      <c r="D74" s="29"/>
    </row>
    <row r="75">
      <c r="A75" s="29"/>
      <c r="B75" s="29"/>
      <c r="C75" s="65" t="str">
        <f>IFERROR(__xludf.DUMMYFUNCTION("""COMPUTED_VALUE"""),"")</f>
        <v/>
      </c>
      <c r="D75" s="29"/>
    </row>
    <row r="76">
      <c r="A76" s="29"/>
      <c r="B76" s="29"/>
      <c r="C76" s="65" t="str">
        <f>IFERROR(__xludf.DUMMYFUNCTION("""COMPUTED_VALUE"""),"")</f>
        <v/>
      </c>
      <c r="D76" s="29"/>
    </row>
    <row r="77">
      <c r="A77" s="29"/>
      <c r="B77" s="29"/>
      <c r="C77" s="65" t="str">
        <f>IFERROR(__xludf.DUMMYFUNCTION("""COMPUTED_VALUE"""),"")</f>
        <v/>
      </c>
      <c r="D77" s="29"/>
    </row>
    <row r="78">
      <c r="A78" s="29"/>
      <c r="B78" s="29"/>
      <c r="C78" s="65" t="str">
        <f>IFERROR(__xludf.DUMMYFUNCTION("""COMPUTED_VALUE"""),"")</f>
        <v/>
      </c>
      <c r="D78" s="29"/>
    </row>
    <row r="79">
      <c r="A79" s="29"/>
      <c r="B79" s="29"/>
      <c r="C79" s="65" t="str">
        <f>IFERROR(__xludf.DUMMYFUNCTION("""COMPUTED_VALUE"""),"")</f>
        <v/>
      </c>
      <c r="D79" s="29"/>
    </row>
    <row r="80">
      <c r="A80" s="29"/>
      <c r="B80" s="29"/>
      <c r="C80" s="65" t="str">
        <f>IFERROR(__xludf.DUMMYFUNCTION("""COMPUTED_VALUE"""),"")</f>
        <v/>
      </c>
      <c r="D80" s="29"/>
    </row>
    <row r="81">
      <c r="A81" s="29"/>
      <c r="B81" s="29"/>
      <c r="C81" s="65" t="str">
        <f>IFERROR(__xludf.DUMMYFUNCTION("""COMPUTED_VALUE"""),"")</f>
        <v/>
      </c>
      <c r="D81" s="29"/>
    </row>
    <row r="82">
      <c r="A82" s="29"/>
      <c r="B82" s="29"/>
      <c r="C82" s="65" t="str">
        <f>IFERROR(__xludf.DUMMYFUNCTION("""COMPUTED_VALUE"""),"")</f>
        <v/>
      </c>
      <c r="D82" s="29"/>
    </row>
    <row r="83">
      <c r="A83" s="29"/>
      <c r="B83" s="29"/>
      <c r="C83" s="65" t="str">
        <f>IFERROR(__xludf.DUMMYFUNCTION("""COMPUTED_VALUE"""),"")</f>
        <v/>
      </c>
      <c r="D83" s="29"/>
    </row>
    <row r="84">
      <c r="A84" s="29"/>
      <c r="B84" s="29"/>
      <c r="C84" s="65" t="str">
        <f>IFERROR(__xludf.DUMMYFUNCTION("""COMPUTED_VALUE"""),"")</f>
        <v/>
      </c>
      <c r="D84" s="29"/>
    </row>
    <row r="85">
      <c r="A85" s="29"/>
      <c r="B85" s="29"/>
      <c r="C85" s="65" t="str">
        <f>IFERROR(__xludf.DUMMYFUNCTION("""COMPUTED_VALUE"""),"")</f>
        <v/>
      </c>
      <c r="D85" s="29"/>
    </row>
    <row r="86">
      <c r="A86" s="29"/>
      <c r="B86" s="29"/>
      <c r="C86" s="65" t="str">
        <f>IFERROR(__xludf.DUMMYFUNCTION("""COMPUTED_VALUE"""),"")</f>
        <v/>
      </c>
      <c r="D86" s="29"/>
    </row>
    <row r="87">
      <c r="A87" s="29"/>
      <c r="B87" s="29"/>
      <c r="C87" s="65" t="str">
        <f>IFERROR(__xludf.DUMMYFUNCTION("""COMPUTED_VALUE"""),"")</f>
        <v/>
      </c>
      <c r="D87" s="29"/>
    </row>
    <row r="88">
      <c r="A88" s="29"/>
      <c r="B88" s="29"/>
      <c r="C88" s="65" t="str">
        <f>IFERROR(__xludf.DUMMYFUNCTION("""COMPUTED_VALUE"""),"")</f>
        <v/>
      </c>
      <c r="D88" s="29"/>
    </row>
    <row r="89">
      <c r="A89" s="29"/>
      <c r="B89" s="29"/>
      <c r="C89" s="65" t="str">
        <f>IFERROR(__xludf.DUMMYFUNCTION("""COMPUTED_VALUE"""),"")</f>
        <v/>
      </c>
      <c r="D89" s="29"/>
    </row>
    <row r="90">
      <c r="A90" s="29"/>
      <c r="B90" s="29"/>
      <c r="C90" s="65" t="str">
        <f>IFERROR(__xludf.DUMMYFUNCTION("""COMPUTED_VALUE"""),"")</f>
        <v/>
      </c>
      <c r="D90" s="29"/>
    </row>
    <row r="91">
      <c r="A91" s="29"/>
      <c r="B91" s="29"/>
      <c r="C91" s="65" t="str">
        <f>IFERROR(__xludf.DUMMYFUNCTION("""COMPUTED_VALUE"""),"")</f>
        <v/>
      </c>
      <c r="D91" s="29"/>
    </row>
    <row r="92">
      <c r="A92" s="29"/>
      <c r="B92" s="29"/>
      <c r="C92" s="65" t="str">
        <f>IFERROR(__xludf.DUMMYFUNCTION("""COMPUTED_VALUE"""),"")</f>
        <v/>
      </c>
      <c r="D92" s="29"/>
    </row>
    <row r="93">
      <c r="A93" s="29"/>
      <c r="B93" s="29"/>
      <c r="C93" s="65" t="str">
        <f>IFERROR(__xludf.DUMMYFUNCTION("""COMPUTED_VALUE"""),"")</f>
        <v/>
      </c>
      <c r="D93" s="29"/>
    </row>
    <row r="94">
      <c r="A94" s="29"/>
      <c r="B94" s="29"/>
      <c r="C94" s="65" t="str">
        <f>IFERROR(__xludf.DUMMYFUNCTION("""COMPUTED_VALUE"""),"")</f>
        <v/>
      </c>
      <c r="D94" s="29"/>
    </row>
    <row r="95">
      <c r="A95" s="29"/>
      <c r="B95" s="29"/>
      <c r="C95" s="65" t="str">
        <f>IFERROR(__xludf.DUMMYFUNCTION("""COMPUTED_VALUE"""),"")</f>
        <v/>
      </c>
      <c r="D95" s="29"/>
    </row>
    <row r="96">
      <c r="A96" s="29"/>
      <c r="B96" s="29"/>
      <c r="C96" s="65" t="str">
        <f>IFERROR(__xludf.DUMMYFUNCTION("""COMPUTED_VALUE"""),"")</f>
        <v/>
      </c>
      <c r="D96" s="29"/>
    </row>
    <row r="97">
      <c r="A97" s="29"/>
      <c r="B97" s="29"/>
      <c r="C97" s="65" t="str">
        <f>IFERROR(__xludf.DUMMYFUNCTION("""COMPUTED_VALUE"""),"")</f>
        <v/>
      </c>
      <c r="D97" s="29"/>
    </row>
    <row r="98">
      <c r="A98" s="29"/>
      <c r="B98" s="29"/>
      <c r="C98" s="65" t="str">
        <f>IFERROR(__xludf.DUMMYFUNCTION("""COMPUTED_VALUE"""),"")</f>
        <v/>
      </c>
      <c r="D98" s="29"/>
    </row>
    <row r="99">
      <c r="A99" s="29"/>
      <c r="B99" s="29"/>
      <c r="C99" s="65" t="str">
        <f>IFERROR(__xludf.DUMMYFUNCTION("""COMPUTED_VALUE"""),"")</f>
        <v/>
      </c>
      <c r="D99" s="29"/>
    </row>
    <row r="100">
      <c r="A100" s="29"/>
      <c r="B100" s="29"/>
      <c r="C100" s="65" t="str">
        <f>IFERROR(__xludf.DUMMYFUNCTION("""COMPUTED_VALUE"""),"")</f>
        <v/>
      </c>
      <c r="D100" s="29"/>
    </row>
    <row r="101">
      <c r="A101" s="29"/>
      <c r="B101" s="29"/>
      <c r="C101" s="65" t="str">
        <f>IFERROR(__xludf.DUMMYFUNCTION("""COMPUTED_VALUE"""),"")</f>
        <v/>
      </c>
      <c r="D101" s="29"/>
    </row>
    <row r="102">
      <c r="A102" s="29"/>
      <c r="B102" s="29"/>
      <c r="C102" s="65" t="str">
        <f>IFERROR(__xludf.DUMMYFUNCTION("""COMPUTED_VALUE"""),"")</f>
        <v/>
      </c>
      <c r="D102" s="29"/>
    </row>
    <row r="103">
      <c r="A103" s="29"/>
      <c r="B103" s="29"/>
      <c r="C103" s="65" t="str">
        <f>IFERROR(__xludf.DUMMYFUNCTION("""COMPUTED_VALUE"""),"")</f>
        <v/>
      </c>
      <c r="D103" s="29"/>
    </row>
    <row r="104">
      <c r="A104" s="29"/>
      <c r="B104" s="29"/>
      <c r="C104" s="65" t="str">
        <f>IFERROR(__xludf.DUMMYFUNCTION("""COMPUTED_VALUE"""),"")</f>
        <v/>
      </c>
      <c r="D104" s="29"/>
    </row>
    <row r="105">
      <c r="A105" s="29"/>
      <c r="B105" s="29"/>
      <c r="C105" s="65" t="str">
        <f>IFERROR(__xludf.DUMMYFUNCTION("""COMPUTED_VALUE"""),"")</f>
        <v/>
      </c>
      <c r="D105" s="29"/>
    </row>
    <row r="106">
      <c r="A106" s="29"/>
      <c r="B106" s="29"/>
      <c r="C106" s="65" t="str">
        <f>IFERROR(__xludf.DUMMYFUNCTION("""COMPUTED_VALUE"""),"")</f>
        <v/>
      </c>
      <c r="D106" s="29"/>
    </row>
    <row r="107">
      <c r="A107" s="29"/>
      <c r="B107" s="29"/>
      <c r="C107" s="65" t="str">
        <f>IFERROR(__xludf.DUMMYFUNCTION("""COMPUTED_VALUE"""),"")</f>
        <v/>
      </c>
      <c r="D107" s="29"/>
    </row>
    <row r="108">
      <c r="A108" s="29"/>
      <c r="B108" s="29"/>
      <c r="C108" s="65" t="str">
        <f>IFERROR(__xludf.DUMMYFUNCTION("""COMPUTED_VALUE"""),"")</f>
        <v/>
      </c>
      <c r="D108" s="29"/>
    </row>
    <row r="109">
      <c r="A109" s="29"/>
      <c r="B109" s="29"/>
      <c r="C109" s="65" t="str">
        <f>IFERROR(__xludf.DUMMYFUNCTION("""COMPUTED_VALUE"""),"")</f>
        <v/>
      </c>
      <c r="D109" s="29"/>
    </row>
    <row r="110">
      <c r="A110" s="29"/>
      <c r="B110" s="29"/>
      <c r="C110" s="65" t="str">
        <f>IFERROR(__xludf.DUMMYFUNCTION("""COMPUTED_VALUE"""),"")</f>
        <v/>
      </c>
      <c r="D110" s="29"/>
    </row>
    <row r="111">
      <c r="A111" s="29"/>
      <c r="B111" s="29"/>
      <c r="C111" s="65" t="str">
        <f>IFERROR(__xludf.DUMMYFUNCTION("""COMPUTED_VALUE"""),"")</f>
        <v/>
      </c>
      <c r="D111" s="29"/>
    </row>
    <row r="112">
      <c r="A112" s="29"/>
      <c r="B112" s="29"/>
      <c r="C112" s="65" t="str">
        <f>IFERROR(__xludf.DUMMYFUNCTION("""COMPUTED_VALUE"""),"")</f>
        <v/>
      </c>
      <c r="D112" s="29"/>
    </row>
    <row r="113">
      <c r="A113" s="29"/>
      <c r="B113" s="29"/>
      <c r="C113" s="65" t="str">
        <f>IFERROR(__xludf.DUMMYFUNCTION("""COMPUTED_VALUE"""),"")</f>
        <v/>
      </c>
      <c r="D113" s="29"/>
    </row>
    <row r="114">
      <c r="A114" s="29"/>
      <c r="B114" s="29"/>
      <c r="C114" s="65" t="str">
        <f>IFERROR(__xludf.DUMMYFUNCTION("""COMPUTED_VALUE"""),"")</f>
        <v/>
      </c>
      <c r="D114" s="29"/>
    </row>
    <row r="115">
      <c r="A115" s="29"/>
      <c r="B115" s="29"/>
      <c r="C115" s="65" t="str">
        <f>IFERROR(__xludf.DUMMYFUNCTION("""COMPUTED_VALUE"""),"")</f>
        <v/>
      </c>
      <c r="D115" s="29"/>
    </row>
    <row r="116">
      <c r="A116" s="29"/>
      <c r="B116" s="29"/>
      <c r="C116" s="65" t="str">
        <f>IFERROR(__xludf.DUMMYFUNCTION("""COMPUTED_VALUE"""),"")</f>
        <v/>
      </c>
      <c r="D116" s="29"/>
    </row>
    <row r="117">
      <c r="A117" s="29"/>
      <c r="B117" s="29"/>
      <c r="C117" s="65" t="str">
        <f>IFERROR(__xludf.DUMMYFUNCTION("""COMPUTED_VALUE"""),"")</f>
        <v/>
      </c>
      <c r="D117" s="29"/>
    </row>
    <row r="118">
      <c r="A118" s="29"/>
      <c r="B118" s="29"/>
      <c r="C118" s="65" t="str">
        <f>IFERROR(__xludf.DUMMYFUNCTION("""COMPUTED_VALUE"""),"")</f>
        <v/>
      </c>
      <c r="D118" s="29"/>
    </row>
    <row r="119">
      <c r="A119" s="29"/>
      <c r="B119" s="29"/>
      <c r="C119" s="65" t="str">
        <f>IFERROR(__xludf.DUMMYFUNCTION("""COMPUTED_VALUE"""),"")</f>
        <v/>
      </c>
      <c r="D119" s="29"/>
    </row>
    <row r="120">
      <c r="A120" s="29"/>
      <c r="B120" s="29"/>
      <c r="C120" s="65" t="str">
        <f>IFERROR(__xludf.DUMMYFUNCTION("""COMPUTED_VALUE"""),"")</f>
        <v/>
      </c>
      <c r="D120" s="29"/>
    </row>
    <row r="121">
      <c r="A121" s="29"/>
      <c r="B121" s="29"/>
      <c r="C121" s="65" t="str">
        <f>IFERROR(__xludf.DUMMYFUNCTION("""COMPUTED_VALUE"""),"")</f>
        <v/>
      </c>
      <c r="D121" s="29"/>
    </row>
    <row r="122">
      <c r="A122" s="29"/>
      <c r="B122" s="29"/>
      <c r="C122" s="65" t="str">
        <f>IFERROR(__xludf.DUMMYFUNCTION("""COMPUTED_VALUE"""),"")</f>
        <v/>
      </c>
      <c r="D122" s="29"/>
    </row>
    <row r="123">
      <c r="A123" s="29"/>
      <c r="B123" s="29"/>
      <c r="C123" s="65" t="str">
        <f>IFERROR(__xludf.DUMMYFUNCTION("""COMPUTED_VALUE"""),"")</f>
        <v/>
      </c>
      <c r="D123" s="29"/>
    </row>
    <row r="124">
      <c r="A124" s="29"/>
      <c r="B124" s="29"/>
      <c r="C124" s="65" t="str">
        <f>IFERROR(__xludf.DUMMYFUNCTION("""COMPUTED_VALUE"""),"")</f>
        <v/>
      </c>
      <c r="D124" s="29"/>
    </row>
    <row r="125">
      <c r="A125" s="29"/>
      <c r="B125" s="29"/>
      <c r="C125" s="65" t="str">
        <f>IFERROR(__xludf.DUMMYFUNCTION("""COMPUTED_VALUE"""),"")</f>
        <v/>
      </c>
      <c r="D125" s="29"/>
    </row>
    <row r="126">
      <c r="A126" s="29"/>
      <c r="B126" s="29"/>
      <c r="C126" s="65" t="str">
        <f>IFERROR(__xludf.DUMMYFUNCTION("""COMPUTED_VALUE"""),"")</f>
        <v/>
      </c>
      <c r="D126" s="29"/>
    </row>
    <row r="127">
      <c r="A127" s="29"/>
      <c r="B127" s="29"/>
      <c r="C127" s="65" t="str">
        <f>IFERROR(__xludf.DUMMYFUNCTION("""COMPUTED_VALUE"""),"")</f>
        <v/>
      </c>
      <c r="D127" s="29"/>
    </row>
    <row r="128">
      <c r="A128" s="29"/>
      <c r="B128" s="29"/>
      <c r="C128" s="65" t="str">
        <f>IFERROR(__xludf.DUMMYFUNCTION("""COMPUTED_VALUE"""),"")</f>
        <v/>
      </c>
      <c r="D128" s="29"/>
    </row>
    <row r="129">
      <c r="A129" s="29"/>
      <c r="B129" s="29"/>
      <c r="C129" s="65" t="str">
        <f>IFERROR(__xludf.DUMMYFUNCTION("""COMPUTED_VALUE"""),"")</f>
        <v/>
      </c>
      <c r="D129" s="29"/>
    </row>
    <row r="130">
      <c r="A130" s="29"/>
      <c r="B130" s="29"/>
      <c r="C130" s="65" t="str">
        <f>IFERROR(__xludf.DUMMYFUNCTION("""COMPUTED_VALUE"""),"")</f>
        <v/>
      </c>
      <c r="D130" s="29"/>
    </row>
    <row r="131">
      <c r="A131" s="29"/>
      <c r="B131" s="29"/>
      <c r="C131" s="65" t="str">
        <f>IFERROR(__xludf.DUMMYFUNCTION("""COMPUTED_VALUE"""),"")</f>
        <v/>
      </c>
      <c r="D131" s="29"/>
    </row>
    <row r="132">
      <c r="A132" s="29"/>
      <c r="B132" s="29"/>
      <c r="C132" s="65" t="str">
        <f>IFERROR(__xludf.DUMMYFUNCTION("""COMPUTED_VALUE"""),"")</f>
        <v/>
      </c>
      <c r="D132" s="29"/>
    </row>
    <row r="133">
      <c r="A133" s="29"/>
      <c r="B133" s="29"/>
      <c r="C133" s="65" t="str">
        <f>IFERROR(__xludf.DUMMYFUNCTION("""COMPUTED_VALUE"""),"")</f>
        <v/>
      </c>
      <c r="D133" s="29"/>
    </row>
    <row r="134">
      <c r="A134" s="29"/>
      <c r="B134" s="29"/>
      <c r="C134" s="65" t="str">
        <f>IFERROR(__xludf.DUMMYFUNCTION("""COMPUTED_VALUE"""),"")</f>
        <v/>
      </c>
      <c r="D134" s="29"/>
    </row>
    <row r="135">
      <c r="A135" s="29"/>
      <c r="B135" s="29"/>
      <c r="C135" s="65" t="str">
        <f>IFERROR(__xludf.DUMMYFUNCTION("""COMPUTED_VALUE"""),"")</f>
        <v/>
      </c>
      <c r="D135" s="29"/>
    </row>
    <row r="136">
      <c r="A136" s="29"/>
      <c r="B136" s="29"/>
      <c r="C136" s="65" t="str">
        <f>IFERROR(__xludf.DUMMYFUNCTION("""COMPUTED_VALUE"""),"")</f>
        <v/>
      </c>
      <c r="D136" s="29"/>
    </row>
    <row r="137">
      <c r="A137" s="29"/>
      <c r="B137" s="29"/>
      <c r="C137" s="65" t="str">
        <f>IFERROR(__xludf.DUMMYFUNCTION("""COMPUTED_VALUE"""),"")</f>
        <v/>
      </c>
      <c r="D137" s="29"/>
    </row>
    <row r="138">
      <c r="A138" s="29"/>
      <c r="B138" s="29"/>
      <c r="C138" s="65" t="str">
        <f>IFERROR(__xludf.DUMMYFUNCTION("""COMPUTED_VALUE"""),"")</f>
        <v/>
      </c>
      <c r="D138" s="29"/>
    </row>
    <row r="139">
      <c r="A139" s="29"/>
      <c r="B139" s="29"/>
      <c r="C139" s="65" t="str">
        <f>IFERROR(__xludf.DUMMYFUNCTION("""COMPUTED_VALUE"""),"")</f>
        <v/>
      </c>
      <c r="D139" s="29"/>
    </row>
    <row r="140">
      <c r="A140" s="29"/>
      <c r="B140" s="29"/>
      <c r="C140" s="65" t="str">
        <f>IFERROR(__xludf.DUMMYFUNCTION("""COMPUTED_VALUE"""),"")</f>
        <v/>
      </c>
      <c r="D140" s="29"/>
    </row>
    <row r="141">
      <c r="A141" s="29"/>
      <c r="B141" s="29"/>
      <c r="C141" s="65" t="str">
        <f>IFERROR(__xludf.DUMMYFUNCTION("""COMPUTED_VALUE"""),"")</f>
        <v/>
      </c>
      <c r="D141" s="29"/>
    </row>
    <row r="142">
      <c r="A142" s="29"/>
      <c r="B142" s="29"/>
      <c r="C142" s="65" t="str">
        <f>IFERROR(__xludf.DUMMYFUNCTION("""COMPUTED_VALUE"""),"")</f>
        <v/>
      </c>
      <c r="D142" s="29"/>
    </row>
    <row r="143">
      <c r="A143" s="29"/>
      <c r="B143" s="29"/>
      <c r="C143" s="65" t="str">
        <f>IFERROR(__xludf.DUMMYFUNCTION("""COMPUTED_VALUE"""),"")</f>
        <v/>
      </c>
      <c r="D143" s="29"/>
    </row>
    <row r="144">
      <c r="A144" s="29"/>
      <c r="B144" s="29"/>
      <c r="C144" s="65" t="str">
        <f>IFERROR(__xludf.DUMMYFUNCTION("""COMPUTED_VALUE"""),"")</f>
        <v/>
      </c>
      <c r="D144" s="29"/>
    </row>
    <row r="145">
      <c r="A145" s="29"/>
      <c r="B145" s="29"/>
      <c r="C145" s="65" t="str">
        <f>IFERROR(__xludf.DUMMYFUNCTION("""COMPUTED_VALUE"""),"")</f>
        <v/>
      </c>
      <c r="D145" s="29"/>
    </row>
    <row r="146">
      <c r="A146" s="29"/>
      <c r="B146" s="29"/>
      <c r="C146" s="65" t="str">
        <f>IFERROR(__xludf.DUMMYFUNCTION("""COMPUTED_VALUE"""),"")</f>
        <v/>
      </c>
      <c r="D146" s="29"/>
    </row>
    <row r="147">
      <c r="A147" s="29"/>
      <c r="B147" s="29"/>
      <c r="C147" s="65" t="str">
        <f>IFERROR(__xludf.DUMMYFUNCTION("""COMPUTED_VALUE"""),"")</f>
        <v/>
      </c>
      <c r="D147" s="29"/>
    </row>
    <row r="148">
      <c r="A148" s="29"/>
      <c r="B148" s="29"/>
      <c r="C148" s="65" t="str">
        <f>IFERROR(__xludf.DUMMYFUNCTION("""COMPUTED_VALUE"""),"")</f>
        <v/>
      </c>
      <c r="D148" s="29"/>
    </row>
    <row r="149">
      <c r="A149" s="29"/>
      <c r="B149" s="29"/>
      <c r="C149" s="65" t="str">
        <f>IFERROR(__xludf.DUMMYFUNCTION("""COMPUTED_VALUE"""),"")</f>
        <v/>
      </c>
      <c r="D149" s="29"/>
    </row>
    <row r="150">
      <c r="A150" s="29"/>
      <c r="B150" s="29"/>
      <c r="C150" s="65" t="str">
        <f>IFERROR(__xludf.DUMMYFUNCTION("""COMPUTED_VALUE"""),"")</f>
        <v/>
      </c>
      <c r="D150" s="29"/>
    </row>
    <row r="151">
      <c r="A151" s="29"/>
      <c r="B151" s="29"/>
      <c r="C151" s="65" t="str">
        <f>IFERROR(__xludf.DUMMYFUNCTION("""COMPUTED_VALUE"""),"")</f>
        <v/>
      </c>
      <c r="D151" s="29"/>
    </row>
    <row r="152">
      <c r="A152" s="29"/>
      <c r="B152" s="29"/>
      <c r="C152" s="65" t="str">
        <f>IFERROR(__xludf.DUMMYFUNCTION("""COMPUTED_VALUE"""),"")</f>
        <v/>
      </c>
      <c r="D152" s="29"/>
    </row>
    <row r="153">
      <c r="A153" s="29"/>
      <c r="B153" s="29"/>
      <c r="C153" s="65" t="str">
        <f>IFERROR(__xludf.DUMMYFUNCTION("""COMPUTED_VALUE"""),"")</f>
        <v/>
      </c>
      <c r="D153" s="29"/>
    </row>
    <row r="154">
      <c r="A154" s="29"/>
      <c r="B154" s="29"/>
      <c r="C154" s="65" t="str">
        <f>IFERROR(__xludf.DUMMYFUNCTION("""COMPUTED_VALUE"""),"")</f>
        <v/>
      </c>
      <c r="D154" s="29"/>
    </row>
    <row r="155">
      <c r="A155" s="29"/>
      <c r="B155" s="29"/>
      <c r="C155" s="65" t="str">
        <f>IFERROR(__xludf.DUMMYFUNCTION("""COMPUTED_VALUE"""),"")</f>
        <v/>
      </c>
      <c r="D155" s="29"/>
    </row>
    <row r="156">
      <c r="A156" s="29"/>
      <c r="B156" s="29"/>
      <c r="C156" s="65" t="str">
        <f>IFERROR(__xludf.DUMMYFUNCTION("""COMPUTED_VALUE"""),"")</f>
        <v/>
      </c>
      <c r="D156" s="29"/>
    </row>
    <row r="157">
      <c r="A157" s="29"/>
      <c r="B157" s="29"/>
      <c r="C157" s="65" t="str">
        <f>IFERROR(__xludf.DUMMYFUNCTION("""COMPUTED_VALUE"""),"")</f>
        <v/>
      </c>
      <c r="D157" s="29"/>
    </row>
    <row r="158">
      <c r="A158" s="29"/>
      <c r="B158" s="29"/>
      <c r="C158" s="65" t="str">
        <f>IFERROR(__xludf.DUMMYFUNCTION("""COMPUTED_VALUE"""),"")</f>
        <v/>
      </c>
      <c r="D158" s="29"/>
    </row>
    <row r="159">
      <c r="A159" s="29"/>
      <c r="B159" s="29"/>
      <c r="C159" s="65" t="str">
        <f>IFERROR(__xludf.DUMMYFUNCTION("""COMPUTED_VALUE"""),"")</f>
        <v/>
      </c>
      <c r="D159" s="29"/>
    </row>
    <row r="160">
      <c r="A160" s="29"/>
      <c r="B160" s="29"/>
      <c r="C160" s="65" t="str">
        <f>IFERROR(__xludf.DUMMYFUNCTION("""COMPUTED_VALUE"""),"")</f>
        <v/>
      </c>
      <c r="D160" s="29"/>
    </row>
    <row r="161">
      <c r="A161" s="29"/>
      <c r="B161" s="29"/>
      <c r="C161" s="65" t="str">
        <f>IFERROR(__xludf.DUMMYFUNCTION("""COMPUTED_VALUE"""),"")</f>
        <v/>
      </c>
      <c r="D161" s="29"/>
    </row>
    <row r="162">
      <c r="A162" s="29"/>
      <c r="B162" s="29"/>
      <c r="C162" s="65" t="str">
        <f>IFERROR(__xludf.DUMMYFUNCTION("""COMPUTED_VALUE"""),"")</f>
        <v/>
      </c>
      <c r="D162" s="29"/>
    </row>
    <row r="163">
      <c r="A163" s="29"/>
      <c r="B163" s="29"/>
      <c r="C163" s="65" t="str">
        <f>IFERROR(__xludf.DUMMYFUNCTION("""COMPUTED_VALUE"""),"")</f>
        <v/>
      </c>
      <c r="D163" s="29"/>
    </row>
    <row r="164">
      <c r="A164" s="29"/>
      <c r="B164" s="29"/>
      <c r="C164" s="65" t="str">
        <f>IFERROR(__xludf.DUMMYFUNCTION("""COMPUTED_VALUE"""),"")</f>
        <v/>
      </c>
      <c r="D164" s="29"/>
    </row>
    <row r="165">
      <c r="A165" s="29"/>
      <c r="B165" s="29"/>
      <c r="C165" s="65" t="str">
        <f>IFERROR(__xludf.DUMMYFUNCTION("""COMPUTED_VALUE"""),"")</f>
        <v/>
      </c>
      <c r="D165" s="29"/>
    </row>
    <row r="166">
      <c r="A166" s="29"/>
      <c r="B166" s="29"/>
      <c r="C166" s="65" t="str">
        <f>IFERROR(__xludf.DUMMYFUNCTION("""COMPUTED_VALUE"""),"")</f>
        <v/>
      </c>
      <c r="D166" s="29"/>
    </row>
    <row r="167">
      <c r="A167" s="29"/>
      <c r="B167" s="29"/>
      <c r="C167" s="65" t="str">
        <f>IFERROR(__xludf.DUMMYFUNCTION("""COMPUTED_VALUE"""),"")</f>
        <v/>
      </c>
      <c r="D167" s="29"/>
    </row>
    <row r="168">
      <c r="A168" s="29"/>
      <c r="B168" s="29"/>
      <c r="C168" s="65" t="str">
        <f>IFERROR(__xludf.DUMMYFUNCTION("""COMPUTED_VALUE"""),"")</f>
        <v/>
      </c>
      <c r="D168" s="29"/>
    </row>
    <row r="169">
      <c r="A169" s="29"/>
      <c r="B169" s="29"/>
      <c r="C169" s="65" t="str">
        <f>IFERROR(__xludf.DUMMYFUNCTION("""COMPUTED_VALUE"""),"")</f>
        <v/>
      </c>
      <c r="D169" s="29"/>
    </row>
    <row r="170">
      <c r="A170" s="29"/>
      <c r="B170" s="29"/>
      <c r="C170" s="65" t="str">
        <f>IFERROR(__xludf.DUMMYFUNCTION("""COMPUTED_VALUE"""),"")</f>
        <v/>
      </c>
      <c r="D170" s="29"/>
    </row>
    <row r="171">
      <c r="A171" s="29"/>
      <c r="B171" s="29"/>
      <c r="C171" s="65" t="str">
        <f>IFERROR(__xludf.DUMMYFUNCTION("""COMPUTED_VALUE"""),"")</f>
        <v/>
      </c>
      <c r="D171" s="29"/>
    </row>
    <row r="172">
      <c r="A172" s="29"/>
      <c r="B172" s="29"/>
      <c r="C172" s="65" t="str">
        <f>IFERROR(__xludf.DUMMYFUNCTION("""COMPUTED_VALUE"""),"")</f>
        <v/>
      </c>
      <c r="D172" s="29"/>
    </row>
    <row r="173">
      <c r="A173" s="29"/>
      <c r="B173" s="29"/>
      <c r="C173" s="65" t="str">
        <f>IFERROR(__xludf.DUMMYFUNCTION("""COMPUTED_VALUE"""),"")</f>
        <v/>
      </c>
      <c r="D173" s="29"/>
    </row>
    <row r="174">
      <c r="A174" s="29"/>
      <c r="B174" s="29"/>
      <c r="C174" s="65" t="str">
        <f>IFERROR(__xludf.DUMMYFUNCTION("""COMPUTED_VALUE"""),"")</f>
        <v/>
      </c>
      <c r="D174" s="29"/>
    </row>
    <row r="175">
      <c r="A175" s="29"/>
      <c r="B175" s="29"/>
      <c r="C175" s="65" t="str">
        <f>IFERROR(__xludf.DUMMYFUNCTION("""COMPUTED_VALUE"""),"")</f>
        <v/>
      </c>
      <c r="D175" s="29"/>
    </row>
    <row r="176">
      <c r="A176" s="29"/>
      <c r="B176" s="29"/>
      <c r="C176" s="65" t="str">
        <f>IFERROR(__xludf.DUMMYFUNCTION("""COMPUTED_VALUE"""),"")</f>
        <v/>
      </c>
      <c r="D176" s="29"/>
    </row>
    <row r="177">
      <c r="A177" s="29"/>
      <c r="B177" s="29"/>
      <c r="C177" s="65" t="str">
        <f>IFERROR(__xludf.DUMMYFUNCTION("""COMPUTED_VALUE"""),"")</f>
        <v/>
      </c>
      <c r="D177" s="29"/>
    </row>
    <row r="178">
      <c r="A178" s="29"/>
      <c r="B178" s="29"/>
      <c r="C178" s="65" t="str">
        <f>IFERROR(__xludf.DUMMYFUNCTION("""COMPUTED_VALUE"""),"")</f>
        <v/>
      </c>
      <c r="D178" s="29"/>
    </row>
    <row r="179">
      <c r="A179" s="29"/>
      <c r="B179" s="29"/>
      <c r="C179" s="65" t="str">
        <f>IFERROR(__xludf.DUMMYFUNCTION("""COMPUTED_VALUE"""),"")</f>
        <v/>
      </c>
      <c r="D179" s="29"/>
    </row>
    <row r="180">
      <c r="A180" s="29"/>
      <c r="B180" s="29"/>
      <c r="C180" s="65" t="str">
        <f>IFERROR(__xludf.DUMMYFUNCTION("""COMPUTED_VALUE"""),"")</f>
        <v/>
      </c>
      <c r="D180" s="29"/>
    </row>
    <row r="181">
      <c r="A181" s="29"/>
      <c r="B181" s="29"/>
      <c r="C181" s="65" t="str">
        <f>IFERROR(__xludf.DUMMYFUNCTION("""COMPUTED_VALUE"""),"")</f>
        <v/>
      </c>
      <c r="D181" s="29"/>
    </row>
    <row r="182">
      <c r="A182" s="29"/>
      <c r="B182" s="29"/>
      <c r="C182" s="65" t="str">
        <f>IFERROR(__xludf.DUMMYFUNCTION("""COMPUTED_VALUE"""),"")</f>
        <v/>
      </c>
      <c r="D182" s="29"/>
    </row>
    <row r="183">
      <c r="A183" s="29"/>
      <c r="B183" s="29"/>
      <c r="C183" s="65" t="str">
        <f>IFERROR(__xludf.DUMMYFUNCTION("""COMPUTED_VALUE"""),"")</f>
        <v/>
      </c>
      <c r="D183" s="29"/>
    </row>
    <row r="184">
      <c r="A184" s="29"/>
      <c r="B184" s="29"/>
      <c r="C184" s="65" t="str">
        <f>IFERROR(__xludf.DUMMYFUNCTION("""COMPUTED_VALUE"""),"")</f>
        <v/>
      </c>
      <c r="D184" s="29"/>
    </row>
    <row r="185">
      <c r="A185" s="29"/>
      <c r="B185" s="29"/>
      <c r="C185" s="65" t="str">
        <f>IFERROR(__xludf.DUMMYFUNCTION("""COMPUTED_VALUE"""),"")</f>
        <v/>
      </c>
      <c r="D185" s="29"/>
    </row>
    <row r="186">
      <c r="A186" s="29"/>
      <c r="B186" s="29"/>
      <c r="C186" s="65" t="str">
        <f>IFERROR(__xludf.DUMMYFUNCTION("""COMPUTED_VALUE"""),"")</f>
        <v/>
      </c>
      <c r="D186" s="29"/>
    </row>
    <row r="187">
      <c r="A187" s="29"/>
      <c r="B187" s="29"/>
      <c r="C187" s="65" t="str">
        <f>IFERROR(__xludf.DUMMYFUNCTION("""COMPUTED_VALUE"""),"")</f>
        <v/>
      </c>
      <c r="D187" s="29"/>
    </row>
    <row r="188">
      <c r="A188" s="29"/>
      <c r="B188" s="29"/>
      <c r="C188" s="65" t="str">
        <f>IFERROR(__xludf.DUMMYFUNCTION("""COMPUTED_VALUE"""),"")</f>
        <v/>
      </c>
      <c r="D188" s="29"/>
    </row>
    <row r="189">
      <c r="A189" s="29"/>
      <c r="B189" s="29"/>
      <c r="C189" s="65" t="str">
        <f>IFERROR(__xludf.DUMMYFUNCTION("""COMPUTED_VALUE"""),"")</f>
        <v/>
      </c>
      <c r="D189" s="29"/>
    </row>
    <row r="190">
      <c r="A190" s="29"/>
      <c r="B190" s="29"/>
      <c r="C190" s="65" t="str">
        <f>IFERROR(__xludf.DUMMYFUNCTION("""COMPUTED_VALUE"""),"")</f>
        <v/>
      </c>
      <c r="D190" s="29"/>
    </row>
    <row r="191">
      <c r="A191" s="29"/>
      <c r="B191" s="29"/>
      <c r="C191" s="65" t="str">
        <f>IFERROR(__xludf.DUMMYFUNCTION("""COMPUTED_VALUE"""),"")</f>
        <v/>
      </c>
      <c r="D191" s="29"/>
    </row>
    <row r="192">
      <c r="A192" s="29"/>
      <c r="B192" s="29"/>
      <c r="C192" s="65" t="str">
        <f>IFERROR(__xludf.DUMMYFUNCTION("""COMPUTED_VALUE"""),"")</f>
        <v/>
      </c>
      <c r="D192" s="29"/>
    </row>
    <row r="193">
      <c r="A193" s="29"/>
      <c r="B193" s="29"/>
      <c r="C193" s="65" t="str">
        <f>IFERROR(__xludf.DUMMYFUNCTION("""COMPUTED_VALUE"""),"")</f>
        <v/>
      </c>
      <c r="D193" s="29"/>
    </row>
    <row r="194">
      <c r="A194" s="29"/>
      <c r="B194" s="29"/>
      <c r="C194" s="65" t="str">
        <f>IFERROR(__xludf.DUMMYFUNCTION("""COMPUTED_VALUE"""),"")</f>
        <v/>
      </c>
      <c r="D194" s="29"/>
    </row>
    <row r="195">
      <c r="A195" s="29"/>
      <c r="B195" s="29"/>
      <c r="C195" s="65" t="str">
        <f>IFERROR(__xludf.DUMMYFUNCTION("""COMPUTED_VALUE"""),"")</f>
        <v/>
      </c>
      <c r="D195" s="29"/>
    </row>
    <row r="196">
      <c r="A196" s="29"/>
      <c r="B196" s="29"/>
      <c r="C196" s="65" t="str">
        <f>IFERROR(__xludf.DUMMYFUNCTION("""COMPUTED_VALUE"""),"")</f>
        <v/>
      </c>
      <c r="D196" s="29"/>
    </row>
    <row r="197">
      <c r="A197" s="29"/>
      <c r="B197" s="29"/>
      <c r="C197" s="65" t="str">
        <f>IFERROR(__xludf.DUMMYFUNCTION("""COMPUTED_VALUE"""),"")</f>
        <v/>
      </c>
      <c r="D197" s="29"/>
    </row>
    <row r="198">
      <c r="A198" s="29"/>
      <c r="B198" s="29"/>
      <c r="C198" s="65" t="str">
        <f>IFERROR(__xludf.DUMMYFUNCTION("""COMPUTED_VALUE"""),"")</f>
        <v/>
      </c>
      <c r="D198" s="29"/>
    </row>
    <row r="199">
      <c r="A199" s="29"/>
      <c r="B199" s="29"/>
      <c r="C199" s="65" t="str">
        <f>IFERROR(__xludf.DUMMYFUNCTION("""COMPUTED_VALUE"""),"")</f>
        <v/>
      </c>
      <c r="D199" s="29"/>
    </row>
    <row r="200">
      <c r="A200" s="29"/>
      <c r="B200" s="29"/>
      <c r="C200" s="65" t="str">
        <f>IFERROR(__xludf.DUMMYFUNCTION("""COMPUTED_VALUE"""),"")</f>
        <v/>
      </c>
      <c r="D200" s="29"/>
    </row>
    <row r="201">
      <c r="A201" s="29"/>
      <c r="B201" s="29"/>
      <c r="C201" s="65" t="str">
        <f>IFERROR(__xludf.DUMMYFUNCTION("""COMPUTED_VALUE"""),"")</f>
        <v/>
      </c>
      <c r="D201" s="29"/>
    </row>
    <row r="202">
      <c r="A202" s="29"/>
      <c r="B202" s="29"/>
      <c r="C202" s="65" t="str">
        <f>IFERROR(__xludf.DUMMYFUNCTION("""COMPUTED_VALUE"""),"")</f>
        <v/>
      </c>
      <c r="D202" s="29"/>
    </row>
    <row r="203">
      <c r="A203" s="29"/>
      <c r="B203" s="29"/>
      <c r="C203" s="65" t="str">
        <f>IFERROR(__xludf.DUMMYFUNCTION("""COMPUTED_VALUE"""),"")</f>
        <v/>
      </c>
      <c r="D203" s="29"/>
    </row>
    <row r="204">
      <c r="A204" s="29"/>
      <c r="B204" s="29"/>
      <c r="C204" s="65" t="str">
        <f>IFERROR(__xludf.DUMMYFUNCTION("""COMPUTED_VALUE"""),"")</f>
        <v/>
      </c>
      <c r="D204" s="29"/>
    </row>
    <row r="205">
      <c r="A205" s="29"/>
      <c r="B205" s="29"/>
      <c r="C205" s="65" t="str">
        <f>IFERROR(__xludf.DUMMYFUNCTION("""COMPUTED_VALUE"""),"")</f>
        <v/>
      </c>
      <c r="D205" s="29"/>
    </row>
    <row r="206">
      <c r="A206" s="29"/>
      <c r="B206" s="29"/>
      <c r="C206" s="65" t="str">
        <f>IFERROR(__xludf.DUMMYFUNCTION("""COMPUTED_VALUE"""),"")</f>
        <v/>
      </c>
      <c r="D206" s="29"/>
    </row>
    <row r="207">
      <c r="A207" s="29"/>
      <c r="B207" s="29"/>
      <c r="C207" s="65" t="str">
        <f>IFERROR(__xludf.DUMMYFUNCTION("""COMPUTED_VALUE"""),"")</f>
        <v/>
      </c>
      <c r="D207" s="29"/>
    </row>
    <row r="208">
      <c r="A208" s="29"/>
      <c r="B208" s="29"/>
      <c r="C208" s="65" t="str">
        <f>IFERROR(__xludf.DUMMYFUNCTION("""COMPUTED_VALUE"""),"")</f>
        <v/>
      </c>
      <c r="D208" s="29"/>
    </row>
    <row r="209">
      <c r="A209" s="29"/>
      <c r="B209" s="29"/>
      <c r="C209" s="65" t="str">
        <f>IFERROR(__xludf.DUMMYFUNCTION("""COMPUTED_VALUE"""),"")</f>
        <v/>
      </c>
      <c r="D209" s="29"/>
    </row>
    <row r="210">
      <c r="A210" s="29"/>
      <c r="B210" s="29"/>
      <c r="C210" s="65" t="str">
        <f>IFERROR(__xludf.DUMMYFUNCTION("""COMPUTED_VALUE"""),"")</f>
        <v/>
      </c>
      <c r="D210" s="29"/>
    </row>
    <row r="211">
      <c r="A211" s="29"/>
      <c r="B211" s="29"/>
      <c r="C211" s="65" t="str">
        <f>IFERROR(__xludf.DUMMYFUNCTION("""COMPUTED_VALUE"""),"")</f>
        <v/>
      </c>
      <c r="D211" s="29"/>
    </row>
    <row r="212">
      <c r="A212" s="29"/>
      <c r="B212" s="29"/>
      <c r="C212" s="65" t="str">
        <f>IFERROR(__xludf.DUMMYFUNCTION("""COMPUTED_VALUE"""),"")</f>
        <v/>
      </c>
      <c r="D212" s="29"/>
    </row>
    <row r="213">
      <c r="A213" s="29"/>
      <c r="B213" s="29"/>
      <c r="C213" s="65" t="str">
        <f>IFERROR(__xludf.DUMMYFUNCTION("""COMPUTED_VALUE"""),"")</f>
        <v/>
      </c>
      <c r="D213" s="29"/>
    </row>
    <row r="214">
      <c r="A214" s="29"/>
      <c r="B214" s="29"/>
      <c r="C214" s="65" t="str">
        <f>IFERROR(__xludf.DUMMYFUNCTION("""COMPUTED_VALUE"""),"")</f>
        <v/>
      </c>
      <c r="D214" s="29"/>
    </row>
    <row r="215">
      <c r="A215" s="29"/>
      <c r="B215" s="29"/>
      <c r="C215" s="65" t="str">
        <f>IFERROR(__xludf.DUMMYFUNCTION("""COMPUTED_VALUE"""),"")</f>
        <v/>
      </c>
      <c r="D215" s="29"/>
    </row>
    <row r="216">
      <c r="A216" s="29"/>
      <c r="B216" s="29"/>
      <c r="C216" s="65" t="str">
        <f>IFERROR(__xludf.DUMMYFUNCTION("""COMPUTED_VALUE"""),"")</f>
        <v/>
      </c>
      <c r="D216" s="29"/>
    </row>
    <row r="217">
      <c r="A217" s="29"/>
      <c r="B217" s="29"/>
      <c r="C217" s="65" t="str">
        <f>IFERROR(__xludf.DUMMYFUNCTION("""COMPUTED_VALUE"""),"")</f>
        <v/>
      </c>
      <c r="D217" s="29"/>
    </row>
    <row r="218">
      <c r="A218" s="29"/>
      <c r="B218" s="29"/>
      <c r="C218" s="65" t="str">
        <f>IFERROR(__xludf.DUMMYFUNCTION("""COMPUTED_VALUE"""),"")</f>
        <v/>
      </c>
      <c r="D218" s="29"/>
    </row>
    <row r="219">
      <c r="A219" s="29"/>
      <c r="B219" s="29"/>
      <c r="C219" s="65" t="str">
        <f>IFERROR(__xludf.DUMMYFUNCTION("""COMPUTED_VALUE"""),"")</f>
        <v/>
      </c>
      <c r="D219" s="29"/>
    </row>
    <row r="220">
      <c r="A220" s="29"/>
      <c r="B220" s="29"/>
      <c r="C220" s="65" t="str">
        <f>IFERROR(__xludf.DUMMYFUNCTION("""COMPUTED_VALUE"""),"")</f>
        <v/>
      </c>
      <c r="D220" s="29"/>
    </row>
    <row r="221">
      <c r="A221" s="29"/>
      <c r="B221" s="29"/>
      <c r="C221" s="65" t="str">
        <f>IFERROR(__xludf.DUMMYFUNCTION("""COMPUTED_VALUE"""),"")</f>
        <v/>
      </c>
      <c r="D221" s="29"/>
    </row>
    <row r="222">
      <c r="A222" s="29"/>
      <c r="B222" s="29"/>
      <c r="C222" s="65" t="str">
        <f>IFERROR(__xludf.DUMMYFUNCTION("""COMPUTED_VALUE"""),"")</f>
        <v/>
      </c>
      <c r="D222" s="29"/>
    </row>
    <row r="223">
      <c r="A223" s="29"/>
      <c r="B223" s="29"/>
      <c r="C223" s="65" t="str">
        <f>IFERROR(__xludf.DUMMYFUNCTION("""COMPUTED_VALUE"""),"")</f>
        <v/>
      </c>
      <c r="D223" s="29"/>
    </row>
    <row r="224">
      <c r="A224" s="29"/>
      <c r="B224" s="29"/>
      <c r="C224" s="65" t="str">
        <f>IFERROR(__xludf.DUMMYFUNCTION("""COMPUTED_VALUE"""),"")</f>
        <v/>
      </c>
      <c r="D224" s="29"/>
    </row>
    <row r="225">
      <c r="A225" s="29"/>
      <c r="B225" s="29"/>
      <c r="C225" s="65" t="str">
        <f>IFERROR(__xludf.DUMMYFUNCTION("""COMPUTED_VALUE"""),"")</f>
        <v/>
      </c>
      <c r="D225" s="29"/>
    </row>
    <row r="226">
      <c r="A226" s="29"/>
      <c r="B226" s="29"/>
      <c r="C226" s="65" t="str">
        <f>IFERROR(__xludf.DUMMYFUNCTION("""COMPUTED_VALUE"""),"")</f>
        <v/>
      </c>
      <c r="D226" s="29"/>
    </row>
    <row r="227">
      <c r="A227" s="29"/>
      <c r="B227" s="29"/>
      <c r="C227" s="65" t="str">
        <f>IFERROR(__xludf.DUMMYFUNCTION("""COMPUTED_VALUE"""),"")</f>
        <v/>
      </c>
      <c r="D227" s="29"/>
    </row>
    <row r="228">
      <c r="A228" s="29"/>
      <c r="B228" s="29"/>
      <c r="C228" s="65" t="str">
        <f>IFERROR(__xludf.DUMMYFUNCTION("""COMPUTED_VALUE"""),"")</f>
        <v/>
      </c>
      <c r="D228" s="29"/>
    </row>
    <row r="229">
      <c r="A229" s="29"/>
      <c r="B229" s="29"/>
      <c r="C229" s="65" t="str">
        <f>IFERROR(__xludf.DUMMYFUNCTION("""COMPUTED_VALUE"""),"")</f>
        <v/>
      </c>
      <c r="D229" s="29"/>
    </row>
    <row r="230">
      <c r="A230" s="29"/>
      <c r="B230" s="29"/>
      <c r="C230" s="65" t="str">
        <f>IFERROR(__xludf.DUMMYFUNCTION("""COMPUTED_VALUE"""),"")</f>
        <v/>
      </c>
      <c r="D230" s="29"/>
    </row>
    <row r="231">
      <c r="A231" s="29"/>
      <c r="B231" s="29"/>
      <c r="C231" s="65" t="str">
        <f>IFERROR(__xludf.DUMMYFUNCTION("""COMPUTED_VALUE"""),"")</f>
        <v/>
      </c>
      <c r="D231" s="29"/>
    </row>
    <row r="232">
      <c r="A232" s="29"/>
      <c r="B232" s="29"/>
      <c r="C232" s="65" t="str">
        <f>IFERROR(__xludf.DUMMYFUNCTION("""COMPUTED_VALUE"""),"")</f>
        <v/>
      </c>
      <c r="D232" s="29"/>
    </row>
    <row r="233">
      <c r="A233" s="29"/>
      <c r="B233" s="29"/>
      <c r="C233" s="65" t="str">
        <f>IFERROR(__xludf.DUMMYFUNCTION("""COMPUTED_VALUE"""),"")</f>
        <v/>
      </c>
      <c r="D233" s="29"/>
    </row>
    <row r="234">
      <c r="A234" s="29"/>
      <c r="B234" s="29"/>
      <c r="C234" s="65" t="str">
        <f>IFERROR(__xludf.DUMMYFUNCTION("""COMPUTED_VALUE"""),"")</f>
        <v/>
      </c>
      <c r="D234" s="29"/>
    </row>
    <row r="235">
      <c r="A235" s="29"/>
      <c r="B235" s="29"/>
      <c r="C235" s="65" t="str">
        <f>IFERROR(__xludf.DUMMYFUNCTION("""COMPUTED_VALUE"""),"")</f>
        <v/>
      </c>
      <c r="D235" s="29"/>
    </row>
    <row r="236">
      <c r="A236" s="29"/>
      <c r="B236" s="29"/>
      <c r="C236" s="65" t="str">
        <f>IFERROR(__xludf.DUMMYFUNCTION("""COMPUTED_VALUE"""),"")</f>
        <v/>
      </c>
      <c r="D236" s="29"/>
    </row>
    <row r="237">
      <c r="A237" s="29"/>
      <c r="B237" s="29"/>
      <c r="C237" s="65" t="str">
        <f>IFERROR(__xludf.DUMMYFUNCTION("""COMPUTED_VALUE"""),"")</f>
        <v/>
      </c>
      <c r="D237" s="29"/>
    </row>
    <row r="238">
      <c r="A238" s="29"/>
      <c r="B238" s="29"/>
      <c r="C238" s="65" t="str">
        <f>IFERROR(__xludf.DUMMYFUNCTION("""COMPUTED_VALUE"""),"")</f>
        <v/>
      </c>
      <c r="D238" s="29"/>
    </row>
    <row r="239">
      <c r="A239" s="29"/>
      <c r="B239" s="29"/>
      <c r="C239" s="65" t="str">
        <f>IFERROR(__xludf.DUMMYFUNCTION("""COMPUTED_VALUE"""),"")</f>
        <v/>
      </c>
      <c r="D239" s="29"/>
    </row>
    <row r="240">
      <c r="A240" s="29"/>
      <c r="B240" s="29"/>
      <c r="C240" s="65" t="str">
        <f>IFERROR(__xludf.DUMMYFUNCTION("""COMPUTED_VALUE"""),"")</f>
        <v/>
      </c>
      <c r="D240" s="29"/>
    </row>
    <row r="241">
      <c r="A241" s="29"/>
      <c r="B241" s="29"/>
      <c r="C241" s="65" t="str">
        <f>IFERROR(__xludf.DUMMYFUNCTION("""COMPUTED_VALUE"""),"")</f>
        <v/>
      </c>
      <c r="D241" s="29"/>
    </row>
    <row r="242">
      <c r="A242" s="29"/>
      <c r="B242" s="29"/>
      <c r="C242" s="65" t="str">
        <f>IFERROR(__xludf.DUMMYFUNCTION("""COMPUTED_VALUE"""),"")</f>
        <v/>
      </c>
      <c r="D242" s="29"/>
    </row>
    <row r="243">
      <c r="A243" s="29"/>
      <c r="B243" s="29"/>
      <c r="C243" s="65" t="str">
        <f>IFERROR(__xludf.DUMMYFUNCTION("""COMPUTED_VALUE"""),"")</f>
        <v/>
      </c>
      <c r="D243" s="29"/>
    </row>
    <row r="244">
      <c r="A244" s="29"/>
      <c r="B244" s="29"/>
      <c r="C244" s="65" t="str">
        <f>IFERROR(__xludf.DUMMYFUNCTION("""COMPUTED_VALUE"""),"")</f>
        <v/>
      </c>
      <c r="D244" s="29"/>
    </row>
    <row r="245">
      <c r="A245" s="29"/>
      <c r="B245" s="29"/>
      <c r="C245" s="65" t="str">
        <f>IFERROR(__xludf.DUMMYFUNCTION("""COMPUTED_VALUE"""),"")</f>
        <v/>
      </c>
      <c r="D245" s="29"/>
    </row>
    <row r="246">
      <c r="A246" s="29"/>
      <c r="B246" s="29"/>
      <c r="C246" s="65" t="str">
        <f>IFERROR(__xludf.DUMMYFUNCTION("""COMPUTED_VALUE"""),"")</f>
        <v/>
      </c>
      <c r="D246" s="29"/>
    </row>
    <row r="247">
      <c r="A247" s="29"/>
      <c r="B247" s="29"/>
      <c r="C247" s="65" t="str">
        <f>IFERROR(__xludf.DUMMYFUNCTION("""COMPUTED_VALUE"""),"")</f>
        <v/>
      </c>
      <c r="D247" s="29"/>
    </row>
    <row r="248">
      <c r="A248" s="29"/>
      <c r="B248" s="29"/>
      <c r="C248" s="65" t="str">
        <f>IFERROR(__xludf.DUMMYFUNCTION("""COMPUTED_VALUE"""),"")</f>
        <v/>
      </c>
      <c r="D248" s="29"/>
    </row>
    <row r="249">
      <c r="A249" s="29"/>
      <c r="B249" s="29"/>
      <c r="C249" s="65" t="str">
        <f>IFERROR(__xludf.DUMMYFUNCTION("""COMPUTED_VALUE"""),"")</f>
        <v/>
      </c>
      <c r="D249" s="29"/>
    </row>
    <row r="250">
      <c r="A250" s="29"/>
      <c r="B250" s="29"/>
      <c r="C250" s="65" t="str">
        <f>IFERROR(__xludf.DUMMYFUNCTION("""COMPUTED_VALUE"""),"")</f>
        <v/>
      </c>
      <c r="D250" s="29"/>
    </row>
    <row r="251">
      <c r="A251" s="29"/>
      <c r="B251" s="29"/>
      <c r="C251" s="65" t="str">
        <f>IFERROR(__xludf.DUMMYFUNCTION("""COMPUTED_VALUE"""),"")</f>
        <v/>
      </c>
      <c r="D251" s="29"/>
    </row>
    <row r="252">
      <c r="A252" s="29"/>
      <c r="B252" s="29"/>
      <c r="C252" s="65" t="str">
        <f>IFERROR(__xludf.DUMMYFUNCTION("""COMPUTED_VALUE"""),"")</f>
        <v/>
      </c>
      <c r="D252" s="29"/>
    </row>
    <row r="253">
      <c r="A253" s="29"/>
      <c r="B253" s="29"/>
      <c r="C253" s="65" t="str">
        <f>IFERROR(__xludf.DUMMYFUNCTION("""COMPUTED_VALUE"""),"")</f>
        <v/>
      </c>
      <c r="D253" s="29"/>
    </row>
    <row r="254">
      <c r="A254" s="29"/>
      <c r="B254" s="29"/>
      <c r="C254" s="65" t="str">
        <f>IFERROR(__xludf.DUMMYFUNCTION("""COMPUTED_VALUE"""),"")</f>
        <v/>
      </c>
      <c r="D254" s="29"/>
    </row>
    <row r="255">
      <c r="A255" s="29"/>
      <c r="B255" s="29"/>
      <c r="C255" s="65" t="str">
        <f>IFERROR(__xludf.DUMMYFUNCTION("""COMPUTED_VALUE"""),"")</f>
        <v/>
      </c>
      <c r="D255" s="29"/>
    </row>
    <row r="256">
      <c r="A256" s="29"/>
      <c r="B256" s="29"/>
      <c r="C256" s="65" t="str">
        <f>IFERROR(__xludf.DUMMYFUNCTION("""COMPUTED_VALUE"""),"")</f>
        <v/>
      </c>
      <c r="D256" s="29"/>
    </row>
    <row r="257">
      <c r="A257" s="29"/>
      <c r="B257" s="29"/>
      <c r="C257" s="65" t="str">
        <f>IFERROR(__xludf.DUMMYFUNCTION("""COMPUTED_VALUE"""),"")</f>
        <v/>
      </c>
      <c r="D257" s="29"/>
    </row>
    <row r="258">
      <c r="A258" s="29"/>
      <c r="B258" s="29"/>
      <c r="C258" s="65" t="str">
        <f>IFERROR(__xludf.DUMMYFUNCTION("""COMPUTED_VALUE"""),"")</f>
        <v/>
      </c>
      <c r="D258" s="29"/>
    </row>
    <row r="259">
      <c r="A259" s="29"/>
      <c r="B259" s="29"/>
      <c r="C259" s="65" t="str">
        <f>IFERROR(__xludf.DUMMYFUNCTION("""COMPUTED_VALUE"""),"")</f>
        <v/>
      </c>
      <c r="D259" s="29"/>
    </row>
    <row r="260">
      <c r="A260" s="29"/>
      <c r="B260" s="29"/>
      <c r="C260" s="65" t="str">
        <f>IFERROR(__xludf.DUMMYFUNCTION("""COMPUTED_VALUE"""),"")</f>
        <v/>
      </c>
      <c r="D260" s="29"/>
    </row>
    <row r="261">
      <c r="A261" s="29"/>
      <c r="B261" s="29"/>
      <c r="C261" s="65" t="str">
        <f>IFERROR(__xludf.DUMMYFUNCTION("""COMPUTED_VALUE"""),"")</f>
        <v/>
      </c>
      <c r="D261" s="29"/>
    </row>
    <row r="262">
      <c r="A262" s="29"/>
      <c r="B262" s="29"/>
      <c r="C262" s="65" t="str">
        <f>IFERROR(__xludf.DUMMYFUNCTION("""COMPUTED_VALUE"""),"")</f>
        <v/>
      </c>
      <c r="D262" s="29"/>
    </row>
    <row r="263">
      <c r="A263" s="29"/>
      <c r="B263" s="29"/>
      <c r="C263" s="65" t="str">
        <f>IFERROR(__xludf.DUMMYFUNCTION("""COMPUTED_VALUE"""),"")</f>
        <v/>
      </c>
      <c r="D263" s="29"/>
    </row>
    <row r="264">
      <c r="A264" s="29"/>
      <c r="B264" s="29"/>
      <c r="C264" s="65" t="str">
        <f>IFERROR(__xludf.DUMMYFUNCTION("""COMPUTED_VALUE"""),"")</f>
        <v/>
      </c>
      <c r="D264" s="29"/>
    </row>
    <row r="265">
      <c r="A265" s="29"/>
      <c r="B265" s="29"/>
      <c r="C265" s="65" t="str">
        <f>IFERROR(__xludf.DUMMYFUNCTION("""COMPUTED_VALUE"""),"")</f>
        <v/>
      </c>
      <c r="D265" s="29"/>
    </row>
    <row r="266">
      <c r="A266" s="29"/>
      <c r="B266" s="29"/>
      <c r="C266" s="65" t="str">
        <f>IFERROR(__xludf.DUMMYFUNCTION("""COMPUTED_VALUE"""),"")</f>
        <v/>
      </c>
      <c r="D266" s="29"/>
    </row>
    <row r="267">
      <c r="A267" s="29"/>
      <c r="B267" s="29"/>
      <c r="C267" s="65" t="str">
        <f>IFERROR(__xludf.DUMMYFUNCTION("""COMPUTED_VALUE"""),"")</f>
        <v/>
      </c>
      <c r="D267" s="29"/>
    </row>
    <row r="268">
      <c r="A268" s="29"/>
      <c r="B268" s="29"/>
      <c r="C268" s="65" t="str">
        <f>IFERROR(__xludf.DUMMYFUNCTION("""COMPUTED_VALUE"""),"")</f>
        <v/>
      </c>
      <c r="D268" s="29"/>
    </row>
    <row r="269">
      <c r="A269" s="29"/>
      <c r="B269" s="29"/>
      <c r="C269" s="65" t="str">
        <f>IFERROR(__xludf.DUMMYFUNCTION("""COMPUTED_VALUE"""),"")</f>
        <v/>
      </c>
      <c r="D269" s="29"/>
    </row>
    <row r="270">
      <c r="A270" s="29"/>
      <c r="B270" s="29"/>
      <c r="C270" s="65" t="str">
        <f>IFERROR(__xludf.DUMMYFUNCTION("""COMPUTED_VALUE"""),"")</f>
        <v/>
      </c>
      <c r="D270" s="29"/>
    </row>
    <row r="271">
      <c r="A271" s="29"/>
      <c r="B271" s="29"/>
      <c r="C271" s="65" t="str">
        <f>IFERROR(__xludf.DUMMYFUNCTION("""COMPUTED_VALUE"""),"")</f>
        <v/>
      </c>
      <c r="D271" s="29"/>
    </row>
    <row r="272">
      <c r="A272" s="29"/>
      <c r="B272" s="29"/>
      <c r="C272" s="65" t="str">
        <f>IFERROR(__xludf.DUMMYFUNCTION("""COMPUTED_VALUE"""),"")</f>
        <v/>
      </c>
      <c r="D272" s="29"/>
    </row>
    <row r="273">
      <c r="A273" s="29"/>
      <c r="B273" s="29"/>
      <c r="C273" s="65" t="str">
        <f>IFERROR(__xludf.DUMMYFUNCTION("""COMPUTED_VALUE"""),"")</f>
        <v/>
      </c>
      <c r="D273" s="29"/>
    </row>
    <row r="274">
      <c r="A274" s="29"/>
      <c r="B274" s="29"/>
      <c r="C274" s="65" t="str">
        <f>IFERROR(__xludf.DUMMYFUNCTION("""COMPUTED_VALUE"""),"")</f>
        <v/>
      </c>
      <c r="D274" s="29"/>
    </row>
    <row r="275">
      <c r="A275" s="29"/>
      <c r="B275" s="29"/>
      <c r="C275" s="65" t="str">
        <f>IFERROR(__xludf.DUMMYFUNCTION("""COMPUTED_VALUE"""),"")</f>
        <v/>
      </c>
      <c r="D275" s="29"/>
    </row>
    <row r="276">
      <c r="A276" s="29"/>
      <c r="B276" s="29"/>
      <c r="C276" s="65" t="str">
        <f>IFERROR(__xludf.DUMMYFUNCTION("""COMPUTED_VALUE"""),"")</f>
        <v/>
      </c>
      <c r="D276" s="29"/>
    </row>
    <row r="277">
      <c r="A277" s="29"/>
      <c r="B277" s="29"/>
      <c r="C277" s="65" t="str">
        <f>IFERROR(__xludf.DUMMYFUNCTION("""COMPUTED_VALUE"""),"")</f>
        <v/>
      </c>
      <c r="D277" s="29"/>
    </row>
    <row r="278">
      <c r="A278" s="29"/>
      <c r="B278" s="29"/>
      <c r="C278" s="65" t="str">
        <f>IFERROR(__xludf.DUMMYFUNCTION("""COMPUTED_VALUE"""),"")</f>
        <v/>
      </c>
      <c r="D278" s="29"/>
    </row>
    <row r="279">
      <c r="A279" s="29"/>
      <c r="B279" s="29"/>
      <c r="C279" s="65" t="str">
        <f>IFERROR(__xludf.DUMMYFUNCTION("""COMPUTED_VALUE"""),"")</f>
        <v/>
      </c>
      <c r="D279" s="29"/>
    </row>
    <row r="280">
      <c r="A280" s="29"/>
      <c r="B280" s="29"/>
      <c r="C280" s="65" t="str">
        <f>IFERROR(__xludf.DUMMYFUNCTION("""COMPUTED_VALUE"""),"")</f>
        <v/>
      </c>
      <c r="D280" s="29"/>
    </row>
    <row r="281">
      <c r="A281" s="29"/>
      <c r="B281" s="29"/>
      <c r="C281" s="65" t="str">
        <f>IFERROR(__xludf.DUMMYFUNCTION("""COMPUTED_VALUE"""),"")</f>
        <v/>
      </c>
      <c r="D281" s="29"/>
    </row>
    <row r="282">
      <c r="A282" s="29"/>
      <c r="B282" s="29"/>
      <c r="C282" s="65" t="str">
        <f>IFERROR(__xludf.DUMMYFUNCTION("""COMPUTED_VALUE"""),"")</f>
        <v/>
      </c>
      <c r="D282" s="29"/>
    </row>
    <row r="283">
      <c r="A283" s="29"/>
      <c r="B283" s="29"/>
      <c r="C283" s="65" t="str">
        <f>IFERROR(__xludf.DUMMYFUNCTION("""COMPUTED_VALUE"""),"")</f>
        <v/>
      </c>
      <c r="D283" s="29"/>
    </row>
    <row r="284">
      <c r="A284" s="29"/>
      <c r="B284" s="29"/>
      <c r="C284" s="65" t="str">
        <f>IFERROR(__xludf.DUMMYFUNCTION("""COMPUTED_VALUE"""),"")</f>
        <v/>
      </c>
      <c r="D284" s="29"/>
    </row>
    <row r="285">
      <c r="A285" s="29"/>
      <c r="B285" s="29"/>
      <c r="C285" s="65" t="str">
        <f>IFERROR(__xludf.DUMMYFUNCTION("""COMPUTED_VALUE"""),"")</f>
        <v/>
      </c>
      <c r="D285" s="29"/>
    </row>
    <row r="286">
      <c r="A286" s="29"/>
      <c r="B286" s="29"/>
      <c r="C286" s="65" t="str">
        <f>IFERROR(__xludf.DUMMYFUNCTION("""COMPUTED_VALUE"""),"")</f>
        <v/>
      </c>
      <c r="D286" s="29"/>
    </row>
    <row r="287">
      <c r="A287" s="29"/>
      <c r="B287" s="29"/>
      <c r="C287" s="65" t="str">
        <f>IFERROR(__xludf.DUMMYFUNCTION("""COMPUTED_VALUE"""),"")</f>
        <v/>
      </c>
      <c r="D287" s="29"/>
    </row>
    <row r="288">
      <c r="A288" s="29"/>
      <c r="B288" s="29"/>
      <c r="C288" s="65" t="str">
        <f>IFERROR(__xludf.DUMMYFUNCTION("""COMPUTED_VALUE"""),"")</f>
        <v/>
      </c>
      <c r="D288" s="29"/>
    </row>
    <row r="289">
      <c r="A289" s="29"/>
      <c r="B289" s="29"/>
      <c r="C289" s="65" t="str">
        <f>IFERROR(__xludf.DUMMYFUNCTION("""COMPUTED_VALUE"""),"")</f>
        <v/>
      </c>
      <c r="D289" s="29"/>
    </row>
    <row r="290">
      <c r="A290" s="29"/>
      <c r="B290" s="29"/>
      <c r="C290" s="65" t="str">
        <f>IFERROR(__xludf.DUMMYFUNCTION("""COMPUTED_VALUE"""),"")</f>
        <v/>
      </c>
      <c r="D290" s="29"/>
    </row>
    <row r="291">
      <c r="A291" s="29"/>
      <c r="B291" s="29"/>
      <c r="C291" s="65" t="str">
        <f>IFERROR(__xludf.DUMMYFUNCTION("""COMPUTED_VALUE"""),"")</f>
        <v/>
      </c>
      <c r="D291" s="29"/>
    </row>
    <row r="292">
      <c r="A292" s="29"/>
      <c r="B292" s="29"/>
      <c r="C292" s="65" t="str">
        <f>IFERROR(__xludf.DUMMYFUNCTION("""COMPUTED_VALUE"""),"")</f>
        <v/>
      </c>
      <c r="D292" s="29"/>
    </row>
    <row r="293">
      <c r="A293" s="29"/>
      <c r="B293" s="29"/>
      <c r="C293" s="65" t="str">
        <f>IFERROR(__xludf.DUMMYFUNCTION("""COMPUTED_VALUE"""),"")</f>
        <v/>
      </c>
      <c r="D293" s="29"/>
    </row>
    <row r="294">
      <c r="A294" s="29"/>
      <c r="B294" s="29"/>
      <c r="C294" s="65" t="str">
        <f>IFERROR(__xludf.DUMMYFUNCTION("""COMPUTED_VALUE"""),"")</f>
        <v/>
      </c>
      <c r="D294" s="29"/>
    </row>
    <row r="295">
      <c r="A295" s="29"/>
      <c r="B295" s="29"/>
      <c r="C295" s="65" t="str">
        <f>IFERROR(__xludf.DUMMYFUNCTION("""COMPUTED_VALUE"""),"")</f>
        <v/>
      </c>
      <c r="D295" s="29"/>
    </row>
    <row r="296">
      <c r="A296" s="29"/>
      <c r="B296" s="29"/>
      <c r="C296" s="65" t="str">
        <f>IFERROR(__xludf.DUMMYFUNCTION("""COMPUTED_VALUE"""),"")</f>
        <v/>
      </c>
      <c r="D296" s="29"/>
    </row>
    <row r="297">
      <c r="A297" s="29"/>
      <c r="B297" s="29"/>
      <c r="C297" s="65" t="str">
        <f>IFERROR(__xludf.DUMMYFUNCTION("""COMPUTED_VALUE"""),"")</f>
        <v/>
      </c>
      <c r="D297" s="29"/>
    </row>
    <row r="298">
      <c r="A298" s="29"/>
      <c r="B298" s="29"/>
      <c r="C298" s="65" t="str">
        <f>IFERROR(__xludf.DUMMYFUNCTION("""COMPUTED_VALUE"""),"")</f>
        <v/>
      </c>
      <c r="D298" s="29"/>
    </row>
    <row r="299">
      <c r="A299" s="29"/>
      <c r="B299" s="29"/>
      <c r="C299" s="65" t="str">
        <f>IFERROR(__xludf.DUMMYFUNCTION("""COMPUTED_VALUE"""),"")</f>
        <v/>
      </c>
      <c r="D299" s="29"/>
    </row>
    <row r="300">
      <c r="A300" s="29"/>
      <c r="B300" s="29"/>
      <c r="C300" s="65" t="str">
        <f>IFERROR(__xludf.DUMMYFUNCTION("""COMPUTED_VALUE"""),"")</f>
        <v/>
      </c>
      <c r="D300" s="29"/>
    </row>
    <row r="301">
      <c r="A301" s="29"/>
      <c r="B301" s="29"/>
      <c r="C301" s="65" t="str">
        <f>IFERROR(__xludf.DUMMYFUNCTION("""COMPUTED_VALUE"""),"")</f>
        <v/>
      </c>
      <c r="D301" s="29"/>
    </row>
    <row r="302">
      <c r="A302" s="29"/>
      <c r="B302" s="29"/>
      <c r="C302" s="65" t="str">
        <f>IFERROR(__xludf.DUMMYFUNCTION("""COMPUTED_VALUE"""),"")</f>
        <v/>
      </c>
      <c r="D302" s="29"/>
    </row>
    <row r="303">
      <c r="A303" s="29"/>
      <c r="B303" s="29"/>
      <c r="C303" s="65" t="str">
        <f>IFERROR(__xludf.DUMMYFUNCTION("""COMPUTED_VALUE"""),"")</f>
        <v/>
      </c>
      <c r="D303" s="29"/>
    </row>
    <row r="304">
      <c r="A304" s="29"/>
      <c r="B304" s="29"/>
      <c r="C304" s="65" t="str">
        <f>IFERROR(__xludf.DUMMYFUNCTION("""COMPUTED_VALUE"""),"")</f>
        <v/>
      </c>
      <c r="D304" s="29"/>
    </row>
    <row r="305">
      <c r="A305" s="29"/>
      <c r="B305" s="29"/>
      <c r="C305" s="65" t="str">
        <f>IFERROR(__xludf.DUMMYFUNCTION("""COMPUTED_VALUE"""),"")</f>
        <v/>
      </c>
      <c r="D305" s="29"/>
    </row>
    <row r="306">
      <c r="A306" s="29"/>
      <c r="B306" s="29"/>
      <c r="C306" s="65" t="str">
        <f>IFERROR(__xludf.DUMMYFUNCTION("""COMPUTED_VALUE"""),"")</f>
        <v/>
      </c>
      <c r="D306" s="29"/>
    </row>
    <row r="307">
      <c r="A307" s="29"/>
      <c r="B307" s="29"/>
      <c r="C307" s="65" t="str">
        <f>IFERROR(__xludf.DUMMYFUNCTION("""COMPUTED_VALUE"""),"")</f>
        <v/>
      </c>
      <c r="D307" s="29"/>
    </row>
    <row r="308">
      <c r="A308" s="29"/>
      <c r="B308" s="29"/>
      <c r="C308" s="65" t="str">
        <f>IFERROR(__xludf.DUMMYFUNCTION("""COMPUTED_VALUE"""),"")</f>
        <v/>
      </c>
      <c r="D308" s="29"/>
    </row>
    <row r="309">
      <c r="A309" s="29"/>
      <c r="B309" s="29"/>
      <c r="C309" s="65" t="str">
        <f>IFERROR(__xludf.DUMMYFUNCTION("""COMPUTED_VALUE"""),"")</f>
        <v/>
      </c>
      <c r="D309" s="29"/>
    </row>
    <row r="310">
      <c r="A310" s="29"/>
      <c r="B310" s="29"/>
      <c r="C310" s="65" t="str">
        <f>IFERROR(__xludf.DUMMYFUNCTION("""COMPUTED_VALUE"""),"")</f>
        <v/>
      </c>
      <c r="D310" s="29"/>
    </row>
    <row r="311">
      <c r="A311" s="29"/>
      <c r="B311" s="29"/>
      <c r="C311" s="65" t="str">
        <f>IFERROR(__xludf.DUMMYFUNCTION("""COMPUTED_VALUE"""),"")</f>
        <v/>
      </c>
      <c r="D311" s="29"/>
    </row>
    <row r="312">
      <c r="A312" s="29"/>
      <c r="B312" s="29"/>
      <c r="C312" s="65" t="str">
        <f>IFERROR(__xludf.DUMMYFUNCTION("""COMPUTED_VALUE"""),"")</f>
        <v/>
      </c>
      <c r="D312" s="29"/>
    </row>
    <row r="313">
      <c r="A313" s="29"/>
      <c r="B313" s="29"/>
      <c r="C313" s="65" t="str">
        <f>IFERROR(__xludf.DUMMYFUNCTION("""COMPUTED_VALUE"""),"")</f>
        <v/>
      </c>
      <c r="D313" s="29"/>
    </row>
    <row r="314">
      <c r="A314" s="29"/>
      <c r="B314" s="29"/>
      <c r="C314" s="65" t="str">
        <f>IFERROR(__xludf.DUMMYFUNCTION("""COMPUTED_VALUE"""),"")</f>
        <v/>
      </c>
      <c r="D314" s="29"/>
    </row>
    <row r="315">
      <c r="A315" s="29"/>
      <c r="B315" s="29"/>
      <c r="C315" s="65" t="str">
        <f>IFERROR(__xludf.DUMMYFUNCTION("""COMPUTED_VALUE"""),"")</f>
        <v/>
      </c>
      <c r="D315" s="29"/>
    </row>
    <row r="316">
      <c r="A316" s="29"/>
      <c r="B316" s="29"/>
      <c r="C316" s="65" t="str">
        <f>IFERROR(__xludf.DUMMYFUNCTION("""COMPUTED_VALUE"""),"")</f>
        <v/>
      </c>
      <c r="D316" s="29"/>
    </row>
    <row r="317">
      <c r="A317" s="29"/>
      <c r="B317" s="29"/>
      <c r="C317" s="65" t="str">
        <f>IFERROR(__xludf.DUMMYFUNCTION("""COMPUTED_VALUE"""),"")</f>
        <v/>
      </c>
      <c r="D317" s="29"/>
    </row>
    <row r="318">
      <c r="A318" s="29"/>
      <c r="B318" s="29"/>
      <c r="C318" s="65" t="str">
        <f>IFERROR(__xludf.DUMMYFUNCTION("""COMPUTED_VALUE"""),"")</f>
        <v/>
      </c>
      <c r="D318" s="29"/>
    </row>
    <row r="319">
      <c r="A319" s="29"/>
      <c r="B319" s="29"/>
      <c r="C319" s="65" t="str">
        <f>IFERROR(__xludf.DUMMYFUNCTION("""COMPUTED_VALUE"""),"")</f>
        <v/>
      </c>
      <c r="D319" s="29"/>
    </row>
    <row r="320">
      <c r="A320" s="29"/>
      <c r="B320" s="29"/>
      <c r="C320" s="65" t="str">
        <f>IFERROR(__xludf.DUMMYFUNCTION("""COMPUTED_VALUE"""),"")</f>
        <v/>
      </c>
      <c r="D320" s="29"/>
    </row>
    <row r="321">
      <c r="A321" s="29"/>
      <c r="B321" s="29"/>
      <c r="C321" s="65" t="str">
        <f>IFERROR(__xludf.DUMMYFUNCTION("""COMPUTED_VALUE"""),"")</f>
        <v/>
      </c>
      <c r="D321" s="29"/>
    </row>
    <row r="322">
      <c r="A322" s="29"/>
      <c r="B322" s="29"/>
      <c r="C322" s="65" t="str">
        <f>IFERROR(__xludf.DUMMYFUNCTION("""COMPUTED_VALUE"""),"")</f>
        <v/>
      </c>
      <c r="D322" s="29"/>
    </row>
    <row r="323">
      <c r="A323" s="29"/>
      <c r="B323" s="29"/>
      <c r="C323" s="65" t="str">
        <f>IFERROR(__xludf.DUMMYFUNCTION("""COMPUTED_VALUE"""),"")</f>
        <v/>
      </c>
      <c r="D323" s="29"/>
    </row>
    <row r="324">
      <c r="A324" s="29"/>
      <c r="B324" s="29"/>
      <c r="C324" s="65" t="str">
        <f>IFERROR(__xludf.DUMMYFUNCTION("""COMPUTED_VALUE"""),"")</f>
        <v/>
      </c>
      <c r="D324" s="29"/>
    </row>
    <row r="325">
      <c r="A325" s="29"/>
      <c r="B325" s="29"/>
      <c r="C325" s="65" t="str">
        <f>IFERROR(__xludf.DUMMYFUNCTION("""COMPUTED_VALUE"""),"")</f>
        <v/>
      </c>
      <c r="D325" s="29"/>
    </row>
    <row r="326">
      <c r="A326" s="29"/>
      <c r="B326" s="29"/>
      <c r="C326" s="65" t="str">
        <f>IFERROR(__xludf.DUMMYFUNCTION("""COMPUTED_VALUE"""),"")</f>
        <v/>
      </c>
      <c r="D326" s="29"/>
    </row>
    <row r="327">
      <c r="A327" s="29"/>
      <c r="B327" s="29"/>
      <c r="C327" s="65" t="str">
        <f>IFERROR(__xludf.DUMMYFUNCTION("""COMPUTED_VALUE"""),"")</f>
        <v/>
      </c>
      <c r="D327" s="29"/>
    </row>
    <row r="328">
      <c r="A328" s="29"/>
      <c r="B328" s="29"/>
      <c r="C328" s="65" t="str">
        <f>IFERROR(__xludf.DUMMYFUNCTION("""COMPUTED_VALUE"""),"")</f>
        <v/>
      </c>
      <c r="D328" s="29"/>
    </row>
    <row r="329">
      <c r="A329" s="29"/>
      <c r="B329" s="29"/>
      <c r="C329" s="65" t="str">
        <f>IFERROR(__xludf.DUMMYFUNCTION("""COMPUTED_VALUE"""),"")</f>
        <v/>
      </c>
      <c r="D329" s="29"/>
    </row>
    <row r="330">
      <c r="A330" s="29"/>
      <c r="B330" s="29"/>
      <c r="C330" s="65" t="str">
        <f>IFERROR(__xludf.DUMMYFUNCTION("""COMPUTED_VALUE"""),"")</f>
        <v/>
      </c>
      <c r="D330" s="29"/>
    </row>
    <row r="331">
      <c r="A331" s="29"/>
      <c r="B331" s="29"/>
      <c r="C331" s="65" t="str">
        <f>IFERROR(__xludf.DUMMYFUNCTION("""COMPUTED_VALUE"""),"")</f>
        <v/>
      </c>
      <c r="D331" s="29"/>
    </row>
    <row r="332">
      <c r="A332" s="29"/>
      <c r="B332" s="29"/>
      <c r="C332" s="65" t="str">
        <f>IFERROR(__xludf.DUMMYFUNCTION("""COMPUTED_VALUE"""),"")</f>
        <v/>
      </c>
      <c r="D332" s="29"/>
    </row>
    <row r="333">
      <c r="A333" s="29"/>
      <c r="B333" s="29"/>
      <c r="C333" s="65" t="str">
        <f>IFERROR(__xludf.DUMMYFUNCTION("""COMPUTED_VALUE"""),"")</f>
        <v/>
      </c>
      <c r="D333" s="29"/>
    </row>
    <row r="334">
      <c r="A334" s="29"/>
      <c r="B334" s="29"/>
      <c r="C334" s="65" t="str">
        <f>IFERROR(__xludf.DUMMYFUNCTION("""COMPUTED_VALUE"""),"")</f>
        <v/>
      </c>
      <c r="D334" s="29"/>
    </row>
    <row r="335">
      <c r="A335" s="29"/>
      <c r="B335" s="29"/>
      <c r="C335" s="65" t="str">
        <f>IFERROR(__xludf.DUMMYFUNCTION("""COMPUTED_VALUE"""),"")</f>
        <v/>
      </c>
      <c r="D335" s="29"/>
    </row>
    <row r="336">
      <c r="A336" s="29"/>
      <c r="B336" s="29"/>
      <c r="C336" s="65" t="str">
        <f>IFERROR(__xludf.DUMMYFUNCTION("""COMPUTED_VALUE"""),"")</f>
        <v/>
      </c>
      <c r="D336" s="29"/>
    </row>
    <row r="337">
      <c r="A337" s="29"/>
      <c r="B337" s="29"/>
      <c r="C337" s="65" t="str">
        <f>IFERROR(__xludf.DUMMYFUNCTION("""COMPUTED_VALUE"""),"")</f>
        <v/>
      </c>
      <c r="D337" s="29"/>
    </row>
    <row r="338">
      <c r="A338" s="29"/>
      <c r="B338" s="29"/>
      <c r="C338" s="65" t="str">
        <f>IFERROR(__xludf.DUMMYFUNCTION("""COMPUTED_VALUE"""),"")</f>
        <v/>
      </c>
      <c r="D338" s="29"/>
    </row>
    <row r="339">
      <c r="A339" s="29"/>
      <c r="B339" s="29"/>
      <c r="C339" s="65" t="str">
        <f>IFERROR(__xludf.DUMMYFUNCTION("""COMPUTED_VALUE"""),"")</f>
        <v/>
      </c>
      <c r="D339" s="29"/>
    </row>
    <row r="340">
      <c r="A340" s="29"/>
      <c r="B340" s="29"/>
      <c r="C340" s="65" t="str">
        <f>IFERROR(__xludf.DUMMYFUNCTION("""COMPUTED_VALUE"""),"")</f>
        <v/>
      </c>
      <c r="D340" s="29"/>
    </row>
    <row r="341">
      <c r="A341" s="29"/>
      <c r="B341" s="29"/>
      <c r="C341" s="65" t="str">
        <f>IFERROR(__xludf.DUMMYFUNCTION("""COMPUTED_VALUE"""),"")</f>
        <v/>
      </c>
      <c r="D341" s="29"/>
    </row>
    <row r="342">
      <c r="A342" s="29"/>
      <c r="B342" s="29"/>
      <c r="C342" s="65" t="str">
        <f>IFERROR(__xludf.DUMMYFUNCTION("""COMPUTED_VALUE"""),"")</f>
        <v/>
      </c>
      <c r="D342" s="29"/>
    </row>
    <row r="343">
      <c r="A343" s="29"/>
      <c r="B343" s="29"/>
      <c r="C343" s="65" t="str">
        <f>IFERROR(__xludf.DUMMYFUNCTION("""COMPUTED_VALUE"""),"")</f>
        <v/>
      </c>
      <c r="D343" s="29"/>
    </row>
    <row r="344">
      <c r="A344" s="29"/>
      <c r="B344" s="29"/>
      <c r="C344" s="65" t="str">
        <f>IFERROR(__xludf.DUMMYFUNCTION("""COMPUTED_VALUE"""),"")</f>
        <v/>
      </c>
      <c r="D344" s="29"/>
    </row>
    <row r="345">
      <c r="A345" s="29"/>
      <c r="B345" s="29"/>
      <c r="C345" s="65" t="str">
        <f>IFERROR(__xludf.DUMMYFUNCTION("""COMPUTED_VALUE"""),"")</f>
        <v/>
      </c>
      <c r="D345" s="29"/>
    </row>
    <row r="346">
      <c r="A346" s="29"/>
      <c r="B346" s="29"/>
      <c r="C346" s="65" t="str">
        <f>IFERROR(__xludf.DUMMYFUNCTION("""COMPUTED_VALUE"""),"")</f>
        <v/>
      </c>
      <c r="D346" s="29"/>
    </row>
    <row r="347">
      <c r="A347" s="29"/>
      <c r="B347" s="29"/>
      <c r="C347" s="65" t="str">
        <f>IFERROR(__xludf.DUMMYFUNCTION("""COMPUTED_VALUE"""),"")</f>
        <v/>
      </c>
      <c r="D347" s="29"/>
    </row>
    <row r="348">
      <c r="A348" s="29"/>
      <c r="B348" s="29"/>
      <c r="C348" s="65" t="str">
        <f>IFERROR(__xludf.DUMMYFUNCTION("""COMPUTED_VALUE"""),"")</f>
        <v/>
      </c>
      <c r="D348" s="29"/>
    </row>
    <row r="349">
      <c r="A349" s="29"/>
      <c r="B349" s="29"/>
      <c r="C349" s="65" t="str">
        <f>IFERROR(__xludf.DUMMYFUNCTION("""COMPUTED_VALUE"""),"")</f>
        <v/>
      </c>
      <c r="D349" s="29"/>
    </row>
    <row r="350">
      <c r="A350" s="29"/>
      <c r="B350" s="29"/>
      <c r="C350" s="65" t="str">
        <f>IFERROR(__xludf.DUMMYFUNCTION("""COMPUTED_VALUE"""),"")</f>
        <v/>
      </c>
      <c r="D350" s="29"/>
    </row>
    <row r="351">
      <c r="A351" s="29"/>
      <c r="B351" s="29"/>
      <c r="C351" s="65" t="str">
        <f>IFERROR(__xludf.DUMMYFUNCTION("""COMPUTED_VALUE"""),"")</f>
        <v/>
      </c>
      <c r="D351" s="29"/>
    </row>
    <row r="352">
      <c r="A352" s="29"/>
      <c r="B352" s="29"/>
      <c r="C352" s="65" t="str">
        <f>IFERROR(__xludf.DUMMYFUNCTION("""COMPUTED_VALUE"""),"")</f>
        <v/>
      </c>
      <c r="D352" s="29"/>
    </row>
    <row r="353">
      <c r="A353" s="29"/>
      <c r="B353" s="29"/>
      <c r="C353" s="65" t="str">
        <f>IFERROR(__xludf.DUMMYFUNCTION("""COMPUTED_VALUE"""),"")</f>
        <v/>
      </c>
      <c r="D353" s="29"/>
    </row>
    <row r="354">
      <c r="A354" s="29"/>
      <c r="B354" s="29"/>
      <c r="C354" s="65" t="str">
        <f>IFERROR(__xludf.DUMMYFUNCTION("""COMPUTED_VALUE"""),"")</f>
        <v/>
      </c>
      <c r="D354" s="29"/>
    </row>
    <row r="355">
      <c r="A355" s="29"/>
      <c r="B355" s="29"/>
      <c r="C355" s="65" t="str">
        <f>IFERROR(__xludf.DUMMYFUNCTION("""COMPUTED_VALUE"""),"")</f>
        <v/>
      </c>
      <c r="D355" s="29"/>
    </row>
    <row r="356">
      <c r="A356" s="29"/>
      <c r="B356" s="29"/>
      <c r="C356" s="65" t="str">
        <f>IFERROR(__xludf.DUMMYFUNCTION("""COMPUTED_VALUE"""),"")</f>
        <v/>
      </c>
      <c r="D356" s="29"/>
    </row>
    <row r="357">
      <c r="A357" s="29"/>
      <c r="B357" s="29"/>
      <c r="C357" s="65" t="str">
        <f>IFERROR(__xludf.DUMMYFUNCTION("""COMPUTED_VALUE"""),"")</f>
        <v/>
      </c>
      <c r="D357" s="29"/>
    </row>
    <row r="358">
      <c r="A358" s="29"/>
      <c r="B358" s="29"/>
      <c r="C358" s="65" t="str">
        <f>IFERROR(__xludf.DUMMYFUNCTION("""COMPUTED_VALUE"""),"")</f>
        <v/>
      </c>
      <c r="D358" s="29"/>
    </row>
    <row r="359">
      <c r="A359" s="29"/>
      <c r="B359" s="29"/>
      <c r="C359" s="65" t="str">
        <f>IFERROR(__xludf.DUMMYFUNCTION("""COMPUTED_VALUE"""),"")</f>
        <v/>
      </c>
      <c r="D359" s="29"/>
    </row>
    <row r="360">
      <c r="A360" s="29"/>
      <c r="B360" s="29"/>
      <c r="C360" s="65" t="str">
        <f>IFERROR(__xludf.DUMMYFUNCTION("""COMPUTED_VALUE"""),"")</f>
        <v/>
      </c>
      <c r="D360" s="29"/>
    </row>
    <row r="361">
      <c r="A361" s="29"/>
      <c r="B361" s="29"/>
      <c r="C361" s="65" t="str">
        <f>IFERROR(__xludf.DUMMYFUNCTION("""COMPUTED_VALUE"""),"")</f>
        <v/>
      </c>
      <c r="D361" s="29"/>
    </row>
    <row r="362">
      <c r="A362" s="29"/>
      <c r="B362" s="29"/>
      <c r="C362" s="65" t="str">
        <f>IFERROR(__xludf.DUMMYFUNCTION("""COMPUTED_VALUE"""),"")</f>
        <v/>
      </c>
      <c r="D362" s="29"/>
    </row>
    <row r="363">
      <c r="A363" s="29"/>
      <c r="B363" s="29"/>
      <c r="C363" s="65" t="str">
        <f>IFERROR(__xludf.DUMMYFUNCTION("""COMPUTED_VALUE"""),"")</f>
        <v/>
      </c>
      <c r="D363" s="29"/>
    </row>
    <row r="364">
      <c r="A364" s="29"/>
      <c r="B364" s="29"/>
      <c r="C364" s="65" t="str">
        <f>IFERROR(__xludf.DUMMYFUNCTION("""COMPUTED_VALUE"""),"")</f>
        <v/>
      </c>
      <c r="D364" s="29"/>
    </row>
    <row r="365">
      <c r="A365" s="29"/>
      <c r="B365" s="29"/>
      <c r="C365" s="65" t="str">
        <f>IFERROR(__xludf.DUMMYFUNCTION("""COMPUTED_VALUE"""),"")</f>
        <v/>
      </c>
      <c r="D365" s="29"/>
    </row>
    <row r="366">
      <c r="A366" s="29"/>
      <c r="B366" s="29"/>
      <c r="C366" s="65" t="str">
        <f>IFERROR(__xludf.DUMMYFUNCTION("""COMPUTED_VALUE"""),"")</f>
        <v/>
      </c>
      <c r="D366" s="29"/>
    </row>
    <row r="367">
      <c r="A367" s="29"/>
      <c r="B367" s="29"/>
      <c r="C367" s="65" t="str">
        <f>IFERROR(__xludf.DUMMYFUNCTION("""COMPUTED_VALUE"""),"")</f>
        <v/>
      </c>
      <c r="D367" s="29"/>
    </row>
    <row r="368">
      <c r="A368" s="29"/>
      <c r="B368" s="29"/>
      <c r="C368" s="65" t="str">
        <f>IFERROR(__xludf.DUMMYFUNCTION("""COMPUTED_VALUE"""),"")</f>
        <v/>
      </c>
      <c r="D368" s="29"/>
    </row>
    <row r="369">
      <c r="A369" s="29"/>
      <c r="B369" s="29"/>
      <c r="C369" s="65" t="str">
        <f>IFERROR(__xludf.DUMMYFUNCTION("""COMPUTED_VALUE"""),"")</f>
        <v/>
      </c>
      <c r="D369" s="29"/>
    </row>
    <row r="370">
      <c r="A370" s="29"/>
      <c r="B370" s="29"/>
      <c r="C370" s="65" t="str">
        <f>IFERROR(__xludf.DUMMYFUNCTION("""COMPUTED_VALUE"""),"")</f>
        <v/>
      </c>
      <c r="D370" s="29"/>
    </row>
    <row r="371">
      <c r="A371" s="29"/>
      <c r="B371" s="29"/>
      <c r="C371" s="65" t="str">
        <f>IFERROR(__xludf.DUMMYFUNCTION("""COMPUTED_VALUE"""),"")</f>
        <v/>
      </c>
      <c r="D371" s="29"/>
    </row>
    <row r="372">
      <c r="A372" s="29"/>
      <c r="B372" s="29"/>
      <c r="C372" s="65" t="str">
        <f>IFERROR(__xludf.DUMMYFUNCTION("""COMPUTED_VALUE"""),"")</f>
        <v/>
      </c>
      <c r="D372" s="29"/>
    </row>
    <row r="373">
      <c r="A373" s="29"/>
      <c r="B373" s="29"/>
      <c r="C373" s="65" t="str">
        <f>IFERROR(__xludf.DUMMYFUNCTION("""COMPUTED_VALUE"""),"")</f>
        <v/>
      </c>
      <c r="D373" s="29"/>
    </row>
    <row r="374">
      <c r="A374" s="29"/>
      <c r="B374" s="29"/>
      <c r="C374" s="65" t="str">
        <f>IFERROR(__xludf.DUMMYFUNCTION("""COMPUTED_VALUE"""),"")</f>
        <v/>
      </c>
      <c r="D374" s="29"/>
    </row>
    <row r="375">
      <c r="A375" s="29"/>
      <c r="B375" s="29"/>
      <c r="C375" s="65" t="str">
        <f>IFERROR(__xludf.DUMMYFUNCTION("""COMPUTED_VALUE"""),"")</f>
        <v/>
      </c>
      <c r="D375" s="29"/>
    </row>
    <row r="376">
      <c r="A376" s="29"/>
      <c r="B376" s="29"/>
      <c r="C376" s="65" t="str">
        <f>IFERROR(__xludf.DUMMYFUNCTION("""COMPUTED_VALUE"""),"")</f>
        <v/>
      </c>
      <c r="D376" s="29"/>
    </row>
    <row r="377">
      <c r="A377" s="29"/>
      <c r="B377" s="29"/>
      <c r="C377" s="65" t="str">
        <f>IFERROR(__xludf.DUMMYFUNCTION("""COMPUTED_VALUE"""),"")</f>
        <v/>
      </c>
      <c r="D377" s="29"/>
    </row>
    <row r="378">
      <c r="A378" s="29"/>
      <c r="B378" s="29"/>
      <c r="C378" s="65" t="str">
        <f>IFERROR(__xludf.DUMMYFUNCTION("""COMPUTED_VALUE"""),"")</f>
        <v/>
      </c>
      <c r="D378" s="29"/>
    </row>
    <row r="379">
      <c r="A379" s="29"/>
      <c r="B379" s="29"/>
      <c r="C379" s="65" t="str">
        <f>IFERROR(__xludf.DUMMYFUNCTION("""COMPUTED_VALUE"""),"")</f>
        <v/>
      </c>
      <c r="D379" s="29"/>
    </row>
    <row r="380">
      <c r="A380" s="29"/>
      <c r="B380" s="29"/>
      <c r="C380" s="65" t="str">
        <f>IFERROR(__xludf.DUMMYFUNCTION("""COMPUTED_VALUE"""),"")</f>
        <v/>
      </c>
      <c r="D380" s="29"/>
    </row>
    <row r="381">
      <c r="A381" s="29"/>
      <c r="B381" s="29"/>
      <c r="C381" s="65" t="str">
        <f>IFERROR(__xludf.DUMMYFUNCTION("""COMPUTED_VALUE"""),"")</f>
        <v/>
      </c>
      <c r="D381" s="29"/>
    </row>
    <row r="382">
      <c r="A382" s="29"/>
      <c r="B382" s="29"/>
      <c r="C382" s="65" t="str">
        <f>IFERROR(__xludf.DUMMYFUNCTION("""COMPUTED_VALUE"""),"")</f>
        <v/>
      </c>
      <c r="D382" s="29"/>
    </row>
    <row r="383">
      <c r="A383" s="29"/>
      <c r="B383" s="29"/>
      <c r="C383" s="65" t="str">
        <f>IFERROR(__xludf.DUMMYFUNCTION("""COMPUTED_VALUE"""),"")</f>
        <v/>
      </c>
      <c r="D383" s="29"/>
    </row>
    <row r="384">
      <c r="A384" s="29"/>
      <c r="B384" s="29"/>
      <c r="C384" s="65" t="str">
        <f>IFERROR(__xludf.DUMMYFUNCTION("""COMPUTED_VALUE"""),"")</f>
        <v/>
      </c>
      <c r="D384" s="29"/>
    </row>
    <row r="385">
      <c r="A385" s="29"/>
      <c r="B385" s="29"/>
      <c r="C385" s="65" t="str">
        <f>IFERROR(__xludf.DUMMYFUNCTION("""COMPUTED_VALUE"""),"")</f>
        <v/>
      </c>
      <c r="D385" s="29"/>
    </row>
    <row r="386">
      <c r="A386" s="29"/>
      <c r="B386" s="29"/>
      <c r="C386" s="65" t="str">
        <f>IFERROR(__xludf.DUMMYFUNCTION("""COMPUTED_VALUE"""),"")</f>
        <v/>
      </c>
      <c r="D386" s="29"/>
    </row>
    <row r="387">
      <c r="A387" s="29"/>
      <c r="B387" s="29"/>
      <c r="C387" s="65" t="str">
        <f>IFERROR(__xludf.DUMMYFUNCTION("""COMPUTED_VALUE"""),"")</f>
        <v/>
      </c>
      <c r="D387" s="29"/>
    </row>
    <row r="388">
      <c r="A388" s="29"/>
      <c r="B388" s="29"/>
      <c r="C388" s="65" t="str">
        <f>IFERROR(__xludf.DUMMYFUNCTION("""COMPUTED_VALUE"""),"")</f>
        <v/>
      </c>
      <c r="D388" s="29"/>
    </row>
    <row r="389">
      <c r="A389" s="29"/>
      <c r="B389" s="29"/>
      <c r="C389" s="65" t="str">
        <f>IFERROR(__xludf.DUMMYFUNCTION("""COMPUTED_VALUE"""),"")</f>
        <v/>
      </c>
      <c r="D389" s="29"/>
    </row>
    <row r="390">
      <c r="A390" s="29"/>
      <c r="B390" s="29"/>
      <c r="C390" s="65" t="str">
        <f>IFERROR(__xludf.DUMMYFUNCTION("""COMPUTED_VALUE"""),"")</f>
        <v/>
      </c>
      <c r="D390" s="29"/>
    </row>
    <row r="391">
      <c r="A391" s="29"/>
      <c r="B391" s="29"/>
      <c r="C391" s="65" t="str">
        <f>IFERROR(__xludf.DUMMYFUNCTION("""COMPUTED_VALUE"""),"")</f>
        <v/>
      </c>
      <c r="D391" s="29"/>
    </row>
    <row r="392">
      <c r="A392" s="29"/>
      <c r="B392" s="29"/>
      <c r="C392" s="65" t="str">
        <f>IFERROR(__xludf.DUMMYFUNCTION("""COMPUTED_VALUE"""),"")</f>
        <v/>
      </c>
      <c r="D392" s="29"/>
    </row>
    <row r="393">
      <c r="A393" s="29"/>
      <c r="B393" s="29"/>
      <c r="C393" s="65" t="str">
        <f>IFERROR(__xludf.DUMMYFUNCTION("""COMPUTED_VALUE"""),"")</f>
        <v/>
      </c>
      <c r="D393" s="29"/>
    </row>
    <row r="394">
      <c r="A394" s="29"/>
      <c r="B394" s="29"/>
      <c r="C394" s="65" t="str">
        <f>IFERROR(__xludf.DUMMYFUNCTION("""COMPUTED_VALUE"""),"")</f>
        <v/>
      </c>
      <c r="D394" s="29"/>
    </row>
    <row r="395">
      <c r="A395" s="29"/>
      <c r="B395" s="29"/>
      <c r="C395" s="65" t="str">
        <f>IFERROR(__xludf.DUMMYFUNCTION("""COMPUTED_VALUE"""),"")</f>
        <v/>
      </c>
      <c r="D395" s="29"/>
    </row>
    <row r="396">
      <c r="A396" s="29"/>
      <c r="B396" s="29"/>
      <c r="C396" s="65" t="str">
        <f>IFERROR(__xludf.DUMMYFUNCTION("""COMPUTED_VALUE"""),"")</f>
        <v/>
      </c>
      <c r="D396" s="29"/>
    </row>
    <row r="397">
      <c r="A397" s="29"/>
      <c r="B397" s="29"/>
      <c r="C397" s="65" t="str">
        <f>IFERROR(__xludf.DUMMYFUNCTION("""COMPUTED_VALUE"""),"")</f>
        <v/>
      </c>
      <c r="D397" s="29"/>
    </row>
    <row r="398">
      <c r="A398" s="29"/>
      <c r="B398" s="29"/>
      <c r="C398" s="65" t="str">
        <f>IFERROR(__xludf.DUMMYFUNCTION("""COMPUTED_VALUE"""),"")</f>
        <v/>
      </c>
      <c r="D398" s="29"/>
    </row>
    <row r="399">
      <c r="A399" s="29"/>
      <c r="B399" s="29"/>
      <c r="C399" s="65" t="str">
        <f>IFERROR(__xludf.DUMMYFUNCTION("""COMPUTED_VALUE"""),"")</f>
        <v/>
      </c>
      <c r="D399" s="29"/>
    </row>
    <row r="400">
      <c r="A400" s="29"/>
      <c r="B400" s="29"/>
      <c r="C400" s="65" t="str">
        <f>IFERROR(__xludf.DUMMYFUNCTION("""COMPUTED_VALUE"""),"")</f>
        <v/>
      </c>
      <c r="D400" s="29"/>
    </row>
    <row r="401">
      <c r="A401" s="29"/>
      <c r="B401" s="29"/>
      <c r="C401" s="65" t="str">
        <f>IFERROR(__xludf.DUMMYFUNCTION("""COMPUTED_VALUE"""),"")</f>
        <v/>
      </c>
      <c r="D401" s="29"/>
    </row>
    <row r="402">
      <c r="A402" s="29"/>
      <c r="B402" s="29"/>
      <c r="C402" s="65" t="str">
        <f>IFERROR(__xludf.DUMMYFUNCTION("""COMPUTED_VALUE"""),"")</f>
        <v/>
      </c>
      <c r="D402" s="29"/>
    </row>
    <row r="403">
      <c r="A403" s="29"/>
      <c r="B403" s="29"/>
      <c r="C403" s="65" t="str">
        <f>IFERROR(__xludf.DUMMYFUNCTION("""COMPUTED_VALUE"""),"")</f>
        <v/>
      </c>
      <c r="D403" s="29"/>
    </row>
    <row r="404">
      <c r="A404" s="29"/>
      <c r="B404" s="29"/>
      <c r="C404" s="65" t="str">
        <f>IFERROR(__xludf.DUMMYFUNCTION("""COMPUTED_VALUE"""),"")</f>
        <v/>
      </c>
      <c r="D404" s="29"/>
    </row>
    <row r="405">
      <c r="A405" s="29"/>
      <c r="B405" s="29"/>
      <c r="C405" s="65" t="str">
        <f>IFERROR(__xludf.DUMMYFUNCTION("""COMPUTED_VALUE"""),"")</f>
        <v/>
      </c>
      <c r="D405" s="29"/>
    </row>
    <row r="406">
      <c r="A406" s="29"/>
      <c r="B406" s="29"/>
      <c r="C406" s="65" t="str">
        <f>IFERROR(__xludf.DUMMYFUNCTION("""COMPUTED_VALUE"""),"")</f>
        <v/>
      </c>
      <c r="D406" s="29"/>
    </row>
    <row r="407">
      <c r="A407" s="29"/>
      <c r="B407" s="29"/>
      <c r="C407" s="65" t="str">
        <f>IFERROR(__xludf.DUMMYFUNCTION("""COMPUTED_VALUE"""),"")</f>
        <v/>
      </c>
      <c r="D407" s="29"/>
    </row>
    <row r="408">
      <c r="A408" s="29"/>
      <c r="B408" s="29"/>
      <c r="C408" s="65" t="str">
        <f>IFERROR(__xludf.DUMMYFUNCTION("""COMPUTED_VALUE"""),"")</f>
        <v/>
      </c>
      <c r="D408" s="29"/>
    </row>
    <row r="409">
      <c r="A409" s="29"/>
      <c r="B409" s="29"/>
      <c r="C409" s="65" t="str">
        <f>IFERROR(__xludf.DUMMYFUNCTION("""COMPUTED_VALUE"""),"")</f>
        <v/>
      </c>
      <c r="D409" s="29"/>
    </row>
    <row r="410">
      <c r="A410" s="29"/>
      <c r="B410" s="29"/>
      <c r="C410" s="65" t="str">
        <f>IFERROR(__xludf.DUMMYFUNCTION("""COMPUTED_VALUE"""),"")</f>
        <v/>
      </c>
      <c r="D410" s="29"/>
    </row>
    <row r="411">
      <c r="A411" s="29"/>
      <c r="B411" s="29"/>
      <c r="C411" s="65" t="str">
        <f>IFERROR(__xludf.DUMMYFUNCTION("""COMPUTED_VALUE"""),"")</f>
        <v/>
      </c>
      <c r="D411" s="29"/>
    </row>
    <row r="412">
      <c r="A412" s="29"/>
      <c r="B412" s="29"/>
      <c r="C412" s="65" t="str">
        <f>IFERROR(__xludf.DUMMYFUNCTION("""COMPUTED_VALUE"""),"")</f>
        <v/>
      </c>
      <c r="D412" s="29"/>
    </row>
    <row r="413">
      <c r="A413" s="29"/>
      <c r="B413" s="29"/>
      <c r="C413" s="65" t="str">
        <f>IFERROR(__xludf.DUMMYFUNCTION("""COMPUTED_VALUE"""),"")</f>
        <v/>
      </c>
      <c r="D413" s="29"/>
    </row>
    <row r="414">
      <c r="A414" s="29"/>
      <c r="B414" s="29"/>
      <c r="C414" s="65" t="str">
        <f>IFERROR(__xludf.DUMMYFUNCTION("""COMPUTED_VALUE"""),"")</f>
        <v/>
      </c>
      <c r="D414" s="29"/>
    </row>
    <row r="415">
      <c r="A415" s="29"/>
      <c r="B415" s="29"/>
      <c r="C415" s="65" t="str">
        <f>IFERROR(__xludf.DUMMYFUNCTION("""COMPUTED_VALUE"""),"")</f>
        <v/>
      </c>
      <c r="D415" s="29"/>
    </row>
    <row r="416">
      <c r="A416" s="29"/>
      <c r="B416" s="29"/>
      <c r="C416" s="65" t="str">
        <f>IFERROR(__xludf.DUMMYFUNCTION("""COMPUTED_VALUE"""),"")</f>
        <v/>
      </c>
      <c r="D416" s="29"/>
    </row>
    <row r="417">
      <c r="A417" s="29"/>
      <c r="B417" s="29"/>
      <c r="C417" s="65" t="str">
        <f>IFERROR(__xludf.DUMMYFUNCTION("""COMPUTED_VALUE"""),"")</f>
        <v/>
      </c>
      <c r="D417" s="29"/>
    </row>
    <row r="418">
      <c r="A418" s="29"/>
      <c r="B418" s="29"/>
      <c r="C418" s="65" t="str">
        <f>IFERROR(__xludf.DUMMYFUNCTION("""COMPUTED_VALUE"""),"")</f>
        <v/>
      </c>
      <c r="D418" s="29"/>
    </row>
    <row r="419">
      <c r="A419" s="29"/>
      <c r="B419" s="29"/>
      <c r="C419" s="65" t="str">
        <f>IFERROR(__xludf.DUMMYFUNCTION("""COMPUTED_VALUE"""),"")</f>
        <v/>
      </c>
      <c r="D419" s="29"/>
    </row>
    <row r="420">
      <c r="A420" s="29"/>
      <c r="B420" s="29"/>
      <c r="C420" s="65" t="str">
        <f>IFERROR(__xludf.DUMMYFUNCTION("""COMPUTED_VALUE"""),"")</f>
        <v/>
      </c>
      <c r="D420" s="29"/>
    </row>
    <row r="421">
      <c r="A421" s="29"/>
      <c r="B421" s="29"/>
      <c r="C421" s="65" t="str">
        <f>IFERROR(__xludf.DUMMYFUNCTION("""COMPUTED_VALUE"""),"")</f>
        <v/>
      </c>
      <c r="D421" s="29"/>
    </row>
    <row r="422">
      <c r="A422" s="29"/>
      <c r="B422" s="29"/>
      <c r="C422" s="65" t="str">
        <f>IFERROR(__xludf.DUMMYFUNCTION("""COMPUTED_VALUE"""),"")</f>
        <v/>
      </c>
      <c r="D422" s="29"/>
    </row>
    <row r="423">
      <c r="A423" s="29"/>
      <c r="B423" s="29"/>
      <c r="C423" s="65" t="str">
        <f>IFERROR(__xludf.DUMMYFUNCTION("""COMPUTED_VALUE"""),"")</f>
        <v/>
      </c>
      <c r="D423" s="29"/>
    </row>
    <row r="424">
      <c r="A424" s="29"/>
      <c r="B424" s="29"/>
      <c r="C424" s="65" t="str">
        <f>IFERROR(__xludf.DUMMYFUNCTION("""COMPUTED_VALUE"""),"")</f>
        <v/>
      </c>
      <c r="D424" s="29"/>
    </row>
    <row r="425">
      <c r="A425" s="29"/>
      <c r="B425" s="29"/>
      <c r="C425" s="65" t="str">
        <f>IFERROR(__xludf.DUMMYFUNCTION("""COMPUTED_VALUE"""),"")</f>
        <v/>
      </c>
      <c r="D425" s="29"/>
    </row>
    <row r="426">
      <c r="A426" s="29"/>
      <c r="B426" s="29"/>
      <c r="C426" s="65" t="str">
        <f>IFERROR(__xludf.DUMMYFUNCTION("""COMPUTED_VALUE"""),"")</f>
        <v/>
      </c>
      <c r="D426" s="29"/>
    </row>
    <row r="427">
      <c r="A427" s="29"/>
      <c r="B427" s="29"/>
      <c r="C427" s="65" t="str">
        <f>IFERROR(__xludf.DUMMYFUNCTION("""COMPUTED_VALUE"""),"")</f>
        <v/>
      </c>
      <c r="D427" s="29"/>
    </row>
    <row r="428">
      <c r="A428" s="29"/>
      <c r="B428" s="29"/>
      <c r="C428" s="65" t="str">
        <f>IFERROR(__xludf.DUMMYFUNCTION("""COMPUTED_VALUE"""),"")</f>
        <v/>
      </c>
      <c r="D428" s="29"/>
    </row>
    <row r="429">
      <c r="A429" s="29"/>
      <c r="B429" s="29"/>
      <c r="C429" s="65" t="str">
        <f>IFERROR(__xludf.DUMMYFUNCTION("""COMPUTED_VALUE"""),"")</f>
        <v/>
      </c>
      <c r="D429" s="29"/>
    </row>
    <row r="430">
      <c r="A430" s="29"/>
      <c r="B430" s="29"/>
      <c r="C430" s="65" t="str">
        <f>IFERROR(__xludf.DUMMYFUNCTION("""COMPUTED_VALUE"""),"")</f>
        <v/>
      </c>
      <c r="D430" s="29"/>
    </row>
    <row r="431">
      <c r="A431" s="29"/>
      <c r="B431" s="29"/>
      <c r="C431" s="65" t="str">
        <f>IFERROR(__xludf.DUMMYFUNCTION("""COMPUTED_VALUE"""),"")</f>
        <v/>
      </c>
      <c r="D431" s="29"/>
    </row>
    <row r="432">
      <c r="A432" s="29"/>
      <c r="B432" s="29"/>
      <c r="C432" s="65" t="str">
        <f>IFERROR(__xludf.DUMMYFUNCTION("""COMPUTED_VALUE"""),"")</f>
        <v/>
      </c>
      <c r="D432" s="29"/>
    </row>
    <row r="433">
      <c r="A433" s="29"/>
      <c r="B433" s="29"/>
      <c r="C433" s="65" t="str">
        <f>IFERROR(__xludf.DUMMYFUNCTION("""COMPUTED_VALUE"""),"")</f>
        <v/>
      </c>
      <c r="D433" s="29"/>
    </row>
    <row r="434">
      <c r="A434" s="29"/>
      <c r="B434" s="29"/>
      <c r="C434" s="65" t="str">
        <f>IFERROR(__xludf.DUMMYFUNCTION("""COMPUTED_VALUE"""),"")</f>
        <v/>
      </c>
      <c r="D434" s="29"/>
    </row>
    <row r="435">
      <c r="A435" s="29"/>
      <c r="B435" s="29"/>
      <c r="C435" s="65" t="str">
        <f>IFERROR(__xludf.DUMMYFUNCTION("""COMPUTED_VALUE"""),"")</f>
        <v/>
      </c>
      <c r="D435" s="29"/>
    </row>
    <row r="436">
      <c r="A436" s="29"/>
      <c r="B436" s="29"/>
      <c r="C436" s="65" t="str">
        <f>IFERROR(__xludf.DUMMYFUNCTION("""COMPUTED_VALUE"""),"")</f>
        <v/>
      </c>
      <c r="D436" s="29"/>
    </row>
    <row r="437">
      <c r="A437" s="29"/>
      <c r="B437" s="29"/>
      <c r="C437" s="65" t="str">
        <f>IFERROR(__xludf.DUMMYFUNCTION("""COMPUTED_VALUE"""),"")</f>
        <v/>
      </c>
      <c r="D437" s="29"/>
    </row>
    <row r="438">
      <c r="A438" s="29"/>
      <c r="B438" s="29"/>
      <c r="C438" s="65" t="str">
        <f>IFERROR(__xludf.DUMMYFUNCTION("""COMPUTED_VALUE"""),"")</f>
        <v/>
      </c>
      <c r="D438" s="29"/>
    </row>
    <row r="439">
      <c r="A439" s="29"/>
      <c r="B439" s="29"/>
      <c r="C439" s="65" t="str">
        <f>IFERROR(__xludf.DUMMYFUNCTION("""COMPUTED_VALUE"""),"")</f>
        <v/>
      </c>
      <c r="D439" s="29"/>
    </row>
    <row r="440">
      <c r="A440" s="29"/>
      <c r="B440" s="29"/>
      <c r="C440" s="65" t="str">
        <f>IFERROR(__xludf.DUMMYFUNCTION("""COMPUTED_VALUE"""),"")</f>
        <v/>
      </c>
      <c r="D440" s="29"/>
    </row>
    <row r="441">
      <c r="A441" s="29"/>
      <c r="B441" s="29"/>
      <c r="C441" s="65" t="str">
        <f>IFERROR(__xludf.DUMMYFUNCTION("""COMPUTED_VALUE"""),"")</f>
        <v/>
      </c>
      <c r="D441" s="29"/>
    </row>
    <row r="442">
      <c r="A442" s="29"/>
      <c r="B442" s="29"/>
      <c r="C442" s="65" t="str">
        <f>IFERROR(__xludf.DUMMYFUNCTION("""COMPUTED_VALUE"""),"")</f>
        <v/>
      </c>
      <c r="D442" s="29"/>
    </row>
    <row r="443">
      <c r="A443" s="29"/>
      <c r="B443" s="29"/>
      <c r="C443" s="65" t="str">
        <f>IFERROR(__xludf.DUMMYFUNCTION("""COMPUTED_VALUE"""),"")</f>
        <v/>
      </c>
      <c r="D443" s="29"/>
    </row>
    <row r="444">
      <c r="A444" s="29"/>
      <c r="B444" s="29"/>
      <c r="C444" s="65" t="str">
        <f>IFERROR(__xludf.DUMMYFUNCTION("""COMPUTED_VALUE"""),"")</f>
        <v/>
      </c>
      <c r="D444" s="29"/>
    </row>
    <row r="445">
      <c r="A445" s="29"/>
      <c r="B445" s="29"/>
      <c r="C445" s="65" t="str">
        <f>IFERROR(__xludf.DUMMYFUNCTION("""COMPUTED_VALUE"""),"")</f>
        <v/>
      </c>
      <c r="D445" s="29"/>
    </row>
    <row r="446">
      <c r="A446" s="29"/>
      <c r="B446" s="29"/>
      <c r="C446" s="65" t="str">
        <f>IFERROR(__xludf.DUMMYFUNCTION("""COMPUTED_VALUE"""),"")</f>
        <v/>
      </c>
      <c r="D446" s="29"/>
    </row>
    <row r="447">
      <c r="A447" s="29"/>
      <c r="B447" s="29"/>
      <c r="C447" s="65" t="str">
        <f>IFERROR(__xludf.DUMMYFUNCTION("""COMPUTED_VALUE"""),"")</f>
        <v/>
      </c>
      <c r="D447" s="29"/>
    </row>
    <row r="448">
      <c r="A448" s="29"/>
      <c r="B448" s="29"/>
      <c r="C448" s="65" t="str">
        <f>IFERROR(__xludf.DUMMYFUNCTION("""COMPUTED_VALUE"""),"")</f>
        <v/>
      </c>
      <c r="D448" s="29"/>
    </row>
    <row r="449">
      <c r="A449" s="29"/>
      <c r="B449" s="29"/>
      <c r="C449" s="65" t="str">
        <f>IFERROR(__xludf.DUMMYFUNCTION("""COMPUTED_VALUE"""),"")</f>
        <v/>
      </c>
      <c r="D449" s="29"/>
    </row>
    <row r="450">
      <c r="A450" s="29"/>
      <c r="B450" s="29"/>
      <c r="C450" s="65" t="str">
        <f>IFERROR(__xludf.DUMMYFUNCTION("""COMPUTED_VALUE"""),"")</f>
        <v/>
      </c>
      <c r="D450" s="29"/>
    </row>
    <row r="451">
      <c r="A451" s="29"/>
      <c r="B451" s="29"/>
      <c r="C451" s="65" t="str">
        <f>IFERROR(__xludf.DUMMYFUNCTION("""COMPUTED_VALUE"""),"")</f>
        <v/>
      </c>
      <c r="D451" s="29"/>
    </row>
    <row r="452">
      <c r="A452" s="29"/>
      <c r="B452" s="29"/>
      <c r="C452" s="65" t="str">
        <f>IFERROR(__xludf.DUMMYFUNCTION("""COMPUTED_VALUE"""),"")</f>
        <v/>
      </c>
      <c r="D452" s="29"/>
    </row>
    <row r="453">
      <c r="A453" s="29"/>
      <c r="B453" s="29"/>
      <c r="C453" s="65" t="str">
        <f>IFERROR(__xludf.DUMMYFUNCTION("""COMPUTED_VALUE"""),"")</f>
        <v/>
      </c>
      <c r="D453" s="29"/>
    </row>
    <row r="454">
      <c r="A454" s="29"/>
      <c r="B454" s="29"/>
      <c r="C454" s="65" t="str">
        <f>IFERROR(__xludf.DUMMYFUNCTION("""COMPUTED_VALUE"""),"")</f>
        <v/>
      </c>
      <c r="D454" s="29"/>
    </row>
    <row r="455">
      <c r="A455" s="29"/>
      <c r="B455" s="29"/>
      <c r="C455" s="65" t="str">
        <f>IFERROR(__xludf.DUMMYFUNCTION("""COMPUTED_VALUE"""),"")</f>
        <v/>
      </c>
      <c r="D455" s="29"/>
    </row>
    <row r="456">
      <c r="A456" s="29"/>
      <c r="B456" s="29"/>
      <c r="C456" s="65" t="str">
        <f>IFERROR(__xludf.DUMMYFUNCTION("""COMPUTED_VALUE"""),"")</f>
        <v/>
      </c>
      <c r="D456" s="29"/>
    </row>
    <row r="457">
      <c r="A457" s="29"/>
      <c r="B457" s="29"/>
      <c r="C457" s="65" t="str">
        <f>IFERROR(__xludf.DUMMYFUNCTION("""COMPUTED_VALUE"""),"")</f>
        <v/>
      </c>
      <c r="D457" s="29"/>
    </row>
    <row r="458">
      <c r="A458" s="29"/>
      <c r="B458" s="29"/>
      <c r="C458" s="65" t="str">
        <f>IFERROR(__xludf.DUMMYFUNCTION("""COMPUTED_VALUE"""),"")</f>
        <v/>
      </c>
      <c r="D458" s="29"/>
    </row>
    <row r="459">
      <c r="A459" s="29"/>
      <c r="B459" s="29"/>
      <c r="C459" s="65" t="str">
        <f>IFERROR(__xludf.DUMMYFUNCTION("""COMPUTED_VALUE"""),"")</f>
        <v/>
      </c>
      <c r="D459" s="29"/>
    </row>
    <row r="460">
      <c r="A460" s="29"/>
      <c r="B460" s="29"/>
      <c r="C460" s="65" t="str">
        <f>IFERROR(__xludf.DUMMYFUNCTION("""COMPUTED_VALUE"""),"")</f>
        <v/>
      </c>
      <c r="D460" s="29"/>
    </row>
    <row r="461">
      <c r="A461" s="29"/>
      <c r="B461" s="29"/>
      <c r="C461" s="65" t="str">
        <f>IFERROR(__xludf.DUMMYFUNCTION("""COMPUTED_VALUE"""),"")</f>
        <v/>
      </c>
      <c r="D461" s="29"/>
    </row>
    <row r="462">
      <c r="A462" s="29"/>
      <c r="B462" s="29"/>
      <c r="C462" s="65" t="str">
        <f>IFERROR(__xludf.DUMMYFUNCTION("""COMPUTED_VALUE"""),"")</f>
        <v/>
      </c>
      <c r="D462" s="29"/>
    </row>
    <row r="463">
      <c r="A463" s="29"/>
      <c r="B463" s="29"/>
      <c r="C463" s="65" t="str">
        <f>IFERROR(__xludf.DUMMYFUNCTION("""COMPUTED_VALUE"""),"")</f>
        <v/>
      </c>
      <c r="D463" s="29"/>
    </row>
    <row r="464">
      <c r="A464" s="29"/>
      <c r="B464" s="29"/>
      <c r="C464" s="65" t="str">
        <f>IFERROR(__xludf.DUMMYFUNCTION("""COMPUTED_VALUE"""),"")</f>
        <v/>
      </c>
      <c r="D464" s="29"/>
    </row>
    <row r="465">
      <c r="A465" s="29"/>
      <c r="B465" s="29"/>
      <c r="C465" s="65" t="str">
        <f>IFERROR(__xludf.DUMMYFUNCTION("""COMPUTED_VALUE"""),"")</f>
        <v/>
      </c>
      <c r="D465" s="29"/>
    </row>
    <row r="466">
      <c r="A466" s="29"/>
      <c r="B466" s="29"/>
      <c r="C466" s="65" t="str">
        <f>IFERROR(__xludf.DUMMYFUNCTION("""COMPUTED_VALUE"""),"")</f>
        <v/>
      </c>
      <c r="D466" s="29"/>
    </row>
    <row r="467">
      <c r="A467" s="29"/>
      <c r="B467" s="29"/>
      <c r="C467" s="65" t="str">
        <f>IFERROR(__xludf.DUMMYFUNCTION("""COMPUTED_VALUE"""),"")</f>
        <v/>
      </c>
      <c r="D467" s="29"/>
    </row>
    <row r="468">
      <c r="A468" s="29"/>
      <c r="B468" s="29"/>
      <c r="C468" s="65" t="str">
        <f>IFERROR(__xludf.DUMMYFUNCTION("""COMPUTED_VALUE"""),"")</f>
        <v/>
      </c>
      <c r="D468" s="29"/>
    </row>
    <row r="469">
      <c r="A469" s="29"/>
      <c r="B469" s="29"/>
      <c r="C469" s="65" t="str">
        <f>IFERROR(__xludf.DUMMYFUNCTION("""COMPUTED_VALUE"""),"")</f>
        <v/>
      </c>
      <c r="D469" s="29"/>
    </row>
    <row r="470">
      <c r="A470" s="29"/>
      <c r="B470" s="29"/>
      <c r="C470" s="65" t="str">
        <f>IFERROR(__xludf.DUMMYFUNCTION("""COMPUTED_VALUE"""),"")</f>
        <v/>
      </c>
      <c r="D470" s="29"/>
    </row>
    <row r="471">
      <c r="A471" s="29"/>
      <c r="B471" s="29"/>
      <c r="C471" s="65" t="str">
        <f>IFERROR(__xludf.DUMMYFUNCTION("""COMPUTED_VALUE"""),"")</f>
        <v/>
      </c>
      <c r="D471" s="29"/>
    </row>
    <row r="472">
      <c r="A472" s="29"/>
      <c r="B472" s="29"/>
      <c r="C472" s="65" t="str">
        <f>IFERROR(__xludf.DUMMYFUNCTION("""COMPUTED_VALUE"""),"")</f>
        <v/>
      </c>
      <c r="D472" s="29"/>
    </row>
    <row r="473">
      <c r="A473" s="29"/>
      <c r="B473" s="29"/>
      <c r="C473" s="65" t="str">
        <f>IFERROR(__xludf.DUMMYFUNCTION("""COMPUTED_VALUE"""),"")</f>
        <v/>
      </c>
      <c r="D473" s="29"/>
    </row>
    <row r="474">
      <c r="A474" s="29"/>
      <c r="B474" s="29"/>
      <c r="C474" s="65" t="str">
        <f>IFERROR(__xludf.DUMMYFUNCTION("""COMPUTED_VALUE"""),"")</f>
        <v/>
      </c>
      <c r="D474" s="29"/>
    </row>
    <row r="475">
      <c r="A475" s="29"/>
      <c r="B475" s="29"/>
      <c r="C475" s="65" t="str">
        <f>IFERROR(__xludf.DUMMYFUNCTION("""COMPUTED_VALUE"""),"")</f>
        <v/>
      </c>
      <c r="D475" s="29"/>
    </row>
    <row r="476">
      <c r="A476" s="29"/>
      <c r="B476" s="29"/>
      <c r="C476" s="65" t="str">
        <f>IFERROR(__xludf.DUMMYFUNCTION("""COMPUTED_VALUE"""),"")</f>
        <v/>
      </c>
      <c r="D476" s="29"/>
    </row>
    <row r="477">
      <c r="A477" s="29"/>
      <c r="B477" s="29"/>
      <c r="C477" s="65" t="str">
        <f>IFERROR(__xludf.DUMMYFUNCTION("""COMPUTED_VALUE"""),"")</f>
        <v/>
      </c>
      <c r="D477" s="29"/>
    </row>
    <row r="478">
      <c r="A478" s="29"/>
      <c r="B478" s="29"/>
      <c r="C478" s="65" t="str">
        <f>IFERROR(__xludf.DUMMYFUNCTION("""COMPUTED_VALUE"""),"")</f>
        <v/>
      </c>
      <c r="D478" s="29"/>
    </row>
    <row r="479">
      <c r="A479" s="29"/>
      <c r="B479" s="29"/>
      <c r="C479" s="65" t="str">
        <f>IFERROR(__xludf.DUMMYFUNCTION("""COMPUTED_VALUE"""),"")</f>
        <v/>
      </c>
      <c r="D479" s="29"/>
    </row>
    <row r="480">
      <c r="A480" s="29"/>
      <c r="B480" s="29"/>
      <c r="C480" s="65" t="str">
        <f>IFERROR(__xludf.DUMMYFUNCTION("""COMPUTED_VALUE"""),"")</f>
        <v/>
      </c>
      <c r="D480" s="29"/>
    </row>
    <row r="481">
      <c r="A481" s="29"/>
      <c r="B481" s="29"/>
      <c r="C481" s="65" t="str">
        <f>IFERROR(__xludf.DUMMYFUNCTION("""COMPUTED_VALUE"""),"")</f>
        <v/>
      </c>
      <c r="D481" s="29"/>
    </row>
    <row r="482">
      <c r="A482" s="29"/>
      <c r="B482" s="29"/>
      <c r="C482" s="65" t="str">
        <f>IFERROR(__xludf.DUMMYFUNCTION("""COMPUTED_VALUE"""),"")</f>
        <v/>
      </c>
      <c r="D482" s="29"/>
    </row>
    <row r="483">
      <c r="A483" s="29"/>
      <c r="B483" s="29"/>
      <c r="C483" s="65" t="str">
        <f>IFERROR(__xludf.DUMMYFUNCTION("""COMPUTED_VALUE"""),"")</f>
        <v/>
      </c>
      <c r="D483" s="29"/>
    </row>
    <row r="484">
      <c r="A484" s="29"/>
      <c r="B484" s="29"/>
      <c r="C484" s="65" t="str">
        <f>IFERROR(__xludf.DUMMYFUNCTION("""COMPUTED_VALUE"""),"")</f>
        <v/>
      </c>
      <c r="D484" s="29"/>
    </row>
    <row r="485">
      <c r="A485" s="29"/>
      <c r="B485" s="29"/>
      <c r="C485" s="65" t="str">
        <f>IFERROR(__xludf.DUMMYFUNCTION("""COMPUTED_VALUE"""),"")</f>
        <v/>
      </c>
      <c r="D485" s="29"/>
    </row>
    <row r="486">
      <c r="A486" s="29"/>
      <c r="B486" s="29"/>
      <c r="C486" s="65" t="str">
        <f>IFERROR(__xludf.DUMMYFUNCTION("""COMPUTED_VALUE"""),"")</f>
        <v/>
      </c>
      <c r="D486" s="29"/>
    </row>
    <row r="487">
      <c r="A487" s="29"/>
      <c r="B487" s="29"/>
      <c r="C487" s="65" t="str">
        <f>IFERROR(__xludf.DUMMYFUNCTION("""COMPUTED_VALUE"""),"")</f>
        <v/>
      </c>
      <c r="D487" s="29"/>
    </row>
    <row r="488">
      <c r="A488" s="29"/>
      <c r="B488" s="29"/>
      <c r="C488" s="65" t="str">
        <f>IFERROR(__xludf.DUMMYFUNCTION("""COMPUTED_VALUE"""),"")</f>
        <v/>
      </c>
      <c r="D488" s="29"/>
    </row>
    <row r="489">
      <c r="A489" s="29"/>
      <c r="B489" s="29"/>
      <c r="C489" s="65" t="str">
        <f>IFERROR(__xludf.DUMMYFUNCTION("""COMPUTED_VALUE"""),"")</f>
        <v/>
      </c>
      <c r="D489" s="29"/>
    </row>
    <row r="490">
      <c r="A490" s="29"/>
      <c r="B490" s="29"/>
      <c r="C490" s="65" t="str">
        <f>IFERROR(__xludf.DUMMYFUNCTION("""COMPUTED_VALUE"""),"")</f>
        <v/>
      </c>
      <c r="D490" s="29"/>
    </row>
    <row r="491">
      <c r="A491" s="29"/>
      <c r="B491" s="29"/>
      <c r="C491" s="65" t="str">
        <f>IFERROR(__xludf.DUMMYFUNCTION("""COMPUTED_VALUE"""),"")</f>
        <v/>
      </c>
      <c r="D491" s="29"/>
    </row>
    <row r="492">
      <c r="A492" s="29"/>
      <c r="B492" s="29"/>
      <c r="C492" s="65" t="str">
        <f>IFERROR(__xludf.DUMMYFUNCTION("""COMPUTED_VALUE"""),"")</f>
        <v/>
      </c>
      <c r="D492" s="29"/>
    </row>
    <row r="493">
      <c r="A493" s="29"/>
      <c r="B493" s="29"/>
      <c r="C493" s="65" t="str">
        <f>IFERROR(__xludf.DUMMYFUNCTION("""COMPUTED_VALUE"""),"")</f>
        <v/>
      </c>
      <c r="D493" s="29"/>
    </row>
    <row r="494">
      <c r="A494" s="29"/>
      <c r="B494" s="29"/>
      <c r="C494" s="65" t="str">
        <f>IFERROR(__xludf.DUMMYFUNCTION("""COMPUTED_VALUE"""),"")</f>
        <v/>
      </c>
      <c r="D494" s="29"/>
    </row>
    <row r="495">
      <c r="A495" s="29"/>
      <c r="B495" s="29"/>
      <c r="C495" s="65" t="str">
        <f>IFERROR(__xludf.DUMMYFUNCTION("""COMPUTED_VALUE"""),"")</f>
        <v/>
      </c>
      <c r="D495" s="29"/>
    </row>
    <row r="496">
      <c r="A496" s="29"/>
      <c r="B496" s="29"/>
      <c r="C496" s="65" t="str">
        <f>IFERROR(__xludf.DUMMYFUNCTION("""COMPUTED_VALUE"""),"")</f>
        <v/>
      </c>
      <c r="D496" s="29"/>
    </row>
    <row r="497">
      <c r="A497" s="29"/>
      <c r="B497" s="29"/>
      <c r="C497" s="65" t="str">
        <f>IFERROR(__xludf.DUMMYFUNCTION("""COMPUTED_VALUE"""),"")</f>
        <v/>
      </c>
      <c r="D497" s="29"/>
    </row>
    <row r="498">
      <c r="A498" s="29"/>
      <c r="B498" s="29"/>
      <c r="C498" s="65" t="str">
        <f>IFERROR(__xludf.DUMMYFUNCTION("""COMPUTED_VALUE"""),"")</f>
        <v/>
      </c>
      <c r="D498" s="29"/>
    </row>
    <row r="499">
      <c r="A499" s="29"/>
      <c r="B499" s="29"/>
      <c r="C499" s="65" t="str">
        <f>IFERROR(__xludf.DUMMYFUNCTION("""COMPUTED_VALUE"""),"")</f>
        <v/>
      </c>
      <c r="D499" s="29"/>
    </row>
    <row r="500">
      <c r="A500" s="29"/>
      <c r="B500" s="29"/>
      <c r="C500" s="65" t="str">
        <f>IFERROR(__xludf.DUMMYFUNCTION("""COMPUTED_VALUE"""),"")</f>
        <v/>
      </c>
      <c r="D500" s="29"/>
    </row>
    <row r="501">
      <c r="A501" s="29"/>
      <c r="B501" s="29"/>
      <c r="C501" s="65" t="str">
        <f>IFERROR(__xludf.DUMMYFUNCTION("""COMPUTED_VALUE"""),"")</f>
        <v/>
      </c>
      <c r="D501" s="29"/>
    </row>
    <row r="502">
      <c r="A502" s="29"/>
      <c r="B502" s="29"/>
      <c r="C502" s="65" t="str">
        <f>IFERROR(__xludf.DUMMYFUNCTION("""COMPUTED_VALUE"""),"")</f>
        <v/>
      </c>
      <c r="D502" s="29"/>
    </row>
    <row r="503">
      <c r="A503" s="29"/>
      <c r="B503" s="29"/>
      <c r="C503" s="65" t="str">
        <f>IFERROR(__xludf.DUMMYFUNCTION("""COMPUTED_VALUE"""),"")</f>
        <v/>
      </c>
      <c r="D503" s="29"/>
    </row>
    <row r="504">
      <c r="A504" s="29"/>
      <c r="B504" s="29"/>
      <c r="C504" s="65" t="str">
        <f>IFERROR(__xludf.DUMMYFUNCTION("""COMPUTED_VALUE"""),"")</f>
        <v/>
      </c>
      <c r="D504" s="29"/>
    </row>
    <row r="505">
      <c r="A505" s="29"/>
      <c r="B505" s="29"/>
      <c r="C505" s="65" t="str">
        <f>IFERROR(__xludf.DUMMYFUNCTION("""COMPUTED_VALUE"""),"")</f>
        <v/>
      </c>
      <c r="D505" s="29"/>
    </row>
    <row r="506">
      <c r="A506" s="29"/>
      <c r="B506" s="29"/>
      <c r="C506" s="65" t="str">
        <f>IFERROR(__xludf.DUMMYFUNCTION("""COMPUTED_VALUE"""),"")</f>
        <v/>
      </c>
      <c r="D506" s="29"/>
    </row>
    <row r="507">
      <c r="A507" s="29"/>
      <c r="B507" s="29"/>
      <c r="C507" s="65" t="str">
        <f>IFERROR(__xludf.DUMMYFUNCTION("""COMPUTED_VALUE"""),"")</f>
        <v/>
      </c>
      <c r="D507" s="29"/>
    </row>
    <row r="508">
      <c r="A508" s="29"/>
      <c r="B508" s="29"/>
      <c r="C508" s="65" t="str">
        <f>IFERROR(__xludf.DUMMYFUNCTION("""COMPUTED_VALUE"""),"")</f>
        <v/>
      </c>
      <c r="D508" s="29"/>
    </row>
    <row r="509">
      <c r="A509" s="29"/>
      <c r="B509" s="29"/>
      <c r="C509" s="65" t="str">
        <f>IFERROR(__xludf.DUMMYFUNCTION("""COMPUTED_VALUE"""),"")</f>
        <v/>
      </c>
      <c r="D509" s="29"/>
    </row>
    <row r="510">
      <c r="A510" s="29"/>
      <c r="B510" s="29"/>
      <c r="C510" s="65" t="str">
        <f>IFERROR(__xludf.DUMMYFUNCTION("""COMPUTED_VALUE"""),"")</f>
        <v/>
      </c>
      <c r="D510" s="29"/>
    </row>
    <row r="511">
      <c r="A511" s="29"/>
      <c r="B511" s="29"/>
      <c r="C511" s="65" t="str">
        <f>IFERROR(__xludf.DUMMYFUNCTION("""COMPUTED_VALUE"""),"")</f>
        <v/>
      </c>
      <c r="D511" s="29"/>
    </row>
    <row r="512">
      <c r="A512" s="29"/>
      <c r="B512" s="29"/>
      <c r="C512" s="65" t="str">
        <f>IFERROR(__xludf.DUMMYFUNCTION("""COMPUTED_VALUE"""),"")</f>
        <v/>
      </c>
      <c r="D512" s="29"/>
    </row>
    <row r="513">
      <c r="A513" s="29"/>
      <c r="B513" s="29"/>
      <c r="C513" s="65" t="str">
        <f>IFERROR(__xludf.DUMMYFUNCTION("""COMPUTED_VALUE"""),"")</f>
        <v/>
      </c>
      <c r="D513" s="29"/>
    </row>
    <row r="514">
      <c r="A514" s="29"/>
      <c r="B514" s="29"/>
      <c r="C514" s="65" t="str">
        <f>IFERROR(__xludf.DUMMYFUNCTION("""COMPUTED_VALUE"""),"")</f>
        <v/>
      </c>
      <c r="D514" s="29"/>
    </row>
    <row r="515">
      <c r="A515" s="29"/>
      <c r="B515" s="29"/>
      <c r="C515" s="65" t="str">
        <f>IFERROR(__xludf.DUMMYFUNCTION("""COMPUTED_VALUE"""),"")</f>
        <v/>
      </c>
      <c r="D515" s="29"/>
    </row>
    <row r="516">
      <c r="A516" s="29"/>
      <c r="B516" s="29"/>
      <c r="C516" s="65" t="str">
        <f>IFERROR(__xludf.DUMMYFUNCTION("""COMPUTED_VALUE"""),"")</f>
        <v/>
      </c>
      <c r="D516" s="29"/>
    </row>
    <row r="517">
      <c r="A517" s="29"/>
      <c r="B517" s="29"/>
      <c r="C517" s="65" t="str">
        <f>IFERROR(__xludf.DUMMYFUNCTION("""COMPUTED_VALUE"""),"")</f>
        <v/>
      </c>
      <c r="D517" s="29"/>
    </row>
    <row r="518">
      <c r="A518" s="29"/>
      <c r="B518" s="29"/>
      <c r="C518" s="65" t="str">
        <f>IFERROR(__xludf.DUMMYFUNCTION("""COMPUTED_VALUE"""),"")</f>
        <v/>
      </c>
      <c r="D518" s="29"/>
    </row>
    <row r="519">
      <c r="A519" s="29"/>
      <c r="B519" s="29"/>
      <c r="C519" s="65" t="str">
        <f>IFERROR(__xludf.DUMMYFUNCTION("""COMPUTED_VALUE"""),"")</f>
        <v/>
      </c>
      <c r="D519" s="29"/>
    </row>
    <row r="520">
      <c r="A520" s="29"/>
      <c r="B520" s="29"/>
      <c r="C520" s="65" t="str">
        <f>IFERROR(__xludf.DUMMYFUNCTION("""COMPUTED_VALUE"""),"")</f>
        <v/>
      </c>
      <c r="D520" s="29"/>
    </row>
    <row r="521">
      <c r="A521" s="29"/>
      <c r="B521" s="29"/>
      <c r="C521" s="65" t="str">
        <f>IFERROR(__xludf.DUMMYFUNCTION("""COMPUTED_VALUE"""),"")</f>
        <v/>
      </c>
      <c r="D521" s="29"/>
    </row>
    <row r="522">
      <c r="A522" s="29"/>
      <c r="B522" s="29"/>
      <c r="C522" s="65" t="str">
        <f>IFERROR(__xludf.DUMMYFUNCTION("""COMPUTED_VALUE"""),"")</f>
        <v/>
      </c>
      <c r="D522" s="29"/>
    </row>
    <row r="523">
      <c r="A523" s="29"/>
      <c r="B523" s="29"/>
      <c r="C523" s="65" t="str">
        <f>IFERROR(__xludf.DUMMYFUNCTION("""COMPUTED_VALUE"""),"")</f>
        <v/>
      </c>
      <c r="D523" s="29"/>
    </row>
    <row r="524">
      <c r="A524" s="29"/>
      <c r="B524" s="29"/>
      <c r="C524" s="65" t="str">
        <f>IFERROR(__xludf.DUMMYFUNCTION("""COMPUTED_VALUE"""),"")</f>
        <v/>
      </c>
      <c r="D524" s="29"/>
    </row>
    <row r="525">
      <c r="A525" s="29"/>
      <c r="B525" s="29"/>
      <c r="C525" s="65" t="str">
        <f>IFERROR(__xludf.DUMMYFUNCTION("""COMPUTED_VALUE"""),"")</f>
        <v/>
      </c>
      <c r="D525" s="29"/>
    </row>
    <row r="526">
      <c r="A526" s="29"/>
      <c r="B526" s="29"/>
      <c r="C526" s="65" t="str">
        <f>IFERROR(__xludf.DUMMYFUNCTION("""COMPUTED_VALUE"""),"")</f>
        <v/>
      </c>
      <c r="D526" s="29"/>
    </row>
    <row r="527">
      <c r="A527" s="29"/>
      <c r="B527" s="29"/>
      <c r="C527" s="65" t="str">
        <f>IFERROR(__xludf.DUMMYFUNCTION("""COMPUTED_VALUE"""),"")</f>
        <v/>
      </c>
      <c r="D527" s="29"/>
    </row>
    <row r="528">
      <c r="A528" s="29"/>
      <c r="B528" s="29"/>
      <c r="C528" s="65" t="str">
        <f>IFERROR(__xludf.DUMMYFUNCTION("""COMPUTED_VALUE"""),"")</f>
        <v/>
      </c>
      <c r="D528" s="29"/>
    </row>
    <row r="529">
      <c r="A529" s="29"/>
      <c r="B529" s="29"/>
      <c r="C529" s="65" t="str">
        <f>IFERROR(__xludf.DUMMYFUNCTION("""COMPUTED_VALUE"""),"")</f>
        <v/>
      </c>
      <c r="D529" s="29"/>
    </row>
    <row r="530">
      <c r="A530" s="29"/>
      <c r="B530" s="29"/>
      <c r="C530" s="65" t="str">
        <f>IFERROR(__xludf.DUMMYFUNCTION("""COMPUTED_VALUE"""),"")</f>
        <v/>
      </c>
      <c r="D530" s="29"/>
    </row>
    <row r="531">
      <c r="A531" s="29"/>
      <c r="B531" s="29"/>
      <c r="C531" s="65" t="str">
        <f>IFERROR(__xludf.DUMMYFUNCTION("""COMPUTED_VALUE"""),"")</f>
        <v/>
      </c>
      <c r="D531" s="29"/>
    </row>
    <row r="532">
      <c r="A532" s="29"/>
      <c r="B532" s="29"/>
      <c r="C532" s="65" t="str">
        <f>IFERROR(__xludf.DUMMYFUNCTION("""COMPUTED_VALUE"""),"")</f>
        <v/>
      </c>
      <c r="D532" s="29"/>
    </row>
    <row r="533">
      <c r="A533" s="29"/>
      <c r="B533" s="29"/>
      <c r="C533" s="65" t="str">
        <f>IFERROR(__xludf.DUMMYFUNCTION("""COMPUTED_VALUE"""),"")</f>
        <v/>
      </c>
      <c r="D533" s="29"/>
    </row>
    <row r="534">
      <c r="A534" s="29"/>
      <c r="B534" s="29"/>
      <c r="C534" s="65" t="str">
        <f>IFERROR(__xludf.DUMMYFUNCTION("""COMPUTED_VALUE"""),"")</f>
        <v/>
      </c>
      <c r="D534" s="29"/>
    </row>
    <row r="535">
      <c r="A535" s="29"/>
      <c r="B535" s="29"/>
      <c r="C535" s="65" t="str">
        <f>IFERROR(__xludf.DUMMYFUNCTION("""COMPUTED_VALUE"""),"")</f>
        <v/>
      </c>
      <c r="D535" s="29"/>
    </row>
    <row r="536">
      <c r="A536" s="29"/>
      <c r="B536" s="29"/>
      <c r="C536" s="65" t="str">
        <f>IFERROR(__xludf.DUMMYFUNCTION("""COMPUTED_VALUE"""),"")</f>
        <v/>
      </c>
      <c r="D536" s="29"/>
    </row>
    <row r="537">
      <c r="A537" s="29"/>
      <c r="B537" s="29"/>
      <c r="C537" s="65" t="str">
        <f>IFERROR(__xludf.DUMMYFUNCTION("""COMPUTED_VALUE"""),"")</f>
        <v/>
      </c>
      <c r="D537" s="29"/>
    </row>
    <row r="538">
      <c r="A538" s="29"/>
      <c r="B538" s="29"/>
      <c r="C538" s="65" t="str">
        <f>IFERROR(__xludf.DUMMYFUNCTION("""COMPUTED_VALUE"""),"")</f>
        <v/>
      </c>
      <c r="D538" s="29"/>
    </row>
    <row r="539">
      <c r="A539" s="29"/>
      <c r="B539" s="29"/>
      <c r="C539" s="65" t="str">
        <f>IFERROR(__xludf.DUMMYFUNCTION("""COMPUTED_VALUE"""),"")</f>
        <v/>
      </c>
      <c r="D539" s="29"/>
    </row>
    <row r="540">
      <c r="A540" s="29"/>
      <c r="B540" s="29"/>
      <c r="C540" s="65" t="str">
        <f>IFERROR(__xludf.DUMMYFUNCTION("""COMPUTED_VALUE"""),"")</f>
        <v/>
      </c>
      <c r="D540" s="29"/>
    </row>
    <row r="541">
      <c r="A541" s="29"/>
      <c r="B541" s="29"/>
      <c r="C541" s="65" t="str">
        <f>IFERROR(__xludf.DUMMYFUNCTION("""COMPUTED_VALUE"""),"")</f>
        <v/>
      </c>
      <c r="D541" s="29"/>
    </row>
    <row r="542">
      <c r="A542" s="29"/>
      <c r="B542" s="29"/>
      <c r="C542" s="65" t="str">
        <f>IFERROR(__xludf.DUMMYFUNCTION("""COMPUTED_VALUE"""),"")</f>
        <v/>
      </c>
      <c r="D542" s="29"/>
    </row>
    <row r="543">
      <c r="A543" s="29"/>
      <c r="B543" s="29"/>
      <c r="C543" s="65" t="str">
        <f>IFERROR(__xludf.DUMMYFUNCTION("""COMPUTED_VALUE"""),"")</f>
        <v/>
      </c>
      <c r="D543" s="29"/>
    </row>
    <row r="544">
      <c r="A544" s="29"/>
      <c r="B544" s="29"/>
      <c r="C544" s="65" t="str">
        <f>IFERROR(__xludf.DUMMYFUNCTION("""COMPUTED_VALUE"""),"")</f>
        <v/>
      </c>
      <c r="D544" s="29"/>
    </row>
    <row r="545">
      <c r="A545" s="29"/>
      <c r="B545" s="29"/>
      <c r="C545" s="65" t="str">
        <f>IFERROR(__xludf.DUMMYFUNCTION("""COMPUTED_VALUE"""),"")</f>
        <v/>
      </c>
      <c r="D545" s="29"/>
    </row>
    <row r="546">
      <c r="A546" s="29"/>
      <c r="B546" s="29"/>
      <c r="C546" s="65" t="str">
        <f>IFERROR(__xludf.DUMMYFUNCTION("""COMPUTED_VALUE"""),"")</f>
        <v/>
      </c>
      <c r="D546" s="29"/>
    </row>
    <row r="547">
      <c r="A547" s="29"/>
      <c r="B547" s="29"/>
      <c r="C547" s="65" t="str">
        <f>IFERROR(__xludf.DUMMYFUNCTION("""COMPUTED_VALUE"""),"")</f>
        <v/>
      </c>
      <c r="D547" s="29"/>
    </row>
    <row r="548">
      <c r="A548" s="29"/>
      <c r="B548" s="29"/>
      <c r="C548" s="65" t="str">
        <f>IFERROR(__xludf.DUMMYFUNCTION("""COMPUTED_VALUE"""),"")</f>
        <v/>
      </c>
      <c r="D548" s="29"/>
    </row>
    <row r="549">
      <c r="A549" s="29"/>
      <c r="B549" s="29"/>
      <c r="C549" s="65" t="str">
        <f>IFERROR(__xludf.DUMMYFUNCTION("""COMPUTED_VALUE"""),"")</f>
        <v/>
      </c>
      <c r="D549" s="29"/>
    </row>
    <row r="550">
      <c r="A550" s="29"/>
      <c r="B550" s="29"/>
      <c r="C550" s="65" t="str">
        <f>IFERROR(__xludf.DUMMYFUNCTION("""COMPUTED_VALUE"""),"")</f>
        <v/>
      </c>
      <c r="D550" s="29"/>
    </row>
    <row r="551">
      <c r="A551" s="29"/>
      <c r="B551" s="29"/>
      <c r="C551" s="65" t="str">
        <f>IFERROR(__xludf.DUMMYFUNCTION("""COMPUTED_VALUE"""),"")</f>
        <v/>
      </c>
      <c r="D551" s="29"/>
    </row>
    <row r="552">
      <c r="A552" s="29"/>
      <c r="B552" s="29"/>
      <c r="C552" s="65" t="str">
        <f>IFERROR(__xludf.DUMMYFUNCTION("""COMPUTED_VALUE"""),"")</f>
        <v/>
      </c>
      <c r="D552" s="29"/>
    </row>
    <row r="553">
      <c r="A553" s="29"/>
      <c r="B553" s="29"/>
      <c r="C553" s="65" t="str">
        <f>IFERROR(__xludf.DUMMYFUNCTION("""COMPUTED_VALUE"""),"")</f>
        <v/>
      </c>
      <c r="D553" s="29"/>
    </row>
    <row r="554">
      <c r="A554" s="29"/>
      <c r="B554" s="29"/>
      <c r="C554" s="65" t="str">
        <f>IFERROR(__xludf.DUMMYFUNCTION("""COMPUTED_VALUE"""),"")</f>
        <v/>
      </c>
      <c r="D554" s="29"/>
    </row>
    <row r="555">
      <c r="A555" s="29"/>
      <c r="B555" s="29"/>
      <c r="C555" s="65" t="str">
        <f>IFERROR(__xludf.DUMMYFUNCTION("""COMPUTED_VALUE"""),"")</f>
        <v/>
      </c>
      <c r="D555" s="29"/>
    </row>
    <row r="556">
      <c r="A556" s="29"/>
      <c r="B556" s="29"/>
      <c r="C556" s="65" t="str">
        <f>IFERROR(__xludf.DUMMYFUNCTION("""COMPUTED_VALUE"""),"")</f>
        <v/>
      </c>
      <c r="D556" s="29"/>
    </row>
    <row r="557">
      <c r="A557" s="29"/>
      <c r="B557" s="29"/>
      <c r="C557" s="65" t="str">
        <f>IFERROR(__xludf.DUMMYFUNCTION("""COMPUTED_VALUE"""),"")</f>
        <v/>
      </c>
      <c r="D557" s="29"/>
    </row>
    <row r="558">
      <c r="A558" s="29"/>
      <c r="B558" s="29"/>
      <c r="C558" s="65" t="str">
        <f>IFERROR(__xludf.DUMMYFUNCTION("""COMPUTED_VALUE"""),"")</f>
        <v/>
      </c>
      <c r="D558" s="29"/>
    </row>
    <row r="559">
      <c r="A559" s="29"/>
      <c r="B559" s="29"/>
      <c r="C559" s="65" t="str">
        <f>IFERROR(__xludf.DUMMYFUNCTION("""COMPUTED_VALUE"""),"")</f>
        <v/>
      </c>
      <c r="D559" s="29"/>
    </row>
    <row r="560">
      <c r="A560" s="29"/>
      <c r="B560" s="29"/>
      <c r="C560" s="65" t="str">
        <f>IFERROR(__xludf.DUMMYFUNCTION("""COMPUTED_VALUE"""),"")</f>
        <v/>
      </c>
      <c r="D560" s="29"/>
    </row>
    <row r="561">
      <c r="A561" s="29"/>
      <c r="B561" s="29"/>
      <c r="C561" s="65" t="str">
        <f>IFERROR(__xludf.DUMMYFUNCTION("""COMPUTED_VALUE"""),"")</f>
        <v/>
      </c>
      <c r="D561" s="29"/>
    </row>
    <row r="562">
      <c r="A562" s="29"/>
      <c r="B562" s="29"/>
      <c r="C562" s="65" t="str">
        <f>IFERROR(__xludf.DUMMYFUNCTION("""COMPUTED_VALUE"""),"")</f>
        <v/>
      </c>
      <c r="D562" s="29"/>
    </row>
    <row r="563">
      <c r="A563" s="29"/>
      <c r="B563" s="29"/>
      <c r="C563" s="65" t="str">
        <f>IFERROR(__xludf.DUMMYFUNCTION("""COMPUTED_VALUE"""),"")</f>
        <v/>
      </c>
      <c r="D563" s="29"/>
    </row>
    <row r="564">
      <c r="A564" s="29"/>
      <c r="B564" s="29"/>
      <c r="C564" s="65" t="str">
        <f>IFERROR(__xludf.DUMMYFUNCTION("""COMPUTED_VALUE"""),"")</f>
        <v/>
      </c>
      <c r="D564" s="29"/>
    </row>
    <row r="565">
      <c r="A565" s="29"/>
      <c r="B565" s="29"/>
      <c r="C565" s="65" t="str">
        <f>IFERROR(__xludf.DUMMYFUNCTION("""COMPUTED_VALUE"""),"")</f>
        <v/>
      </c>
      <c r="D565" s="29"/>
    </row>
    <row r="566">
      <c r="A566" s="29"/>
      <c r="B566" s="29"/>
      <c r="C566" s="65" t="str">
        <f>IFERROR(__xludf.DUMMYFUNCTION("""COMPUTED_VALUE"""),"")</f>
        <v/>
      </c>
      <c r="D566" s="29"/>
    </row>
    <row r="567">
      <c r="A567" s="29"/>
      <c r="B567" s="29"/>
      <c r="C567" s="65" t="str">
        <f>IFERROR(__xludf.DUMMYFUNCTION("""COMPUTED_VALUE"""),"")</f>
        <v/>
      </c>
      <c r="D567" s="29"/>
    </row>
    <row r="568">
      <c r="A568" s="29"/>
      <c r="B568" s="29"/>
      <c r="C568" s="65" t="str">
        <f>IFERROR(__xludf.DUMMYFUNCTION("""COMPUTED_VALUE"""),"")</f>
        <v/>
      </c>
      <c r="D568" s="29"/>
    </row>
    <row r="569">
      <c r="A569" s="29"/>
      <c r="B569" s="29"/>
      <c r="C569" s="65" t="str">
        <f>IFERROR(__xludf.DUMMYFUNCTION("""COMPUTED_VALUE"""),"")</f>
        <v/>
      </c>
      <c r="D569" s="29"/>
    </row>
    <row r="570">
      <c r="A570" s="29"/>
      <c r="B570" s="29"/>
      <c r="C570" s="65" t="str">
        <f>IFERROR(__xludf.DUMMYFUNCTION("""COMPUTED_VALUE"""),"")</f>
        <v/>
      </c>
      <c r="D570" s="29"/>
    </row>
    <row r="571">
      <c r="A571" s="29"/>
      <c r="B571" s="29"/>
      <c r="C571" s="65" t="str">
        <f>IFERROR(__xludf.DUMMYFUNCTION("""COMPUTED_VALUE"""),"")</f>
        <v/>
      </c>
      <c r="D571" s="29"/>
    </row>
    <row r="572">
      <c r="A572" s="29"/>
      <c r="B572" s="29"/>
      <c r="C572" s="65" t="str">
        <f>IFERROR(__xludf.DUMMYFUNCTION("""COMPUTED_VALUE"""),"")</f>
        <v/>
      </c>
      <c r="D572" s="29"/>
    </row>
    <row r="573">
      <c r="A573" s="29"/>
      <c r="B573" s="29"/>
      <c r="C573" s="65" t="str">
        <f>IFERROR(__xludf.DUMMYFUNCTION("""COMPUTED_VALUE"""),"")</f>
        <v/>
      </c>
      <c r="D573" s="29"/>
    </row>
    <row r="574">
      <c r="A574" s="29"/>
      <c r="B574" s="29"/>
      <c r="C574" s="65" t="str">
        <f>IFERROR(__xludf.DUMMYFUNCTION("""COMPUTED_VALUE"""),"")</f>
        <v/>
      </c>
      <c r="D574" s="29"/>
    </row>
    <row r="575">
      <c r="A575" s="29"/>
      <c r="B575" s="29"/>
      <c r="C575" s="65" t="str">
        <f>IFERROR(__xludf.DUMMYFUNCTION("""COMPUTED_VALUE"""),"")</f>
        <v/>
      </c>
      <c r="D575" s="29"/>
    </row>
    <row r="576">
      <c r="A576" s="29"/>
      <c r="B576" s="29"/>
      <c r="C576" s="65" t="str">
        <f>IFERROR(__xludf.DUMMYFUNCTION("""COMPUTED_VALUE"""),"")</f>
        <v/>
      </c>
      <c r="D576" s="29"/>
    </row>
    <row r="577">
      <c r="A577" s="29"/>
      <c r="B577" s="29"/>
      <c r="C577" s="65" t="str">
        <f>IFERROR(__xludf.DUMMYFUNCTION("""COMPUTED_VALUE"""),"")</f>
        <v/>
      </c>
      <c r="D577" s="29"/>
    </row>
    <row r="578">
      <c r="A578" s="29"/>
      <c r="B578" s="29"/>
      <c r="C578" s="65" t="str">
        <f>IFERROR(__xludf.DUMMYFUNCTION("""COMPUTED_VALUE"""),"")</f>
        <v/>
      </c>
      <c r="D578" s="29"/>
    </row>
    <row r="579">
      <c r="A579" s="29"/>
      <c r="B579" s="29"/>
      <c r="C579" s="65" t="str">
        <f>IFERROR(__xludf.DUMMYFUNCTION("""COMPUTED_VALUE"""),"")</f>
        <v/>
      </c>
      <c r="D579" s="29"/>
    </row>
    <row r="580">
      <c r="A580" s="29"/>
      <c r="B580" s="29"/>
      <c r="C580" s="65" t="str">
        <f>IFERROR(__xludf.DUMMYFUNCTION("""COMPUTED_VALUE"""),"")</f>
        <v/>
      </c>
      <c r="D580" s="29"/>
    </row>
    <row r="581">
      <c r="A581" s="29"/>
      <c r="B581" s="29"/>
      <c r="C581" s="65" t="str">
        <f>IFERROR(__xludf.DUMMYFUNCTION("""COMPUTED_VALUE"""),"")</f>
        <v/>
      </c>
      <c r="D581" s="29"/>
    </row>
    <row r="582">
      <c r="A582" s="29"/>
      <c r="B582" s="29"/>
      <c r="C582" s="65" t="str">
        <f>IFERROR(__xludf.DUMMYFUNCTION("""COMPUTED_VALUE"""),"")</f>
        <v/>
      </c>
      <c r="D582" s="29"/>
    </row>
    <row r="583">
      <c r="A583" s="29"/>
      <c r="B583" s="29"/>
      <c r="C583" s="65" t="str">
        <f>IFERROR(__xludf.DUMMYFUNCTION("""COMPUTED_VALUE"""),"")</f>
        <v/>
      </c>
      <c r="D583" s="29"/>
    </row>
    <row r="584">
      <c r="A584" s="29"/>
      <c r="B584" s="29"/>
      <c r="C584" s="65" t="str">
        <f>IFERROR(__xludf.DUMMYFUNCTION("""COMPUTED_VALUE"""),"")</f>
        <v/>
      </c>
      <c r="D584" s="29"/>
    </row>
    <row r="585">
      <c r="A585" s="29"/>
      <c r="B585" s="29"/>
      <c r="C585" s="65" t="str">
        <f>IFERROR(__xludf.DUMMYFUNCTION("""COMPUTED_VALUE"""),"")</f>
        <v/>
      </c>
      <c r="D585" s="29"/>
    </row>
    <row r="586">
      <c r="A586" s="29"/>
      <c r="B586" s="29"/>
      <c r="C586" s="65" t="str">
        <f>IFERROR(__xludf.DUMMYFUNCTION("""COMPUTED_VALUE"""),"")</f>
        <v/>
      </c>
      <c r="D586" s="29"/>
    </row>
    <row r="587">
      <c r="A587" s="29"/>
      <c r="B587" s="29"/>
      <c r="C587" s="65" t="str">
        <f>IFERROR(__xludf.DUMMYFUNCTION("""COMPUTED_VALUE"""),"")</f>
        <v/>
      </c>
      <c r="D587" s="29"/>
    </row>
    <row r="588">
      <c r="A588" s="29"/>
      <c r="B588" s="29"/>
      <c r="C588" s="65" t="str">
        <f>IFERROR(__xludf.DUMMYFUNCTION("""COMPUTED_VALUE"""),"")</f>
        <v/>
      </c>
      <c r="D588" s="29"/>
    </row>
    <row r="589">
      <c r="A589" s="29"/>
      <c r="B589" s="29"/>
      <c r="C589" s="65" t="str">
        <f>IFERROR(__xludf.DUMMYFUNCTION("""COMPUTED_VALUE"""),"")</f>
        <v/>
      </c>
      <c r="D589" s="29"/>
    </row>
    <row r="590">
      <c r="A590" s="29"/>
      <c r="B590" s="29"/>
      <c r="C590" s="65" t="str">
        <f>IFERROR(__xludf.DUMMYFUNCTION("""COMPUTED_VALUE"""),"")</f>
        <v/>
      </c>
      <c r="D590" s="29"/>
    </row>
    <row r="591">
      <c r="A591" s="29"/>
      <c r="B591" s="29"/>
      <c r="C591" s="65" t="str">
        <f>IFERROR(__xludf.DUMMYFUNCTION("""COMPUTED_VALUE"""),"")</f>
        <v/>
      </c>
      <c r="D591" s="29"/>
    </row>
    <row r="592">
      <c r="A592" s="29"/>
      <c r="B592" s="29"/>
      <c r="C592" s="65" t="str">
        <f>IFERROR(__xludf.DUMMYFUNCTION("""COMPUTED_VALUE"""),"")</f>
        <v/>
      </c>
      <c r="D592" s="29"/>
    </row>
    <row r="593">
      <c r="A593" s="29"/>
      <c r="B593" s="29"/>
      <c r="C593" s="65" t="str">
        <f>IFERROR(__xludf.DUMMYFUNCTION("""COMPUTED_VALUE"""),"")</f>
        <v/>
      </c>
      <c r="D593" s="29"/>
    </row>
    <row r="594">
      <c r="A594" s="29"/>
      <c r="B594" s="29"/>
      <c r="C594" s="65" t="str">
        <f>IFERROR(__xludf.DUMMYFUNCTION("""COMPUTED_VALUE"""),"")</f>
        <v/>
      </c>
      <c r="D594" s="29"/>
    </row>
    <row r="595">
      <c r="A595" s="29"/>
      <c r="B595" s="29"/>
      <c r="C595" s="65" t="str">
        <f>IFERROR(__xludf.DUMMYFUNCTION("""COMPUTED_VALUE"""),"")</f>
        <v/>
      </c>
      <c r="D595" s="29"/>
    </row>
    <row r="596">
      <c r="A596" s="29"/>
      <c r="B596" s="29"/>
      <c r="C596" s="65" t="str">
        <f>IFERROR(__xludf.DUMMYFUNCTION("""COMPUTED_VALUE"""),"")</f>
        <v/>
      </c>
      <c r="D596" s="29"/>
    </row>
    <row r="597">
      <c r="A597" s="29"/>
      <c r="B597" s="29"/>
      <c r="C597" s="65" t="str">
        <f>IFERROR(__xludf.DUMMYFUNCTION("""COMPUTED_VALUE"""),"")</f>
        <v/>
      </c>
      <c r="D597" s="29"/>
    </row>
    <row r="598">
      <c r="A598" s="29"/>
      <c r="B598" s="29"/>
      <c r="C598" s="65" t="str">
        <f>IFERROR(__xludf.DUMMYFUNCTION("""COMPUTED_VALUE"""),"")</f>
        <v/>
      </c>
      <c r="D598" s="29"/>
    </row>
    <row r="599">
      <c r="A599" s="29"/>
      <c r="B599" s="29"/>
      <c r="C599" s="65" t="str">
        <f>IFERROR(__xludf.DUMMYFUNCTION("""COMPUTED_VALUE"""),"")</f>
        <v/>
      </c>
      <c r="D599" s="29"/>
    </row>
    <row r="600">
      <c r="A600" s="29"/>
      <c r="B600" s="29"/>
      <c r="C600" s="65" t="str">
        <f>IFERROR(__xludf.DUMMYFUNCTION("""COMPUTED_VALUE"""),"")</f>
        <v/>
      </c>
      <c r="D600" s="29"/>
    </row>
    <row r="601">
      <c r="A601" s="29"/>
      <c r="B601" s="29"/>
      <c r="C601" s="65" t="str">
        <f>IFERROR(__xludf.DUMMYFUNCTION("""COMPUTED_VALUE"""),"")</f>
        <v/>
      </c>
      <c r="D601" s="29"/>
    </row>
    <row r="602">
      <c r="A602" s="29"/>
      <c r="B602" s="29"/>
      <c r="C602" s="65" t="str">
        <f>IFERROR(__xludf.DUMMYFUNCTION("""COMPUTED_VALUE"""),"")</f>
        <v/>
      </c>
      <c r="D602" s="29"/>
    </row>
    <row r="603">
      <c r="A603" s="29"/>
      <c r="B603" s="29"/>
      <c r="C603" s="65" t="str">
        <f>IFERROR(__xludf.DUMMYFUNCTION("""COMPUTED_VALUE"""),"")</f>
        <v/>
      </c>
      <c r="D603" s="29"/>
    </row>
    <row r="604">
      <c r="A604" s="29"/>
      <c r="B604" s="29"/>
      <c r="C604" s="65" t="str">
        <f>IFERROR(__xludf.DUMMYFUNCTION("""COMPUTED_VALUE"""),"")</f>
        <v/>
      </c>
      <c r="D604" s="29"/>
    </row>
    <row r="605">
      <c r="A605" s="29"/>
      <c r="B605" s="29"/>
      <c r="C605" s="65" t="str">
        <f>IFERROR(__xludf.DUMMYFUNCTION("""COMPUTED_VALUE"""),"")</f>
        <v/>
      </c>
      <c r="D605" s="29"/>
    </row>
    <row r="606">
      <c r="A606" s="29"/>
      <c r="B606" s="29"/>
      <c r="C606" s="65" t="str">
        <f>IFERROR(__xludf.DUMMYFUNCTION("""COMPUTED_VALUE"""),"")</f>
        <v/>
      </c>
      <c r="D606" s="29"/>
    </row>
    <row r="607">
      <c r="A607" s="29"/>
      <c r="B607" s="29"/>
      <c r="C607" s="65" t="str">
        <f>IFERROR(__xludf.DUMMYFUNCTION("""COMPUTED_VALUE"""),"")</f>
        <v/>
      </c>
      <c r="D607" s="29"/>
    </row>
    <row r="608">
      <c r="A608" s="29"/>
      <c r="B608" s="29"/>
      <c r="C608" s="65" t="str">
        <f>IFERROR(__xludf.DUMMYFUNCTION("""COMPUTED_VALUE"""),"")</f>
        <v/>
      </c>
      <c r="D608" s="29"/>
    </row>
    <row r="609">
      <c r="A609" s="29"/>
      <c r="B609" s="29"/>
      <c r="C609" s="65" t="str">
        <f>IFERROR(__xludf.DUMMYFUNCTION("""COMPUTED_VALUE"""),"")</f>
        <v/>
      </c>
      <c r="D609" s="29"/>
    </row>
    <row r="610">
      <c r="A610" s="29"/>
      <c r="B610" s="29"/>
      <c r="C610" s="65" t="str">
        <f>IFERROR(__xludf.DUMMYFUNCTION("""COMPUTED_VALUE"""),"")</f>
        <v/>
      </c>
      <c r="D610" s="29"/>
    </row>
    <row r="611">
      <c r="A611" s="29"/>
      <c r="B611" s="29"/>
      <c r="C611" s="65" t="str">
        <f>IFERROR(__xludf.DUMMYFUNCTION("""COMPUTED_VALUE"""),"")</f>
        <v/>
      </c>
      <c r="D611" s="29"/>
    </row>
    <row r="612">
      <c r="A612" s="29"/>
      <c r="B612" s="29"/>
      <c r="C612" s="65" t="str">
        <f>IFERROR(__xludf.DUMMYFUNCTION("""COMPUTED_VALUE"""),"")</f>
        <v/>
      </c>
      <c r="D612" s="29"/>
    </row>
    <row r="613">
      <c r="A613" s="29"/>
      <c r="B613" s="29"/>
      <c r="C613" s="65" t="str">
        <f>IFERROR(__xludf.DUMMYFUNCTION("""COMPUTED_VALUE"""),"")</f>
        <v/>
      </c>
      <c r="D613" s="29"/>
    </row>
    <row r="614">
      <c r="A614" s="29"/>
      <c r="B614" s="29"/>
      <c r="C614" s="65" t="str">
        <f>IFERROR(__xludf.DUMMYFUNCTION("""COMPUTED_VALUE"""),"")</f>
        <v/>
      </c>
      <c r="D614" s="29"/>
    </row>
    <row r="615">
      <c r="A615" s="29"/>
      <c r="B615" s="29"/>
      <c r="C615" s="65" t="str">
        <f>IFERROR(__xludf.DUMMYFUNCTION("""COMPUTED_VALUE"""),"")</f>
        <v/>
      </c>
      <c r="D615" s="29"/>
    </row>
    <row r="616">
      <c r="A616" s="29"/>
      <c r="B616" s="29"/>
      <c r="C616" s="65" t="str">
        <f>IFERROR(__xludf.DUMMYFUNCTION("""COMPUTED_VALUE"""),"")</f>
        <v/>
      </c>
      <c r="D616" s="29"/>
    </row>
    <row r="617">
      <c r="A617" s="29"/>
      <c r="B617" s="29"/>
      <c r="C617" s="65" t="str">
        <f>IFERROR(__xludf.DUMMYFUNCTION("""COMPUTED_VALUE"""),"")</f>
        <v/>
      </c>
      <c r="D617" s="29"/>
    </row>
    <row r="618">
      <c r="A618" s="29"/>
      <c r="B618" s="29"/>
      <c r="C618" s="65" t="str">
        <f>IFERROR(__xludf.DUMMYFUNCTION("""COMPUTED_VALUE"""),"")</f>
        <v/>
      </c>
      <c r="D618" s="29"/>
    </row>
    <row r="619">
      <c r="A619" s="29"/>
      <c r="B619" s="29"/>
      <c r="C619" s="65" t="str">
        <f>IFERROR(__xludf.DUMMYFUNCTION("""COMPUTED_VALUE"""),"")</f>
        <v/>
      </c>
      <c r="D619" s="29"/>
    </row>
    <row r="620">
      <c r="A620" s="29"/>
      <c r="B620" s="29"/>
      <c r="C620" s="65" t="str">
        <f>IFERROR(__xludf.DUMMYFUNCTION("""COMPUTED_VALUE"""),"")</f>
        <v/>
      </c>
      <c r="D620" s="29"/>
    </row>
    <row r="621">
      <c r="A621" s="29"/>
      <c r="B621" s="29"/>
      <c r="C621" s="65" t="str">
        <f>IFERROR(__xludf.DUMMYFUNCTION("""COMPUTED_VALUE"""),"")</f>
        <v/>
      </c>
      <c r="D621" s="29"/>
    </row>
    <row r="622">
      <c r="A622" s="29"/>
      <c r="B622" s="29"/>
      <c r="C622" s="65" t="str">
        <f>IFERROR(__xludf.DUMMYFUNCTION("""COMPUTED_VALUE"""),"")</f>
        <v/>
      </c>
      <c r="D622" s="29"/>
    </row>
    <row r="623">
      <c r="A623" s="29"/>
      <c r="B623" s="29"/>
      <c r="C623" s="65" t="str">
        <f>IFERROR(__xludf.DUMMYFUNCTION("""COMPUTED_VALUE"""),"")</f>
        <v/>
      </c>
      <c r="D623" s="29"/>
    </row>
    <row r="624">
      <c r="A624" s="29"/>
      <c r="B624" s="29"/>
      <c r="C624" s="65" t="str">
        <f>IFERROR(__xludf.DUMMYFUNCTION("""COMPUTED_VALUE"""),"")</f>
        <v/>
      </c>
      <c r="D624" s="29"/>
    </row>
    <row r="625">
      <c r="A625" s="29"/>
      <c r="B625" s="29"/>
      <c r="C625" s="65" t="str">
        <f>IFERROR(__xludf.DUMMYFUNCTION("""COMPUTED_VALUE"""),"")</f>
        <v/>
      </c>
      <c r="D625" s="29"/>
    </row>
    <row r="626">
      <c r="A626" s="29"/>
      <c r="B626" s="29"/>
      <c r="C626" s="65" t="str">
        <f>IFERROR(__xludf.DUMMYFUNCTION("""COMPUTED_VALUE"""),"")</f>
        <v/>
      </c>
      <c r="D626" s="29"/>
    </row>
    <row r="627">
      <c r="A627" s="29"/>
      <c r="B627" s="29"/>
      <c r="C627" s="65" t="str">
        <f>IFERROR(__xludf.DUMMYFUNCTION("""COMPUTED_VALUE"""),"")</f>
        <v/>
      </c>
      <c r="D627" s="29"/>
    </row>
    <row r="628">
      <c r="A628" s="29"/>
      <c r="B628" s="29"/>
      <c r="C628" s="65" t="str">
        <f>IFERROR(__xludf.DUMMYFUNCTION("""COMPUTED_VALUE"""),"")</f>
        <v/>
      </c>
      <c r="D628" s="29"/>
    </row>
    <row r="629">
      <c r="A629" s="29"/>
      <c r="B629" s="29"/>
      <c r="C629" s="65" t="str">
        <f>IFERROR(__xludf.DUMMYFUNCTION("""COMPUTED_VALUE"""),"")</f>
        <v/>
      </c>
      <c r="D629" s="29"/>
    </row>
    <row r="630">
      <c r="A630" s="29"/>
      <c r="B630" s="29"/>
      <c r="C630" s="65" t="str">
        <f>IFERROR(__xludf.DUMMYFUNCTION("""COMPUTED_VALUE"""),"")</f>
        <v/>
      </c>
      <c r="D630" s="29"/>
    </row>
    <row r="631">
      <c r="A631" s="29"/>
      <c r="B631" s="29"/>
      <c r="C631" s="65" t="str">
        <f>IFERROR(__xludf.DUMMYFUNCTION("""COMPUTED_VALUE"""),"")</f>
        <v/>
      </c>
      <c r="D631" s="29"/>
    </row>
    <row r="632">
      <c r="A632" s="29"/>
      <c r="B632" s="29"/>
      <c r="C632" s="65" t="str">
        <f>IFERROR(__xludf.DUMMYFUNCTION("""COMPUTED_VALUE"""),"")</f>
        <v/>
      </c>
      <c r="D632" s="29"/>
    </row>
    <row r="633">
      <c r="A633" s="29"/>
      <c r="B633" s="29"/>
      <c r="C633" s="65" t="str">
        <f>IFERROR(__xludf.DUMMYFUNCTION("""COMPUTED_VALUE"""),"")</f>
        <v/>
      </c>
      <c r="D633" s="29"/>
    </row>
    <row r="634">
      <c r="A634" s="29"/>
      <c r="B634" s="29"/>
      <c r="C634" s="65" t="str">
        <f>IFERROR(__xludf.DUMMYFUNCTION("""COMPUTED_VALUE"""),"")</f>
        <v/>
      </c>
      <c r="D634" s="29"/>
    </row>
    <row r="635">
      <c r="A635" s="29"/>
      <c r="B635" s="29"/>
      <c r="C635" s="65" t="str">
        <f>IFERROR(__xludf.DUMMYFUNCTION("""COMPUTED_VALUE"""),"")</f>
        <v/>
      </c>
      <c r="D635" s="29"/>
    </row>
    <row r="636">
      <c r="A636" s="29"/>
      <c r="B636" s="29"/>
      <c r="C636" s="65" t="str">
        <f>IFERROR(__xludf.DUMMYFUNCTION("""COMPUTED_VALUE"""),"")</f>
        <v/>
      </c>
      <c r="D636" s="29"/>
    </row>
    <row r="637">
      <c r="A637" s="29"/>
      <c r="B637" s="29"/>
      <c r="C637" s="65" t="str">
        <f>IFERROR(__xludf.DUMMYFUNCTION("""COMPUTED_VALUE"""),"")</f>
        <v/>
      </c>
      <c r="D637" s="29"/>
    </row>
    <row r="638">
      <c r="A638" s="29"/>
      <c r="B638" s="29"/>
      <c r="C638" s="65" t="str">
        <f>IFERROR(__xludf.DUMMYFUNCTION("""COMPUTED_VALUE"""),"")</f>
        <v/>
      </c>
      <c r="D638" s="29"/>
    </row>
    <row r="639">
      <c r="A639" s="29"/>
      <c r="B639" s="29"/>
      <c r="C639" s="65" t="str">
        <f>IFERROR(__xludf.DUMMYFUNCTION("""COMPUTED_VALUE"""),"")</f>
        <v/>
      </c>
      <c r="D639" s="29"/>
    </row>
    <row r="640">
      <c r="A640" s="29"/>
      <c r="B640" s="29"/>
      <c r="C640" s="65" t="str">
        <f>IFERROR(__xludf.DUMMYFUNCTION("""COMPUTED_VALUE"""),"")</f>
        <v/>
      </c>
      <c r="D640" s="29"/>
    </row>
    <row r="641">
      <c r="A641" s="29"/>
      <c r="B641" s="29"/>
      <c r="C641" s="65" t="str">
        <f>IFERROR(__xludf.DUMMYFUNCTION("""COMPUTED_VALUE"""),"")</f>
        <v/>
      </c>
      <c r="D641" s="29"/>
    </row>
    <row r="642">
      <c r="A642" s="29"/>
      <c r="B642" s="29"/>
      <c r="C642" s="65" t="str">
        <f>IFERROR(__xludf.DUMMYFUNCTION("""COMPUTED_VALUE"""),"")</f>
        <v/>
      </c>
      <c r="D642" s="29"/>
    </row>
    <row r="643">
      <c r="A643" s="29"/>
      <c r="B643" s="29"/>
      <c r="C643" s="65" t="str">
        <f>IFERROR(__xludf.DUMMYFUNCTION("""COMPUTED_VALUE"""),"")</f>
        <v/>
      </c>
      <c r="D643" s="29"/>
    </row>
    <row r="644">
      <c r="A644" s="29"/>
      <c r="B644" s="29"/>
      <c r="C644" s="65" t="str">
        <f>IFERROR(__xludf.DUMMYFUNCTION("""COMPUTED_VALUE"""),"")</f>
        <v/>
      </c>
      <c r="D644" s="29"/>
    </row>
    <row r="645">
      <c r="A645" s="29"/>
      <c r="B645" s="29"/>
      <c r="C645" s="65" t="str">
        <f>IFERROR(__xludf.DUMMYFUNCTION("""COMPUTED_VALUE"""),"")</f>
        <v/>
      </c>
      <c r="D645" s="29"/>
    </row>
    <row r="646">
      <c r="A646" s="29"/>
      <c r="B646" s="29"/>
      <c r="C646" s="65" t="str">
        <f>IFERROR(__xludf.DUMMYFUNCTION("""COMPUTED_VALUE"""),"")</f>
        <v/>
      </c>
      <c r="D646" s="29"/>
    </row>
    <row r="647">
      <c r="A647" s="29"/>
      <c r="B647" s="29"/>
      <c r="C647" s="65" t="str">
        <f>IFERROR(__xludf.DUMMYFUNCTION("""COMPUTED_VALUE"""),"")</f>
        <v/>
      </c>
      <c r="D647" s="29"/>
    </row>
    <row r="648">
      <c r="A648" s="29"/>
      <c r="B648" s="29"/>
      <c r="C648" s="65" t="str">
        <f>IFERROR(__xludf.DUMMYFUNCTION("""COMPUTED_VALUE"""),"")</f>
        <v/>
      </c>
      <c r="D648" s="29"/>
    </row>
    <row r="649">
      <c r="A649" s="29"/>
      <c r="B649" s="29"/>
      <c r="C649" s="65" t="str">
        <f>IFERROR(__xludf.DUMMYFUNCTION("""COMPUTED_VALUE"""),"")</f>
        <v/>
      </c>
      <c r="D649" s="29"/>
    </row>
    <row r="650">
      <c r="A650" s="29"/>
      <c r="B650" s="29"/>
      <c r="C650" s="65" t="str">
        <f>IFERROR(__xludf.DUMMYFUNCTION("""COMPUTED_VALUE"""),"")</f>
        <v/>
      </c>
      <c r="D650" s="29"/>
    </row>
    <row r="651">
      <c r="A651" s="29"/>
      <c r="B651" s="29"/>
      <c r="C651" s="65" t="str">
        <f>IFERROR(__xludf.DUMMYFUNCTION("""COMPUTED_VALUE"""),"")</f>
        <v/>
      </c>
      <c r="D651" s="29"/>
    </row>
    <row r="652">
      <c r="A652" s="29"/>
      <c r="B652" s="29"/>
      <c r="C652" s="65" t="str">
        <f>IFERROR(__xludf.DUMMYFUNCTION("""COMPUTED_VALUE"""),"")</f>
        <v/>
      </c>
      <c r="D652" s="29"/>
    </row>
    <row r="653">
      <c r="A653" s="29"/>
      <c r="B653" s="29"/>
      <c r="C653" s="65" t="str">
        <f>IFERROR(__xludf.DUMMYFUNCTION("""COMPUTED_VALUE"""),"")</f>
        <v/>
      </c>
      <c r="D653" s="29"/>
    </row>
    <row r="654">
      <c r="A654" s="29"/>
      <c r="B654" s="29"/>
      <c r="C654" s="65" t="str">
        <f>IFERROR(__xludf.DUMMYFUNCTION("""COMPUTED_VALUE"""),"")</f>
        <v/>
      </c>
      <c r="D654" s="29"/>
    </row>
    <row r="655">
      <c r="A655" s="29"/>
      <c r="B655" s="29"/>
      <c r="C655" s="65" t="str">
        <f>IFERROR(__xludf.DUMMYFUNCTION("""COMPUTED_VALUE"""),"")</f>
        <v/>
      </c>
      <c r="D655" s="29"/>
    </row>
    <row r="656">
      <c r="A656" s="29"/>
      <c r="B656" s="29"/>
      <c r="C656" s="65" t="str">
        <f>IFERROR(__xludf.DUMMYFUNCTION("""COMPUTED_VALUE"""),"")</f>
        <v/>
      </c>
      <c r="D656" s="29"/>
    </row>
    <row r="657">
      <c r="A657" s="29"/>
      <c r="B657" s="29"/>
      <c r="C657" s="65" t="str">
        <f>IFERROR(__xludf.DUMMYFUNCTION("""COMPUTED_VALUE"""),"")</f>
        <v/>
      </c>
      <c r="D657" s="29"/>
    </row>
    <row r="658">
      <c r="A658" s="29"/>
      <c r="B658" s="29"/>
      <c r="C658" s="65" t="str">
        <f>IFERROR(__xludf.DUMMYFUNCTION("""COMPUTED_VALUE"""),"")</f>
        <v/>
      </c>
      <c r="D658" s="29"/>
    </row>
    <row r="659">
      <c r="A659" s="29"/>
      <c r="B659" s="29"/>
      <c r="C659" s="65" t="str">
        <f>IFERROR(__xludf.DUMMYFUNCTION("""COMPUTED_VALUE"""),"")</f>
        <v/>
      </c>
      <c r="D659" s="29"/>
    </row>
    <row r="660">
      <c r="A660" s="29"/>
      <c r="B660" s="29"/>
      <c r="C660" s="65" t="str">
        <f>IFERROR(__xludf.DUMMYFUNCTION("""COMPUTED_VALUE"""),"")</f>
        <v/>
      </c>
      <c r="D660" s="29"/>
    </row>
    <row r="661">
      <c r="A661" s="29"/>
      <c r="B661" s="29"/>
      <c r="C661" s="65" t="str">
        <f>IFERROR(__xludf.DUMMYFUNCTION("""COMPUTED_VALUE"""),"")</f>
        <v/>
      </c>
      <c r="D661" s="29"/>
    </row>
    <row r="662">
      <c r="A662" s="29"/>
      <c r="B662" s="29"/>
      <c r="C662" s="65" t="str">
        <f>IFERROR(__xludf.DUMMYFUNCTION("""COMPUTED_VALUE"""),"")</f>
        <v/>
      </c>
      <c r="D662" s="29"/>
    </row>
    <row r="663">
      <c r="A663" s="29"/>
      <c r="B663" s="29"/>
      <c r="C663" s="65" t="str">
        <f>IFERROR(__xludf.DUMMYFUNCTION("""COMPUTED_VALUE"""),"")</f>
        <v/>
      </c>
      <c r="D663" s="29"/>
    </row>
    <row r="664">
      <c r="A664" s="29"/>
      <c r="B664" s="29"/>
      <c r="C664" s="65" t="str">
        <f>IFERROR(__xludf.DUMMYFUNCTION("""COMPUTED_VALUE"""),"")</f>
        <v/>
      </c>
      <c r="D664" s="29"/>
    </row>
    <row r="665">
      <c r="A665" s="29"/>
      <c r="B665" s="29"/>
      <c r="C665" s="65" t="str">
        <f>IFERROR(__xludf.DUMMYFUNCTION("""COMPUTED_VALUE"""),"")</f>
        <v/>
      </c>
      <c r="D665" s="29"/>
    </row>
    <row r="666">
      <c r="A666" s="29"/>
      <c r="B666" s="29"/>
      <c r="C666" s="65" t="str">
        <f>IFERROR(__xludf.DUMMYFUNCTION("""COMPUTED_VALUE"""),"")</f>
        <v/>
      </c>
      <c r="D666" s="29"/>
    </row>
    <row r="667">
      <c r="A667" s="29"/>
      <c r="B667" s="29"/>
      <c r="C667" s="65" t="str">
        <f>IFERROR(__xludf.DUMMYFUNCTION("""COMPUTED_VALUE"""),"")</f>
        <v/>
      </c>
      <c r="D667" s="29"/>
    </row>
    <row r="668">
      <c r="A668" s="29"/>
      <c r="B668" s="29"/>
      <c r="C668" s="65" t="str">
        <f>IFERROR(__xludf.DUMMYFUNCTION("""COMPUTED_VALUE"""),"")</f>
        <v/>
      </c>
      <c r="D668" s="29"/>
    </row>
    <row r="669">
      <c r="A669" s="29"/>
      <c r="B669" s="29"/>
      <c r="C669" s="65" t="str">
        <f>IFERROR(__xludf.DUMMYFUNCTION("""COMPUTED_VALUE"""),"")</f>
        <v/>
      </c>
      <c r="D669" s="29"/>
    </row>
    <row r="670">
      <c r="A670" s="29"/>
      <c r="B670" s="29"/>
      <c r="C670" s="65" t="str">
        <f>IFERROR(__xludf.DUMMYFUNCTION("""COMPUTED_VALUE"""),"")</f>
        <v/>
      </c>
      <c r="D670" s="29"/>
    </row>
    <row r="671">
      <c r="A671" s="29"/>
      <c r="B671" s="29"/>
      <c r="C671" s="65" t="str">
        <f>IFERROR(__xludf.DUMMYFUNCTION("""COMPUTED_VALUE"""),"")</f>
        <v/>
      </c>
      <c r="D671" s="29"/>
    </row>
    <row r="672">
      <c r="A672" s="29"/>
      <c r="B672" s="29"/>
      <c r="C672" s="65" t="str">
        <f>IFERROR(__xludf.DUMMYFUNCTION("""COMPUTED_VALUE"""),"")</f>
        <v/>
      </c>
      <c r="D672" s="29"/>
    </row>
    <row r="673">
      <c r="A673" s="29"/>
      <c r="B673" s="29"/>
      <c r="C673" s="65" t="str">
        <f>IFERROR(__xludf.DUMMYFUNCTION("""COMPUTED_VALUE"""),"")</f>
        <v/>
      </c>
      <c r="D673" s="29"/>
    </row>
    <row r="674">
      <c r="A674" s="29"/>
      <c r="B674" s="29"/>
      <c r="C674" s="65" t="str">
        <f>IFERROR(__xludf.DUMMYFUNCTION("""COMPUTED_VALUE"""),"")</f>
        <v/>
      </c>
      <c r="D674" s="29"/>
    </row>
    <row r="675">
      <c r="A675" s="29"/>
      <c r="B675" s="29"/>
      <c r="C675" s="65" t="str">
        <f>IFERROR(__xludf.DUMMYFUNCTION("""COMPUTED_VALUE"""),"")</f>
        <v/>
      </c>
      <c r="D675" s="29"/>
    </row>
    <row r="676">
      <c r="A676" s="29"/>
      <c r="B676" s="29"/>
      <c r="C676" s="65" t="str">
        <f>IFERROR(__xludf.DUMMYFUNCTION("""COMPUTED_VALUE"""),"")</f>
        <v/>
      </c>
      <c r="D676" s="29"/>
    </row>
    <row r="677">
      <c r="A677" s="29"/>
      <c r="B677" s="29"/>
      <c r="C677" s="65" t="str">
        <f>IFERROR(__xludf.DUMMYFUNCTION("""COMPUTED_VALUE"""),"")</f>
        <v/>
      </c>
      <c r="D677" s="29"/>
    </row>
    <row r="678">
      <c r="A678" s="29"/>
      <c r="B678" s="29"/>
      <c r="C678" s="65" t="str">
        <f>IFERROR(__xludf.DUMMYFUNCTION("""COMPUTED_VALUE"""),"")</f>
        <v/>
      </c>
      <c r="D678" s="29"/>
    </row>
    <row r="679">
      <c r="A679" s="29"/>
      <c r="B679" s="29"/>
      <c r="C679" s="65" t="str">
        <f>IFERROR(__xludf.DUMMYFUNCTION("""COMPUTED_VALUE"""),"")</f>
        <v/>
      </c>
      <c r="D679" s="29"/>
    </row>
    <row r="680">
      <c r="A680" s="29"/>
      <c r="B680" s="29"/>
      <c r="C680" s="65" t="str">
        <f>IFERROR(__xludf.DUMMYFUNCTION("""COMPUTED_VALUE"""),"")</f>
        <v/>
      </c>
      <c r="D680" s="29"/>
    </row>
    <row r="681">
      <c r="A681" s="29"/>
      <c r="B681" s="29"/>
      <c r="C681" s="65" t="str">
        <f>IFERROR(__xludf.DUMMYFUNCTION("""COMPUTED_VALUE"""),"")</f>
        <v/>
      </c>
      <c r="D681" s="29"/>
    </row>
    <row r="682">
      <c r="A682" s="29"/>
      <c r="B682" s="29"/>
      <c r="C682" s="65" t="str">
        <f>IFERROR(__xludf.DUMMYFUNCTION("""COMPUTED_VALUE"""),"")</f>
        <v/>
      </c>
      <c r="D682" s="29"/>
    </row>
    <row r="683">
      <c r="A683" s="29"/>
      <c r="B683" s="29"/>
      <c r="C683" s="65" t="str">
        <f>IFERROR(__xludf.DUMMYFUNCTION("""COMPUTED_VALUE"""),"")</f>
        <v/>
      </c>
      <c r="D683" s="29"/>
    </row>
    <row r="684">
      <c r="A684" s="29"/>
      <c r="B684" s="29"/>
      <c r="C684" s="65" t="str">
        <f>IFERROR(__xludf.DUMMYFUNCTION("""COMPUTED_VALUE"""),"")</f>
        <v/>
      </c>
      <c r="D684" s="29"/>
    </row>
    <row r="685">
      <c r="A685" s="29"/>
      <c r="B685" s="29"/>
      <c r="C685" s="65" t="str">
        <f>IFERROR(__xludf.DUMMYFUNCTION("""COMPUTED_VALUE"""),"")</f>
        <v/>
      </c>
      <c r="D685" s="29"/>
    </row>
    <row r="686">
      <c r="A686" s="29"/>
      <c r="B686" s="29"/>
      <c r="C686" s="65" t="str">
        <f>IFERROR(__xludf.DUMMYFUNCTION("""COMPUTED_VALUE"""),"")</f>
        <v/>
      </c>
      <c r="D686" s="29"/>
    </row>
    <row r="687">
      <c r="A687" s="29"/>
      <c r="B687" s="29"/>
      <c r="C687" s="65" t="str">
        <f>IFERROR(__xludf.DUMMYFUNCTION("""COMPUTED_VALUE"""),"")</f>
        <v/>
      </c>
      <c r="D687" s="29"/>
    </row>
    <row r="688">
      <c r="A688" s="29"/>
      <c r="B688" s="29"/>
      <c r="C688" s="65" t="str">
        <f>IFERROR(__xludf.DUMMYFUNCTION("""COMPUTED_VALUE"""),"")</f>
        <v/>
      </c>
      <c r="D688" s="29"/>
    </row>
    <row r="689">
      <c r="A689" s="29"/>
      <c r="B689" s="29"/>
      <c r="C689" s="65" t="str">
        <f>IFERROR(__xludf.DUMMYFUNCTION("""COMPUTED_VALUE"""),"")</f>
        <v/>
      </c>
      <c r="D689" s="29"/>
    </row>
    <row r="690">
      <c r="A690" s="29"/>
      <c r="B690" s="29"/>
      <c r="C690" s="65" t="str">
        <f>IFERROR(__xludf.DUMMYFUNCTION("""COMPUTED_VALUE"""),"")</f>
        <v/>
      </c>
      <c r="D690" s="29"/>
    </row>
    <row r="691">
      <c r="A691" s="29"/>
      <c r="B691" s="29"/>
      <c r="C691" s="65" t="str">
        <f>IFERROR(__xludf.DUMMYFUNCTION("""COMPUTED_VALUE"""),"")</f>
        <v/>
      </c>
      <c r="D691" s="29"/>
    </row>
    <row r="692">
      <c r="A692" s="29"/>
      <c r="B692" s="29"/>
      <c r="C692" s="65" t="str">
        <f>IFERROR(__xludf.DUMMYFUNCTION("""COMPUTED_VALUE"""),"")</f>
        <v/>
      </c>
      <c r="D692" s="29"/>
    </row>
    <row r="693">
      <c r="A693" s="29"/>
      <c r="B693" s="29"/>
      <c r="C693" s="65" t="str">
        <f>IFERROR(__xludf.DUMMYFUNCTION("""COMPUTED_VALUE"""),"")</f>
        <v/>
      </c>
      <c r="D693" s="29"/>
    </row>
    <row r="694">
      <c r="A694" s="29"/>
      <c r="B694" s="29"/>
      <c r="C694" s="65" t="str">
        <f>IFERROR(__xludf.DUMMYFUNCTION("""COMPUTED_VALUE"""),"")</f>
        <v/>
      </c>
      <c r="D694" s="29"/>
    </row>
    <row r="695">
      <c r="A695" s="29"/>
      <c r="B695" s="29"/>
      <c r="C695" s="65" t="str">
        <f>IFERROR(__xludf.DUMMYFUNCTION("""COMPUTED_VALUE"""),"")</f>
        <v/>
      </c>
      <c r="D695" s="29"/>
    </row>
    <row r="696">
      <c r="A696" s="29"/>
      <c r="B696" s="29"/>
      <c r="C696" s="65" t="str">
        <f>IFERROR(__xludf.DUMMYFUNCTION("""COMPUTED_VALUE"""),"")</f>
        <v/>
      </c>
      <c r="D696" s="29"/>
    </row>
    <row r="697">
      <c r="A697" s="29"/>
      <c r="B697" s="29"/>
      <c r="C697" s="65" t="str">
        <f>IFERROR(__xludf.DUMMYFUNCTION("""COMPUTED_VALUE"""),"")</f>
        <v/>
      </c>
      <c r="D697" s="29"/>
    </row>
    <row r="698">
      <c r="A698" s="29"/>
      <c r="B698" s="29"/>
      <c r="C698" s="65" t="str">
        <f>IFERROR(__xludf.DUMMYFUNCTION("""COMPUTED_VALUE"""),"")</f>
        <v/>
      </c>
      <c r="D698" s="29"/>
    </row>
    <row r="699">
      <c r="A699" s="29"/>
      <c r="B699" s="29"/>
      <c r="C699" s="65" t="str">
        <f>IFERROR(__xludf.DUMMYFUNCTION("""COMPUTED_VALUE"""),"")</f>
        <v/>
      </c>
      <c r="D699" s="29"/>
    </row>
    <row r="700">
      <c r="A700" s="29"/>
      <c r="B700" s="29"/>
      <c r="C700" s="65" t="str">
        <f>IFERROR(__xludf.DUMMYFUNCTION("""COMPUTED_VALUE"""),"")</f>
        <v/>
      </c>
      <c r="D700" s="29"/>
    </row>
    <row r="701">
      <c r="A701" s="29"/>
      <c r="B701" s="29"/>
      <c r="C701" s="65" t="str">
        <f>IFERROR(__xludf.DUMMYFUNCTION("""COMPUTED_VALUE"""),"")</f>
        <v/>
      </c>
      <c r="D701" s="29"/>
    </row>
    <row r="702">
      <c r="A702" s="29"/>
      <c r="B702" s="29"/>
      <c r="C702" s="65" t="str">
        <f>IFERROR(__xludf.DUMMYFUNCTION("""COMPUTED_VALUE"""),"")</f>
        <v/>
      </c>
      <c r="D702" s="29"/>
    </row>
    <row r="703">
      <c r="A703" s="29"/>
      <c r="B703" s="29"/>
      <c r="C703" s="65" t="str">
        <f>IFERROR(__xludf.DUMMYFUNCTION("""COMPUTED_VALUE"""),"")</f>
        <v/>
      </c>
      <c r="D703" s="29"/>
    </row>
    <row r="704">
      <c r="A704" s="29"/>
      <c r="B704" s="29"/>
      <c r="C704" s="65" t="str">
        <f>IFERROR(__xludf.DUMMYFUNCTION("""COMPUTED_VALUE"""),"")</f>
        <v/>
      </c>
      <c r="D704" s="29"/>
    </row>
    <row r="705">
      <c r="A705" s="29"/>
      <c r="B705" s="29"/>
      <c r="C705" s="65" t="str">
        <f>IFERROR(__xludf.DUMMYFUNCTION("""COMPUTED_VALUE"""),"")</f>
        <v/>
      </c>
      <c r="D705" s="29"/>
    </row>
    <row r="706">
      <c r="A706" s="29"/>
      <c r="B706" s="29"/>
      <c r="C706" s="65" t="str">
        <f>IFERROR(__xludf.DUMMYFUNCTION("""COMPUTED_VALUE"""),"")</f>
        <v/>
      </c>
      <c r="D706" s="29"/>
    </row>
    <row r="707">
      <c r="A707" s="29"/>
      <c r="B707" s="29"/>
      <c r="C707" s="65" t="str">
        <f>IFERROR(__xludf.DUMMYFUNCTION("""COMPUTED_VALUE"""),"")</f>
        <v/>
      </c>
      <c r="D707" s="29"/>
    </row>
    <row r="708">
      <c r="A708" s="29"/>
      <c r="B708" s="29"/>
      <c r="C708" s="65" t="str">
        <f>IFERROR(__xludf.DUMMYFUNCTION("""COMPUTED_VALUE"""),"")</f>
        <v/>
      </c>
      <c r="D708" s="29"/>
    </row>
    <row r="709">
      <c r="A709" s="29"/>
      <c r="B709" s="29"/>
      <c r="C709" s="65" t="str">
        <f>IFERROR(__xludf.DUMMYFUNCTION("""COMPUTED_VALUE"""),"")</f>
        <v/>
      </c>
      <c r="D709" s="29"/>
    </row>
    <row r="710">
      <c r="A710" s="29"/>
      <c r="B710" s="29"/>
      <c r="C710" s="65" t="str">
        <f>IFERROR(__xludf.DUMMYFUNCTION("""COMPUTED_VALUE"""),"")</f>
        <v/>
      </c>
      <c r="D710" s="29"/>
    </row>
    <row r="711">
      <c r="A711" s="29"/>
      <c r="B711" s="29"/>
      <c r="C711" s="65" t="str">
        <f>IFERROR(__xludf.DUMMYFUNCTION("""COMPUTED_VALUE"""),"")</f>
        <v/>
      </c>
      <c r="D711" s="29"/>
    </row>
    <row r="712">
      <c r="A712" s="29"/>
      <c r="B712" s="29"/>
      <c r="C712" s="65" t="str">
        <f>IFERROR(__xludf.DUMMYFUNCTION("""COMPUTED_VALUE"""),"")</f>
        <v/>
      </c>
      <c r="D712" s="29"/>
    </row>
    <row r="713">
      <c r="A713" s="29"/>
      <c r="B713" s="29"/>
      <c r="C713" s="65" t="str">
        <f>IFERROR(__xludf.DUMMYFUNCTION("""COMPUTED_VALUE"""),"")</f>
        <v/>
      </c>
      <c r="D713" s="29"/>
    </row>
    <row r="714">
      <c r="A714" s="29"/>
      <c r="B714" s="29"/>
      <c r="C714" s="65" t="str">
        <f>IFERROR(__xludf.DUMMYFUNCTION("""COMPUTED_VALUE"""),"")</f>
        <v/>
      </c>
      <c r="D714" s="29"/>
    </row>
    <row r="715">
      <c r="A715" s="29"/>
      <c r="B715" s="29"/>
      <c r="C715" s="65" t="str">
        <f>IFERROR(__xludf.DUMMYFUNCTION("""COMPUTED_VALUE"""),"")</f>
        <v/>
      </c>
      <c r="D715" s="29"/>
    </row>
    <row r="716">
      <c r="A716" s="29"/>
      <c r="B716" s="29"/>
      <c r="C716" s="65" t="str">
        <f>IFERROR(__xludf.DUMMYFUNCTION("""COMPUTED_VALUE"""),"")</f>
        <v/>
      </c>
      <c r="D716" s="29"/>
    </row>
    <row r="717">
      <c r="A717" s="29"/>
      <c r="B717" s="29"/>
      <c r="C717" s="65" t="str">
        <f>IFERROR(__xludf.DUMMYFUNCTION("""COMPUTED_VALUE"""),"")</f>
        <v/>
      </c>
      <c r="D717" s="29"/>
    </row>
    <row r="718">
      <c r="A718" s="29"/>
      <c r="B718" s="29"/>
      <c r="C718" s="65" t="str">
        <f>IFERROR(__xludf.DUMMYFUNCTION("""COMPUTED_VALUE"""),"")</f>
        <v/>
      </c>
      <c r="D718" s="29"/>
    </row>
    <row r="719">
      <c r="A719" s="29"/>
      <c r="B719" s="29"/>
      <c r="C719" s="65" t="str">
        <f>IFERROR(__xludf.DUMMYFUNCTION("""COMPUTED_VALUE"""),"")</f>
        <v/>
      </c>
      <c r="D719" s="29"/>
    </row>
    <row r="720">
      <c r="A720" s="29"/>
      <c r="B720" s="29"/>
      <c r="C720" s="65" t="str">
        <f>IFERROR(__xludf.DUMMYFUNCTION("""COMPUTED_VALUE"""),"")</f>
        <v/>
      </c>
      <c r="D720" s="29"/>
    </row>
    <row r="721">
      <c r="A721" s="29"/>
      <c r="B721" s="29"/>
      <c r="C721" s="65" t="str">
        <f>IFERROR(__xludf.DUMMYFUNCTION("""COMPUTED_VALUE"""),"")</f>
        <v/>
      </c>
      <c r="D721" s="29"/>
    </row>
    <row r="722">
      <c r="A722" s="29"/>
      <c r="B722" s="29"/>
      <c r="C722" s="65" t="str">
        <f>IFERROR(__xludf.DUMMYFUNCTION("""COMPUTED_VALUE"""),"")</f>
        <v/>
      </c>
      <c r="D722" s="29"/>
    </row>
    <row r="723">
      <c r="A723" s="29"/>
      <c r="B723" s="29"/>
      <c r="C723" s="65" t="str">
        <f>IFERROR(__xludf.DUMMYFUNCTION("""COMPUTED_VALUE"""),"")</f>
        <v/>
      </c>
      <c r="D723" s="29"/>
    </row>
    <row r="724">
      <c r="A724" s="29"/>
      <c r="B724" s="29"/>
      <c r="C724" s="65" t="str">
        <f>IFERROR(__xludf.DUMMYFUNCTION("""COMPUTED_VALUE"""),"")</f>
        <v/>
      </c>
      <c r="D724" s="29"/>
    </row>
    <row r="725">
      <c r="A725" s="29"/>
      <c r="B725" s="29"/>
      <c r="C725" s="65" t="str">
        <f>IFERROR(__xludf.DUMMYFUNCTION("""COMPUTED_VALUE"""),"")</f>
        <v/>
      </c>
      <c r="D725" s="29"/>
    </row>
    <row r="726">
      <c r="A726" s="29"/>
      <c r="B726" s="29"/>
      <c r="C726" s="65" t="str">
        <f>IFERROR(__xludf.DUMMYFUNCTION("""COMPUTED_VALUE"""),"")</f>
        <v/>
      </c>
      <c r="D726" s="29"/>
    </row>
    <row r="727">
      <c r="A727" s="29"/>
      <c r="B727" s="29"/>
      <c r="C727" s="65" t="str">
        <f>IFERROR(__xludf.DUMMYFUNCTION("""COMPUTED_VALUE"""),"")</f>
        <v/>
      </c>
      <c r="D727" s="29"/>
    </row>
    <row r="728">
      <c r="A728" s="29"/>
      <c r="B728" s="29"/>
      <c r="C728" s="65" t="str">
        <f>IFERROR(__xludf.DUMMYFUNCTION("""COMPUTED_VALUE"""),"")</f>
        <v/>
      </c>
      <c r="D728" s="29"/>
    </row>
    <row r="729">
      <c r="A729" s="29"/>
      <c r="B729" s="29"/>
      <c r="C729" s="65" t="str">
        <f>IFERROR(__xludf.DUMMYFUNCTION("""COMPUTED_VALUE"""),"")</f>
        <v/>
      </c>
      <c r="D729" s="29"/>
    </row>
    <row r="730">
      <c r="A730" s="29"/>
      <c r="B730" s="29"/>
      <c r="C730" s="65" t="str">
        <f>IFERROR(__xludf.DUMMYFUNCTION("""COMPUTED_VALUE"""),"")</f>
        <v/>
      </c>
      <c r="D730" s="29"/>
    </row>
    <row r="731">
      <c r="A731" s="29"/>
      <c r="B731" s="29"/>
      <c r="C731" s="65" t="str">
        <f>IFERROR(__xludf.DUMMYFUNCTION("""COMPUTED_VALUE"""),"")</f>
        <v/>
      </c>
      <c r="D731" s="29"/>
    </row>
    <row r="732">
      <c r="A732" s="29"/>
      <c r="B732" s="29"/>
      <c r="C732" s="65" t="str">
        <f>IFERROR(__xludf.DUMMYFUNCTION("""COMPUTED_VALUE"""),"")</f>
        <v/>
      </c>
      <c r="D732" s="29"/>
    </row>
    <row r="733">
      <c r="A733" s="29"/>
      <c r="B733" s="29"/>
      <c r="C733" s="65" t="str">
        <f>IFERROR(__xludf.DUMMYFUNCTION("""COMPUTED_VALUE"""),"")</f>
        <v/>
      </c>
      <c r="D733" s="29"/>
    </row>
    <row r="734">
      <c r="A734" s="29"/>
      <c r="B734" s="29"/>
      <c r="C734" s="65" t="str">
        <f>IFERROR(__xludf.DUMMYFUNCTION("""COMPUTED_VALUE"""),"")</f>
        <v/>
      </c>
      <c r="D734" s="29"/>
    </row>
    <row r="735">
      <c r="A735" s="29"/>
      <c r="B735" s="29"/>
      <c r="C735" s="65" t="str">
        <f>IFERROR(__xludf.DUMMYFUNCTION("""COMPUTED_VALUE"""),"")</f>
        <v/>
      </c>
      <c r="D735" s="29"/>
    </row>
    <row r="736">
      <c r="A736" s="29"/>
      <c r="B736" s="29"/>
      <c r="C736" s="65" t="str">
        <f>IFERROR(__xludf.DUMMYFUNCTION("""COMPUTED_VALUE"""),"")</f>
        <v/>
      </c>
      <c r="D736" s="29"/>
    </row>
    <row r="737">
      <c r="A737" s="29"/>
      <c r="B737" s="29"/>
      <c r="C737" s="65" t="str">
        <f>IFERROR(__xludf.DUMMYFUNCTION("""COMPUTED_VALUE"""),"")</f>
        <v/>
      </c>
      <c r="D737" s="29"/>
    </row>
    <row r="738">
      <c r="A738" s="29"/>
      <c r="B738" s="29"/>
      <c r="C738" s="65" t="str">
        <f>IFERROR(__xludf.DUMMYFUNCTION("""COMPUTED_VALUE"""),"")</f>
        <v/>
      </c>
      <c r="D738" s="29"/>
    </row>
    <row r="739">
      <c r="A739" s="29"/>
      <c r="B739" s="29"/>
      <c r="C739" s="65" t="str">
        <f>IFERROR(__xludf.DUMMYFUNCTION("""COMPUTED_VALUE"""),"")</f>
        <v/>
      </c>
      <c r="D739" s="29"/>
    </row>
    <row r="740">
      <c r="A740" s="29"/>
      <c r="B740" s="29"/>
      <c r="C740" s="65" t="str">
        <f>IFERROR(__xludf.DUMMYFUNCTION("""COMPUTED_VALUE"""),"")</f>
        <v/>
      </c>
      <c r="D740" s="29"/>
    </row>
    <row r="741">
      <c r="A741" s="29"/>
      <c r="B741" s="29"/>
      <c r="C741" s="65" t="str">
        <f>IFERROR(__xludf.DUMMYFUNCTION("""COMPUTED_VALUE"""),"")</f>
        <v/>
      </c>
      <c r="D741" s="29"/>
    </row>
    <row r="742">
      <c r="A742" s="29"/>
      <c r="B742" s="29"/>
      <c r="C742" s="65" t="str">
        <f>IFERROR(__xludf.DUMMYFUNCTION("""COMPUTED_VALUE"""),"")</f>
        <v/>
      </c>
      <c r="D742" s="29"/>
    </row>
    <row r="743">
      <c r="A743" s="29"/>
      <c r="B743" s="29"/>
      <c r="C743" s="65" t="str">
        <f>IFERROR(__xludf.DUMMYFUNCTION("""COMPUTED_VALUE"""),"")</f>
        <v/>
      </c>
      <c r="D743" s="29"/>
    </row>
    <row r="744">
      <c r="A744" s="29"/>
      <c r="B744" s="29"/>
      <c r="C744" s="65" t="str">
        <f>IFERROR(__xludf.DUMMYFUNCTION("""COMPUTED_VALUE"""),"")</f>
        <v/>
      </c>
      <c r="D744" s="29"/>
    </row>
    <row r="745">
      <c r="A745" s="29"/>
      <c r="B745" s="29"/>
      <c r="C745" s="65" t="str">
        <f>IFERROR(__xludf.DUMMYFUNCTION("""COMPUTED_VALUE"""),"")</f>
        <v/>
      </c>
      <c r="D745" s="29"/>
    </row>
    <row r="746">
      <c r="A746" s="29"/>
      <c r="B746" s="29"/>
      <c r="C746" s="65" t="str">
        <f>IFERROR(__xludf.DUMMYFUNCTION("""COMPUTED_VALUE"""),"")</f>
        <v/>
      </c>
      <c r="D746" s="29"/>
    </row>
    <row r="747">
      <c r="A747" s="29"/>
      <c r="B747" s="29"/>
      <c r="C747" s="65" t="str">
        <f>IFERROR(__xludf.DUMMYFUNCTION("""COMPUTED_VALUE"""),"")</f>
        <v/>
      </c>
      <c r="D747" s="29"/>
    </row>
    <row r="748">
      <c r="A748" s="29"/>
      <c r="B748" s="29"/>
      <c r="C748" s="65" t="str">
        <f>IFERROR(__xludf.DUMMYFUNCTION("""COMPUTED_VALUE"""),"")</f>
        <v/>
      </c>
      <c r="D748" s="29"/>
    </row>
    <row r="749">
      <c r="A749" s="29"/>
      <c r="B749" s="29"/>
      <c r="C749" s="65" t="str">
        <f>IFERROR(__xludf.DUMMYFUNCTION("""COMPUTED_VALUE"""),"")</f>
        <v/>
      </c>
      <c r="D749" s="29"/>
    </row>
    <row r="750">
      <c r="A750" s="29"/>
      <c r="B750" s="29"/>
      <c r="C750" s="65" t="str">
        <f>IFERROR(__xludf.DUMMYFUNCTION("""COMPUTED_VALUE"""),"")</f>
        <v/>
      </c>
      <c r="D750" s="29"/>
    </row>
    <row r="751">
      <c r="A751" s="29"/>
      <c r="B751" s="29"/>
      <c r="C751" s="65" t="str">
        <f>IFERROR(__xludf.DUMMYFUNCTION("""COMPUTED_VALUE"""),"")</f>
        <v/>
      </c>
      <c r="D751" s="29"/>
    </row>
    <row r="752">
      <c r="A752" s="29"/>
      <c r="B752" s="29"/>
      <c r="C752" s="65" t="str">
        <f>IFERROR(__xludf.DUMMYFUNCTION("""COMPUTED_VALUE"""),"")</f>
        <v/>
      </c>
      <c r="D752" s="29"/>
    </row>
    <row r="753">
      <c r="A753" s="29"/>
      <c r="B753" s="29"/>
      <c r="C753" s="65" t="str">
        <f>IFERROR(__xludf.DUMMYFUNCTION("""COMPUTED_VALUE"""),"")</f>
        <v/>
      </c>
      <c r="D753" s="29"/>
    </row>
    <row r="754">
      <c r="A754" s="29"/>
      <c r="B754" s="29"/>
      <c r="C754" s="65" t="str">
        <f>IFERROR(__xludf.DUMMYFUNCTION("""COMPUTED_VALUE"""),"")</f>
        <v/>
      </c>
      <c r="D754" s="29"/>
    </row>
    <row r="755">
      <c r="A755" s="29"/>
      <c r="B755" s="29"/>
      <c r="C755" s="65" t="str">
        <f>IFERROR(__xludf.DUMMYFUNCTION("""COMPUTED_VALUE"""),"")</f>
        <v/>
      </c>
      <c r="D755" s="29"/>
    </row>
    <row r="756">
      <c r="A756" s="29"/>
      <c r="B756" s="29"/>
      <c r="C756" s="65" t="str">
        <f>IFERROR(__xludf.DUMMYFUNCTION("""COMPUTED_VALUE"""),"")</f>
        <v/>
      </c>
      <c r="D756" s="29"/>
    </row>
    <row r="757">
      <c r="A757" s="29"/>
      <c r="B757" s="29"/>
      <c r="C757" s="65" t="str">
        <f>IFERROR(__xludf.DUMMYFUNCTION("""COMPUTED_VALUE"""),"")</f>
        <v/>
      </c>
      <c r="D757" s="29"/>
    </row>
    <row r="758">
      <c r="A758" s="29"/>
      <c r="B758" s="29"/>
      <c r="C758" s="65" t="str">
        <f>IFERROR(__xludf.DUMMYFUNCTION("""COMPUTED_VALUE"""),"")</f>
        <v/>
      </c>
      <c r="D758" s="29"/>
    </row>
    <row r="759">
      <c r="A759" s="29"/>
      <c r="B759" s="29"/>
      <c r="C759" s="65" t="str">
        <f>IFERROR(__xludf.DUMMYFUNCTION("""COMPUTED_VALUE"""),"")</f>
        <v/>
      </c>
      <c r="D759" s="29"/>
    </row>
    <row r="760">
      <c r="A760" s="29"/>
      <c r="B760" s="29"/>
      <c r="C760" s="65" t="str">
        <f>IFERROR(__xludf.DUMMYFUNCTION("""COMPUTED_VALUE"""),"")</f>
        <v/>
      </c>
      <c r="D760" s="29"/>
    </row>
    <row r="761">
      <c r="A761" s="29"/>
      <c r="B761" s="29"/>
      <c r="C761" s="65" t="str">
        <f>IFERROR(__xludf.DUMMYFUNCTION("""COMPUTED_VALUE"""),"")</f>
        <v/>
      </c>
      <c r="D761" s="29"/>
    </row>
    <row r="762">
      <c r="A762" s="29"/>
      <c r="B762" s="29"/>
      <c r="C762" s="65" t="str">
        <f>IFERROR(__xludf.DUMMYFUNCTION("""COMPUTED_VALUE"""),"")</f>
        <v/>
      </c>
      <c r="D762" s="29"/>
    </row>
    <row r="763">
      <c r="A763" s="29"/>
      <c r="B763" s="29"/>
      <c r="C763" s="65" t="str">
        <f>IFERROR(__xludf.DUMMYFUNCTION("""COMPUTED_VALUE"""),"")</f>
        <v/>
      </c>
      <c r="D763" s="29"/>
    </row>
    <row r="764">
      <c r="A764" s="29"/>
      <c r="B764" s="29"/>
      <c r="C764" s="65" t="str">
        <f>IFERROR(__xludf.DUMMYFUNCTION("""COMPUTED_VALUE"""),"")</f>
        <v/>
      </c>
      <c r="D764" s="29"/>
    </row>
    <row r="765">
      <c r="A765" s="29"/>
      <c r="B765" s="29"/>
      <c r="C765" s="65" t="str">
        <f>IFERROR(__xludf.DUMMYFUNCTION("""COMPUTED_VALUE"""),"")</f>
        <v/>
      </c>
      <c r="D765" s="29"/>
    </row>
    <row r="766">
      <c r="A766" s="29"/>
      <c r="B766" s="29"/>
      <c r="C766" s="65" t="str">
        <f>IFERROR(__xludf.DUMMYFUNCTION("""COMPUTED_VALUE"""),"")</f>
        <v/>
      </c>
      <c r="D766" s="29"/>
    </row>
    <row r="767">
      <c r="A767" s="29"/>
      <c r="B767" s="29"/>
      <c r="C767" s="65" t="str">
        <f>IFERROR(__xludf.DUMMYFUNCTION("""COMPUTED_VALUE"""),"")</f>
        <v/>
      </c>
      <c r="D767" s="29"/>
    </row>
    <row r="768">
      <c r="A768" s="29"/>
      <c r="B768" s="29"/>
      <c r="C768" s="65" t="str">
        <f>IFERROR(__xludf.DUMMYFUNCTION("""COMPUTED_VALUE"""),"")</f>
        <v/>
      </c>
      <c r="D768" s="29"/>
    </row>
    <row r="769">
      <c r="A769" s="29"/>
      <c r="B769" s="29"/>
      <c r="C769" s="65" t="str">
        <f>IFERROR(__xludf.DUMMYFUNCTION("""COMPUTED_VALUE"""),"")</f>
        <v/>
      </c>
      <c r="D769" s="29"/>
    </row>
    <row r="770">
      <c r="A770" s="29"/>
      <c r="B770" s="29"/>
      <c r="C770" s="65" t="str">
        <f>IFERROR(__xludf.DUMMYFUNCTION("""COMPUTED_VALUE"""),"")</f>
        <v/>
      </c>
      <c r="D770" s="29"/>
    </row>
    <row r="771">
      <c r="A771" s="29"/>
      <c r="B771" s="29"/>
      <c r="C771" s="65" t="str">
        <f>IFERROR(__xludf.DUMMYFUNCTION("""COMPUTED_VALUE"""),"")</f>
        <v/>
      </c>
      <c r="D771" s="29"/>
    </row>
    <row r="772">
      <c r="A772" s="29"/>
      <c r="B772" s="29"/>
      <c r="C772" s="65" t="str">
        <f>IFERROR(__xludf.DUMMYFUNCTION("""COMPUTED_VALUE"""),"")</f>
        <v/>
      </c>
      <c r="D772" s="29"/>
    </row>
    <row r="773">
      <c r="A773" s="29"/>
      <c r="B773" s="29"/>
      <c r="C773" s="65" t="str">
        <f>IFERROR(__xludf.DUMMYFUNCTION("""COMPUTED_VALUE"""),"")</f>
        <v/>
      </c>
      <c r="D773" s="29"/>
    </row>
    <row r="774">
      <c r="A774" s="29"/>
      <c r="B774" s="29"/>
      <c r="C774" s="65" t="str">
        <f>IFERROR(__xludf.DUMMYFUNCTION("""COMPUTED_VALUE"""),"")</f>
        <v/>
      </c>
      <c r="D774" s="29"/>
    </row>
    <row r="775">
      <c r="A775" s="29"/>
      <c r="B775" s="29"/>
      <c r="C775" s="65" t="str">
        <f>IFERROR(__xludf.DUMMYFUNCTION("""COMPUTED_VALUE"""),"")</f>
        <v/>
      </c>
      <c r="D775" s="29"/>
    </row>
    <row r="776">
      <c r="A776" s="29"/>
      <c r="B776" s="29"/>
      <c r="C776" s="65" t="str">
        <f>IFERROR(__xludf.DUMMYFUNCTION("""COMPUTED_VALUE"""),"")</f>
        <v/>
      </c>
      <c r="D776" s="29"/>
    </row>
    <row r="777">
      <c r="A777" s="29"/>
      <c r="B777" s="29"/>
      <c r="C777" s="65" t="str">
        <f>IFERROR(__xludf.DUMMYFUNCTION("""COMPUTED_VALUE"""),"")</f>
        <v/>
      </c>
      <c r="D777" s="29"/>
    </row>
    <row r="778">
      <c r="A778" s="29"/>
      <c r="B778" s="29"/>
      <c r="C778" s="65" t="str">
        <f>IFERROR(__xludf.DUMMYFUNCTION("""COMPUTED_VALUE"""),"")</f>
        <v/>
      </c>
      <c r="D778" s="29"/>
    </row>
    <row r="779">
      <c r="A779" s="29"/>
      <c r="B779" s="29"/>
      <c r="C779" s="65" t="str">
        <f>IFERROR(__xludf.DUMMYFUNCTION("""COMPUTED_VALUE"""),"")</f>
        <v/>
      </c>
      <c r="D779" s="29"/>
    </row>
    <row r="780">
      <c r="A780" s="29"/>
      <c r="B780" s="29"/>
      <c r="C780" s="65" t="str">
        <f>IFERROR(__xludf.DUMMYFUNCTION("""COMPUTED_VALUE"""),"")</f>
        <v/>
      </c>
      <c r="D780" s="29"/>
    </row>
    <row r="781">
      <c r="A781" s="29"/>
      <c r="B781" s="29"/>
      <c r="C781" s="65" t="str">
        <f>IFERROR(__xludf.DUMMYFUNCTION("""COMPUTED_VALUE"""),"")</f>
        <v/>
      </c>
      <c r="D781" s="29"/>
    </row>
    <row r="782">
      <c r="A782" s="29"/>
      <c r="B782" s="29"/>
      <c r="C782" s="65" t="str">
        <f>IFERROR(__xludf.DUMMYFUNCTION("""COMPUTED_VALUE"""),"")</f>
        <v/>
      </c>
      <c r="D782" s="29"/>
    </row>
    <row r="783">
      <c r="A783" s="29"/>
      <c r="B783" s="29"/>
      <c r="C783" s="65" t="str">
        <f>IFERROR(__xludf.DUMMYFUNCTION("""COMPUTED_VALUE"""),"")</f>
        <v/>
      </c>
      <c r="D783" s="29"/>
    </row>
    <row r="784">
      <c r="A784" s="29"/>
      <c r="B784" s="29"/>
      <c r="C784" s="65" t="str">
        <f>IFERROR(__xludf.DUMMYFUNCTION("""COMPUTED_VALUE"""),"")</f>
        <v/>
      </c>
      <c r="D784" s="29"/>
    </row>
    <row r="785">
      <c r="A785" s="29"/>
      <c r="B785" s="29"/>
      <c r="C785" s="65" t="str">
        <f>IFERROR(__xludf.DUMMYFUNCTION("""COMPUTED_VALUE"""),"")</f>
        <v/>
      </c>
      <c r="D785" s="29"/>
    </row>
    <row r="786">
      <c r="A786" s="29"/>
      <c r="B786" s="29"/>
      <c r="C786" s="65" t="str">
        <f>IFERROR(__xludf.DUMMYFUNCTION("""COMPUTED_VALUE"""),"")</f>
        <v/>
      </c>
      <c r="D786" s="29"/>
    </row>
    <row r="787">
      <c r="A787" s="29"/>
      <c r="B787" s="29"/>
      <c r="C787" s="65" t="str">
        <f>IFERROR(__xludf.DUMMYFUNCTION("""COMPUTED_VALUE"""),"")</f>
        <v/>
      </c>
      <c r="D787" s="29"/>
    </row>
    <row r="788">
      <c r="A788" s="29"/>
      <c r="B788" s="29"/>
      <c r="C788" s="65" t="str">
        <f>IFERROR(__xludf.DUMMYFUNCTION("""COMPUTED_VALUE"""),"")</f>
        <v/>
      </c>
      <c r="D788" s="29"/>
    </row>
    <row r="789">
      <c r="A789" s="29"/>
      <c r="B789" s="29"/>
      <c r="C789" s="65" t="str">
        <f>IFERROR(__xludf.DUMMYFUNCTION("""COMPUTED_VALUE"""),"")</f>
        <v/>
      </c>
      <c r="D789" s="29"/>
    </row>
    <row r="790">
      <c r="A790" s="29"/>
      <c r="B790" s="29"/>
      <c r="C790" s="65" t="str">
        <f>IFERROR(__xludf.DUMMYFUNCTION("""COMPUTED_VALUE"""),"")</f>
        <v/>
      </c>
      <c r="D790" s="29"/>
    </row>
    <row r="791">
      <c r="A791" s="29"/>
      <c r="B791" s="29"/>
      <c r="C791" s="65" t="str">
        <f>IFERROR(__xludf.DUMMYFUNCTION("""COMPUTED_VALUE"""),"")</f>
        <v/>
      </c>
      <c r="D791" s="29"/>
    </row>
    <row r="792">
      <c r="A792" s="29"/>
      <c r="B792" s="29"/>
      <c r="C792" s="65" t="str">
        <f>IFERROR(__xludf.DUMMYFUNCTION("""COMPUTED_VALUE"""),"")</f>
        <v/>
      </c>
      <c r="D792" s="29"/>
    </row>
    <row r="793">
      <c r="A793" s="29"/>
      <c r="B793" s="29"/>
      <c r="C793" s="65" t="str">
        <f>IFERROR(__xludf.DUMMYFUNCTION("""COMPUTED_VALUE"""),"")</f>
        <v/>
      </c>
      <c r="D793" s="29"/>
    </row>
    <row r="794">
      <c r="A794" s="29"/>
      <c r="B794" s="29"/>
      <c r="C794" s="65" t="str">
        <f>IFERROR(__xludf.DUMMYFUNCTION("""COMPUTED_VALUE"""),"")</f>
        <v/>
      </c>
      <c r="D794" s="29"/>
    </row>
    <row r="795">
      <c r="A795" s="29"/>
      <c r="B795" s="29"/>
      <c r="C795" s="65" t="str">
        <f>IFERROR(__xludf.DUMMYFUNCTION("""COMPUTED_VALUE"""),"")</f>
        <v/>
      </c>
      <c r="D795" s="29"/>
    </row>
    <row r="796">
      <c r="A796" s="29"/>
      <c r="B796" s="29"/>
      <c r="C796" s="65" t="str">
        <f>IFERROR(__xludf.DUMMYFUNCTION("""COMPUTED_VALUE"""),"")</f>
        <v/>
      </c>
      <c r="D796" s="29"/>
    </row>
    <row r="797">
      <c r="A797" s="29"/>
      <c r="B797" s="29"/>
      <c r="C797" s="65" t="str">
        <f>IFERROR(__xludf.DUMMYFUNCTION("""COMPUTED_VALUE"""),"")</f>
        <v/>
      </c>
      <c r="D797" s="29"/>
    </row>
    <row r="798">
      <c r="A798" s="29"/>
      <c r="B798" s="29"/>
      <c r="C798" s="65" t="str">
        <f>IFERROR(__xludf.DUMMYFUNCTION("""COMPUTED_VALUE"""),"")</f>
        <v/>
      </c>
      <c r="D798" s="29"/>
    </row>
    <row r="799">
      <c r="A799" s="29"/>
      <c r="B799" s="29"/>
      <c r="C799" s="65" t="str">
        <f>IFERROR(__xludf.DUMMYFUNCTION("""COMPUTED_VALUE"""),"")</f>
        <v/>
      </c>
      <c r="D799" s="29"/>
    </row>
    <row r="800">
      <c r="A800" s="29"/>
      <c r="B800" s="29"/>
      <c r="C800" s="65" t="str">
        <f>IFERROR(__xludf.DUMMYFUNCTION("""COMPUTED_VALUE"""),"")</f>
        <v/>
      </c>
      <c r="D800" s="29"/>
    </row>
    <row r="801">
      <c r="A801" s="29"/>
      <c r="B801" s="29"/>
      <c r="C801" s="65" t="str">
        <f>IFERROR(__xludf.DUMMYFUNCTION("""COMPUTED_VALUE"""),"")</f>
        <v/>
      </c>
      <c r="D801" s="29"/>
    </row>
    <row r="802">
      <c r="A802" s="29"/>
      <c r="B802" s="29"/>
      <c r="C802" s="65" t="str">
        <f>IFERROR(__xludf.DUMMYFUNCTION("""COMPUTED_VALUE"""),"")</f>
        <v/>
      </c>
      <c r="D802" s="29"/>
    </row>
    <row r="803">
      <c r="A803" s="29"/>
      <c r="B803" s="29"/>
      <c r="C803" s="65" t="str">
        <f>IFERROR(__xludf.DUMMYFUNCTION("""COMPUTED_VALUE"""),"")</f>
        <v/>
      </c>
      <c r="D803" s="29"/>
    </row>
    <row r="804">
      <c r="A804" s="29"/>
      <c r="B804" s="29"/>
      <c r="C804" s="65" t="str">
        <f>IFERROR(__xludf.DUMMYFUNCTION("""COMPUTED_VALUE"""),"")</f>
        <v/>
      </c>
      <c r="D804" s="29"/>
    </row>
    <row r="805">
      <c r="A805" s="29"/>
      <c r="B805" s="29"/>
      <c r="C805" s="65" t="str">
        <f>IFERROR(__xludf.DUMMYFUNCTION("""COMPUTED_VALUE"""),"")</f>
        <v/>
      </c>
      <c r="D805" s="29"/>
    </row>
    <row r="806">
      <c r="A806" s="29"/>
      <c r="B806" s="29"/>
      <c r="C806" s="65" t="str">
        <f>IFERROR(__xludf.DUMMYFUNCTION("""COMPUTED_VALUE"""),"")</f>
        <v/>
      </c>
      <c r="D806" s="29"/>
    </row>
    <row r="807">
      <c r="A807" s="29"/>
      <c r="B807" s="29"/>
      <c r="C807" s="65" t="str">
        <f>IFERROR(__xludf.DUMMYFUNCTION("""COMPUTED_VALUE"""),"")</f>
        <v/>
      </c>
      <c r="D807" s="29"/>
    </row>
    <row r="808">
      <c r="A808" s="29"/>
      <c r="B808" s="29"/>
      <c r="C808" s="65" t="str">
        <f>IFERROR(__xludf.DUMMYFUNCTION("""COMPUTED_VALUE"""),"")</f>
        <v/>
      </c>
      <c r="D808" s="29"/>
    </row>
    <row r="809">
      <c r="A809" s="29"/>
      <c r="B809" s="29"/>
      <c r="C809" s="65" t="str">
        <f>IFERROR(__xludf.DUMMYFUNCTION("""COMPUTED_VALUE"""),"")</f>
        <v/>
      </c>
      <c r="D809" s="29"/>
    </row>
    <row r="810">
      <c r="A810" s="29"/>
      <c r="B810" s="29"/>
      <c r="C810" s="65" t="str">
        <f>IFERROR(__xludf.DUMMYFUNCTION("""COMPUTED_VALUE"""),"")</f>
        <v/>
      </c>
      <c r="D810" s="29"/>
    </row>
    <row r="811">
      <c r="A811" s="29"/>
      <c r="B811" s="29"/>
      <c r="C811" s="65" t="str">
        <f>IFERROR(__xludf.DUMMYFUNCTION("""COMPUTED_VALUE"""),"")</f>
        <v/>
      </c>
      <c r="D811" s="29"/>
    </row>
    <row r="812">
      <c r="A812" s="29"/>
      <c r="B812" s="29"/>
      <c r="C812" s="65" t="str">
        <f>IFERROR(__xludf.DUMMYFUNCTION("""COMPUTED_VALUE"""),"")</f>
        <v/>
      </c>
      <c r="D812" s="29"/>
    </row>
    <row r="813">
      <c r="A813" s="29"/>
      <c r="B813" s="29"/>
      <c r="C813" s="65" t="str">
        <f>IFERROR(__xludf.DUMMYFUNCTION("""COMPUTED_VALUE"""),"")</f>
        <v/>
      </c>
      <c r="D813" s="29"/>
    </row>
    <row r="814">
      <c r="A814" s="29"/>
      <c r="B814" s="29"/>
      <c r="C814" s="65" t="str">
        <f>IFERROR(__xludf.DUMMYFUNCTION("""COMPUTED_VALUE"""),"")</f>
        <v/>
      </c>
      <c r="D814" s="29"/>
    </row>
    <row r="815">
      <c r="A815" s="29"/>
      <c r="B815" s="29"/>
      <c r="C815" s="65" t="str">
        <f>IFERROR(__xludf.DUMMYFUNCTION("""COMPUTED_VALUE"""),"")</f>
        <v/>
      </c>
      <c r="D815" s="29"/>
    </row>
    <row r="816">
      <c r="A816" s="29"/>
      <c r="B816" s="29"/>
      <c r="C816" s="65" t="str">
        <f>IFERROR(__xludf.DUMMYFUNCTION("""COMPUTED_VALUE"""),"")</f>
        <v/>
      </c>
      <c r="D816" s="29"/>
    </row>
    <row r="817">
      <c r="A817" s="29"/>
      <c r="B817" s="29"/>
      <c r="C817" s="65" t="str">
        <f>IFERROR(__xludf.DUMMYFUNCTION("""COMPUTED_VALUE"""),"")</f>
        <v/>
      </c>
      <c r="D817" s="29"/>
    </row>
    <row r="818">
      <c r="A818" s="29"/>
      <c r="B818" s="29"/>
      <c r="C818" s="65" t="str">
        <f>IFERROR(__xludf.DUMMYFUNCTION("""COMPUTED_VALUE"""),"")</f>
        <v/>
      </c>
      <c r="D818" s="29"/>
    </row>
    <row r="819">
      <c r="A819" s="29"/>
      <c r="B819" s="29"/>
      <c r="C819" s="65" t="str">
        <f>IFERROR(__xludf.DUMMYFUNCTION("""COMPUTED_VALUE"""),"")</f>
        <v/>
      </c>
      <c r="D819" s="29"/>
    </row>
    <row r="820">
      <c r="A820" s="29"/>
      <c r="B820" s="29"/>
      <c r="C820" s="65" t="str">
        <f>IFERROR(__xludf.DUMMYFUNCTION("""COMPUTED_VALUE"""),"")</f>
        <v/>
      </c>
      <c r="D820" s="29"/>
    </row>
    <row r="821">
      <c r="A821" s="29"/>
      <c r="B821" s="29"/>
      <c r="C821" s="65" t="str">
        <f>IFERROR(__xludf.DUMMYFUNCTION("""COMPUTED_VALUE"""),"")</f>
        <v/>
      </c>
      <c r="D821" s="29"/>
    </row>
    <row r="822">
      <c r="A822" s="29"/>
      <c r="B822" s="29"/>
      <c r="C822" s="65" t="str">
        <f>IFERROR(__xludf.DUMMYFUNCTION("""COMPUTED_VALUE"""),"")</f>
        <v/>
      </c>
      <c r="D822" s="29"/>
    </row>
    <row r="823">
      <c r="A823" s="29"/>
      <c r="B823" s="29"/>
      <c r="C823" s="65" t="str">
        <f>IFERROR(__xludf.DUMMYFUNCTION("""COMPUTED_VALUE"""),"")</f>
        <v/>
      </c>
      <c r="D823" s="29"/>
    </row>
    <row r="824">
      <c r="A824" s="29"/>
      <c r="B824" s="29"/>
      <c r="C824" s="65" t="str">
        <f>IFERROR(__xludf.DUMMYFUNCTION("""COMPUTED_VALUE"""),"")</f>
        <v/>
      </c>
      <c r="D824" s="29"/>
    </row>
    <row r="825">
      <c r="A825" s="29"/>
      <c r="B825" s="29"/>
      <c r="C825" s="65" t="str">
        <f>IFERROR(__xludf.DUMMYFUNCTION("""COMPUTED_VALUE"""),"")</f>
        <v/>
      </c>
      <c r="D825" s="29"/>
    </row>
    <row r="826">
      <c r="A826" s="29"/>
      <c r="B826" s="29"/>
      <c r="C826" s="65" t="str">
        <f>IFERROR(__xludf.DUMMYFUNCTION("""COMPUTED_VALUE"""),"")</f>
        <v/>
      </c>
      <c r="D826" s="29"/>
    </row>
    <row r="827">
      <c r="A827" s="29"/>
      <c r="B827" s="29"/>
      <c r="C827" s="65" t="str">
        <f>IFERROR(__xludf.DUMMYFUNCTION("""COMPUTED_VALUE"""),"")</f>
        <v/>
      </c>
      <c r="D827" s="29"/>
    </row>
    <row r="828">
      <c r="A828" s="29"/>
      <c r="B828" s="29"/>
      <c r="C828" s="65" t="str">
        <f>IFERROR(__xludf.DUMMYFUNCTION("""COMPUTED_VALUE"""),"")</f>
        <v/>
      </c>
      <c r="D828" s="29"/>
    </row>
    <row r="829">
      <c r="A829" s="29"/>
      <c r="B829" s="29"/>
      <c r="C829" s="65" t="str">
        <f>IFERROR(__xludf.DUMMYFUNCTION("""COMPUTED_VALUE"""),"")</f>
        <v/>
      </c>
      <c r="D829" s="29"/>
    </row>
    <row r="830">
      <c r="A830" s="29"/>
      <c r="B830" s="29"/>
      <c r="C830" s="65" t="str">
        <f>IFERROR(__xludf.DUMMYFUNCTION("""COMPUTED_VALUE"""),"")</f>
        <v/>
      </c>
      <c r="D830" s="29"/>
    </row>
    <row r="831">
      <c r="A831" s="29"/>
      <c r="B831" s="29"/>
      <c r="C831" s="65" t="str">
        <f>IFERROR(__xludf.DUMMYFUNCTION("""COMPUTED_VALUE"""),"")</f>
        <v/>
      </c>
      <c r="D831" s="29"/>
    </row>
    <row r="832">
      <c r="A832" s="29"/>
      <c r="B832" s="29"/>
      <c r="C832" s="65" t="str">
        <f>IFERROR(__xludf.DUMMYFUNCTION("""COMPUTED_VALUE"""),"")</f>
        <v/>
      </c>
      <c r="D832" s="29"/>
    </row>
    <row r="833">
      <c r="A833" s="29"/>
      <c r="B833" s="29"/>
      <c r="C833" s="65" t="str">
        <f>IFERROR(__xludf.DUMMYFUNCTION("""COMPUTED_VALUE"""),"")</f>
        <v/>
      </c>
      <c r="D833" s="29"/>
    </row>
    <row r="834">
      <c r="A834" s="29"/>
      <c r="B834" s="29"/>
      <c r="C834" s="65" t="str">
        <f>IFERROR(__xludf.DUMMYFUNCTION("""COMPUTED_VALUE"""),"")</f>
        <v/>
      </c>
      <c r="D834" s="29"/>
    </row>
    <row r="835">
      <c r="A835" s="29"/>
      <c r="B835" s="29"/>
      <c r="C835" s="65" t="str">
        <f>IFERROR(__xludf.DUMMYFUNCTION("""COMPUTED_VALUE"""),"")</f>
        <v/>
      </c>
      <c r="D835" s="29"/>
    </row>
    <row r="836">
      <c r="A836" s="29"/>
      <c r="B836" s="29"/>
      <c r="C836" s="65" t="str">
        <f>IFERROR(__xludf.DUMMYFUNCTION("""COMPUTED_VALUE"""),"")</f>
        <v/>
      </c>
      <c r="D836" s="29"/>
    </row>
    <row r="837">
      <c r="A837" s="29"/>
      <c r="B837" s="29"/>
      <c r="C837" s="65" t="str">
        <f>IFERROR(__xludf.DUMMYFUNCTION("""COMPUTED_VALUE"""),"")</f>
        <v/>
      </c>
      <c r="D837" s="29"/>
    </row>
    <row r="838">
      <c r="A838" s="29"/>
      <c r="B838" s="29"/>
      <c r="C838" s="65" t="str">
        <f>IFERROR(__xludf.DUMMYFUNCTION("""COMPUTED_VALUE"""),"")</f>
        <v/>
      </c>
      <c r="D838" s="29"/>
    </row>
    <row r="839">
      <c r="A839" s="29"/>
      <c r="B839" s="29"/>
      <c r="C839" s="65" t="str">
        <f>IFERROR(__xludf.DUMMYFUNCTION("""COMPUTED_VALUE"""),"")</f>
        <v/>
      </c>
      <c r="D839" s="29"/>
    </row>
    <row r="840">
      <c r="A840" s="29"/>
      <c r="B840" s="29"/>
      <c r="C840" s="65" t="str">
        <f>IFERROR(__xludf.DUMMYFUNCTION("""COMPUTED_VALUE"""),"")</f>
        <v/>
      </c>
      <c r="D840" s="29"/>
    </row>
    <row r="841">
      <c r="A841" s="29"/>
      <c r="B841" s="29"/>
      <c r="C841" s="65" t="str">
        <f>IFERROR(__xludf.DUMMYFUNCTION("""COMPUTED_VALUE"""),"")</f>
        <v/>
      </c>
      <c r="D841" s="29"/>
    </row>
    <row r="842">
      <c r="A842" s="29"/>
      <c r="B842" s="29"/>
      <c r="C842" s="65" t="str">
        <f>IFERROR(__xludf.DUMMYFUNCTION("""COMPUTED_VALUE"""),"")</f>
        <v/>
      </c>
      <c r="D842" s="29"/>
    </row>
    <row r="843">
      <c r="A843" s="29"/>
      <c r="B843" s="29"/>
      <c r="C843" s="65" t="str">
        <f>IFERROR(__xludf.DUMMYFUNCTION("""COMPUTED_VALUE"""),"")</f>
        <v/>
      </c>
      <c r="D843" s="29"/>
    </row>
    <row r="844">
      <c r="A844" s="29"/>
      <c r="B844" s="29"/>
      <c r="C844" s="65" t="str">
        <f>IFERROR(__xludf.DUMMYFUNCTION("""COMPUTED_VALUE"""),"")</f>
        <v/>
      </c>
      <c r="D844" s="29"/>
    </row>
    <row r="845">
      <c r="A845" s="29"/>
      <c r="B845" s="29"/>
      <c r="C845" s="65" t="str">
        <f>IFERROR(__xludf.DUMMYFUNCTION("""COMPUTED_VALUE"""),"")</f>
        <v/>
      </c>
      <c r="D845" s="29"/>
    </row>
    <row r="846">
      <c r="A846" s="29"/>
      <c r="B846" s="29"/>
      <c r="C846" s="65" t="str">
        <f>IFERROR(__xludf.DUMMYFUNCTION("""COMPUTED_VALUE"""),"")</f>
        <v/>
      </c>
      <c r="D846" s="29"/>
    </row>
    <row r="847">
      <c r="A847" s="29"/>
      <c r="B847" s="29"/>
      <c r="C847" s="65" t="str">
        <f>IFERROR(__xludf.DUMMYFUNCTION("""COMPUTED_VALUE"""),"")</f>
        <v/>
      </c>
      <c r="D847" s="29"/>
    </row>
    <row r="848">
      <c r="A848" s="29"/>
      <c r="B848" s="29"/>
      <c r="C848" s="65" t="str">
        <f>IFERROR(__xludf.DUMMYFUNCTION("""COMPUTED_VALUE"""),"")</f>
        <v/>
      </c>
      <c r="D848" s="29"/>
    </row>
    <row r="849">
      <c r="A849" s="29"/>
      <c r="B849" s="29"/>
      <c r="C849" s="65" t="str">
        <f>IFERROR(__xludf.DUMMYFUNCTION("""COMPUTED_VALUE"""),"")</f>
        <v/>
      </c>
      <c r="D849" s="29"/>
    </row>
    <row r="850">
      <c r="A850" s="29"/>
      <c r="B850" s="29"/>
      <c r="C850" s="65" t="str">
        <f>IFERROR(__xludf.DUMMYFUNCTION("""COMPUTED_VALUE"""),"")</f>
        <v/>
      </c>
      <c r="D850" s="29"/>
    </row>
    <row r="851">
      <c r="A851" s="29"/>
      <c r="B851" s="29"/>
      <c r="C851" s="65" t="str">
        <f>IFERROR(__xludf.DUMMYFUNCTION("""COMPUTED_VALUE"""),"")</f>
        <v/>
      </c>
      <c r="D851" s="29"/>
    </row>
    <row r="852">
      <c r="A852" s="29"/>
      <c r="B852" s="29"/>
      <c r="C852" s="65" t="str">
        <f>IFERROR(__xludf.DUMMYFUNCTION("""COMPUTED_VALUE"""),"")</f>
        <v/>
      </c>
      <c r="D852" s="29"/>
    </row>
    <row r="853">
      <c r="A853" s="29"/>
      <c r="B853" s="29"/>
      <c r="C853" s="65" t="str">
        <f>IFERROR(__xludf.DUMMYFUNCTION("""COMPUTED_VALUE"""),"")</f>
        <v/>
      </c>
      <c r="D853" s="29"/>
    </row>
    <row r="854">
      <c r="A854" s="29"/>
      <c r="B854" s="29"/>
      <c r="C854" s="65" t="str">
        <f>IFERROR(__xludf.DUMMYFUNCTION("""COMPUTED_VALUE"""),"")</f>
        <v/>
      </c>
      <c r="D854" s="29"/>
    </row>
    <row r="855">
      <c r="A855" s="29"/>
      <c r="B855" s="29"/>
      <c r="C855" s="65" t="str">
        <f>IFERROR(__xludf.DUMMYFUNCTION("""COMPUTED_VALUE"""),"")</f>
        <v/>
      </c>
      <c r="D855" s="29"/>
    </row>
    <row r="856">
      <c r="A856" s="29"/>
      <c r="B856" s="29"/>
      <c r="C856" s="65" t="str">
        <f>IFERROR(__xludf.DUMMYFUNCTION("""COMPUTED_VALUE"""),"")</f>
        <v/>
      </c>
      <c r="D856" s="29"/>
    </row>
    <row r="857">
      <c r="A857" s="29"/>
      <c r="B857" s="29"/>
      <c r="C857" s="65" t="str">
        <f>IFERROR(__xludf.DUMMYFUNCTION("""COMPUTED_VALUE"""),"")</f>
        <v/>
      </c>
      <c r="D857" s="29"/>
    </row>
    <row r="858">
      <c r="A858" s="29"/>
      <c r="B858" s="29"/>
      <c r="C858" s="65" t="str">
        <f>IFERROR(__xludf.DUMMYFUNCTION("""COMPUTED_VALUE"""),"")</f>
        <v/>
      </c>
      <c r="D858" s="29"/>
    </row>
    <row r="859">
      <c r="A859" s="29"/>
      <c r="B859" s="29"/>
      <c r="C859" s="65" t="str">
        <f>IFERROR(__xludf.DUMMYFUNCTION("""COMPUTED_VALUE"""),"")</f>
        <v/>
      </c>
      <c r="D859" s="29"/>
    </row>
    <row r="860">
      <c r="A860" s="29"/>
      <c r="B860" s="29"/>
      <c r="C860" s="65" t="str">
        <f>IFERROR(__xludf.DUMMYFUNCTION("""COMPUTED_VALUE"""),"")</f>
        <v/>
      </c>
      <c r="D860" s="29"/>
    </row>
    <row r="861">
      <c r="A861" s="29"/>
      <c r="B861" s="29"/>
      <c r="C861" s="65" t="str">
        <f>IFERROR(__xludf.DUMMYFUNCTION("""COMPUTED_VALUE"""),"")</f>
        <v/>
      </c>
      <c r="D861" s="29"/>
    </row>
    <row r="862">
      <c r="A862" s="29"/>
      <c r="B862" s="29"/>
      <c r="C862" s="65" t="str">
        <f>IFERROR(__xludf.DUMMYFUNCTION("""COMPUTED_VALUE"""),"")</f>
        <v/>
      </c>
      <c r="D862" s="29"/>
    </row>
    <row r="863">
      <c r="A863" s="29"/>
      <c r="B863" s="29"/>
      <c r="C863" s="65" t="str">
        <f>IFERROR(__xludf.DUMMYFUNCTION("""COMPUTED_VALUE"""),"")</f>
        <v/>
      </c>
      <c r="D863" s="29"/>
    </row>
    <row r="864">
      <c r="A864" s="29"/>
      <c r="B864" s="29"/>
      <c r="C864" s="65" t="str">
        <f>IFERROR(__xludf.DUMMYFUNCTION("""COMPUTED_VALUE"""),"")</f>
        <v/>
      </c>
      <c r="D864" s="29"/>
    </row>
    <row r="865">
      <c r="A865" s="29"/>
      <c r="B865" s="29"/>
      <c r="C865" s="65" t="str">
        <f>IFERROR(__xludf.DUMMYFUNCTION("""COMPUTED_VALUE"""),"")</f>
        <v/>
      </c>
      <c r="D865" s="29"/>
    </row>
    <row r="866">
      <c r="A866" s="29"/>
      <c r="B866" s="29"/>
      <c r="C866" s="65" t="str">
        <f>IFERROR(__xludf.DUMMYFUNCTION("""COMPUTED_VALUE"""),"")</f>
        <v/>
      </c>
      <c r="D866" s="29"/>
    </row>
    <row r="867">
      <c r="A867" s="29"/>
      <c r="B867" s="29"/>
      <c r="C867" s="65" t="str">
        <f>IFERROR(__xludf.DUMMYFUNCTION("""COMPUTED_VALUE"""),"")</f>
        <v/>
      </c>
      <c r="D867" s="29"/>
    </row>
    <row r="868">
      <c r="A868" s="29"/>
      <c r="B868" s="29"/>
      <c r="C868" s="65" t="str">
        <f>IFERROR(__xludf.DUMMYFUNCTION("""COMPUTED_VALUE"""),"")</f>
        <v/>
      </c>
      <c r="D868" s="29"/>
    </row>
    <row r="869">
      <c r="A869" s="29"/>
      <c r="B869" s="29"/>
      <c r="C869" s="65" t="str">
        <f>IFERROR(__xludf.DUMMYFUNCTION("""COMPUTED_VALUE"""),"")</f>
        <v/>
      </c>
      <c r="D869" s="29"/>
    </row>
    <row r="870">
      <c r="A870" s="29"/>
      <c r="B870" s="29"/>
      <c r="C870" s="65" t="str">
        <f>IFERROR(__xludf.DUMMYFUNCTION("""COMPUTED_VALUE"""),"")</f>
        <v/>
      </c>
      <c r="D870" s="29"/>
    </row>
    <row r="871">
      <c r="A871" s="29"/>
      <c r="B871" s="29"/>
      <c r="C871" s="65" t="str">
        <f>IFERROR(__xludf.DUMMYFUNCTION("""COMPUTED_VALUE"""),"")</f>
        <v/>
      </c>
      <c r="D871" s="29"/>
    </row>
    <row r="872">
      <c r="A872" s="29"/>
      <c r="B872" s="29"/>
      <c r="C872" s="65" t="str">
        <f>IFERROR(__xludf.DUMMYFUNCTION("""COMPUTED_VALUE"""),"")</f>
        <v/>
      </c>
      <c r="D872" s="29"/>
    </row>
    <row r="873">
      <c r="A873" s="29"/>
      <c r="B873" s="29"/>
      <c r="C873" s="65" t="str">
        <f>IFERROR(__xludf.DUMMYFUNCTION("""COMPUTED_VALUE"""),"")</f>
        <v/>
      </c>
      <c r="D873" s="29"/>
    </row>
    <row r="874">
      <c r="A874" s="29"/>
      <c r="B874" s="29"/>
      <c r="C874" s="65" t="str">
        <f>IFERROR(__xludf.DUMMYFUNCTION("""COMPUTED_VALUE"""),"")</f>
        <v/>
      </c>
      <c r="D874" s="29"/>
    </row>
    <row r="875">
      <c r="A875" s="29"/>
      <c r="B875" s="29"/>
      <c r="C875" s="65" t="str">
        <f>IFERROR(__xludf.DUMMYFUNCTION("""COMPUTED_VALUE"""),"")</f>
        <v/>
      </c>
      <c r="D875" s="29"/>
    </row>
    <row r="876">
      <c r="A876" s="29"/>
      <c r="B876" s="29"/>
      <c r="C876" s="65" t="str">
        <f>IFERROR(__xludf.DUMMYFUNCTION("""COMPUTED_VALUE"""),"")</f>
        <v/>
      </c>
      <c r="D876" s="29"/>
    </row>
    <row r="877">
      <c r="A877" s="29"/>
      <c r="B877" s="29"/>
      <c r="C877" s="65" t="str">
        <f>IFERROR(__xludf.DUMMYFUNCTION("""COMPUTED_VALUE"""),"")</f>
        <v/>
      </c>
      <c r="D877" s="29"/>
    </row>
    <row r="878">
      <c r="A878" s="29"/>
      <c r="B878" s="29"/>
      <c r="C878" s="65" t="str">
        <f>IFERROR(__xludf.DUMMYFUNCTION("""COMPUTED_VALUE"""),"")</f>
        <v/>
      </c>
      <c r="D878" s="29"/>
    </row>
    <row r="879">
      <c r="A879" s="29"/>
      <c r="B879" s="29"/>
      <c r="C879" s="65" t="str">
        <f>IFERROR(__xludf.DUMMYFUNCTION("""COMPUTED_VALUE"""),"")</f>
        <v/>
      </c>
      <c r="D879" s="29"/>
    </row>
    <row r="880">
      <c r="A880" s="29"/>
      <c r="B880" s="29"/>
      <c r="C880" s="65" t="str">
        <f>IFERROR(__xludf.DUMMYFUNCTION("""COMPUTED_VALUE"""),"")</f>
        <v/>
      </c>
      <c r="D880" s="29"/>
    </row>
    <row r="881">
      <c r="A881" s="29"/>
      <c r="B881" s="29"/>
      <c r="C881" s="65" t="str">
        <f>IFERROR(__xludf.DUMMYFUNCTION("""COMPUTED_VALUE"""),"")</f>
        <v/>
      </c>
      <c r="D881" s="29"/>
    </row>
    <row r="882">
      <c r="A882" s="29"/>
      <c r="B882" s="29"/>
      <c r="C882" s="65" t="str">
        <f>IFERROR(__xludf.DUMMYFUNCTION("""COMPUTED_VALUE"""),"")</f>
        <v/>
      </c>
      <c r="D882" s="29"/>
    </row>
    <row r="883">
      <c r="A883" s="29"/>
      <c r="B883" s="29"/>
      <c r="C883" s="65" t="str">
        <f>IFERROR(__xludf.DUMMYFUNCTION("""COMPUTED_VALUE"""),"")</f>
        <v/>
      </c>
      <c r="D883" s="29"/>
    </row>
    <row r="884">
      <c r="A884" s="29"/>
      <c r="B884" s="29"/>
      <c r="C884" s="65" t="str">
        <f>IFERROR(__xludf.DUMMYFUNCTION("""COMPUTED_VALUE"""),"")</f>
        <v/>
      </c>
      <c r="D884" s="29"/>
    </row>
    <row r="885">
      <c r="A885" s="29"/>
      <c r="B885" s="29"/>
      <c r="C885" s="65" t="str">
        <f>IFERROR(__xludf.DUMMYFUNCTION("""COMPUTED_VALUE"""),"")</f>
        <v/>
      </c>
      <c r="D885" s="29"/>
    </row>
    <row r="886">
      <c r="A886" s="29"/>
      <c r="B886" s="29"/>
      <c r="C886" s="65" t="str">
        <f>IFERROR(__xludf.DUMMYFUNCTION("""COMPUTED_VALUE"""),"")</f>
        <v/>
      </c>
      <c r="D886" s="29"/>
    </row>
    <row r="887">
      <c r="A887" s="29"/>
      <c r="B887" s="29"/>
      <c r="C887" s="65" t="str">
        <f>IFERROR(__xludf.DUMMYFUNCTION("""COMPUTED_VALUE"""),"")</f>
        <v/>
      </c>
      <c r="D887" s="29"/>
    </row>
    <row r="888">
      <c r="A888" s="29"/>
      <c r="B888" s="29"/>
      <c r="C888" s="65" t="str">
        <f>IFERROR(__xludf.DUMMYFUNCTION("""COMPUTED_VALUE"""),"")</f>
        <v/>
      </c>
      <c r="D888" s="29"/>
    </row>
    <row r="889">
      <c r="A889" s="29"/>
      <c r="B889" s="29"/>
      <c r="C889" s="65" t="str">
        <f>IFERROR(__xludf.DUMMYFUNCTION("""COMPUTED_VALUE"""),"")</f>
        <v/>
      </c>
      <c r="D889" s="29"/>
    </row>
    <row r="890">
      <c r="A890" s="29"/>
      <c r="B890" s="29"/>
      <c r="C890" s="65" t="str">
        <f>IFERROR(__xludf.DUMMYFUNCTION("""COMPUTED_VALUE"""),"")</f>
        <v/>
      </c>
      <c r="D890" s="29"/>
    </row>
    <row r="891">
      <c r="A891" s="29"/>
      <c r="B891" s="29"/>
      <c r="C891" s="65" t="str">
        <f>IFERROR(__xludf.DUMMYFUNCTION("""COMPUTED_VALUE"""),"")</f>
        <v/>
      </c>
      <c r="D891" s="29"/>
    </row>
    <row r="892">
      <c r="A892" s="29"/>
      <c r="B892" s="29"/>
      <c r="C892" s="65" t="str">
        <f>IFERROR(__xludf.DUMMYFUNCTION("""COMPUTED_VALUE"""),"")</f>
        <v/>
      </c>
      <c r="D892" s="29"/>
    </row>
    <row r="893">
      <c r="A893" s="29"/>
      <c r="B893" s="29"/>
      <c r="C893" s="65" t="str">
        <f>IFERROR(__xludf.DUMMYFUNCTION("""COMPUTED_VALUE"""),"")</f>
        <v/>
      </c>
      <c r="D893" s="29"/>
    </row>
    <row r="894">
      <c r="A894" s="29"/>
      <c r="B894" s="29"/>
      <c r="C894" s="65" t="str">
        <f>IFERROR(__xludf.DUMMYFUNCTION("""COMPUTED_VALUE"""),"")</f>
        <v/>
      </c>
      <c r="D894" s="29"/>
    </row>
    <row r="895">
      <c r="A895" s="29"/>
      <c r="B895" s="29"/>
      <c r="C895" s="65" t="str">
        <f>IFERROR(__xludf.DUMMYFUNCTION("""COMPUTED_VALUE"""),"")</f>
        <v/>
      </c>
      <c r="D895" s="29"/>
    </row>
    <row r="896">
      <c r="A896" s="29"/>
      <c r="B896" s="29"/>
      <c r="C896" s="65" t="str">
        <f>IFERROR(__xludf.DUMMYFUNCTION("""COMPUTED_VALUE"""),"")</f>
        <v/>
      </c>
      <c r="D896" s="29"/>
    </row>
    <row r="897">
      <c r="A897" s="29"/>
      <c r="B897" s="29"/>
      <c r="C897" s="65" t="str">
        <f>IFERROR(__xludf.DUMMYFUNCTION("""COMPUTED_VALUE"""),"")</f>
        <v/>
      </c>
      <c r="D897" s="29"/>
    </row>
    <row r="898">
      <c r="A898" s="29"/>
      <c r="B898" s="29"/>
      <c r="C898" s="65" t="str">
        <f>IFERROR(__xludf.DUMMYFUNCTION("""COMPUTED_VALUE"""),"")</f>
        <v/>
      </c>
      <c r="D898" s="29"/>
    </row>
    <row r="899">
      <c r="A899" s="29"/>
      <c r="B899" s="29"/>
      <c r="C899" s="65" t="str">
        <f>IFERROR(__xludf.DUMMYFUNCTION("""COMPUTED_VALUE"""),"")</f>
        <v/>
      </c>
      <c r="D899" s="29"/>
    </row>
    <row r="900">
      <c r="A900" s="29"/>
      <c r="B900" s="29"/>
      <c r="C900" s="65" t="str">
        <f>IFERROR(__xludf.DUMMYFUNCTION("""COMPUTED_VALUE"""),"")</f>
        <v/>
      </c>
      <c r="D900" s="29"/>
    </row>
    <row r="901">
      <c r="A901" s="29"/>
      <c r="B901" s="29"/>
      <c r="C901" s="65" t="str">
        <f>IFERROR(__xludf.DUMMYFUNCTION("""COMPUTED_VALUE"""),"")</f>
        <v/>
      </c>
      <c r="D901" s="29"/>
    </row>
    <row r="902">
      <c r="A902" s="29"/>
      <c r="B902" s="29"/>
      <c r="C902" s="65" t="str">
        <f>IFERROR(__xludf.DUMMYFUNCTION("""COMPUTED_VALUE"""),"")</f>
        <v/>
      </c>
      <c r="D902" s="29"/>
    </row>
    <row r="903">
      <c r="A903" s="29"/>
      <c r="B903" s="29"/>
      <c r="C903" s="65" t="str">
        <f>IFERROR(__xludf.DUMMYFUNCTION("""COMPUTED_VALUE"""),"")</f>
        <v/>
      </c>
      <c r="D903" s="29"/>
    </row>
    <row r="904">
      <c r="A904" s="29"/>
      <c r="B904" s="29"/>
      <c r="C904" s="65" t="str">
        <f>IFERROR(__xludf.DUMMYFUNCTION("""COMPUTED_VALUE"""),"")</f>
        <v/>
      </c>
      <c r="D904" s="29"/>
    </row>
    <row r="905">
      <c r="A905" s="29"/>
      <c r="B905" s="29"/>
      <c r="C905" s="65" t="str">
        <f>IFERROR(__xludf.DUMMYFUNCTION("""COMPUTED_VALUE"""),"")</f>
        <v/>
      </c>
      <c r="D905" s="29"/>
    </row>
    <row r="906">
      <c r="A906" s="29"/>
      <c r="B906" s="29"/>
      <c r="C906" s="65" t="str">
        <f>IFERROR(__xludf.DUMMYFUNCTION("""COMPUTED_VALUE"""),"")</f>
        <v/>
      </c>
      <c r="D906" s="29"/>
    </row>
    <row r="907">
      <c r="A907" s="29"/>
      <c r="B907" s="29"/>
      <c r="C907" s="65" t="str">
        <f>IFERROR(__xludf.DUMMYFUNCTION("""COMPUTED_VALUE"""),"")</f>
        <v/>
      </c>
      <c r="D907" s="29"/>
    </row>
    <row r="908">
      <c r="A908" s="29"/>
      <c r="B908" s="29"/>
      <c r="C908" s="65" t="str">
        <f>IFERROR(__xludf.DUMMYFUNCTION("""COMPUTED_VALUE"""),"")</f>
        <v/>
      </c>
      <c r="D908" s="29"/>
    </row>
    <row r="909">
      <c r="A909" s="29"/>
      <c r="B909" s="29"/>
      <c r="C909" s="65" t="str">
        <f>IFERROR(__xludf.DUMMYFUNCTION("""COMPUTED_VALUE"""),"")</f>
        <v/>
      </c>
      <c r="D909" s="29"/>
    </row>
    <row r="910">
      <c r="A910" s="29"/>
      <c r="B910" s="29"/>
      <c r="C910" s="65" t="str">
        <f>IFERROR(__xludf.DUMMYFUNCTION("""COMPUTED_VALUE"""),"")</f>
        <v/>
      </c>
      <c r="D910" s="29"/>
    </row>
    <row r="911">
      <c r="A911" s="29"/>
      <c r="B911" s="29"/>
      <c r="C911" s="65" t="str">
        <f>IFERROR(__xludf.DUMMYFUNCTION("""COMPUTED_VALUE"""),"")</f>
        <v/>
      </c>
      <c r="D911" s="29"/>
    </row>
    <row r="912">
      <c r="A912" s="29"/>
      <c r="B912" s="29"/>
      <c r="C912" s="65" t="str">
        <f>IFERROR(__xludf.DUMMYFUNCTION("""COMPUTED_VALUE"""),"")</f>
        <v/>
      </c>
      <c r="D912" s="29"/>
    </row>
    <row r="913">
      <c r="A913" s="29"/>
      <c r="B913" s="29"/>
      <c r="C913" s="65" t="str">
        <f>IFERROR(__xludf.DUMMYFUNCTION("""COMPUTED_VALUE"""),"")</f>
        <v/>
      </c>
      <c r="D913" s="29"/>
    </row>
    <row r="914">
      <c r="A914" s="29"/>
      <c r="B914" s="29"/>
      <c r="C914" s="65" t="str">
        <f>IFERROR(__xludf.DUMMYFUNCTION("""COMPUTED_VALUE"""),"")</f>
        <v/>
      </c>
      <c r="D914" s="29"/>
    </row>
    <row r="915">
      <c r="A915" s="29"/>
      <c r="B915" s="29"/>
      <c r="C915" s="65" t="str">
        <f>IFERROR(__xludf.DUMMYFUNCTION("""COMPUTED_VALUE"""),"")</f>
        <v/>
      </c>
      <c r="D915" s="29"/>
    </row>
    <row r="916">
      <c r="A916" s="29"/>
      <c r="B916" s="29"/>
      <c r="C916" s="65" t="str">
        <f>IFERROR(__xludf.DUMMYFUNCTION("""COMPUTED_VALUE"""),"")</f>
        <v/>
      </c>
      <c r="D916" s="29"/>
    </row>
    <row r="917">
      <c r="A917" s="29"/>
      <c r="B917" s="29"/>
      <c r="C917" s="65" t="str">
        <f>IFERROR(__xludf.DUMMYFUNCTION("""COMPUTED_VALUE"""),"")</f>
        <v/>
      </c>
      <c r="D917" s="29"/>
    </row>
    <row r="918">
      <c r="A918" s="29"/>
      <c r="B918" s="29"/>
      <c r="C918" s="65" t="str">
        <f>IFERROR(__xludf.DUMMYFUNCTION("""COMPUTED_VALUE"""),"")</f>
        <v/>
      </c>
      <c r="D918" s="29"/>
    </row>
    <row r="919">
      <c r="A919" s="29"/>
      <c r="B919" s="29"/>
      <c r="C919" s="65" t="str">
        <f>IFERROR(__xludf.DUMMYFUNCTION("""COMPUTED_VALUE"""),"")</f>
        <v/>
      </c>
      <c r="D919" s="29"/>
    </row>
    <row r="920">
      <c r="A920" s="29"/>
      <c r="B920" s="29"/>
      <c r="C920" s="65" t="str">
        <f>IFERROR(__xludf.DUMMYFUNCTION("""COMPUTED_VALUE"""),"")</f>
        <v/>
      </c>
      <c r="D920" s="29"/>
    </row>
    <row r="921">
      <c r="A921" s="29"/>
      <c r="B921" s="29"/>
      <c r="C921" s="65" t="str">
        <f>IFERROR(__xludf.DUMMYFUNCTION("""COMPUTED_VALUE"""),"")</f>
        <v/>
      </c>
      <c r="D921" s="29"/>
    </row>
    <row r="922">
      <c r="A922" s="29"/>
      <c r="B922" s="29"/>
      <c r="C922" s="65" t="str">
        <f>IFERROR(__xludf.DUMMYFUNCTION("""COMPUTED_VALUE"""),"")</f>
        <v/>
      </c>
      <c r="D922" s="29"/>
    </row>
    <row r="923">
      <c r="A923" s="29"/>
      <c r="B923" s="29"/>
      <c r="C923" s="65" t="str">
        <f>IFERROR(__xludf.DUMMYFUNCTION("""COMPUTED_VALUE"""),"")</f>
        <v/>
      </c>
      <c r="D923" s="29"/>
    </row>
    <row r="924">
      <c r="A924" s="29"/>
      <c r="B924" s="29"/>
      <c r="C924" s="65" t="str">
        <f>IFERROR(__xludf.DUMMYFUNCTION("""COMPUTED_VALUE"""),"")</f>
        <v/>
      </c>
      <c r="D924" s="29"/>
    </row>
    <row r="925">
      <c r="A925" s="29"/>
      <c r="B925" s="29"/>
      <c r="C925" s="65" t="str">
        <f>IFERROR(__xludf.DUMMYFUNCTION("""COMPUTED_VALUE"""),"")</f>
        <v/>
      </c>
      <c r="D925" s="29"/>
    </row>
    <row r="926">
      <c r="A926" s="29"/>
      <c r="B926" s="29"/>
      <c r="C926" s="65" t="str">
        <f>IFERROR(__xludf.DUMMYFUNCTION("""COMPUTED_VALUE"""),"")</f>
        <v/>
      </c>
      <c r="D926" s="29"/>
    </row>
    <row r="927">
      <c r="A927" s="29"/>
      <c r="B927" s="29"/>
      <c r="C927" s="65" t="str">
        <f>IFERROR(__xludf.DUMMYFUNCTION("""COMPUTED_VALUE"""),"")</f>
        <v/>
      </c>
      <c r="D927" s="29"/>
    </row>
    <row r="928">
      <c r="A928" s="29"/>
      <c r="B928" s="29"/>
      <c r="C928" s="65" t="str">
        <f>IFERROR(__xludf.DUMMYFUNCTION("""COMPUTED_VALUE"""),"")</f>
        <v/>
      </c>
      <c r="D928" s="29"/>
    </row>
    <row r="929">
      <c r="A929" s="29"/>
      <c r="B929" s="29"/>
      <c r="C929" s="65" t="str">
        <f>IFERROR(__xludf.DUMMYFUNCTION("""COMPUTED_VALUE"""),"")</f>
        <v/>
      </c>
      <c r="D929" s="29"/>
    </row>
    <row r="930">
      <c r="A930" s="29"/>
      <c r="B930" s="29"/>
      <c r="C930" s="65" t="str">
        <f>IFERROR(__xludf.DUMMYFUNCTION("""COMPUTED_VALUE"""),"")</f>
        <v/>
      </c>
      <c r="D930" s="29"/>
    </row>
    <row r="931">
      <c r="A931" s="29"/>
      <c r="B931" s="29"/>
      <c r="C931" s="65" t="str">
        <f>IFERROR(__xludf.DUMMYFUNCTION("""COMPUTED_VALUE"""),"")</f>
        <v/>
      </c>
      <c r="D931" s="29"/>
    </row>
    <row r="932">
      <c r="A932" s="29"/>
      <c r="B932" s="29"/>
      <c r="C932" s="65" t="str">
        <f>IFERROR(__xludf.DUMMYFUNCTION("""COMPUTED_VALUE"""),"")</f>
        <v/>
      </c>
      <c r="D932" s="29"/>
    </row>
    <row r="933">
      <c r="A933" s="29"/>
      <c r="B933" s="29"/>
      <c r="C933" s="65" t="str">
        <f>IFERROR(__xludf.DUMMYFUNCTION("""COMPUTED_VALUE"""),"")</f>
        <v/>
      </c>
      <c r="D933" s="29"/>
    </row>
    <row r="934">
      <c r="A934" s="29"/>
      <c r="B934" s="29"/>
      <c r="C934" s="65" t="str">
        <f>IFERROR(__xludf.DUMMYFUNCTION("""COMPUTED_VALUE"""),"")</f>
        <v/>
      </c>
      <c r="D934" s="29"/>
    </row>
    <row r="935">
      <c r="A935" s="29"/>
      <c r="B935" s="29"/>
      <c r="C935" s="65" t="str">
        <f>IFERROR(__xludf.DUMMYFUNCTION("""COMPUTED_VALUE"""),"")</f>
        <v/>
      </c>
      <c r="D935" s="29"/>
    </row>
    <row r="936">
      <c r="A936" s="29"/>
      <c r="B936" s="29"/>
      <c r="C936" s="65" t="str">
        <f>IFERROR(__xludf.DUMMYFUNCTION("""COMPUTED_VALUE"""),"")</f>
        <v/>
      </c>
      <c r="D936" s="29"/>
    </row>
    <row r="937">
      <c r="A937" s="29"/>
      <c r="B937" s="29"/>
      <c r="C937" s="65" t="str">
        <f>IFERROR(__xludf.DUMMYFUNCTION("""COMPUTED_VALUE"""),"")</f>
        <v/>
      </c>
      <c r="D937" s="29"/>
    </row>
    <row r="938">
      <c r="A938" s="29"/>
      <c r="B938" s="29"/>
      <c r="C938" s="65" t="str">
        <f>IFERROR(__xludf.DUMMYFUNCTION("""COMPUTED_VALUE"""),"")</f>
        <v/>
      </c>
      <c r="D938" s="29"/>
    </row>
    <row r="939">
      <c r="A939" s="29"/>
      <c r="B939" s="29"/>
      <c r="C939" s="65" t="str">
        <f>IFERROR(__xludf.DUMMYFUNCTION("""COMPUTED_VALUE"""),"")</f>
        <v/>
      </c>
      <c r="D939" s="29"/>
    </row>
    <row r="940">
      <c r="A940" s="29"/>
      <c r="B940" s="29"/>
      <c r="C940" s="65" t="str">
        <f>IFERROR(__xludf.DUMMYFUNCTION("""COMPUTED_VALUE"""),"")</f>
        <v/>
      </c>
      <c r="D940" s="29"/>
    </row>
    <row r="941">
      <c r="A941" s="29"/>
      <c r="B941" s="29"/>
      <c r="C941" s="65" t="str">
        <f>IFERROR(__xludf.DUMMYFUNCTION("""COMPUTED_VALUE"""),"")</f>
        <v/>
      </c>
      <c r="D941" s="29"/>
    </row>
    <row r="942">
      <c r="A942" s="29"/>
      <c r="B942" s="29"/>
      <c r="C942" s="65" t="str">
        <f>IFERROR(__xludf.DUMMYFUNCTION("""COMPUTED_VALUE"""),"")</f>
        <v/>
      </c>
      <c r="D942" s="29"/>
    </row>
    <row r="943">
      <c r="A943" s="29"/>
      <c r="B943" s="29"/>
      <c r="C943" s="65" t="str">
        <f>IFERROR(__xludf.DUMMYFUNCTION("""COMPUTED_VALUE"""),"")</f>
        <v/>
      </c>
      <c r="D943" s="29"/>
    </row>
    <row r="944">
      <c r="A944" s="29"/>
      <c r="B944" s="29"/>
      <c r="C944" s="65" t="str">
        <f>IFERROR(__xludf.DUMMYFUNCTION("""COMPUTED_VALUE"""),"")</f>
        <v/>
      </c>
      <c r="D944" s="29"/>
    </row>
    <row r="945">
      <c r="A945" s="29"/>
      <c r="B945" s="29"/>
      <c r="C945" s="65" t="str">
        <f>IFERROR(__xludf.DUMMYFUNCTION("""COMPUTED_VALUE"""),"")</f>
        <v/>
      </c>
      <c r="D945" s="29"/>
    </row>
    <row r="946">
      <c r="A946" s="29"/>
      <c r="B946" s="29"/>
      <c r="C946" s="65" t="str">
        <f>IFERROR(__xludf.DUMMYFUNCTION("""COMPUTED_VALUE"""),"")</f>
        <v/>
      </c>
      <c r="D946" s="29"/>
    </row>
    <row r="947">
      <c r="A947" s="29"/>
      <c r="B947" s="29"/>
      <c r="C947" s="65" t="str">
        <f>IFERROR(__xludf.DUMMYFUNCTION("""COMPUTED_VALUE"""),"")</f>
        <v/>
      </c>
      <c r="D947" s="29"/>
    </row>
    <row r="948">
      <c r="A948" s="29"/>
      <c r="B948" s="29"/>
      <c r="C948" s="65" t="str">
        <f>IFERROR(__xludf.DUMMYFUNCTION("""COMPUTED_VALUE"""),"")</f>
        <v/>
      </c>
      <c r="D948" s="29"/>
    </row>
    <row r="949">
      <c r="A949" s="29"/>
      <c r="B949" s="29"/>
      <c r="C949" s="65" t="str">
        <f>IFERROR(__xludf.DUMMYFUNCTION("""COMPUTED_VALUE"""),"")</f>
        <v/>
      </c>
      <c r="D949" s="29"/>
    </row>
    <row r="950">
      <c r="A950" s="29"/>
      <c r="B950" s="29"/>
      <c r="C950" s="65" t="str">
        <f>IFERROR(__xludf.DUMMYFUNCTION("""COMPUTED_VALUE"""),"")</f>
        <v/>
      </c>
      <c r="D950" s="29"/>
    </row>
    <row r="951">
      <c r="A951" s="29"/>
      <c r="B951" s="29"/>
      <c r="C951" s="65" t="str">
        <f>IFERROR(__xludf.DUMMYFUNCTION("""COMPUTED_VALUE"""),"")</f>
        <v/>
      </c>
      <c r="D951" s="29"/>
    </row>
    <row r="952">
      <c r="A952" s="29"/>
      <c r="B952" s="29"/>
      <c r="C952" s="65" t="str">
        <f>IFERROR(__xludf.DUMMYFUNCTION("""COMPUTED_VALUE"""),"")</f>
        <v/>
      </c>
      <c r="D952" s="29"/>
    </row>
    <row r="953">
      <c r="A953" s="29"/>
      <c r="B953" s="29"/>
      <c r="C953" s="65" t="str">
        <f>IFERROR(__xludf.DUMMYFUNCTION("""COMPUTED_VALUE"""),"")</f>
        <v/>
      </c>
      <c r="D953" s="29"/>
    </row>
    <row r="954">
      <c r="A954" s="29"/>
      <c r="B954" s="29"/>
      <c r="C954" s="65" t="str">
        <f>IFERROR(__xludf.DUMMYFUNCTION("""COMPUTED_VALUE"""),"")</f>
        <v/>
      </c>
      <c r="D954" s="29"/>
    </row>
    <row r="955">
      <c r="A955" s="29"/>
      <c r="B955" s="29"/>
      <c r="C955" s="65" t="str">
        <f>IFERROR(__xludf.DUMMYFUNCTION("""COMPUTED_VALUE"""),"")</f>
        <v/>
      </c>
      <c r="D955" s="29"/>
    </row>
    <row r="956">
      <c r="A956" s="29"/>
      <c r="B956" s="29"/>
      <c r="C956" s="65" t="str">
        <f>IFERROR(__xludf.DUMMYFUNCTION("""COMPUTED_VALUE"""),"")</f>
        <v/>
      </c>
      <c r="D956" s="29"/>
    </row>
    <row r="957">
      <c r="A957" s="29"/>
      <c r="B957" s="29"/>
      <c r="C957" s="65" t="str">
        <f>IFERROR(__xludf.DUMMYFUNCTION("""COMPUTED_VALUE"""),"")</f>
        <v/>
      </c>
      <c r="D957" s="29"/>
    </row>
    <row r="958">
      <c r="A958" s="29"/>
      <c r="B958" s="29"/>
      <c r="C958" s="65" t="str">
        <f>IFERROR(__xludf.DUMMYFUNCTION("""COMPUTED_VALUE"""),"")</f>
        <v/>
      </c>
      <c r="D958" s="29"/>
    </row>
    <row r="959">
      <c r="A959" s="29"/>
      <c r="B959" s="29"/>
      <c r="C959" s="65" t="str">
        <f>IFERROR(__xludf.DUMMYFUNCTION("""COMPUTED_VALUE"""),"")</f>
        <v/>
      </c>
      <c r="D959" s="29"/>
    </row>
    <row r="960">
      <c r="A960" s="29"/>
      <c r="B960" s="29"/>
      <c r="C960" s="65" t="str">
        <f>IFERROR(__xludf.DUMMYFUNCTION("""COMPUTED_VALUE"""),"")</f>
        <v/>
      </c>
      <c r="D960" s="29"/>
    </row>
    <row r="961">
      <c r="A961" s="29"/>
      <c r="B961" s="29"/>
      <c r="C961" s="65" t="str">
        <f>IFERROR(__xludf.DUMMYFUNCTION("""COMPUTED_VALUE"""),"")</f>
        <v/>
      </c>
      <c r="D961" s="29"/>
    </row>
    <row r="962">
      <c r="A962" s="29"/>
      <c r="B962" s="29"/>
      <c r="C962" s="65" t="str">
        <f>IFERROR(__xludf.DUMMYFUNCTION("""COMPUTED_VALUE"""),"")</f>
        <v/>
      </c>
      <c r="D962" s="29"/>
    </row>
    <row r="963">
      <c r="A963" s="29"/>
      <c r="B963" s="29"/>
      <c r="C963" s="65" t="str">
        <f>IFERROR(__xludf.DUMMYFUNCTION("""COMPUTED_VALUE"""),"")</f>
        <v/>
      </c>
      <c r="D963" s="29"/>
    </row>
    <row r="964">
      <c r="A964" s="29"/>
      <c r="B964" s="29"/>
      <c r="C964" s="65" t="str">
        <f>IFERROR(__xludf.DUMMYFUNCTION("""COMPUTED_VALUE"""),"")</f>
        <v/>
      </c>
      <c r="D964" s="29"/>
    </row>
    <row r="965">
      <c r="A965" s="29"/>
      <c r="B965" s="29"/>
      <c r="C965" s="65" t="str">
        <f>IFERROR(__xludf.DUMMYFUNCTION("""COMPUTED_VALUE"""),"")</f>
        <v/>
      </c>
      <c r="D965" s="29"/>
    </row>
    <row r="966">
      <c r="A966" s="29"/>
      <c r="B966" s="29"/>
      <c r="C966" s="65" t="str">
        <f>IFERROR(__xludf.DUMMYFUNCTION("""COMPUTED_VALUE"""),"")</f>
        <v/>
      </c>
      <c r="D966" s="29"/>
    </row>
    <row r="967">
      <c r="A967" s="29"/>
      <c r="B967" s="29"/>
      <c r="C967" s="65" t="str">
        <f>IFERROR(__xludf.DUMMYFUNCTION("""COMPUTED_VALUE"""),"")</f>
        <v/>
      </c>
      <c r="D967" s="29"/>
    </row>
    <row r="968">
      <c r="A968" s="29"/>
      <c r="B968" s="29"/>
      <c r="C968" s="65" t="str">
        <f>IFERROR(__xludf.DUMMYFUNCTION("""COMPUTED_VALUE"""),"")</f>
        <v/>
      </c>
      <c r="D968" s="29"/>
    </row>
    <row r="969">
      <c r="A969" s="29"/>
      <c r="B969" s="29"/>
      <c r="C969" s="65" t="str">
        <f>IFERROR(__xludf.DUMMYFUNCTION("""COMPUTED_VALUE"""),"")</f>
        <v/>
      </c>
      <c r="D969" s="29"/>
    </row>
    <row r="970">
      <c r="A970" s="29"/>
      <c r="B970" s="29"/>
      <c r="C970" s="65" t="str">
        <f>IFERROR(__xludf.DUMMYFUNCTION("""COMPUTED_VALUE"""),"")</f>
        <v/>
      </c>
      <c r="D970" s="29"/>
    </row>
    <row r="971">
      <c r="A971" s="29"/>
      <c r="B971" s="29"/>
      <c r="C971" s="65" t="str">
        <f>IFERROR(__xludf.DUMMYFUNCTION("""COMPUTED_VALUE"""),"")</f>
        <v/>
      </c>
      <c r="D971" s="29"/>
    </row>
    <row r="972">
      <c r="A972" s="29"/>
      <c r="B972" s="29"/>
      <c r="C972" s="65" t="str">
        <f>IFERROR(__xludf.DUMMYFUNCTION("""COMPUTED_VALUE"""),"")</f>
        <v/>
      </c>
      <c r="D972" s="29"/>
    </row>
    <row r="973">
      <c r="A973" s="29"/>
      <c r="B973" s="29"/>
      <c r="C973" s="65" t="str">
        <f>IFERROR(__xludf.DUMMYFUNCTION("""COMPUTED_VALUE"""),"")</f>
        <v/>
      </c>
      <c r="D973" s="29"/>
    </row>
    <row r="974">
      <c r="A974" s="29"/>
      <c r="B974" s="29"/>
      <c r="C974" s="65" t="str">
        <f>IFERROR(__xludf.DUMMYFUNCTION("""COMPUTED_VALUE"""),"")</f>
        <v/>
      </c>
      <c r="D974" s="29"/>
    </row>
    <row r="975">
      <c r="A975" s="29"/>
      <c r="B975" s="29"/>
      <c r="C975" s="65" t="str">
        <f>IFERROR(__xludf.DUMMYFUNCTION("""COMPUTED_VALUE"""),"")</f>
        <v/>
      </c>
      <c r="D975" s="29"/>
    </row>
    <row r="976">
      <c r="A976" s="29"/>
      <c r="B976" s="29"/>
      <c r="C976" s="65" t="str">
        <f>IFERROR(__xludf.DUMMYFUNCTION("""COMPUTED_VALUE"""),"")</f>
        <v/>
      </c>
      <c r="D976" s="29"/>
    </row>
    <row r="977">
      <c r="A977" s="29"/>
      <c r="B977" s="29"/>
      <c r="C977" s="65" t="str">
        <f>IFERROR(__xludf.DUMMYFUNCTION("""COMPUTED_VALUE"""),"")</f>
        <v/>
      </c>
      <c r="D977" s="29"/>
    </row>
    <row r="978">
      <c r="A978" s="29"/>
      <c r="B978" s="29"/>
      <c r="C978" s="65" t="str">
        <f>IFERROR(__xludf.DUMMYFUNCTION("""COMPUTED_VALUE"""),"")</f>
        <v/>
      </c>
      <c r="D978" s="29"/>
    </row>
    <row r="979">
      <c r="A979" s="29"/>
      <c r="B979" s="29"/>
      <c r="C979" s="65" t="str">
        <f>IFERROR(__xludf.DUMMYFUNCTION("""COMPUTED_VALUE"""),"")</f>
        <v/>
      </c>
      <c r="D979" s="29"/>
    </row>
    <row r="980">
      <c r="A980" s="29"/>
      <c r="B980" s="29"/>
      <c r="C980" s="65" t="str">
        <f>IFERROR(__xludf.DUMMYFUNCTION("""COMPUTED_VALUE"""),"")</f>
        <v/>
      </c>
      <c r="D980" s="29"/>
    </row>
    <row r="981">
      <c r="A981" s="29"/>
      <c r="B981" s="29"/>
      <c r="C981" s="65" t="str">
        <f>IFERROR(__xludf.DUMMYFUNCTION("""COMPUTED_VALUE"""),"")</f>
        <v/>
      </c>
      <c r="D981" s="29"/>
    </row>
    <row r="982">
      <c r="A982" s="29"/>
      <c r="B982" s="29"/>
      <c r="C982" s="65" t="str">
        <f>IFERROR(__xludf.DUMMYFUNCTION("""COMPUTED_VALUE"""),"")</f>
        <v/>
      </c>
      <c r="D982" s="29"/>
    </row>
    <row r="983">
      <c r="A983" s="29"/>
      <c r="B983" s="29"/>
      <c r="C983" s="65" t="str">
        <f>IFERROR(__xludf.DUMMYFUNCTION("""COMPUTED_VALUE"""),"")</f>
        <v/>
      </c>
      <c r="D983" s="29"/>
    </row>
    <row r="984">
      <c r="A984" s="29"/>
      <c r="B984" s="29"/>
      <c r="C984" s="65" t="str">
        <f>IFERROR(__xludf.DUMMYFUNCTION("""COMPUTED_VALUE"""),"")</f>
        <v/>
      </c>
      <c r="D984" s="29"/>
    </row>
    <row r="985">
      <c r="A985" s="29"/>
      <c r="B985" s="29"/>
      <c r="C985" s="65" t="str">
        <f>IFERROR(__xludf.DUMMYFUNCTION("""COMPUTED_VALUE"""),"")</f>
        <v/>
      </c>
      <c r="D985" s="29"/>
    </row>
    <row r="986">
      <c r="A986" s="29"/>
      <c r="B986" s="29"/>
      <c r="C986" s="65" t="str">
        <f>IFERROR(__xludf.DUMMYFUNCTION("""COMPUTED_VALUE"""),"")</f>
        <v/>
      </c>
      <c r="D986" s="29"/>
    </row>
    <row r="987">
      <c r="A987" s="29"/>
      <c r="B987" s="29"/>
      <c r="C987" s="65" t="str">
        <f>IFERROR(__xludf.DUMMYFUNCTION("""COMPUTED_VALUE"""),"")</f>
        <v/>
      </c>
      <c r="D987" s="29"/>
    </row>
    <row r="988">
      <c r="A988" s="29"/>
      <c r="B988" s="29"/>
      <c r="C988" s="65" t="str">
        <f>IFERROR(__xludf.DUMMYFUNCTION("""COMPUTED_VALUE"""),"")</f>
        <v/>
      </c>
      <c r="D988" s="29"/>
    </row>
    <row r="989">
      <c r="A989" s="29"/>
      <c r="B989" s="29"/>
      <c r="C989" s="65" t="str">
        <f>IFERROR(__xludf.DUMMYFUNCTION("""COMPUTED_VALUE"""),"")</f>
        <v/>
      </c>
      <c r="D989" s="29"/>
    </row>
    <row r="990">
      <c r="A990" s="29"/>
      <c r="B990" s="29"/>
      <c r="C990" s="65" t="str">
        <f>IFERROR(__xludf.DUMMYFUNCTION("""COMPUTED_VALUE"""),"")</f>
        <v/>
      </c>
      <c r="D990" s="29"/>
    </row>
    <row r="991">
      <c r="A991" s="29"/>
      <c r="B991" s="29"/>
      <c r="C991" s="65" t="str">
        <f>IFERROR(__xludf.DUMMYFUNCTION("""COMPUTED_VALUE"""),"")</f>
        <v/>
      </c>
      <c r="D991" s="29"/>
    </row>
    <row r="992">
      <c r="A992" s="29"/>
      <c r="B992" s="29"/>
      <c r="C992" s="65" t="str">
        <f>IFERROR(__xludf.DUMMYFUNCTION("""COMPUTED_VALUE"""),"")</f>
        <v/>
      </c>
      <c r="D992" s="29"/>
    </row>
    <row r="993">
      <c r="A993" s="29"/>
      <c r="B993" s="29"/>
      <c r="C993" s="65" t="str">
        <f>IFERROR(__xludf.DUMMYFUNCTION("""COMPUTED_VALUE"""),"")</f>
        <v/>
      </c>
      <c r="D993" s="29"/>
    </row>
    <row r="994">
      <c r="A994" s="29"/>
      <c r="B994" s="29"/>
      <c r="C994" s="65" t="str">
        <f>IFERROR(__xludf.DUMMYFUNCTION("""COMPUTED_VALUE"""),"")</f>
        <v/>
      </c>
      <c r="D994" s="29"/>
    </row>
    <row r="995">
      <c r="A995" s="29"/>
      <c r="B995" s="29"/>
      <c r="C995" s="65" t="str">
        <f>IFERROR(__xludf.DUMMYFUNCTION("""COMPUTED_VALUE"""),"")</f>
        <v/>
      </c>
      <c r="D995" s="29"/>
    </row>
    <row r="996">
      <c r="A996" s="29"/>
      <c r="B996" s="29"/>
      <c r="C996" s="65" t="str">
        <f>IFERROR(__xludf.DUMMYFUNCTION("""COMPUTED_VALUE"""),"")</f>
        <v/>
      </c>
      <c r="D996" s="29"/>
    </row>
    <row r="997">
      <c r="A997" s="29"/>
      <c r="B997" s="29"/>
      <c r="C997" s="65" t="str">
        <f>IFERROR(__xludf.DUMMYFUNCTION("""COMPUTED_VALUE"""),"")</f>
        <v/>
      </c>
      <c r="D997" s="29"/>
    </row>
    <row r="998">
      <c r="A998" s="29"/>
      <c r="B998" s="29"/>
      <c r="C998" s="65" t="str">
        <f>IFERROR(__xludf.DUMMYFUNCTION("""COMPUTED_VALUE"""),"")</f>
        <v/>
      </c>
      <c r="D998" s="29"/>
    </row>
    <row r="999">
      <c r="A999" s="29"/>
      <c r="B999" s="29"/>
      <c r="C999" s="65" t="str">
        <f>IFERROR(__xludf.DUMMYFUNCTION("""COMPUTED_VALUE"""),"")</f>
        <v/>
      </c>
      <c r="D999" s="29"/>
    </row>
    <row r="1000">
      <c r="A1000" s="29"/>
      <c r="B1000" s="29"/>
      <c r="C1000" s="65" t="str">
        <f>IFERROR(__xludf.DUMMYFUNCTION("""COMPUTED_VALUE"""),"")</f>
        <v/>
      </c>
      <c r="D1000" s="2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</cols>
  <sheetData>
    <row r="1">
      <c r="A1" s="68" t="s">
        <v>218</v>
      </c>
      <c r="B1" s="69" t="s">
        <v>219</v>
      </c>
      <c r="C1" s="68" t="s">
        <v>220</v>
      </c>
      <c r="D1" s="68" t="s">
        <v>221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</row>
    <row r="2">
      <c r="A2" s="29" t="str">
        <f>IFERROR(__xludf.DUMMYFUNCTION("VSTACK(
FILTER(Cisco!A2:D1000,Cisco!A2:A1000&lt;&gt;""""),
FILTER(Juniper!A2:D1000,Juniper!A2:A1000&lt;&gt;""""),
FILTER('3rdSFP'!A2:D1000,'3rdSFP'!A2:A1000&lt;&gt;"""")
)"),"C8200L-1N-4T")</f>
        <v>C8200L-1N-4T</v>
      </c>
      <c r="B2" s="65">
        <f>IFERROR(__xludf.DUMMYFUNCTION("""COMPUTED_VALUE"""),22728.05)</f>
        <v>22728.05</v>
      </c>
      <c r="C2" s="65">
        <f>IFERROR(__xludf.DUMMYFUNCTION("""COMPUTED_VALUE"""),18000.0)</f>
        <v>18000</v>
      </c>
      <c r="D2" s="65">
        <f>IFERROR(__xludf.DUMMYFUNCTION("""COMPUTED_VALUE"""),18000.0)</f>
        <v>18000</v>
      </c>
    </row>
    <row r="3">
      <c r="A3" s="29" t="str">
        <f>IFERROR(__xludf.DUMMYFUNCTION("""COMPUTED_VALUE"""),"C8200-1N-4T")</f>
        <v>C8200-1N-4T</v>
      </c>
      <c r="B3" s="65">
        <f>IFERROR(__xludf.DUMMYFUNCTION("""COMPUTED_VALUE"""),29504.46)</f>
        <v>29504.46</v>
      </c>
      <c r="C3" s="65">
        <f>IFERROR(__xludf.DUMMYFUNCTION("""COMPUTED_VALUE"""),15000.0)</f>
        <v>15000</v>
      </c>
      <c r="D3" s="65">
        <f>IFERROR(__xludf.DUMMYFUNCTION("""COMPUTED_VALUE"""),15000.0)</f>
        <v>15000</v>
      </c>
    </row>
    <row r="4">
      <c r="A4" s="29" t="str">
        <f>IFERROR(__xludf.DUMMYFUNCTION("""COMPUTED_VALUE"""),"C8300-2N2S-4T2X")</f>
        <v>C8300-2N2S-4T2X</v>
      </c>
      <c r="B4" s="65">
        <f>IFERROR(__xludf.DUMMYFUNCTION("""COMPUTED_VALUE"""),91782.43)</f>
        <v>91782.43</v>
      </c>
      <c r="C4" s="29"/>
      <c r="D4" s="65">
        <f>IFERROR(__xludf.DUMMYFUNCTION("""COMPUTED_VALUE"""),91782.43)</f>
        <v>91782.43</v>
      </c>
    </row>
    <row r="5">
      <c r="A5" s="29" t="str">
        <f>IFERROR(__xludf.DUMMYFUNCTION("""COMPUTED_VALUE"""),"C8300-1N1S-4T2X")</f>
        <v>C8300-1N1S-4T2X</v>
      </c>
      <c r="B5" s="65">
        <f>IFERROR(__xludf.DUMMYFUNCTION("""COMPUTED_VALUE"""),75749.61)</f>
        <v>75749.61</v>
      </c>
      <c r="C5" s="29"/>
      <c r="D5" s="65">
        <f>IFERROR(__xludf.DUMMYFUNCTION("""COMPUTED_VALUE"""),75749.61)</f>
        <v>75749.61</v>
      </c>
    </row>
    <row r="6">
      <c r="A6" s="29" t="str">
        <f>IFERROR(__xludf.DUMMYFUNCTION("""COMPUTED_VALUE"""),"C8300-2N2S-6T")</f>
        <v>C8300-2N2S-6T</v>
      </c>
      <c r="B6" s="65">
        <f>IFERROR(__xludf.DUMMYFUNCTION("""COMPUTED_VALUE"""),50264.61)</f>
        <v>50264.61</v>
      </c>
      <c r="C6" s="29"/>
      <c r="D6" s="65">
        <f>IFERROR(__xludf.DUMMYFUNCTION("""COMPUTED_VALUE"""),50264.61)</f>
        <v>50264.61</v>
      </c>
    </row>
    <row r="7">
      <c r="A7" s="29" t="str">
        <f>IFERROR(__xludf.DUMMYFUNCTION("""COMPUTED_VALUE"""),"C8300-1N1S-6T")</f>
        <v>C8300-1N1S-6T</v>
      </c>
      <c r="B7" s="65">
        <f>IFERROR(__xludf.DUMMYFUNCTION("""COMPUTED_VALUE"""),41045.93)</f>
        <v>41045.93</v>
      </c>
      <c r="C7" s="29"/>
      <c r="D7" s="65">
        <f>IFERROR(__xludf.DUMMYFUNCTION("""COMPUTED_VALUE"""),41045.93)</f>
        <v>41045.93</v>
      </c>
    </row>
    <row r="8">
      <c r="A8" s="29" t="str">
        <f>IFERROR(__xludf.DUMMYFUNCTION("""COMPUTED_VALUE"""),"C8500-20X6C")</f>
        <v>C8500-20X6C</v>
      </c>
      <c r="B8" s="65">
        <f>IFERROR(__xludf.DUMMYFUNCTION("""COMPUTED_VALUE"""),553572.06)</f>
        <v>553572.06</v>
      </c>
      <c r="C8" s="29"/>
      <c r="D8" s="65">
        <f>IFERROR(__xludf.DUMMYFUNCTION("""COMPUTED_VALUE"""),553572.06)</f>
        <v>553572.06</v>
      </c>
    </row>
    <row r="9">
      <c r="A9" s="29" t="str">
        <f>IFERROR(__xludf.DUMMYFUNCTION("""COMPUTED_VALUE"""),"C8500-12X4QC")</f>
        <v>C8500-12X4QC</v>
      </c>
      <c r="B9" s="65">
        <f>IFERROR(__xludf.DUMMYFUNCTION("""COMPUTED_VALUE"""),297234.95)</f>
        <v>297234.95</v>
      </c>
      <c r="C9" s="29"/>
      <c r="D9" s="65">
        <f>IFERROR(__xludf.DUMMYFUNCTION("""COMPUTED_VALUE"""),297234.95)</f>
        <v>297234.95</v>
      </c>
    </row>
    <row r="10">
      <c r="A10" s="29" t="str">
        <f>IFERROR(__xludf.DUMMYFUNCTION("""COMPUTED_VALUE"""),"C8500-12X")</f>
        <v>C8500-12X</v>
      </c>
      <c r="B10" s="65">
        <f>IFERROR(__xludf.DUMMYFUNCTION("""COMPUTED_VALUE"""),206911.8)</f>
        <v>206911.8</v>
      </c>
      <c r="C10" s="65">
        <f>IFERROR(__xludf.DUMMYFUNCTION("""COMPUTED_VALUE"""),1000.0)</f>
        <v>1000</v>
      </c>
      <c r="D10" s="65">
        <f>IFERROR(__xludf.DUMMYFUNCTION("""COMPUTED_VALUE"""),1000.0)</f>
        <v>1000</v>
      </c>
    </row>
    <row r="11">
      <c r="A11" s="29" t="str">
        <f>IFERROR(__xludf.DUMMYFUNCTION("""COMPUTED_VALUE"""),"C8500L-8S4X")</f>
        <v>C8500L-8S4X</v>
      </c>
      <c r="B11" s="65">
        <f>IFERROR(__xludf.DUMMYFUNCTION("""COMPUTED_VALUE"""),97005.56)</f>
        <v>97005.56</v>
      </c>
      <c r="C11" s="29"/>
      <c r="D11" s="65">
        <f>IFERROR(__xludf.DUMMYFUNCTION("""COMPUTED_VALUE"""),97005.56)</f>
        <v>97005.56</v>
      </c>
    </row>
    <row r="12">
      <c r="A12" s="29" t="str">
        <f>IFERROR(__xludf.DUMMYFUNCTION("""COMPUTED_VALUE"""),"C9200-24T")</f>
        <v>C9200-24T</v>
      </c>
      <c r="B12" s="65">
        <f>IFERROR(__xludf.DUMMYFUNCTION("""COMPUTED_VALUE"""),9916.42)</f>
        <v>9916.42</v>
      </c>
      <c r="C12" s="29"/>
      <c r="D12" s="65">
        <f>IFERROR(__xludf.DUMMYFUNCTION("""COMPUTED_VALUE"""),9916.42)</f>
        <v>9916.42</v>
      </c>
    </row>
    <row r="13">
      <c r="A13" s="29" t="str">
        <f>IFERROR(__xludf.DUMMYFUNCTION("""COMPUTED_VALUE"""),"C9200-24P")</f>
        <v>C9200-24P</v>
      </c>
      <c r="B13" s="65">
        <f>IFERROR(__xludf.DUMMYFUNCTION("""COMPUTED_VALUE"""),11052.8)</f>
        <v>11052.8</v>
      </c>
      <c r="C13" s="29"/>
      <c r="D13" s="65">
        <f>IFERROR(__xludf.DUMMYFUNCTION("""COMPUTED_VALUE"""),11052.8)</f>
        <v>11052.8</v>
      </c>
    </row>
    <row r="14">
      <c r="A14" s="29" t="str">
        <f>IFERROR(__xludf.DUMMYFUNCTION("""COMPUTED_VALUE"""),"C9200-48T")</f>
        <v>C9200-48T</v>
      </c>
      <c r="B14" s="65">
        <f>IFERROR(__xludf.DUMMYFUNCTION("""COMPUTED_VALUE"""),15602.18)</f>
        <v>15602.18</v>
      </c>
      <c r="C14" s="29"/>
      <c r="D14" s="65">
        <f>IFERROR(__xludf.DUMMYFUNCTION("""COMPUTED_VALUE"""),15602.18)</f>
        <v>15602.18</v>
      </c>
    </row>
    <row r="15">
      <c r="A15" s="29" t="str">
        <f>IFERROR(__xludf.DUMMYFUNCTION("""COMPUTED_VALUE"""),"C9200-48P")</f>
        <v>C9200-48P</v>
      </c>
      <c r="B15" s="65">
        <f>IFERROR(__xludf.DUMMYFUNCTION("""COMPUTED_VALUE"""),19860.05)</f>
        <v>19860.05</v>
      </c>
      <c r="C15" s="29"/>
      <c r="D15" s="65">
        <f>IFERROR(__xludf.DUMMYFUNCTION("""COMPUTED_VALUE"""),19860.05)</f>
        <v>19860.05</v>
      </c>
    </row>
    <row r="16">
      <c r="A16" s="29" t="str">
        <f>IFERROR(__xludf.DUMMYFUNCTION("""COMPUTED_VALUE"""),"C9200L-24T-4G")</f>
        <v>C9200L-24T-4G</v>
      </c>
      <c r="B16" s="65">
        <f>IFERROR(__xludf.DUMMYFUNCTION("""COMPUTED_VALUE"""),6063.41)</f>
        <v>6063.41</v>
      </c>
      <c r="C16" s="29"/>
      <c r="D16" s="65">
        <f>IFERROR(__xludf.DUMMYFUNCTION("""COMPUTED_VALUE"""),6063.41)</f>
        <v>6063.41</v>
      </c>
    </row>
    <row r="17">
      <c r="A17" s="29" t="str">
        <f>IFERROR(__xludf.DUMMYFUNCTION("""COMPUTED_VALUE"""),"C9200L-24P-4G")</f>
        <v>C9200L-24P-4G</v>
      </c>
      <c r="B17" s="65">
        <f>IFERROR(__xludf.DUMMYFUNCTION("""COMPUTED_VALUE"""),7529.2)</f>
        <v>7529.2</v>
      </c>
      <c r="C17" s="29"/>
      <c r="D17" s="65">
        <f>IFERROR(__xludf.DUMMYFUNCTION("""COMPUTED_VALUE"""),7529.2)</f>
        <v>7529.2</v>
      </c>
    </row>
    <row r="18">
      <c r="A18" s="29" t="str">
        <f>IFERROR(__xludf.DUMMYFUNCTION("""COMPUTED_VALUE"""),"C9200L-48T-4G")</f>
        <v>C9200L-48T-4G</v>
      </c>
      <c r="B18" s="65">
        <f>IFERROR(__xludf.DUMMYFUNCTION("""COMPUTED_VALUE"""),10867.95)</f>
        <v>10867.95</v>
      </c>
      <c r="C18" s="29"/>
      <c r="D18" s="65">
        <f>IFERROR(__xludf.DUMMYFUNCTION("""COMPUTED_VALUE"""),10867.95)</f>
        <v>10867.95</v>
      </c>
    </row>
    <row r="19">
      <c r="A19" s="29" t="str">
        <f>IFERROR(__xludf.DUMMYFUNCTION("""COMPUTED_VALUE"""),"C9200L-48P-4G")</f>
        <v>C9200L-48P-4G</v>
      </c>
      <c r="B19" s="65">
        <f>IFERROR(__xludf.DUMMYFUNCTION("""COMPUTED_VALUE"""),15269.17)</f>
        <v>15269.17</v>
      </c>
      <c r="C19" s="29"/>
      <c r="D19" s="65">
        <f>IFERROR(__xludf.DUMMYFUNCTION("""COMPUTED_VALUE"""),15269.17)</f>
        <v>15269.17</v>
      </c>
    </row>
    <row r="20">
      <c r="A20" s="29" t="str">
        <f>IFERROR(__xludf.DUMMYFUNCTION("""COMPUTED_VALUE"""),"C9200L-24T-4X")</f>
        <v>C9200L-24T-4X</v>
      </c>
      <c r="B20" s="65">
        <f>IFERROR(__xludf.DUMMYFUNCTION("""COMPUTED_VALUE"""),8631.47)</f>
        <v>8631.47</v>
      </c>
      <c r="C20" s="29"/>
      <c r="D20" s="65">
        <f>IFERROR(__xludf.DUMMYFUNCTION("""COMPUTED_VALUE"""),8631.47)</f>
        <v>8631.47</v>
      </c>
    </row>
    <row r="21">
      <c r="A21" s="29" t="str">
        <f>IFERROR(__xludf.DUMMYFUNCTION("""COMPUTED_VALUE"""),"C9200L-24P-4X")</f>
        <v>C9200L-24P-4X</v>
      </c>
      <c r="B21" s="65">
        <f>IFERROR(__xludf.DUMMYFUNCTION("""COMPUTED_VALUE"""),10097.26)</f>
        <v>10097.26</v>
      </c>
      <c r="C21" s="29"/>
      <c r="D21" s="65">
        <f>IFERROR(__xludf.DUMMYFUNCTION("""COMPUTED_VALUE"""),10097.26)</f>
        <v>10097.26</v>
      </c>
    </row>
    <row r="22">
      <c r="A22" s="29" t="str">
        <f>IFERROR(__xludf.DUMMYFUNCTION("""COMPUTED_VALUE"""),"C9200L-48T-4X")</f>
        <v>C9200L-48T-4X</v>
      </c>
      <c r="B22" s="65">
        <f>IFERROR(__xludf.DUMMYFUNCTION("""COMPUTED_VALUE"""),13436.01)</f>
        <v>13436.01</v>
      </c>
      <c r="C22" s="29"/>
      <c r="D22" s="65">
        <f>IFERROR(__xludf.DUMMYFUNCTION("""COMPUTED_VALUE"""),13436.01)</f>
        <v>13436.01</v>
      </c>
    </row>
    <row r="23">
      <c r="A23" s="29" t="str">
        <f>IFERROR(__xludf.DUMMYFUNCTION("""COMPUTED_VALUE"""),"C9200L-48P-4X")</f>
        <v>C9200L-48P-4X</v>
      </c>
      <c r="B23" s="65">
        <f>IFERROR(__xludf.DUMMYFUNCTION("""COMPUTED_VALUE"""),17837.21)</f>
        <v>17837.21</v>
      </c>
      <c r="C23" s="29"/>
      <c r="D23" s="65">
        <f>IFERROR(__xludf.DUMMYFUNCTION("""COMPUTED_VALUE"""),17837.21)</f>
        <v>17837.21</v>
      </c>
    </row>
    <row r="24">
      <c r="A24" s="29" t="str">
        <f>IFERROR(__xludf.DUMMYFUNCTION("""COMPUTED_VALUE"""),"C9200CX-8P-2X2G")</f>
        <v>C9200CX-8P-2X2G</v>
      </c>
      <c r="B24" s="65">
        <f>IFERROR(__xludf.DUMMYFUNCTION("""COMPUTED_VALUE"""),5197.72)</f>
        <v>5197.72</v>
      </c>
      <c r="C24" s="29"/>
      <c r="D24" s="65">
        <f>IFERROR(__xludf.DUMMYFUNCTION("""COMPUTED_VALUE"""),5197.72)</f>
        <v>5197.72</v>
      </c>
    </row>
    <row r="25">
      <c r="A25" s="29" t="str">
        <f>IFERROR(__xludf.DUMMYFUNCTION("""COMPUTED_VALUE"""),"C9200CX-12T-2X2G")</f>
        <v>C9200CX-12T-2X2G</v>
      </c>
      <c r="B25" s="65">
        <f>IFERROR(__xludf.DUMMYFUNCTION("""COMPUTED_VALUE"""),4748.49)</f>
        <v>4748.49</v>
      </c>
      <c r="C25" s="29"/>
      <c r="D25" s="65">
        <f>IFERROR(__xludf.DUMMYFUNCTION("""COMPUTED_VALUE"""),4748.49)</f>
        <v>4748.49</v>
      </c>
    </row>
    <row r="26">
      <c r="A26" s="29" t="str">
        <f>IFERROR(__xludf.DUMMYFUNCTION("""COMPUTED_VALUE"""),"C9200CX-12P-2X2G")</f>
        <v>C9200CX-12P-2X2G</v>
      </c>
      <c r="B26" s="65">
        <f>IFERROR(__xludf.DUMMYFUNCTION("""COMPUTED_VALUE"""),5672.87)</f>
        <v>5672.87</v>
      </c>
      <c r="C26" s="29"/>
      <c r="D26" s="65">
        <f>IFERROR(__xludf.DUMMYFUNCTION("""COMPUTED_VALUE"""),5672.87)</f>
        <v>5672.87</v>
      </c>
    </row>
    <row r="27">
      <c r="A27" s="29" t="str">
        <f>IFERROR(__xludf.DUMMYFUNCTION("""COMPUTED_VALUE"""),"C9300L-24T-4G")</f>
        <v>C9300L-24T-4G</v>
      </c>
      <c r="B27" s="65">
        <f>IFERROR(__xludf.DUMMYFUNCTION("""COMPUTED_VALUE"""),13699.63)</f>
        <v>13699.63</v>
      </c>
      <c r="C27" s="29"/>
      <c r="D27" s="65">
        <f>IFERROR(__xludf.DUMMYFUNCTION("""COMPUTED_VALUE"""),13699.63)</f>
        <v>13699.63</v>
      </c>
    </row>
    <row r="28">
      <c r="A28" s="29" t="str">
        <f>IFERROR(__xludf.DUMMYFUNCTION("""COMPUTED_VALUE"""),"C9300L-24P-4G")</f>
        <v>C9300L-24P-4G</v>
      </c>
      <c r="B28" s="65">
        <f>IFERROR(__xludf.DUMMYFUNCTION("""COMPUTED_VALUE"""),14671.04)</f>
        <v>14671.04</v>
      </c>
      <c r="C28" s="29"/>
      <c r="D28" s="65">
        <f>IFERROR(__xludf.DUMMYFUNCTION("""COMPUTED_VALUE"""),14671.04)</f>
        <v>14671.04</v>
      </c>
    </row>
    <row r="29">
      <c r="A29" s="29" t="str">
        <f>IFERROR(__xludf.DUMMYFUNCTION("""COMPUTED_VALUE"""),"C9300L-24T-4X")</f>
        <v>C9300L-24T-4X</v>
      </c>
      <c r="B29" s="65">
        <f>IFERROR(__xludf.DUMMYFUNCTION("""COMPUTED_VALUE"""),16613.85)</f>
        <v>16613.85</v>
      </c>
      <c r="C29" s="29"/>
      <c r="D29" s="65">
        <f>IFERROR(__xludf.DUMMYFUNCTION("""COMPUTED_VALUE"""),16613.85)</f>
        <v>16613.85</v>
      </c>
    </row>
    <row r="30">
      <c r="A30" s="29" t="str">
        <f>IFERROR(__xludf.DUMMYFUNCTION("""COMPUTED_VALUE"""),"C9300L-24P-4X")</f>
        <v>C9300L-24P-4X</v>
      </c>
      <c r="B30" s="65">
        <f>IFERROR(__xludf.DUMMYFUNCTION("""COMPUTED_VALUE"""),17585.24)</f>
        <v>17585.24</v>
      </c>
      <c r="C30" s="29"/>
      <c r="D30" s="65">
        <f>IFERROR(__xludf.DUMMYFUNCTION("""COMPUTED_VALUE"""),17585.24)</f>
        <v>17585.24</v>
      </c>
    </row>
    <row r="31">
      <c r="A31" s="29" t="str">
        <f>IFERROR(__xludf.DUMMYFUNCTION("""COMPUTED_VALUE"""),"C9300L-48T-4G")</f>
        <v>C9300L-48T-4G</v>
      </c>
      <c r="B31" s="65">
        <f>IFERROR(__xludf.DUMMYFUNCTION("""COMPUTED_VALUE"""),19825.33)</f>
        <v>19825.33</v>
      </c>
      <c r="C31" s="29"/>
      <c r="D31" s="65">
        <f>IFERROR(__xludf.DUMMYFUNCTION("""COMPUTED_VALUE"""),19825.33)</f>
        <v>19825.33</v>
      </c>
    </row>
    <row r="32">
      <c r="A32" s="29" t="str">
        <f>IFERROR(__xludf.DUMMYFUNCTION("""COMPUTED_VALUE"""),"C9300L-48P-4G")</f>
        <v>C9300L-48P-4G</v>
      </c>
      <c r="B32" s="65">
        <f>IFERROR(__xludf.DUMMYFUNCTION("""COMPUTED_VALUE"""),22545.48)</f>
        <v>22545.48</v>
      </c>
      <c r="C32" s="29"/>
      <c r="D32" s="65">
        <f>IFERROR(__xludf.DUMMYFUNCTION("""COMPUTED_VALUE"""),22545.48)</f>
        <v>22545.48</v>
      </c>
    </row>
    <row r="33">
      <c r="A33" s="29" t="str">
        <f>IFERROR(__xludf.DUMMYFUNCTION("""COMPUTED_VALUE"""),"C9300L-48T-4X")</f>
        <v>C9300L-48T-4X</v>
      </c>
      <c r="B33" s="65">
        <f>IFERROR(__xludf.DUMMYFUNCTION("""COMPUTED_VALUE"""),22736.79)</f>
        <v>22736.79</v>
      </c>
      <c r="C33" s="29"/>
      <c r="D33" s="65">
        <f>IFERROR(__xludf.DUMMYFUNCTION("""COMPUTED_VALUE"""),22736.79)</f>
        <v>22736.79</v>
      </c>
    </row>
    <row r="34">
      <c r="A34" s="29" t="str">
        <f>IFERROR(__xludf.DUMMYFUNCTION("""COMPUTED_VALUE"""),"C9300L-48P-4X")</f>
        <v>C9300L-48P-4X</v>
      </c>
      <c r="B34" s="65">
        <f>IFERROR(__xludf.DUMMYFUNCTION("""COMPUTED_VALUE"""),25455.65)</f>
        <v>25455.65</v>
      </c>
      <c r="C34" s="29"/>
      <c r="D34" s="65">
        <f>IFERROR(__xludf.DUMMYFUNCTION("""COMPUTED_VALUE"""),25455.65)</f>
        <v>25455.65</v>
      </c>
    </row>
    <row r="35">
      <c r="A35" s="29" t="str">
        <f>IFERROR(__xludf.DUMMYFUNCTION("""COMPUTED_VALUE"""),"C9300-24T")</f>
        <v>C9300-24T</v>
      </c>
      <c r="B35" s="65">
        <f>IFERROR(__xludf.DUMMYFUNCTION("""COMPUTED_VALUE"""),18011.91)</f>
        <v>18011.91</v>
      </c>
      <c r="C35" s="29"/>
      <c r="D35" s="65">
        <f>IFERROR(__xludf.DUMMYFUNCTION("""COMPUTED_VALUE"""),18011.91)</f>
        <v>18011.91</v>
      </c>
    </row>
    <row r="36">
      <c r="A36" s="29" t="str">
        <f>IFERROR(__xludf.DUMMYFUNCTION("""COMPUTED_VALUE"""),"C9300-24P")</f>
        <v>C9300-24P</v>
      </c>
      <c r="B36" s="65">
        <f>IFERROR(__xludf.DUMMYFUNCTION("""COMPUTED_VALUE"""),19547.88)</f>
        <v>19547.88</v>
      </c>
      <c r="C36" s="29"/>
      <c r="D36" s="65">
        <f>IFERROR(__xludf.DUMMYFUNCTION("""COMPUTED_VALUE"""),19547.88)</f>
        <v>19547.88</v>
      </c>
    </row>
    <row r="37">
      <c r="A37" s="29" t="str">
        <f>IFERROR(__xludf.DUMMYFUNCTION("""COMPUTED_VALUE"""),"C9300-24U")</f>
        <v>C9300-24U</v>
      </c>
      <c r="B37" s="65">
        <f>IFERROR(__xludf.DUMMYFUNCTION("""COMPUTED_VALUE"""),20505.61)</f>
        <v>20505.61</v>
      </c>
      <c r="C37" s="29"/>
      <c r="D37" s="65">
        <f>IFERROR(__xludf.DUMMYFUNCTION("""COMPUTED_VALUE"""),20505.61)</f>
        <v>20505.61</v>
      </c>
    </row>
    <row r="38">
      <c r="A38" s="29" t="str">
        <f>IFERROR(__xludf.DUMMYFUNCTION("""COMPUTED_VALUE"""),"C9300-24H")</f>
        <v>C9300-24H</v>
      </c>
      <c r="B38" s="65">
        <f>IFERROR(__xludf.DUMMYFUNCTION("""COMPUTED_VALUE"""),21073.06)</f>
        <v>21073.06</v>
      </c>
      <c r="C38" s="29"/>
      <c r="D38" s="65">
        <f>IFERROR(__xludf.DUMMYFUNCTION("""COMPUTED_VALUE"""),21073.06)</f>
        <v>21073.06</v>
      </c>
    </row>
    <row r="39">
      <c r="A39" s="29" t="str">
        <f>IFERROR(__xludf.DUMMYFUNCTION("""COMPUTED_VALUE"""),"C9300-24S")</f>
        <v>C9300-24S</v>
      </c>
      <c r="B39" s="65">
        <f>IFERROR(__xludf.DUMMYFUNCTION("""COMPUTED_VALUE"""),50184.37)</f>
        <v>50184.37</v>
      </c>
      <c r="C39" s="29"/>
      <c r="D39" s="65">
        <f>IFERROR(__xludf.DUMMYFUNCTION("""COMPUTED_VALUE"""),50184.37)</f>
        <v>50184.37</v>
      </c>
    </row>
    <row r="40">
      <c r="A40" s="29" t="str">
        <f>IFERROR(__xludf.DUMMYFUNCTION("""COMPUTED_VALUE"""),"C9300-24UB")</f>
        <v>C9300-24UB</v>
      </c>
      <c r="B40" s="65">
        <f>IFERROR(__xludf.DUMMYFUNCTION("""COMPUTED_VALUE"""),25086.8)</f>
        <v>25086.8</v>
      </c>
      <c r="C40" s="29"/>
      <c r="D40" s="65">
        <f>IFERROR(__xludf.DUMMYFUNCTION("""COMPUTED_VALUE"""),25086.8)</f>
        <v>25086.8</v>
      </c>
    </row>
    <row r="41">
      <c r="A41" s="29" t="str">
        <f>IFERROR(__xludf.DUMMYFUNCTION("""COMPUTED_VALUE"""),"C9300-48T")</f>
        <v>C9300-48T</v>
      </c>
      <c r="B41" s="65">
        <f>IFERROR(__xludf.DUMMYFUNCTION("""COMPUTED_VALUE"""),26361.21)</f>
        <v>26361.21</v>
      </c>
      <c r="C41" s="29"/>
      <c r="D41" s="65">
        <f>IFERROR(__xludf.DUMMYFUNCTION("""COMPUTED_VALUE"""),26361.21)</f>
        <v>26361.21</v>
      </c>
    </row>
    <row r="42">
      <c r="A42" s="29" t="str">
        <f>IFERROR(__xludf.DUMMYFUNCTION("""COMPUTED_VALUE"""),"C9300-48P")</f>
        <v>C9300-48P</v>
      </c>
      <c r="B42" s="65">
        <f>IFERROR(__xludf.DUMMYFUNCTION("""COMPUTED_VALUE"""),29374.16)</f>
        <v>29374.16</v>
      </c>
      <c r="C42" s="29"/>
      <c r="D42" s="65">
        <f>IFERROR(__xludf.DUMMYFUNCTION("""COMPUTED_VALUE"""),29374.16)</f>
        <v>29374.16</v>
      </c>
    </row>
    <row r="43">
      <c r="A43" s="29" t="str">
        <f>IFERROR(__xludf.DUMMYFUNCTION("""COMPUTED_VALUE"""),"C9300-48U")</f>
        <v>C9300-48U</v>
      </c>
      <c r="B43" s="65">
        <f>IFERROR(__xludf.DUMMYFUNCTION("""COMPUTED_VALUE"""),31290.78)</f>
        <v>31290.78</v>
      </c>
      <c r="C43" s="29"/>
      <c r="D43" s="65">
        <f>IFERROR(__xludf.DUMMYFUNCTION("""COMPUTED_VALUE"""),31290.78)</f>
        <v>31290.78</v>
      </c>
    </row>
    <row r="44">
      <c r="A44" s="29" t="str">
        <f>IFERROR(__xludf.DUMMYFUNCTION("""COMPUTED_VALUE"""),"C9300-48H")</f>
        <v>C9300-48H</v>
      </c>
      <c r="B44" s="65">
        <f>IFERROR(__xludf.DUMMYFUNCTION("""COMPUTED_VALUE"""),32286.54)</f>
        <v>32286.54</v>
      </c>
      <c r="C44" s="29"/>
      <c r="D44" s="65">
        <f>IFERROR(__xludf.DUMMYFUNCTION("""COMPUTED_VALUE"""),32286.54)</f>
        <v>32286.54</v>
      </c>
    </row>
    <row r="45">
      <c r="A45" s="29" t="str">
        <f>IFERROR(__xludf.DUMMYFUNCTION("""COMPUTED_VALUE"""),"C9300-48S")</f>
        <v>C9300-48S</v>
      </c>
      <c r="B45" s="65">
        <f>IFERROR(__xludf.DUMMYFUNCTION("""COMPUTED_VALUE"""),57322.71)</f>
        <v>57322.71</v>
      </c>
      <c r="C45" s="29"/>
      <c r="D45" s="65">
        <f>IFERROR(__xludf.DUMMYFUNCTION("""COMPUTED_VALUE"""),57322.71)</f>
        <v>57322.71</v>
      </c>
    </row>
    <row r="46">
      <c r="A46" s="29" t="str">
        <f>IFERROR(__xludf.DUMMYFUNCTION("""COMPUTED_VALUE"""),"C9300-48UB")</f>
        <v>C9300-48UB</v>
      </c>
      <c r="B46" s="65">
        <f>IFERROR(__xludf.DUMMYFUNCTION("""COMPUTED_VALUE"""),37491.48)</f>
        <v>37491.48</v>
      </c>
      <c r="C46" s="29"/>
      <c r="D46" s="65">
        <f>IFERROR(__xludf.DUMMYFUNCTION("""COMPUTED_VALUE"""),37491.48)</f>
        <v>37491.48</v>
      </c>
    </row>
    <row r="47">
      <c r="A47" s="29" t="str">
        <f>IFERROR(__xludf.DUMMYFUNCTION("""COMPUTED_VALUE"""),"C1300-8T-E-2G")</f>
        <v>C1300-8T-E-2G</v>
      </c>
      <c r="B47" s="65">
        <f>IFERROR(__xludf.DUMMYFUNCTION("""COMPUTED_VALUE"""),463.29)</f>
        <v>463.29</v>
      </c>
      <c r="C47" s="29"/>
      <c r="D47" s="65">
        <f>IFERROR(__xludf.DUMMYFUNCTION("""COMPUTED_VALUE"""),463.29)</f>
        <v>463.29</v>
      </c>
    </row>
    <row r="48">
      <c r="A48" s="29" t="str">
        <f>IFERROR(__xludf.DUMMYFUNCTION("""COMPUTED_VALUE"""),"C1300-8P-E-2G")</f>
        <v>C1300-8P-E-2G</v>
      </c>
      <c r="B48" s="65">
        <f>IFERROR(__xludf.DUMMYFUNCTION("""COMPUTED_VALUE"""),570.56)</f>
        <v>570.56</v>
      </c>
      <c r="C48" s="29"/>
      <c r="D48" s="65">
        <f>IFERROR(__xludf.DUMMYFUNCTION("""COMPUTED_VALUE"""),570.56)</f>
        <v>570.56</v>
      </c>
    </row>
    <row r="49">
      <c r="A49" s="29" t="str">
        <f>IFERROR(__xludf.DUMMYFUNCTION("""COMPUTED_VALUE"""),"C1300-8FP-2G")</f>
        <v>C1300-8FP-2G</v>
      </c>
      <c r="B49" s="65">
        <f>IFERROR(__xludf.DUMMYFUNCTION("""COMPUTED_VALUE"""),757.69)</f>
        <v>757.69</v>
      </c>
      <c r="C49" s="29"/>
      <c r="D49" s="65">
        <f>IFERROR(__xludf.DUMMYFUNCTION("""COMPUTED_VALUE"""),757.69)</f>
        <v>757.69</v>
      </c>
    </row>
    <row r="50">
      <c r="A50" s="29" t="str">
        <f>IFERROR(__xludf.DUMMYFUNCTION("""COMPUTED_VALUE"""),"C1300-16T-2G")</f>
        <v>C1300-16T-2G</v>
      </c>
      <c r="B50" s="65">
        <f>IFERROR(__xludf.DUMMYFUNCTION("""COMPUTED_VALUE"""),655.57)</f>
        <v>655.57</v>
      </c>
      <c r="C50" s="29"/>
      <c r="D50" s="65">
        <f>IFERROR(__xludf.DUMMYFUNCTION("""COMPUTED_VALUE"""),655.57)</f>
        <v>655.57</v>
      </c>
    </row>
    <row r="51">
      <c r="A51" s="29" t="str">
        <f>IFERROR(__xludf.DUMMYFUNCTION("""COMPUTED_VALUE"""),"C1300-16P-2G")</f>
        <v>C1300-16P-2G</v>
      </c>
      <c r="B51" s="65">
        <f>IFERROR(__xludf.DUMMYFUNCTION("""COMPUTED_VALUE"""),952.7)</f>
        <v>952.7</v>
      </c>
      <c r="C51" s="29"/>
      <c r="D51" s="65">
        <f>IFERROR(__xludf.DUMMYFUNCTION("""COMPUTED_VALUE"""),952.7)</f>
        <v>952.7</v>
      </c>
    </row>
    <row r="52">
      <c r="A52" s="29" t="str">
        <f>IFERROR(__xludf.DUMMYFUNCTION("""COMPUTED_VALUE"""),"C1300-16FP-2G")</f>
        <v>C1300-16FP-2G</v>
      </c>
      <c r="B52" s="65">
        <f>IFERROR(__xludf.DUMMYFUNCTION("""COMPUTED_VALUE"""),1350.49)</f>
        <v>1350.49</v>
      </c>
      <c r="C52" s="29"/>
      <c r="D52" s="65">
        <f>IFERROR(__xludf.DUMMYFUNCTION("""COMPUTED_VALUE"""),1350.49)</f>
        <v>1350.49</v>
      </c>
    </row>
    <row r="53">
      <c r="A53" s="29" t="str">
        <f>IFERROR(__xludf.DUMMYFUNCTION("""COMPUTED_VALUE"""),"C1300-24T-4G")</f>
        <v>C1300-24T-4G</v>
      </c>
      <c r="B53" s="65">
        <f>IFERROR(__xludf.DUMMYFUNCTION("""COMPUTED_VALUE"""),913.34)</f>
        <v>913.34</v>
      </c>
      <c r="C53" s="29"/>
      <c r="D53" s="65">
        <f>IFERROR(__xludf.DUMMYFUNCTION("""COMPUTED_VALUE"""),913.34)</f>
        <v>913.34</v>
      </c>
    </row>
    <row r="54">
      <c r="A54" s="29" t="str">
        <f>IFERROR(__xludf.DUMMYFUNCTION("""COMPUTED_VALUE"""),"C1300-24P-4G")</f>
        <v>C1300-24P-4G</v>
      </c>
      <c r="B54" s="65">
        <f>IFERROR(__xludf.DUMMYFUNCTION("""COMPUTED_VALUE"""),1300.65)</f>
        <v>1300.65</v>
      </c>
      <c r="C54" s="29"/>
      <c r="D54" s="65">
        <f>IFERROR(__xludf.DUMMYFUNCTION("""COMPUTED_VALUE"""),1300.65)</f>
        <v>1300.65</v>
      </c>
    </row>
    <row r="55">
      <c r="A55" s="29" t="str">
        <f>IFERROR(__xludf.DUMMYFUNCTION("""COMPUTED_VALUE"""),"C1300-24FP-4G")</f>
        <v>C1300-24FP-4G</v>
      </c>
      <c r="B55" s="65">
        <f>IFERROR(__xludf.DUMMYFUNCTION("""COMPUTED_VALUE"""),1770.54)</f>
        <v>1770.54</v>
      </c>
      <c r="C55" s="29"/>
      <c r="D55" s="65">
        <f>IFERROR(__xludf.DUMMYFUNCTION("""COMPUTED_VALUE"""),1770.54)</f>
        <v>1770.54</v>
      </c>
    </row>
    <row r="56">
      <c r="A56" s="29" t="str">
        <f>IFERROR(__xludf.DUMMYFUNCTION("""COMPUTED_VALUE"""),"C1300-48T-4G")</f>
        <v>C1300-48T-4G</v>
      </c>
      <c r="B56" s="65">
        <f>IFERROR(__xludf.DUMMYFUNCTION("""COMPUTED_VALUE"""),1434.22)</f>
        <v>1434.22</v>
      </c>
      <c r="C56" s="29"/>
      <c r="D56" s="65">
        <f>IFERROR(__xludf.DUMMYFUNCTION("""COMPUTED_VALUE"""),1434.22)</f>
        <v>1434.22</v>
      </c>
    </row>
    <row r="57">
      <c r="A57" s="29" t="str">
        <f>IFERROR(__xludf.DUMMYFUNCTION("""COMPUTED_VALUE"""),"C1300-48P-4G")</f>
        <v>C1300-48P-4G</v>
      </c>
      <c r="B57" s="65">
        <f>IFERROR(__xludf.DUMMYFUNCTION("""COMPUTED_VALUE"""),2368.53)</f>
        <v>2368.53</v>
      </c>
      <c r="C57" s="29"/>
      <c r="D57" s="65">
        <f>IFERROR(__xludf.DUMMYFUNCTION("""COMPUTED_VALUE"""),2368.53)</f>
        <v>2368.53</v>
      </c>
    </row>
    <row r="58">
      <c r="A58" s="29" t="str">
        <f>IFERROR(__xludf.DUMMYFUNCTION("""COMPUTED_VALUE"""),"C1300-48FP-4G")</f>
        <v>C1300-48FP-4G</v>
      </c>
      <c r="B58" s="65">
        <f>IFERROR(__xludf.DUMMYFUNCTION("""COMPUTED_VALUE"""),2962.61)</f>
        <v>2962.61</v>
      </c>
      <c r="C58" s="29"/>
      <c r="D58" s="65">
        <f>IFERROR(__xludf.DUMMYFUNCTION("""COMPUTED_VALUE"""),2962.61)</f>
        <v>2962.61</v>
      </c>
    </row>
    <row r="59">
      <c r="A59" s="29" t="str">
        <f>IFERROR(__xludf.DUMMYFUNCTION("""COMPUTED_VALUE"""),"C1300-16P-4X")</f>
        <v>C1300-16P-4X</v>
      </c>
      <c r="B59" s="65">
        <f>IFERROR(__xludf.DUMMYFUNCTION("""COMPUTED_VALUE"""),1019.52)</f>
        <v>1019.52</v>
      </c>
      <c r="C59" s="29"/>
      <c r="D59" s="65">
        <f>IFERROR(__xludf.DUMMYFUNCTION("""COMPUTED_VALUE"""),1019.52)</f>
        <v>1019.52</v>
      </c>
    </row>
    <row r="60">
      <c r="A60" s="29" t="str">
        <f>IFERROR(__xludf.DUMMYFUNCTION("""COMPUTED_VALUE"""),"C1300-24T-4X")</f>
        <v>C1300-24T-4X</v>
      </c>
      <c r="B60" s="65">
        <f>IFERROR(__xludf.DUMMYFUNCTION("""COMPUTED_VALUE"""),1315.75)</f>
        <v>1315.75</v>
      </c>
      <c r="C60" s="29"/>
      <c r="D60" s="65">
        <f>IFERROR(__xludf.DUMMYFUNCTION("""COMPUTED_VALUE"""),1315.75)</f>
        <v>1315.75</v>
      </c>
    </row>
    <row r="61">
      <c r="A61" s="29" t="str">
        <f>IFERROR(__xludf.DUMMYFUNCTION("""COMPUTED_VALUE"""),"C1300-24P-4X")</f>
        <v>C1300-24P-4X</v>
      </c>
      <c r="B61" s="65">
        <f>IFERROR(__xludf.DUMMYFUNCTION("""COMPUTED_VALUE"""),1567.48)</f>
        <v>1567.48</v>
      </c>
      <c r="C61" s="29"/>
      <c r="D61" s="65">
        <f>IFERROR(__xludf.DUMMYFUNCTION("""COMPUTED_VALUE"""),1567.48)</f>
        <v>1567.48</v>
      </c>
    </row>
    <row r="62">
      <c r="A62" s="29" t="str">
        <f>IFERROR(__xludf.DUMMYFUNCTION("""COMPUTED_VALUE"""),"C1300-24FP-4X")</f>
        <v>C1300-24FP-4X</v>
      </c>
      <c r="B62" s="65">
        <f>IFERROR(__xludf.DUMMYFUNCTION("""COMPUTED_VALUE"""),2131.86)</f>
        <v>2131.86</v>
      </c>
      <c r="C62" s="29"/>
      <c r="D62" s="65">
        <f>IFERROR(__xludf.DUMMYFUNCTION("""COMPUTED_VALUE"""),2131.86)</f>
        <v>2131.86</v>
      </c>
    </row>
    <row r="63">
      <c r="A63" s="29" t="str">
        <f>IFERROR(__xludf.DUMMYFUNCTION("""COMPUTED_VALUE"""),"C1300-48T-4X")</f>
        <v>C1300-48T-4X</v>
      </c>
      <c r="B63" s="65">
        <f>IFERROR(__xludf.DUMMYFUNCTION("""COMPUTED_VALUE"""),2062.75)</f>
        <v>2062.75</v>
      </c>
      <c r="C63" s="29"/>
      <c r="D63" s="65">
        <f>IFERROR(__xludf.DUMMYFUNCTION("""COMPUTED_VALUE"""),2062.75)</f>
        <v>2062.75</v>
      </c>
    </row>
    <row r="64">
      <c r="A64" s="29" t="str">
        <f>IFERROR(__xludf.DUMMYFUNCTION("""COMPUTED_VALUE"""),"C1300-48P-4X")</f>
        <v>C1300-48P-4X</v>
      </c>
      <c r="B64" s="65">
        <f>IFERROR(__xludf.DUMMYFUNCTION("""COMPUTED_VALUE"""),2557.45)</f>
        <v>2557.45</v>
      </c>
      <c r="C64" s="29"/>
      <c r="D64" s="65">
        <f>IFERROR(__xludf.DUMMYFUNCTION("""COMPUTED_VALUE"""),2557.45)</f>
        <v>2557.45</v>
      </c>
    </row>
    <row r="65">
      <c r="A65" s="29" t="str">
        <f>IFERROR(__xludf.DUMMYFUNCTION("""COMPUTED_VALUE"""),"C1300-48FP-4X")</f>
        <v>C1300-48FP-4X</v>
      </c>
      <c r="B65" s="65">
        <f>IFERROR(__xludf.DUMMYFUNCTION("""COMPUTED_VALUE"""),3302.25)</f>
        <v>3302.25</v>
      </c>
      <c r="C65" s="29"/>
      <c r="D65" s="65">
        <f>IFERROR(__xludf.DUMMYFUNCTION("""COMPUTED_VALUE"""),3302.25)</f>
        <v>3302.25</v>
      </c>
    </row>
    <row r="66">
      <c r="A66" s="29" t="str">
        <f>IFERROR(__xludf.DUMMYFUNCTION("""COMPUTED_VALUE"""),"C1300-12XT-2X")</f>
        <v>C1300-12XT-2X</v>
      </c>
      <c r="B66" s="65">
        <f>IFERROR(__xludf.DUMMYFUNCTION("""COMPUTED_VALUE"""),2264.01)</f>
        <v>2264.01</v>
      </c>
      <c r="C66" s="29"/>
      <c r="D66" s="65">
        <f>IFERROR(__xludf.DUMMYFUNCTION("""COMPUTED_VALUE"""),2264.01)</f>
        <v>2264.01</v>
      </c>
    </row>
    <row r="67">
      <c r="A67" s="29" t="str">
        <f>IFERROR(__xludf.DUMMYFUNCTION("""COMPUTED_VALUE"""),"C1300-12XS")</f>
        <v>C1300-12XS</v>
      </c>
      <c r="B67" s="65">
        <f>IFERROR(__xludf.DUMMYFUNCTION("""COMPUTED_VALUE"""),2306.8)</f>
        <v>2306.8</v>
      </c>
      <c r="C67" s="29"/>
      <c r="D67" s="65">
        <f>IFERROR(__xludf.DUMMYFUNCTION("""COMPUTED_VALUE"""),2306.8)</f>
        <v>2306.8</v>
      </c>
    </row>
    <row r="68">
      <c r="A68" s="29" t="str">
        <f>IFERROR(__xludf.DUMMYFUNCTION("""COMPUTED_VALUE"""),"C1300-16XTS")</f>
        <v>C1300-16XTS</v>
      </c>
      <c r="B68" s="65">
        <f>IFERROR(__xludf.DUMMYFUNCTION("""COMPUTED_VALUE"""),3602.8)</f>
        <v>3602.8</v>
      </c>
      <c r="C68" s="29"/>
      <c r="D68" s="65">
        <f>IFERROR(__xludf.DUMMYFUNCTION("""COMPUTED_VALUE"""),3602.8)</f>
        <v>3602.8</v>
      </c>
    </row>
    <row r="69">
      <c r="A69" s="29" t="str">
        <f>IFERROR(__xludf.DUMMYFUNCTION("""COMPUTED_VALUE"""),"C1300-24XS")</f>
        <v>C1300-24XS</v>
      </c>
      <c r="B69" s="65">
        <f>IFERROR(__xludf.DUMMYFUNCTION("""COMPUTED_VALUE"""),3725.66)</f>
        <v>3725.66</v>
      </c>
      <c r="C69" s="29"/>
      <c r="D69" s="65">
        <f>IFERROR(__xludf.DUMMYFUNCTION("""COMPUTED_VALUE"""),3725.66)</f>
        <v>3725.66</v>
      </c>
    </row>
    <row r="70">
      <c r="A70" s="29" t="str">
        <f>IFERROR(__xludf.DUMMYFUNCTION("""COMPUTED_VALUE"""),"C1300-24XT")</f>
        <v>C1300-24XT</v>
      </c>
      <c r="B70" s="65">
        <f>IFERROR(__xludf.DUMMYFUNCTION("""COMPUTED_VALUE"""),4790.18)</f>
        <v>4790.18</v>
      </c>
      <c r="C70" s="29"/>
      <c r="D70" s="65">
        <f>IFERROR(__xludf.DUMMYFUNCTION("""COMPUTED_VALUE"""),4790.18)</f>
        <v>4790.18</v>
      </c>
    </row>
    <row r="71">
      <c r="A71" s="29" t="str">
        <f>IFERROR(__xludf.DUMMYFUNCTION("""COMPUTED_VALUE"""),"C1300-24XTS")</f>
        <v>C1300-24XTS</v>
      </c>
      <c r="B71" s="65">
        <f>IFERROR(__xludf.DUMMYFUNCTION("""COMPUTED_VALUE"""),4622.36)</f>
        <v>4622.36</v>
      </c>
      <c r="C71" s="29"/>
      <c r="D71" s="65">
        <f>IFERROR(__xludf.DUMMYFUNCTION("""COMPUTED_VALUE"""),4622.36)</f>
        <v>4622.36</v>
      </c>
    </row>
    <row r="72">
      <c r="A72" s="29" t="str">
        <f>IFERROR(__xludf.DUMMYFUNCTION("""COMPUTED_VALUE"""),"C1300X-24T-4X")</f>
        <v>C1300X-24T-4X</v>
      </c>
      <c r="B72" s="65">
        <f>IFERROR(__xludf.DUMMYFUNCTION("""COMPUTED_VALUE"""),1379.74)</f>
        <v>1379.74</v>
      </c>
      <c r="C72" s="29"/>
      <c r="D72" s="65">
        <f>IFERROR(__xludf.DUMMYFUNCTION("""COMPUTED_VALUE"""),1379.74)</f>
        <v>1379.74</v>
      </c>
    </row>
    <row r="73">
      <c r="A73" s="29" t="str">
        <f>IFERROR(__xludf.DUMMYFUNCTION("""COMPUTED_VALUE"""),"C1300X-48T-4X")</f>
        <v>C1300X-48T-4X</v>
      </c>
      <c r="B73" s="65">
        <f>IFERROR(__xludf.DUMMYFUNCTION("""COMPUTED_VALUE"""),2116.76)</f>
        <v>2116.76</v>
      </c>
      <c r="C73" s="29"/>
      <c r="D73" s="65">
        <f>IFERROR(__xludf.DUMMYFUNCTION("""COMPUTED_VALUE"""),2116.76)</f>
        <v>2116.76</v>
      </c>
    </row>
    <row r="74">
      <c r="A74" s="29" t="str">
        <f>IFERROR(__xludf.DUMMYFUNCTION("""COMPUTED_VALUE"""),"C1300X-24P-4X")</f>
        <v>C1300X-24P-4X</v>
      </c>
      <c r="B74" s="65">
        <f>IFERROR(__xludf.DUMMYFUNCTION("""COMPUTED_VALUE"""),2238.02)</f>
        <v>2238.02</v>
      </c>
      <c r="C74" s="29"/>
      <c r="D74" s="65">
        <f>IFERROR(__xludf.DUMMYFUNCTION("""COMPUTED_VALUE"""),2238.02)</f>
        <v>2238.02</v>
      </c>
    </row>
    <row r="75">
      <c r="A75" s="29" t="str">
        <f>IFERROR(__xludf.DUMMYFUNCTION("""COMPUTED_VALUE"""),"C1300X-48P-4X")</f>
        <v>C1300X-48P-4X</v>
      </c>
      <c r="B75" s="65">
        <f>IFERROR(__xludf.DUMMYFUNCTION("""COMPUTED_VALUE"""),3466.95)</f>
        <v>3466.95</v>
      </c>
      <c r="C75" s="29"/>
      <c r="D75" s="65">
        <f>IFERROR(__xludf.DUMMYFUNCTION("""COMPUTED_VALUE"""),3466.95)</f>
        <v>3466.95</v>
      </c>
    </row>
    <row r="76">
      <c r="A76" s="29" t="str">
        <f>IFERROR(__xludf.DUMMYFUNCTION("""COMPUTED_VALUE"""),"C9500-32C")</f>
        <v>C9500-32C</v>
      </c>
      <c r="B76" s="65">
        <f>IFERROR(__xludf.DUMMYFUNCTION("""COMPUTED_VALUE"""),86779.49)</f>
        <v>86779.49</v>
      </c>
      <c r="C76" s="29"/>
      <c r="D76" s="65">
        <f>IFERROR(__xludf.DUMMYFUNCTION("""COMPUTED_VALUE"""),86779.49)</f>
        <v>86779.49</v>
      </c>
    </row>
    <row r="77">
      <c r="A77" s="29" t="str">
        <f>IFERROR(__xludf.DUMMYFUNCTION("""COMPUTED_VALUE"""),"C9500-32QC")</f>
        <v>C9500-32QC</v>
      </c>
      <c r="B77" s="65">
        <f>IFERROR(__xludf.DUMMYFUNCTION("""COMPUTED_VALUE"""),78332.98)</f>
        <v>78332.98</v>
      </c>
      <c r="C77" s="29"/>
      <c r="D77" s="65">
        <f>IFERROR(__xludf.DUMMYFUNCTION("""COMPUTED_VALUE"""),78332.98)</f>
        <v>78332.98</v>
      </c>
    </row>
    <row r="78">
      <c r="A78" s="29" t="str">
        <f>IFERROR(__xludf.DUMMYFUNCTION("""COMPUTED_VALUE"""),"C9500-48Y4C")</f>
        <v>C9500-48Y4C</v>
      </c>
      <c r="B78" s="65">
        <f>IFERROR(__xludf.DUMMYFUNCTION("""COMPUTED_VALUE"""),66036.97)</f>
        <v>66036.97</v>
      </c>
      <c r="C78" s="29"/>
      <c r="D78" s="65">
        <f>IFERROR(__xludf.DUMMYFUNCTION("""COMPUTED_VALUE"""),66036.97)</f>
        <v>66036.97</v>
      </c>
    </row>
    <row r="79">
      <c r="A79" s="29" t="str">
        <f>IFERROR(__xludf.DUMMYFUNCTION("""COMPUTED_VALUE"""),"C9500-24Y4C")</f>
        <v>C9500-24Y4C</v>
      </c>
      <c r="B79" s="65">
        <f>IFERROR(__xludf.DUMMYFUNCTION("""COMPUTED_VALUE"""),55686.03)</f>
        <v>55686.03</v>
      </c>
      <c r="C79" s="29"/>
      <c r="D79" s="65">
        <f>IFERROR(__xludf.DUMMYFUNCTION("""COMPUTED_VALUE"""),55686.03)</f>
        <v>55686.03</v>
      </c>
    </row>
    <row r="80">
      <c r="A80" s="29" t="str">
        <f>IFERROR(__xludf.DUMMYFUNCTION("""COMPUTED_VALUE"""),"C9500X-28C8D")</f>
        <v>C9500X-28C8D</v>
      </c>
      <c r="B80" s="65">
        <f>IFERROR(__xludf.DUMMYFUNCTION("""COMPUTED_VALUE"""),170302.47)</f>
        <v>170302.47</v>
      </c>
      <c r="C80" s="29"/>
      <c r="D80" s="65">
        <f>IFERROR(__xludf.DUMMYFUNCTION("""COMPUTED_VALUE"""),170302.47)</f>
        <v>170302.47</v>
      </c>
    </row>
    <row r="81">
      <c r="A81" s="29" t="str">
        <f>IFERROR(__xludf.DUMMYFUNCTION("""COMPUTED_VALUE"""),"C9500X-60L4D")</f>
        <v>C9500X-60L4D</v>
      </c>
      <c r="B81" s="65">
        <f>IFERROR(__xludf.DUMMYFUNCTION("""COMPUTED_VALUE"""),130669.25)</f>
        <v>130669.25</v>
      </c>
      <c r="C81" s="29"/>
      <c r="D81" s="65">
        <f>IFERROR(__xludf.DUMMYFUNCTION("""COMPUTED_VALUE"""),130669.25)</f>
        <v>130669.25</v>
      </c>
    </row>
    <row r="82">
      <c r="A82" s="29" t="str">
        <f>IFERROR(__xludf.DUMMYFUNCTION("""COMPUTED_VALUE"""),"C9500-16X")</f>
        <v>C9500-16X</v>
      </c>
      <c r="B82" s="65">
        <f>IFERROR(__xludf.DUMMYFUNCTION("""COMPUTED_VALUE"""),41745.39)</f>
        <v>41745.39</v>
      </c>
      <c r="C82" s="29"/>
      <c r="D82" s="65">
        <f>IFERROR(__xludf.DUMMYFUNCTION("""COMPUTED_VALUE"""),41745.39)</f>
        <v>41745.39</v>
      </c>
    </row>
    <row r="83">
      <c r="A83" s="29" t="str">
        <f>IFERROR(__xludf.DUMMYFUNCTION("""COMPUTED_VALUE"""),"APIC-CLUSTERG5")</f>
        <v>APIC-CLUSTERG5</v>
      </c>
      <c r="B83" s="65">
        <f>IFERROR(__xludf.DUMMYFUNCTION("""COMPUTED_VALUE"""),161856.78)</f>
        <v>161856.78</v>
      </c>
      <c r="C83" s="29"/>
      <c r="D83" s="65">
        <f>IFERROR(__xludf.DUMMYFUNCTION("""COMPUTED_VALUE"""),161856.78)</f>
        <v>161856.78</v>
      </c>
    </row>
    <row r="84">
      <c r="A84" s="29" t="str">
        <f>IFERROR(__xludf.DUMMYFUNCTION("""COMPUTED_VALUE"""),"N9K-C9504")</f>
        <v>N9K-C9504</v>
      </c>
      <c r="B84" s="65">
        <f>IFERROR(__xludf.DUMMYFUNCTION("""COMPUTED_VALUE"""),383674.39)</f>
        <v>383674.39</v>
      </c>
      <c r="C84" s="29"/>
      <c r="D84" s="65">
        <f>IFERROR(__xludf.DUMMYFUNCTION("""COMPUTED_VALUE"""),383674.39)</f>
        <v>383674.39</v>
      </c>
    </row>
    <row r="85">
      <c r="A85" s="29" t="str">
        <f>IFERROR(__xludf.DUMMYFUNCTION("""COMPUTED_VALUE"""),"N9K-C9508")</f>
        <v>N9K-C9508</v>
      </c>
      <c r="B85" s="65">
        <f>IFERROR(__xludf.DUMMYFUNCTION("""COMPUTED_VALUE"""),645324.61)</f>
        <v>645324.61</v>
      </c>
      <c r="C85" s="29"/>
      <c r="D85" s="65">
        <f>IFERROR(__xludf.DUMMYFUNCTION("""COMPUTED_VALUE"""),645324.61)</f>
        <v>645324.61</v>
      </c>
    </row>
    <row r="86">
      <c r="A86" s="29" t="str">
        <f>IFERROR(__xludf.DUMMYFUNCTION("""COMPUTED_VALUE"""),"N9K-C9516")</f>
        <v>N9K-C9516</v>
      </c>
      <c r="B86" s="65">
        <f>IFERROR(__xludf.DUMMYFUNCTION("""COMPUTED_VALUE"""),761874.61)</f>
        <v>761874.61</v>
      </c>
      <c r="C86" s="29"/>
      <c r="D86" s="65">
        <f>IFERROR(__xludf.DUMMYFUNCTION("""COMPUTED_VALUE"""),761874.61)</f>
        <v>761874.61</v>
      </c>
    </row>
    <row r="87">
      <c r="A87" s="29" t="str">
        <f>IFERROR(__xludf.DUMMYFUNCTION("""COMPUTED_VALUE"""),"N9K-X9736C-FX3=")</f>
        <v>N9K-X9736C-FX3=</v>
      </c>
      <c r="B87" s="65">
        <f>IFERROR(__xludf.DUMMYFUNCTION("""COMPUTED_VALUE"""),59012.02)</f>
        <v>59012.02</v>
      </c>
      <c r="C87" s="29"/>
      <c r="D87" s="65">
        <f>IFERROR(__xludf.DUMMYFUNCTION("""COMPUTED_VALUE"""),59012.02)</f>
        <v>59012.02</v>
      </c>
    </row>
    <row r="88">
      <c r="A88" s="29" t="str">
        <f>IFERROR(__xludf.DUMMYFUNCTION("""COMPUTED_VALUE"""),"N9K-C9364C-GX")</f>
        <v>N9K-C9364C-GX</v>
      </c>
      <c r="B88" s="65">
        <f>IFERROR(__xludf.DUMMYFUNCTION("""COMPUTED_VALUE"""),150153.17)</f>
        <v>150153.17</v>
      </c>
      <c r="C88" s="29"/>
      <c r="D88" s="65">
        <f>IFERROR(__xludf.DUMMYFUNCTION("""COMPUTED_VALUE"""),150153.17)</f>
        <v>150153.17</v>
      </c>
    </row>
    <row r="89">
      <c r="A89" s="29" t="str">
        <f>IFERROR(__xludf.DUMMYFUNCTION("""COMPUTED_VALUE"""),"N9K-C9316D-GX")</f>
        <v>N9K-C9316D-GX</v>
      </c>
      <c r="B89" s="65">
        <f>IFERROR(__xludf.DUMMYFUNCTION("""COMPUTED_VALUE"""),125701.93)</f>
        <v>125701.93</v>
      </c>
      <c r="C89" s="29"/>
      <c r="D89" s="65">
        <f>IFERROR(__xludf.DUMMYFUNCTION("""COMPUTED_VALUE"""),125701.93)</f>
        <v>125701.93</v>
      </c>
    </row>
    <row r="90">
      <c r="A90" s="29" t="str">
        <f>IFERROR(__xludf.DUMMYFUNCTION("""COMPUTED_VALUE"""),"N9K-C93600CD-GX")</f>
        <v>N9K-C93600CD-GX</v>
      </c>
      <c r="B90" s="65">
        <f>IFERROR(__xludf.DUMMYFUNCTION("""COMPUTED_VALUE"""),121246.9)</f>
        <v>121246.9</v>
      </c>
      <c r="C90" s="29"/>
      <c r="D90" s="65">
        <f>IFERROR(__xludf.DUMMYFUNCTION("""COMPUTED_VALUE"""),121246.9)</f>
        <v>121246.9</v>
      </c>
    </row>
    <row r="91">
      <c r="A91" s="29" t="str">
        <f>IFERROR(__xludf.DUMMYFUNCTION("""COMPUTED_VALUE"""),"N9K-C93180YC-FX3")</f>
        <v>N9K-C93180YC-FX3</v>
      </c>
      <c r="B91" s="65">
        <f>IFERROR(__xludf.DUMMYFUNCTION("""COMPUTED_VALUE"""),73302.82)</f>
        <v>73302.82</v>
      </c>
      <c r="C91" s="29"/>
      <c r="D91" s="65">
        <f>IFERROR(__xludf.DUMMYFUNCTION("""COMPUTED_VALUE"""),73302.82)</f>
        <v>73302.82</v>
      </c>
    </row>
    <row r="92">
      <c r="A92" s="29" t="str">
        <f>IFERROR(__xludf.DUMMYFUNCTION("""COMPUTED_VALUE"""),"N9K-C93240YC-FX2")</f>
        <v>N9K-C93240YC-FX2</v>
      </c>
      <c r="B92" s="65">
        <f>IFERROR(__xludf.DUMMYFUNCTION("""COMPUTED_VALUE"""),81871.35)</f>
        <v>81871.35</v>
      </c>
      <c r="C92" s="29"/>
      <c r="D92" s="65">
        <f>IFERROR(__xludf.DUMMYFUNCTION("""COMPUTED_VALUE"""),81871.35)</f>
        <v>81871.35</v>
      </c>
    </row>
    <row r="93">
      <c r="A93" s="29" t="str">
        <f>IFERROR(__xludf.DUMMYFUNCTION("""COMPUTED_VALUE"""),"N9K-C93360YC-FX2")</f>
        <v>N9K-C93360YC-FX2</v>
      </c>
      <c r="B93" s="65">
        <f>IFERROR(__xludf.DUMMYFUNCTION("""COMPUTED_VALUE"""),95456.27)</f>
        <v>95456.27</v>
      </c>
      <c r="C93" s="29"/>
      <c r="D93" s="65">
        <f>IFERROR(__xludf.DUMMYFUNCTION("""COMPUTED_VALUE"""),95456.27)</f>
        <v>95456.27</v>
      </c>
    </row>
    <row r="94">
      <c r="A94" s="29" t="str">
        <f>IFERROR(__xludf.DUMMYFUNCTION("""COMPUTED_VALUE"""),"N9K-C93216TC-FX2")</f>
        <v>N9K-C93216TC-FX2</v>
      </c>
      <c r="B94" s="65">
        <f>IFERROR(__xludf.DUMMYFUNCTION("""COMPUTED_VALUE"""),95212.19)</f>
        <v>95212.19</v>
      </c>
      <c r="C94" s="29"/>
      <c r="D94" s="65">
        <f>IFERROR(__xludf.DUMMYFUNCTION("""COMPUTED_VALUE"""),95212.19)</f>
        <v>95212.19</v>
      </c>
    </row>
    <row r="95">
      <c r="A95" s="29" t="str">
        <f>IFERROR(__xludf.DUMMYFUNCTION("""COMPUTED_VALUE"""),"N9K-C93108TC-FX3")</f>
        <v>N9K-C93108TC-FX3</v>
      </c>
      <c r="B95" s="65">
        <f>IFERROR(__xludf.DUMMYFUNCTION("""COMPUTED_VALUE"""),78416.27)</f>
        <v>78416.27</v>
      </c>
      <c r="C95" s="29"/>
      <c r="D95" s="65">
        <f>IFERROR(__xludf.DUMMYFUNCTION("""COMPUTED_VALUE"""),78416.27)</f>
        <v>78416.27</v>
      </c>
    </row>
    <row r="96">
      <c r="A96" s="29" t="str">
        <f>IFERROR(__xludf.DUMMYFUNCTION("""COMPUTED_VALUE"""),"N9K-C9348GC-FX3")</f>
        <v>N9K-C9348GC-FX3</v>
      </c>
      <c r="B96" s="65">
        <f>IFERROR(__xludf.DUMMYFUNCTION("""COMPUTED_VALUE"""),32577.06)</f>
        <v>32577.06</v>
      </c>
      <c r="C96" s="29"/>
      <c r="D96" s="65">
        <f>IFERROR(__xludf.DUMMYFUNCTION("""COMPUTED_VALUE"""),32577.06)</f>
        <v>32577.06</v>
      </c>
    </row>
    <row r="97">
      <c r="A97" s="29" t="str">
        <f>IFERROR(__xludf.DUMMYFUNCTION("""COMPUTED_VALUE"""),"C1161X-8P")</f>
        <v>C1161X-8P</v>
      </c>
      <c r="B97" s="65">
        <f>IFERROR(__xludf.DUMMYFUNCTION("""COMPUTED_VALUE"""),10265.06)</f>
        <v>10265.06</v>
      </c>
      <c r="C97" s="29"/>
      <c r="D97" s="65">
        <f>IFERROR(__xludf.DUMMYFUNCTION("""COMPUTED_VALUE"""),10265.06)</f>
        <v>10265.06</v>
      </c>
    </row>
    <row r="98">
      <c r="A98" s="29" t="str">
        <f>IFERROR(__xludf.DUMMYFUNCTION("""COMPUTED_VALUE"""),"C1127-8PLTEP")</f>
        <v>C1127-8PLTEP</v>
      </c>
      <c r="B98" s="65">
        <f>IFERROR(__xludf.DUMMYFUNCTION("""COMPUTED_VALUE"""),8935.48)</f>
        <v>8935.48</v>
      </c>
      <c r="C98" s="29"/>
      <c r="D98" s="65">
        <f>IFERROR(__xludf.DUMMYFUNCTION("""COMPUTED_VALUE"""),8935.48)</f>
        <v>8935.48</v>
      </c>
    </row>
    <row r="99">
      <c r="A99" s="29" t="str">
        <f>IFERROR(__xludf.DUMMYFUNCTION("""COMPUTED_VALUE"""),"C1117-4P")</f>
        <v>C1117-4P</v>
      </c>
      <c r="B99" s="65">
        <f>IFERROR(__xludf.DUMMYFUNCTION("""COMPUTED_VALUE"""),8519.2)</f>
        <v>8519.2</v>
      </c>
      <c r="C99" s="29"/>
      <c r="D99" s="65">
        <f>IFERROR(__xludf.DUMMYFUNCTION("""COMPUTED_VALUE"""),8519.2)</f>
        <v>8519.2</v>
      </c>
    </row>
    <row r="100">
      <c r="A100" s="29" t="str">
        <f>IFERROR(__xludf.DUMMYFUNCTION("""COMPUTED_VALUE"""),"C1109-4PLTE2P")</f>
        <v>C1109-4PLTE2P</v>
      </c>
      <c r="B100" s="65">
        <f>IFERROR(__xludf.DUMMYFUNCTION("""COMPUTED_VALUE"""),9070.11)</f>
        <v>9070.11</v>
      </c>
      <c r="C100" s="29"/>
      <c r="D100" s="65">
        <f>IFERROR(__xludf.DUMMYFUNCTION("""COMPUTED_VALUE"""),9070.11)</f>
        <v>9070.11</v>
      </c>
    </row>
    <row r="101">
      <c r="A101" s="29" t="str">
        <f>IFERROR(__xludf.DUMMYFUNCTION("""COMPUTED_VALUE"""),"C1161-8P")</f>
        <v>C1161-8P</v>
      </c>
      <c r="B101" s="65">
        <f>IFERROR(__xludf.DUMMYFUNCTION("""COMPUTED_VALUE"""),9713.63)</f>
        <v>9713.63</v>
      </c>
      <c r="C101" s="29"/>
      <c r="D101" s="65">
        <f>IFERROR(__xludf.DUMMYFUNCTION("""COMPUTED_VALUE"""),9713.63)</f>
        <v>9713.63</v>
      </c>
    </row>
    <row r="102">
      <c r="A102" s="29" t="str">
        <f>IFERROR(__xludf.DUMMYFUNCTION("""COMPUTED_VALUE"""),"C1131-8PWS")</f>
        <v>C1131-8PWS</v>
      </c>
      <c r="B102" s="65">
        <f>IFERROR(__xludf.DUMMYFUNCTION("""COMPUTED_VALUE"""),8922.97)</f>
        <v>8922.97</v>
      </c>
      <c r="C102" s="29"/>
      <c r="D102" s="65">
        <f>IFERROR(__xludf.DUMMYFUNCTION("""COMPUTED_VALUE"""),8922.97)</f>
        <v>8922.97</v>
      </c>
    </row>
    <row r="103">
      <c r="A103" s="29" t="str">
        <f>IFERROR(__xludf.DUMMYFUNCTION("""COMPUTED_VALUE"""),"C1131X-8PWS")</f>
        <v>C1131X-8PWS</v>
      </c>
      <c r="B103" s="65">
        <f>IFERROR(__xludf.DUMMYFUNCTION("""COMPUTED_VALUE"""),9142.75)</f>
        <v>9142.75</v>
      </c>
      <c r="C103" s="29"/>
      <c r="D103" s="65">
        <f>IFERROR(__xludf.DUMMYFUNCTION("""COMPUTED_VALUE"""),9142.75)</f>
        <v>9142.75</v>
      </c>
    </row>
    <row r="104">
      <c r="A104" s="29" t="str">
        <f>IFERROR(__xludf.DUMMYFUNCTION("""COMPUTED_VALUE"""),"C1121-4P")</f>
        <v>C1121-4P</v>
      </c>
      <c r="B104" s="65">
        <f>IFERROR(__xludf.DUMMYFUNCTION("""COMPUTED_VALUE"""),8003.549999999999)</f>
        <v>8003.55</v>
      </c>
      <c r="C104" s="29"/>
      <c r="D104" s="65">
        <f>IFERROR(__xludf.DUMMYFUNCTION("""COMPUTED_VALUE"""),8003.549999999999)</f>
        <v>8003.55</v>
      </c>
    </row>
    <row r="105">
      <c r="A105" s="29" t="str">
        <f>IFERROR(__xludf.DUMMYFUNCTION("""COMPUTED_VALUE"""),"C1121-8P")</f>
        <v>C1121-8P</v>
      </c>
      <c r="B105" s="65">
        <f>IFERROR(__xludf.DUMMYFUNCTION("""COMPUTED_VALUE"""),8311.31)</f>
        <v>8311.31</v>
      </c>
      <c r="C105" s="29"/>
      <c r="D105" s="65">
        <f>IFERROR(__xludf.DUMMYFUNCTION("""COMPUTED_VALUE"""),8311.31)</f>
        <v>8311.31</v>
      </c>
    </row>
    <row r="106">
      <c r="A106" s="29" t="str">
        <f>IFERROR(__xludf.DUMMYFUNCTION("""COMPUTED_VALUE"""),"C1116-4P")</f>
        <v>C1116-4P</v>
      </c>
      <c r="B106" s="65">
        <f>IFERROR(__xludf.DUMMYFUNCTION("""COMPUTED_VALUE"""),8519.2)</f>
        <v>8519.2</v>
      </c>
      <c r="C106" s="29"/>
      <c r="D106" s="65">
        <f>IFERROR(__xludf.DUMMYFUNCTION("""COMPUTED_VALUE"""),8519.2)</f>
        <v>8519.2</v>
      </c>
    </row>
    <row r="107">
      <c r="A107" s="29" t="str">
        <f>IFERROR(__xludf.DUMMYFUNCTION("""COMPUTED_VALUE"""),"C1112-8P")</f>
        <v>C1112-8P</v>
      </c>
      <c r="B107" s="65">
        <f>IFERROR(__xludf.DUMMYFUNCTION("""COMPUTED_VALUE"""),9556.939999999999)</f>
        <v>9556.94</v>
      </c>
      <c r="C107" s="29"/>
      <c r="D107" s="65">
        <f>IFERROR(__xludf.DUMMYFUNCTION("""COMPUTED_VALUE"""),9556.939999999999)</f>
        <v>9556.94</v>
      </c>
    </row>
    <row r="108">
      <c r="A108" s="29" t="str">
        <f>IFERROR(__xludf.DUMMYFUNCTION("""COMPUTED_VALUE"""),"C8355-G2 (Default Routing)")</f>
        <v>C8355-G2 (Default Routing)</v>
      </c>
      <c r="B108" s="65">
        <f>IFERROR(__xludf.DUMMYFUNCTION("""COMPUTED_VALUE"""),24102.27)</f>
        <v>24102.27</v>
      </c>
      <c r="C108" s="29"/>
      <c r="D108" s="65">
        <f>IFERROR(__xludf.DUMMYFUNCTION("""COMPUTED_VALUE"""),24102.27)</f>
        <v>24102.27</v>
      </c>
    </row>
    <row r="109">
      <c r="A109" s="29" t="str">
        <f>IFERROR(__xludf.DUMMYFUNCTION("""COMPUTED_VALUE"""),"C8355-G2 (Adv Routing)")</f>
        <v>C8355-G2 (Adv Routing)</v>
      </c>
      <c r="B109" s="65">
        <f>IFERROR(__xludf.DUMMYFUNCTION("""COMPUTED_VALUE"""),34182.270000000004)</f>
        <v>34182.27</v>
      </c>
      <c r="C109" s="29"/>
      <c r="D109" s="65">
        <f>IFERROR(__xludf.DUMMYFUNCTION("""COMPUTED_VALUE"""),34182.270000000004)</f>
        <v>34182.27</v>
      </c>
    </row>
    <row r="110">
      <c r="A110" s="29" t="str">
        <f>IFERROR(__xludf.DUMMYFUNCTION("""COMPUTED_VALUE"""),"C8355-G2 (SDWAN)")</f>
        <v>C8355-G2 (SDWAN)</v>
      </c>
      <c r="B110" s="65">
        <f>IFERROR(__xludf.DUMMYFUNCTION("""COMPUTED_VALUE"""),38286.270000000004)</f>
        <v>38286.27</v>
      </c>
      <c r="C110" s="29"/>
      <c r="D110" s="65">
        <f>IFERROR(__xludf.DUMMYFUNCTION("""COMPUTED_VALUE"""),38286.270000000004)</f>
        <v>38286.27</v>
      </c>
    </row>
    <row r="111">
      <c r="A111" s="29" t="str">
        <f>IFERROR(__xludf.DUMMYFUNCTION("""COMPUTED_VALUE"""),"C8355-G2 (Full Adds On)")</f>
        <v>C8355-G2 (Full Adds On)</v>
      </c>
      <c r="B111" s="65">
        <f>IFERROR(__xludf.DUMMYFUNCTION("""COMPUTED_VALUE"""),40122.270000000004)</f>
        <v>40122.27</v>
      </c>
      <c r="C111" s="29"/>
      <c r="D111" s="65">
        <f>IFERROR(__xludf.DUMMYFUNCTION("""COMPUTED_VALUE"""),40122.270000000004)</f>
        <v>40122.27</v>
      </c>
    </row>
    <row r="112">
      <c r="A112" s="29" t="str">
        <f>IFERROR(__xludf.DUMMYFUNCTION("""COMPUTED_VALUE"""),"C8375-E-G2 (Default Routing)")</f>
        <v>C8375-E-G2 (Default Routing)</v>
      </c>
      <c r="B112" s="65">
        <f>IFERROR(__xludf.DUMMYFUNCTION("""COMPUTED_VALUE"""),40699.17)</f>
        <v>40699.17</v>
      </c>
      <c r="C112" s="29"/>
      <c r="D112" s="65">
        <f>IFERROR(__xludf.DUMMYFUNCTION("""COMPUTED_VALUE"""),40699.17)</f>
        <v>40699.17</v>
      </c>
    </row>
    <row r="113">
      <c r="A113" s="29" t="str">
        <f>IFERROR(__xludf.DUMMYFUNCTION("""COMPUTED_VALUE"""),"C8375-E-G2 (Adv Routing)")</f>
        <v>C8375-E-G2 (Adv Routing)</v>
      </c>
      <c r="B113" s="65">
        <f>IFERROR(__xludf.DUMMYFUNCTION("""COMPUTED_VALUE"""),50779.17)</f>
        <v>50779.17</v>
      </c>
      <c r="C113" s="29"/>
      <c r="D113" s="65">
        <f>IFERROR(__xludf.DUMMYFUNCTION("""COMPUTED_VALUE"""),50779.17)</f>
        <v>50779.17</v>
      </c>
    </row>
    <row r="114">
      <c r="A114" s="29" t="str">
        <f>IFERROR(__xludf.DUMMYFUNCTION("""COMPUTED_VALUE"""),"C8375-E-G2 (SDWAN)")</f>
        <v>C8375-E-G2 (SDWAN)</v>
      </c>
      <c r="B114" s="65">
        <f>IFERROR(__xludf.DUMMYFUNCTION("""COMPUTED_VALUE"""),54883.17)</f>
        <v>54883.17</v>
      </c>
      <c r="C114" s="29"/>
      <c r="D114" s="65">
        <f>IFERROR(__xludf.DUMMYFUNCTION("""COMPUTED_VALUE"""),54883.17)</f>
        <v>54883.17</v>
      </c>
    </row>
    <row r="115">
      <c r="A115" s="29" t="str">
        <f>IFERROR(__xludf.DUMMYFUNCTION("""COMPUTED_VALUE"""),"C8375-E-G2 (Full Adds On)")</f>
        <v>C8375-E-G2 (Full Adds On)</v>
      </c>
      <c r="B115" s="65">
        <f>IFERROR(__xludf.DUMMYFUNCTION("""COMPUTED_VALUE"""),56719.17)</f>
        <v>56719.17</v>
      </c>
      <c r="C115" s="29"/>
      <c r="D115" s="65">
        <f>IFERROR(__xludf.DUMMYFUNCTION("""COMPUTED_VALUE"""),56719.17)</f>
        <v>56719.17</v>
      </c>
    </row>
    <row r="116">
      <c r="A116" s="29" t="str">
        <f>IFERROR(__xludf.DUMMYFUNCTION("""COMPUTED_VALUE"""),"C8550-G2 (Default Routing)")</f>
        <v>C8550-G2 (Default Routing)</v>
      </c>
      <c r="B116" s="65">
        <f>IFERROR(__xludf.DUMMYFUNCTION("""COMPUTED_VALUE"""),164387.73)</f>
        <v>164387.73</v>
      </c>
      <c r="C116" s="29"/>
      <c r="D116" s="65">
        <f>IFERROR(__xludf.DUMMYFUNCTION("""COMPUTED_VALUE"""),164387.73)</f>
        <v>164387.73</v>
      </c>
    </row>
    <row r="117">
      <c r="A117" s="29" t="str">
        <f>IFERROR(__xludf.DUMMYFUNCTION("""COMPUTED_VALUE"""),"C8550-G2 (Adv Routing)")</f>
        <v>C8550-G2 (Adv Routing)</v>
      </c>
      <c r="B117" s="65">
        <f>IFERROR(__xludf.DUMMYFUNCTION("""COMPUTED_VALUE"""),197987.73)</f>
        <v>197987.73</v>
      </c>
      <c r="C117" s="29"/>
      <c r="D117" s="65">
        <f>IFERROR(__xludf.DUMMYFUNCTION("""COMPUTED_VALUE"""),197987.73)</f>
        <v>197987.73</v>
      </c>
    </row>
    <row r="118">
      <c r="A118" s="29" t="str">
        <f>IFERROR(__xludf.DUMMYFUNCTION("""COMPUTED_VALUE"""),"C8550-G2 (SDWAN)")</f>
        <v>C8550-G2 (SDWAN)</v>
      </c>
      <c r="B118" s="65">
        <f>IFERROR(__xludf.DUMMYFUNCTION("""COMPUTED_VALUE"""),219575.73)</f>
        <v>219575.73</v>
      </c>
      <c r="C118" s="29"/>
      <c r="D118" s="65">
        <f>IFERROR(__xludf.DUMMYFUNCTION("""COMPUTED_VALUE"""),219575.73)</f>
        <v>219575.73</v>
      </c>
    </row>
    <row r="119">
      <c r="A119" s="29" t="str">
        <f>IFERROR(__xludf.DUMMYFUNCTION("""COMPUTED_VALUE"""),"C8570-G2 (Default Routing)")</f>
        <v>C8570-G2 (Default Routing)</v>
      </c>
      <c r="B119" s="65">
        <f>IFERROR(__xludf.DUMMYFUNCTION("""COMPUTED_VALUE"""),229697.16)</f>
        <v>229697.16</v>
      </c>
      <c r="C119" s="29"/>
      <c r="D119" s="65">
        <f>IFERROR(__xludf.DUMMYFUNCTION("""COMPUTED_VALUE"""),229697.16)</f>
        <v>229697.16</v>
      </c>
    </row>
    <row r="120">
      <c r="A120" s="29" t="str">
        <f>IFERROR(__xludf.DUMMYFUNCTION("""COMPUTED_VALUE"""),"C8570-G2 (Adv Routing)")</f>
        <v>C8570-G2 (Adv Routing)</v>
      </c>
      <c r="B120" s="65">
        <f>IFERROR(__xludf.DUMMYFUNCTION("""COMPUTED_VALUE"""),263297.16000000003)</f>
        <v>263297.16</v>
      </c>
      <c r="C120" s="29"/>
      <c r="D120" s="65">
        <f>IFERROR(__xludf.DUMMYFUNCTION("""COMPUTED_VALUE"""),263297.16000000003)</f>
        <v>263297.16</v>
      </c>
    </row>
    <row r="121">
      <c r="A121" s="29" t="str">
        <f>IFERROR(__xludf.DUMMYFUNCTION("""COMPUTED_VALUE"""),"C8570-G2 (SDWAN)")</f>
        <v>C8570-G2 (SDWAN)</v>
      </c>
      <c r="B121" s="65">
        <f>IFERROR(__xludf.DUMMYFUNCTION("""COMPUTED_VALUE"""),284885.16000000003)</f>
        <v>284885.16</v>
      </c>
      <c r="C121" s="29"/>
      <c r="D121" s="65">
        <f>IFERROR(__xludf.DUMMYFUNCTION("""COMPUTED_VALUE"""),284885.16000000003)</f>
        <v>284885.16</v>
      </c>
    </row>
    <row r="122">
      <c r="A122" s="29" t="str">
        <f>IFERROR(__xludf.DUMMYFUNCTION("""COMPUTED_VALUE"""),"C8455-G2 (Default Routing)")</f>
        <v>C8455-G2 (Default Routing)</v>
      </c>
      <c r="B122" s="65">
        <f>IFERROR(__xludf.DUMMYFUNCTION("""COMPUTED_VALUE"""),55540.54)</f>
        <v>55540.54</v>
      </c>
      <c r="C122" s="29"/>
      <c r="D122" s="65">
        <f>IFERROR(__xludf.DUMMYFUNCTION("""COMPUTED_VALUE"""),55540.54)</f>
        <v>55540.54</v>
      </c>
    </row>
    <row r="123">
      <c r="A123" s="29" t="str">
        <f>IFERROR(__xludf.DUMMYFUNCTION("""COMPUTED_VALUE"""),"C8455-G2 (Adv Routing)")</f>
        <v>C8455-G2 (Adv Routing)</v>
      </c>
      <c r="B123" s="65">
        <f>IFERROR(__xludf.DUMMYFUNCTION("""COMPUTED_VALUE"""),89140.54000000001)</f>
        <v>89140.54</v>
      </c>
      <c r="C123" s="29"/>
      <c r="D123" s="65">
        <f>IFERROR(__xludf.DUMMYFUNCTION("""COMPUTED_VALUE"""),89140.54000000001)</f>
        <v>89140.54</v>
      </c>
    </row>
    <row r="124">
      <c r="A124" s="29" t="str">
        <f>IFERROR(__xludf.DUMMYFUNCTION("""COMPUTED_VALUE"""),"C8455-G2 (SDWAN)")</f>
        <v>C8455-G2 (SDWAN)</v>
      </c>
      <c r="B124" s="65">
        <f>IFERROR(__xludf.DUMMYFUNCTION("""COMPUTED_VALUE"""),110728.54000000001)</f>
        <v>110728.54</v>
      </c>
      <c r="C124" s="29"/>
      <c r="D124" s="65">
        <f>IFERROR(__xludf.DUMMYFUNCTION("""COMPUTED_VALUE"""),110728.54000000001)</f>
        <v>110728.54</v>
      </c>
    </row>
    <row r="125">
      <c r="A125" s="29" t="str">
        <f>IFERROR(__xludf.DUMMYFUNCTION("""COMPUTED_VALUE"""),"C8455-G2 (Full Adds On)")</f>
        <v>C8455-G2 (Full Adds On)</v>
      </c>
      <c r="B125" s="65">
        <f>IFERROR(__xludf.DUMMYFUNCTION("""COMPUTED_VALUE"""),114400.54000000001)</f>
        <v>114400.54</v>
      </c>
      <c r="C125" s="29"/>
      <c r="D125" s="65">
        <f>IFERROR(__xludf.DUMMYFUNCTION("""COMPUTED_VALUE"""),114400.54000000001)</f>
        <v>114400.54</v>
      </c>
    </row>
    <row r="126">
      <c r="A126" s="29" t="str">
        <f>IFERROR(__xludf.DUMMYFUNCTION("""COMPUTED_VALUE"""),"C8475-G2 (Default Routing)")</f>
        <v>C8475-G2 (Default Routing)</v>
      </c>
      <c r="B126" s="65">
        <f>IFERROR(__xludf.DUMMYFUNCTION("""COMPUTED_VALUE"""),99078.32)</f>
        <v>99078.32</v>
      </c>
      <c r="C126" s="29"/>
      <c r="D126" s="65">
        <f>IFERROR(__xludf.DUMMYFUNCTION("""COMPUTED_VALUE"""),99078.32)</f>
        <v>99078.32</v>
      </c>
    </row>
    <row r="127">
      <c r="A127" s="29" t="str">
        <f>IFERROR(__xludf.DUMMYFUNCTION("""COMPUTED_VALUE"""),"C8475-G2 (Adv Routing)")</f>
        <v>C8475-G2 (Adv Routing)</v>
      </c>
      <c r="B127" s="65">
        <f>IFERROR(__xludf.DUMMYFUNCTION("""COMPUTED_VALUE"""),132678.32)</f>
        <v>132678.32</v>
      </c>
      <c r="C127" s="29"/>
      <c r="D127" s="65">
        <f>IFERROR(__xludf.DUMMYFUNCTION("""COMPUTED_VALUE"""),132678.32)</f>
        <v>132678.32</v>
      </c>
    </row>
    <row r="128">
      <c r="A128" s="29" t="str">
        <f>IFERROR(__xludf.DUMMYFUNCTION("""COMPUTED_VALUE"""),"C8475-G2 (SDWAN)")</f>
        <v>C8475-G2 (SDWAN)</v>
      </c>
      <c r="B128" s="65">
        <f>IFERROR(__xludf.DUMMYFUNCTION("""COMPUTED_VALUE"""),154266.32)</f>
        <v>154266.32</v>
      </c>
      <c r="C128" s="29"/>
      <c r="D128" s="65">
        <f>IFERROR(__xludf.DUMMYFUNCTION("""COMPUTED_VALUE"""),154266.32)</f>
        <v>154266.32</v>
      </c>
    </row>
    <row r="129">
      <c r="A129" s="29" t="str">
        <f>IFERROR(__xludf.DUMMYFUNCTION("""COMPUTED_VALUE"""),"C8475-G2 (Full Adds On)")</f>
        <v>C8475-G2 (Full Adds On)</v>
      </c>
      <c r="B129" s="65">
        <f>IFERROR(__xludf.DUMMYFUNCTION("""COMPUTED_VALUE"""),157938.32)</f>
        <v>157938.32</v>
      </c>
      <c r="C129" s="29"/>
      <c r="D129" s="65">
        <f>IFERROR(__xludf.DUMMYFUNCTION("""COMPUTED_VALUE"""),157938.32)</f>
        <v>157938.32</v>
      </c>
    </row>
    <row r="130">
      <c r="A130" s="29" t="str">
        <f>IFERROR(__xludf.DUMMYFUNCTION("""COMPUTED_VALUE"""),"C8235-E-G2 (Default Routing)")</f>
        <v>C8235-E-G2 (Default Routing)</v>
      </c>
      <c r="B130" s="65">
        <f>IFERROR(__xludf.DUMMYFUNCTION("""COMPUTED_VALUE"""),12676.0)</f>
        <v>12676</v>
      </c>
      <c r="C130" s="29"/>
      <c r="D130" s="65">
        <f>IFERROR(__xludf.DUMMYFUNCTION("""COMPUTED_VALUE"""),12676.0)</f>
        <v>12676</v>
      </c>
    </row>
    <row r="131">
      <c r="A131" s="29" t="str">
        <f>IFERROR(__xludf.DUMMYFUNCTION("""COMPUTED_VALUE"""),"C8235-E-G2 (Adv Routing)")</f>
        <v>C8235-E-G2 (Adv Routing)</v>
      </c>
      <c r="B131" s="65">
        <f>IFERROR(__xludf.DUMMYFUNCTION("""COMPUTED_VALUE"""),16708.0)</f>
        <v>16708</v>
      </c>
      <c r="C131" s="29"/>
      <c r="D131" s="65">
        <f>IFERROR(__xludf.DUMMYFUNCTION("""COMPUTED_VALUE"""),16708.0)</f>
        <v>16708</v>
      </c>
    </row>
    <row r="132">
      <c r="A132" s="29" t="str">
        <f>IFERROR(__xludf.DUMMYFUNCTION("""COMPUTED_VALUE"""),"C8235-E-G2 (SDWAN)")</f>
        <v>C8235-E-G2 (SDWAN)</v>
      </c>
      <c r="B132" s="65">
        <f>IFERROR(__xludf.DUMMYFUNCTION("""COMPUTED_VALUE"""),17356.0)</f>
        <v>17356</v>
      </c>
      <c r="C132" s="29"/>
      <c r="D132" s="65">
        <f>IFERROR(__xludf.DUMMYFUNCTION("""COMPUTED_VALUE"""),17356.0)</f>
        <v>17356</v>
      </c>
    </row>
    <row r="133">
      <c r="A133" s="29" t="str">
        <f>IFERROR(__xludf.DUMMYFUNCTION("""COMPUTED_VALUE"""),"C8235-E-G2 (Full Adds On)")</f>
        <v>C8235-E-G2 (Full Adds On)</v>
      </c>
      <c r="B133" s="65">
        <f>IFERROR(__xludf.DUMMYFUNCTION("""COMPUTED_VALUE"""),18004.0)</f>
        <v>18004</v>
      </c>
      <c r="C133" s="29"/>
      <c r="D133" s="65">
        <f>IFERROR(__xludf.DUMMYFUNCTION("""COMPUTED_VALUE"""),18004.0)</f>
        <v>18004</v>
      </c>
    </row>
    <row r="134">
      <c r="A134" s="29" t="str">
        <f>IFERROR(__xludf.DUMMYFUNCTION("""COMPUTED_VALUE"""),"C8231-E-G2 (Default Routing)")</f>
        <v>C8231-E-G2 (Default Routing)</v>
      </c>
      <c r="B134" s="65">
        <f>IFERROR(__xludf.DUMMYFUNCTION("""COMPUTED_VALUE"""),10123.96)</f>
        <v>10123.96</v>
      </c>
      <c r="C134" s="29"/>
      <c r="D134" s="65">
        <f>IFERROR(__xludf.DUMMYFUNCTION("""COMPUTED_VALUE"""),10123.96)</f>
        <v>10123.96</v>
      </c>
    </row>
    <row r="135">
      <c r="A135" s="29" t="str">
        <f>IFERROR(__xludf.DUMMYFUNCTION("""COMPUTED_VALUE"""),"C8231-E-G2 (Adv Routing)")</f>
        <v>C8231-E-G2 (Adv Routing)</v>
      </c>
      <c r="B135" s="65">
        <f>IFERROR(__xludf.DUMMYFUNCTION("""COMPUTED_VALUE"""),14155.96)</f>
        <v>14155.96</v>
      </c>
      <c r="C135" s="29"/>
      <c r="D135" s="65">
        <f>IFERROR(__xludf.DUMMYFUNCTION("""COMPUTED_VALUE"""),14155.96)</f>
        <v>14155.96</v>
      </c>
    </row>
    <row r="136">
      <c r="A136" s="29" t="str">
        <f>IFERROR(__xludf.DUMMYFUNCTION("""COMPUTED_VALUE"""),"C8231-E-G2 (SDWAN)")</f>
        <v>C8231-E-G2 (SDWAN)</v>
      </c>
      <c r="B136" s="65">
        <f>IFERROR(__xludf.DUMMYFUNCTION("""COMPUTED_VALUE"""),14803.96)</f>
        <v>14803.96</v>
      </c>
      <c r="C136" s="29"/>
      <c r="D136" s="65">
        <f>IFERROR(__xludf.DUMMYFUNCTION("""COMPUTED_VALUE"""),14803.96)</f>
        <v>14803.96</v>
      </c>
    </row>
    <row r="137">
      <c r="A137" s="29" t="str">
        <f>IFERROR(__xludf.DUMMYFUNCTION("""COMPUTED_VALUE"""),"C8231-E-G2 (Full Adds On)")</f>
        <v>C8231-E-G2 (Full Adds On)</v>
      </c>
      <c r="B137" s="65">
        <f>IFERROR(__xludf.DUMMYFUNCTION("""COMPUTED_VALUE"""),15451.96)</f>
        <v>15451.96</v>
      </c>
      <c r="C137" s="29"/>
      <c r="D137" s="65">
        <f>IFERROR(__xludf.DUMMYFUNCTION("""COMPUTED_VALUE"""),15451.96)</f>
        <v>15451.96</v>
      </c>
    </row>
    <row r="138">
      <c r="A138" s="29" t="str">
        <f>IFERROR(__xludf.DUMMYFUNCTION("""COMPUTED_VALUE"""),"C8235-G2 (Default Routing)")</f>
        <v>C8235-G2 (Default Routing)</v>
      </c>
      <c r="B138" s="65">
        <f>IFERROR(__xludf.DUMMYFUNCTION("""COMPUTED_VALUE"""),10306.39)</f>
        <v>10306.39</v>
      </c>
      <c r="C138" s="29"/>
      <c r="D138" s="65">
        <f>IFERROR(__xludf.DUMMYFUNCTION("""COMPUTED_VALUE"""),10306.39)</f>
        <v>10306.39</v>
      </c>
    </row>
    <row r="139">
      <c r="A139" s="29" t="str">
        <f>IFERROR(__xludf.DUMMYFUNCTION("""COMPUTED_VALUE"""),"C8235-G2 (Adv Routing)")</f>
        <v>C8235-G2 (Adv Routing)</v>
      </c>
      <c r="B139" s="65">
        <f>IFERROR(__xludf.DUMMYFUNCTION("""COMPUTED_VALUE"""),14338.39)</f>
        <v>14338.39</v>
      </c>
      <c r="C139" s="29"/>
      <c r="D139" s="65">
        <f>IFERROR(__xludf.DUMMYFUNCTION("""COMPUTED_VALUE"""),14338.39)</f>
        <v>14338.39</v>
      </c>
    </row>
    <row r="140">
      <c r="A140" s="29" t="str">
        <f>IFERROR(__xludf.DUMMYFUNCTION("""COMPUTED_VALUE"""),"C8235-G2 (SDWAN)")</f>
        <v>C8235-G2 (SDWAN)</v>
      </c>
      <c r="B140" s="65">
        <f>IFERROR(__xludf.DUMMYFUNCTION("""COMPUTED_VALUE"""),14986.39)</f>
        <v>14986.39</v>
      </c>
      <c r="C140" s="29"/>
      <c r="D140" s="65">
        <f>IFERROR(__xludf.DUMMYFUNCTION("""COMPUTED_VALUE"""),14986.39)</f>
        <v>14986.39</v>
      </c>
    </row>
    <row r="141">
      <c r="A141" s="29" t="str">
        <f>IFERROR(__xludf.DUMMYFUNCTION("""COMPUTED_VALUE"""),"C8235-G2 (Full Adds On)")</f>
        <v>C8235-G2 (Full Adds On)</v>
      </c>
      <c r="B141" s="65">
        <f>IFERROR(__xludf.DUMMYFUNCTION("""COMPUTED_VALUE"""),15634.39)</f>
        <v>15634.39</v>
      </c>
      <c r="C141" s="29"/>
      <c r="D141" s="65">
        <f>IFERROR(__xludf.DUMMYFUNCTION("""COMPUTED_VALUE"""),15634.39)</f>
        <v>15634.39</v>
      </c>
    </row>
    <row r="142">
      <c r="A142" s="29" t="str">
        <f>IFERROR(__xludf.DUMMYFUNCTION("""COMPUTED_VALUE"""),"C8231-G2 (Default Routing)")</f>
        <v>C8231-G2 (Default Routing)</v>
      </c>
      <c r="B142" s="65">
        <f>IFERROR(__xludf.DUMMYFUNCTION("""COMPUTED_VALUE"""),6545.14)</f>
        <v>6545.14</v>
      </c>
      <c r="C142" s="29"/>
      <c r="D142" s="65">
        <f>IFERROR(__xludf.DUMMYFUNCTION("""COMPUTED_VALUE"""),6545.14)</f>
        <v>6545.14</v>
      </c>
    </row>
    <row r="143">
      <c r="A143" s="29" t="str">
        <f>IFERROR(__xludf.DUMMYFUNCTION("""COMPUTED_VALUE"""),"C8231-G2 (Adv Routing)")</f>
        <v>C8231-G2 (Adv Routing)</v>
      </c>
      <c r="B143" s="65">
        <f>IFERROR(__xludf.DUMMYFUNCTION("""COMPUTED_VALUE"""),10577.14)</f>
        <v>10577.14</v>
      </c>
      <c r="C143" s="29"/>
      <c r="D143" s="65">
        <f>IFERROR(__xludf.DUMMYFUNCTION("""COMPUTED_VALUE"""),10577.14)</f>
        <v>10577.14</v>
      </c>
    </row>
    <row r="144">
      <c r="A144" s="29" t="str">
        <f>IFERROR(__xludf.DUMMYFUNCTION("""COMPUTED_VALUE"""),"C8231-G2 (SDWAN)")</f>
        <v>C8231-G2 (SDWAN)</v>
      </c>
      <c r="B144" s="65">
        <f>IFERROR(__xludf.DUMMYFUNCTION("""COMPUTED_VALUE"""),11225.14)</f>
        <v>11225.14</v>
      </c>
      <c r="C144" s="29"/>
      <c r="D144" s="65">
        <f>IFERROR(__xludf.DUMMYFUNCTION("""COMPUTED_VALUE"""),11225.14)</f>
        <v>11225.14</v>
      </c>
    </row>
    <row r="145">
      <c r="A145" s="29" t="str">
        <f>IFERROR(__xludf.DUMMYFUNCTION("""COMPUTED_VALUE"""),"C8231-G2 (Full Adds On)")</f>
        <v>C8231-G2 (Full Adds On)</v>
      </c>
      <c r="B145" s="65">
        <f>IFERROR(__xludf.DUMMYFUNCTION("""COMPUTED_VALUE"""),11873.14)</f>
        <v>11873.14</v>
      </c>
      <c r="C145" s="29"/>
      <c r="D145" s="65">
        <f>IFERROR(__xludf.DUMMYFUNCTION("""COMPUTED_VALUE"""),11873.14)</f>
        <v>11873.14</v>
      </c>
    </row>
    <row r="146">
      <c r="A146" s="29" t="str">
        <f>IFERROR(__xludf.DUMMYFUNCTION("""COMPUTED_VALUE"""),"C8130-G2 (Default Routing)")</f>
        <v>C8130-G2 (Default Routing)</v>
      </c>
      <c r="B146" s="65">
        <f>IFERROR(__xludf.DUMMYFUNCTION("""COMPUTED_VALUE"""),2142.02)</f>
        <v>2142.02</v>
      </c>
      <c r="C146" s="29"/>
      <c r="D146" s="65">
        <f>IFERROR(__xludf.DUMMYFUNCTION("""COMPUTED_VALUE"""),2142.02)</f>
        <v>2142.02</v>
      </c>
    </row>
    <row r="147">
      <c r="A147" s="29" t="str">
        <f>IFERROR(__xludf.DUMMYFUNCTION("""COMPUTED_VALUE"""),"C8130-G2 (Adv Routing)")</f>
        <v>C8130-G2 (Adv Routing)</v>
      </c>
      <c r="B147" s="65">
        <f>IFERROR(__xludf.DUMMYFUNCTION("""COMPUTED_VALUE"""),3822.02)</f>
        <v>3822.02</v>
      </c>
      <c r="C147" s="29"/>
      <c r="D147" s="65">
        <f>IFERROR(__xludf.DUMMYFUNCTION("""COMPUTED_VALUE"""),3822.02)</f>
        <v>3822.02</v>
      </c>
    </row>
    <row r="148">
      <c r="A148" s="29" t="str">
        <f>IFERROR(__xludf.DUMMYFUNCTION("""COMPUTED_VALUE"""),"C8131-G2 (Default Routing)")</f>
        <v>C8131-G2 (Default Routing)</v>
      </c>
      <c r="B148" s="65">
        <f>IFERROR(__xludf.DUMMYFUNCTION("""COMPUTED_VALUE"""),2559.26)</f>
        <v>2559.26</v>
      </c>
      <c r="C148" s="29"/>
      <c r="D148" s="65">
        <f>IFERROR(__xludf.DUMMYFUNCTION("""COMPUTED_VALUE"""),2559.26)</f>
        <v>2559.26</v>
      </c>
    </row>
    <row r="149">
      <c r="A149" s="29" t="str">
        <f>IFERROR(__xludf.DUMMYFUNCTION("""COMPUTED_VALUE"""),"C8131-G2 (Adv Routing)")</f>
        <v>C8131-G2 (Adv Routing)</v>
      </c>
      <c r="B149" s="65">
        <f>IFERROR(__xludf.DUMMYFUNCTION("""COMPUTED_VALUE"""),4239.26)</f>
        <v>4239.26</v>
      </c>
      <c r="C149" s="29"/>
      <c r="D149" s="65">
        <f>IFERROR(__xludf.DUMMYFUNCTION("""COMPUTED_VALUE"""),4239.26)</f>
        <v>4239.26</v>
      </c>
    </row>
    <row r="150">
      <c r="A150" s="29" t="str">
        <f>IFERROR(__xludf.DUMMYFUNCTION("""COMPUTED_VALUE"""),"C8131-G2 (SDWAN)")</f>
        <v>C8131-G2 (SDWAN)</v>
      </c>
      <c r="B150" s="65">
        <f>IFERROR(__xludf.DUMMYFUNCTION("""COMPUTED_VALUE"""),4575.26)</f>
        <v>4575.26</v>
      </c>
      <c r="C150" s="29"/>
      <c r="D150" s="65">
        <f>IFERROR(__xludf.DUMMYFUNCTION("""COMPUTED_VALUE"""),4575.26)</f>
        <v>4575.26</v>
      </c>
    </row>
    <row r="151">
      <c r="A151" s="29" t="str">
        <f>IFERROR(__xludf.DUMMYFUNCTION("""COMPUTED_VALUE"""),"C8131-G2 (Full Adds On)")</f>
        <v>C8131-G2 (Full Adds On)</v>
      </c>
      <c r="B151" s="65">
        <f>IFERROR(__xludf.DUMMYFUNCTION("""COMPUTED_VALUE"""),4899.26)</f>
        <v>4899.26</v>
      </c>
      <c r="C151" s="29"/>
      <c r="D151" s="65">
        <f>IFERROR(__xludf.DUMMYFUNCTION("""COMPUTED_VALUE"""),4899.26)</f>
        <v>4899.26</v>
      </c>
    </row>
    <row r="152">
      <c r="A152" s="29" t="str">
        <f>IFERROR(__xludf.DUMMYFUNCTION("""COMPUTED_VALUE"""),"C8140-G2 (Default Routing)")</f>
        <v>C8140-G2 (Default Routing)</v>
      </c>
      <c r="B152" s="65">
        <f>IFERROR(__xludf.DUMMYFUNCTION("""COMPUTED_VALUE"""),2563.32)</f>
        <v>2563.32</v>
      </c>
      <c r="C152" s="29"/>
      <c r="D152" s="65">
        <f>IFERROR(__xludf.DUMMYFUNCTION("""COMPUTED_VALUE"""),2563.32)</f>
        <v>2563.32</v>
      </c>
    </row>
    <row r="153">
      <c r="A153" s="29" t="str">
        <f>IFERROR(__xludf.DUMMYFUNCTION("""COMPUTED_VALUE"""),"C8140-G2 (Adv Routing)")</f>
        <v>C8140-G2 (Adv Routing)</v>
      </c>
      <c r="B153" s="65">
        <f>IFERROR(__xludf.DUMMYFUNCTION("""COMPUTED_VALUE"""),4243.32)</f>
        <v>4243.32</v>
      </c>
      <c r="C153" s="29"/>
      <c r="D153" s="65">
        <f>IFERROR(__xludf.DUMMYFUNCTION("""COMPUTED_VALUE"""),4243.32)</f>
        <v>4243.32</v>
      </c>
    </row>
    <row r="154">
      <c r="A154" s="29" t="str">
        <f>IFERROR(__xludf.DUMMYFUNCTION("""COMPUTED_VALUE"""),"C8151-G2 (Default Routing)")</f>
        <v>C8151-G2 (Default Routing)</v>
      </c>
      <c r="B154" s="65">
        <f>IFERROR(__xludf.DUMMYFUNCTION("""COMPUTED_VALUE"""),3265.48)</f>
        <v>3265.48</v>
      </c>
      <c r="C154" s="29"/>
      <c r="D154" s="65">
        <f>IFERROR(__xludf.DUMMYFUNCTION("""COMPUTED_VALUE"""),3265.48)</f>
        <v>3265.48</v>
      </c>
    </row>
    <row r="155">
      <c r="A155" s="29" t="str">
        <f>IFERROR(__xludf.DUMMYFUNCTION("""COMPUTED_VALUE"""),"C8151-G2 (Adv Routing)")</f>
        <v>C8151-G2 (Adv Routing)</v>
      </c>
      <c r="B155" s="65">
        <f>IFERROR(__xludf.DUMMYFUNCTION("""COMPUTED_VALUE"""),4945.48)</f>
        <v>4945.48</v>
      </c>
      <c r="C155" s="29"/>
      <c r="D155" s="65">
        <f>IFERROR(__xludf.DUMMYFUNCTION("""COMPUTED_VALUE"""),4945.48)</f>
        <v>4945.48</v>
      </c>
    </row>
    <row r="156">
      <c r="A156" s="29" t="str">
        <f>IFERROR(__xludf.DUMMYFUNCTION("""COMPUTED_VALUE"""),"C8151-G2 (SDWAN)")</f>
        <v>C8151-G2 (SDWAN)</v>
      </c>
      <c r="B156" s="65">
        <f>IFERROR(__xludf.DUMMYFUNCTION("""COMPUTED_VALUE"""),5281.48)</f>
        <v>5281.48</v>
      </c>
      <c r="C156" s="29"/>
      <c r="D156" s="65">
        <f>IFERROR(__xludf.DUMMYFUNCTION("""COMPUTED_VALUE"""),5281.48)</f>
        <v>5281.48</v>
      </c>
    </row>
    <row r="157">
      <c r="A157" s="29" t="str">
        <f>IFERROR(__xludf.DUMMYFUNCTION("""COMPUTED_VALUE"""),"C8151-G2 (Full Adds On)")</f>
        <v>C8151-G2 (Full Adds On)</v>
      </c>
      <c r="B157" s="65">
        <f>IFERROR(__xludf.DUMMYFUNCTION("""COMPUTED_VALUE"""),5605.48)</f>
        <v>5605.48</v>
      </c>
      <c r="C157" s="29"/>
      <c r="D157" s="65">
        <f>IFERROR(__xludf.DUMMYFUNCTION("""COMPUTED_VALUE"""),5605.48)</f>
        <v>5605.48</v>
      </c>
    </row>
    <row r="158">
      <c r="A158" s="29" t="str">
        <f>IFERROR(__xludf.DUMMYFUNCTION("""COMPUTED_VALUE"""),"C8161-G2 (Default Routing)")</f>
        <v>C8161-G2 (Default Routing)</v>
      </c>
      <c r="B158" s="65">
        <f>IFERROR(__xludf.DUMMYFUNCTION("""COMPUTED_VALUE"""),3824.45)</f>
        <v>3824.45</v>
      </c>
      <c r="C158" s="29"/>
      <c r="D158" s="65">
        <f>IFERROR(__xludf.DUMMYFUNCTION("""COMPUTED_VALUE"""),3824.45)</f>
        <v>3824.45</v>
      </c>
    </row>
    <row r="159">
      <c r="A159" s="29" t="str">
        <f>IFERROR(__xludf.DUMMYFUNCTION("""COMPUTED_VALUE"""),"C8161-G2 (Adv Routing)")</f>
        <v>C8161-G2 (Adv Routing)</v>
      </c>
      <c r="B159" s="65">
        <f>IFERROR(__xludf.DUMMYFUNCTION("""COMPUTED_VALUE"""),5504.45)</f>
        <v>5504.45</v>
      </c>
      <c r="C159" s="29"/>
      <c r="D159" s="65">
        <f>IFERROR(__xludf.DUMMYFUNCTION("""COMPUTED_VALUE"""),5504.45)</f>
        <v>5504.45</v>
      </c>
    </row>
    <row r="160">
      <c r="A160" s="29" t="str">
        <f>IFERROR(__xludf.DUMMYFUNCTION("""COMPUTED_VALUE"""),"C8161-G2 (SDWAN)")</f>
        <v>C8161-G2 (SDWAN)</v>
      </c>
      <c r="B160" s="65">
        <f>IFERROR(__xludf.DUMMYFUNCTION("""COMPUTED_VALUE"""),5840.45)</f>
        <v>5840.45</v>
      </c>
      <c r="C160" s="29"/>
      <c r="D160" s="65">
        <f>IFERROR(__xludf.DUMMYFUNCTION("""COMPUTED_VALUE"""),5840.45)</f>
        <v>5840.45</v>
      </c>
    </row>
    <row r="161">
      <c r="A161" s="29" t="str">
        <f>IFERROR(__xludf.DUMMYFUNCTION("""COMPUTED_VALUE"""),"C8161-G2 (Full Adds On)")</f>
        <v>C8161-G2 (Full Adds On)</v>
      </c>
      <c r="B161" s="65">
        <f>IFERROR(__xludf.DUMMYFUNCTION("""COMPUTED_VALUE"""),6164.45)</f>
        <v>6164.45</v>
      </c>
      <c r="C161" s="29"/>
      <c r="D161" s="65">
        <f>IFERROR(__xludf.DUMMYFUNCTION("""COMPUTED_VALUE"""),6164.45)</f>
        <v>6164.45</v>
      </c>
    </row>
    <row r="162">
      <c r="A162" s="29" t="str">
        <f>IFERROR(__xludf.DUMMYFUNCTION("""COMPUTED_VALUE"""),"100GQSFP-LR4-4=")</f>
        <v>100GQSFP-LR4-4=</v>
      </c>
      <c r="B162" s="65">
        <f>IFERROR(__xludf.DUMMYFUNCTION("""COMPUTED_VALUE"""),36510.54)</f>
        <v>36510.54</v>
      </c>
      <c r="C162" s="29"/>
      <c r="D162" s="65">
        <f>IFERROR(__xludf.DUMMYFUNCTION("""COMPUTED_VALUE"""),36510.54)</f>
        <v>36510.54</v>
      </c>
    </row>
    <row r="163">
      <c r="A163" s="29" t="str">
        <f>IFERROR(__xludf.DUMMYFUNCTION("""COMPUTED_VALUE"""),"QSFP-100G-LR-S=")</f>
        <v>QSFP-100G-LR-S=</v>
      </c>
      <c r="B163" s="65">
        <f>IFERROR(__xludf.DUMMYFUNCTION("""COMPUTED_VALUE"""),4130.83)</f>
        <v>4130.83</v>
      </c>
      <c r="C163" s="29"/>
      <c r="D163" s="65">
        <f>IFERROR(__xludf.DUMMYFUNCTION("""COMPUTED_VALUE"""),4130.83)</f>
        <v>4130.83</v>
      </c>
    </row>
    <row r="164">
      <c r="A164" s="29" t="str">
        <f>IFERROR(__xludf.DUMMYFUNCTION("""COMPUTED_VALUE"""),"QSFP-100G-ER4L-S=")</f>
        <v>QSFP-100G-ER4L-S=</v>
      </c>
      <c r="B164" s="65">
        <f>IFERROR(__xludf.DUMMYFUNCTION("""COMPUTED_VALUE"""),91270.27)</f>
        <v>91270.27</v>
      </c>
      <c r="C164" s="29"/>
      <c r="D164" s="65">
        <f>IFERROR(__xludf.DUMMYFUNCTION("""COMPUTED_VALUE"""),91270.27)</f>
        <v>91270.27</v>
      </c>
    </row>
    <row r="165">
      <c r="A165" s="29" t="str">
        <f>IFERROR(__xludf.DUMMYFUNCTION("""COMPUTED_VALUE"""),"QSFP-100G-ZR4-S=")</f>
        <v>QSFP-100G-ZR4-S=</v>
      </c>
      <c r="B165" s="65">
        <f>IFERROR(__xludf.DUMMYFUNCTION("""COMPUTED_VALUE"""),36190.0)</f>
        <v>36190</v>
      </c>
      <c r="C165" s="29"/>
      <c r="D165" s="65">
        <f>IFERROR(__xludf.DUMMYFUNCTION("""COMPUTED_VALUE"""),36190.0)</f>
        <v>36190</v>
      </c>
    </row>
    <row r="166">
      <c r="A166" s="29" t="str">
        <f>IFERROR(__xludf.DUMMYFUNCTION("""COMPUTED_VALUE"""),"SFP-10G-SR=")</f>
        <v>SFP-10G-SR=</v>
      </c>
      <c r="B166" s="65">
        <f>IFERROR(__xludf.DUMMYFUNCTION("""COMPUTED_VALUE"""),1210.94)</f>
        <v>1210.94</v>
      </c>
      <c r="C166" s="29"/>
      <c r="D166" s="65">
        <f>IFERROR(__xludf.DUMMYFUNCTION("""COMPUTED_VALUE"""),1210.94)</f>
        <v>1210.94</v>
      </c>
    </row>
    <row r="167">
      <c r="A167" s="29" t="str">
        <f>IFERROR(__xludf.DUMMYFUNCTION("""COMPUTED_VALUE"""),"SFP-10G-LR=")</f>
        <v>SFP-10G-LR=</v>
      </c>
      <c r="B167" s="65">
        <f>IFERROR(__xludf.DUMMYFUNCTION("""COMPUTED_VALUE"""),4861.99)</f>
        <v>4861.99</v>
      </c>
      <c r="C167" s="29"/>
      <c r="D167" s="65">
        <f>IFERROR(__xludf.DUMMYFUNCTION("""COMPUTED_VALUE"""),4861.99)</f>
        <v>4861.99</v>
      </c>
    </row>
    <row r="168">
      <c r="A168" s="29" t="str">
        <f>IFERROR(__xludf.DUMMYFUNCTION("""COMPUTED_VALUE"""),"SFP-10G-ER=")</f>
        <v>SFP-10G-ER=</v>
      </c>
      <c r="B168" s="65">
        <f>IFERROR(__xludf.DUMMYFUNCTION("""COMPUTED_VALUE"""),12170.18)</f>
        <v>12170.18</v>
      </c>
      <c r="C168" s="29"/>
      <c r="D168" s="65">
        <f>IFERROR(__xludf.DUMMYFUNCTION("""COMPUTED_VALUE"""),12170.18)</f>
        <v>12170.18</v>
      </c>
    </row>
    <row r="169">
      <c r="A169" s="29" t="str">
        <f>IFERROR(__xludf.DUMMYFUNCTION("""COMPUTED_VALUE"""),"SFP-10G-ZR=")</f>
        <v>SFP-10G-ZR=</v>
      </c>
      <c r="B169" s="65">
        <f>IFERROR(__xludf.DUMMYFUNCTION("""COMPUTED_VALUE"""),19472.29)</f>
        <v>19472.29</v>
      </c>
      <c r="C169" s="29"/>
      <c r="D169" s="65">
        <f>IFERROR(__xludf.DUMMYFUNCTION("""COMPUTED_VALUE"""),19472.29)</f>
        <v>19472.29</v>
      </c>
    </row>
    <row r="170">
      <c r="A170" s="29" t="str">
        <f>IFERROR(__xludf.DUMMYFUNCTION("""COMPUTED_VALUE"""),"GLC-LH-SMD=")</f>
        <v>GLC-LH-SMD=</v>
      </c>
      <c r="B170" s="65">
        <f>IFERROR(__xludf.DUMMYFUNCTION("""COMPUTED_VALUE"""),1210.94)</f>
        <v>1210.94</v>
      </c>
      <c r="C170" s="29"/>
      <c r="D170" s="65">
        <f>IFERROR(__xludf.DUMMYFUNCTION("""COMPUTED_VALUE"""),1210.94)</f>
        <v>1210.94</v>
      </c>
    </row>
    <row r="171">
      <c r="A171" s="29" t="str">
        <f>IFERROR(__xludf.DUMMYFUNCTION("""COMPUTED_VALUE"""),"GLC-EX-SMD=")</f>
        <v>GLC-EX-SMD=</v>
      </c>
      <c r="B171" s="65">
        <f>IFERROR(__xludf.DUMMYFUNCTION("""COMPUTED_VALUE"""),2427.96)</f>
        <v>2427.96</v>
      </c>
      <c r="C171" s="29"/>
      <c r="D171" s="65">
        <f>IFERROR(__xludf.DUMMYFUNCTION("""COMPUTED_VALUE"""),2427.96)</f>
        <v>2427.96</v>
      </c>
    </row>
    <row r="172">
      <c r="A172" s="29" t="str">
        <f>IFERROR(__xludf.DUMMYFUNCTION("""COMPUTED_VALUE"""),"GLC-ZX-SMD=")</f>
        <v>GLC-ZX-SMD=</v>
      </c>
      <c r="B172" s="65">
        <f>IFERROR(__xludf.DUMMYFUNCTION("""COMPUTED_VALUE"""),4861.99)</f>
        <v>4861.99</v>
      </c>
      <c r="C172" s="29"/>
      <c r="D172" s="65">
        <f>IFERROR(__xludf.DUMMYFUNCTION("""COMPUTED_VALUE"""),4861.99)</f>
        <v>4861.99</v>
      </c>
    </row>
    <row r="173">
      <c r="A173" s="29" t="str">
        <f>IFERROR(__xludf.DUMMYFUNCTION("""COMPUTED_VALUE"""),"GLC-TE=")</f>
        <v>GLC-TE=</v>
      </c>
      <c r="B173" s="65">
        <f>IFERROR(__xludf.DUMMYFUNCTION("""COMPUTED_VALUE"""),547.66)</f>
        <v>547.66</v>
      </c>
      <c r="C173" s="29"/>
      <c r="D173" s="65">
        <f>IFERROR(__xludf.DUMMYFUNCTION("""COMPUTED_VALUE"""),547.66)</f>
        <v>547.66</v>
      </c>
    </row>
    <row r="174">
      <c r="A174" s="29" t="str">
        <f>IFERROR(__xludf.DUMMYFUNCTION("""COMPUTED_VALUE"""),"SFP-10G-SR-S=")</f>
        <v>SFP-10G-SR-S=</v>
      </c>
      <c r="B174" s="65">
        <f>IFERROR(__xludf.DUMMYFUNCTION("""COMPUTED_VALUE"""),851.91)</f>
        <v>851.91</v>
      </c>
      <c r="C174" s="29"/>
      <c r="D174" s="65">
        <f>IFERROR(__xludf.DUMMYFUNCTION("""COMPUTED_VALUE"""),851.91)</f>
        <v>851.91</v>
      </c>
    </row>
    <row r="175">
      <c r="A175" s="29" t="str">
        <f>IFERROR(__xludf.DUMMYFUNCTION("""COMPUTED_VALUE"""),"SFP-10G-LR-S=")</f>
        <v>SFP-10G-LR-S=</v>
      </c>
      <c r="B175" s="65">
        <f>IFERROR(__xludf.DUMMYFUNCTION("""COMPUTED_VALUE"""),2434.04)</f>
        <v>2434.04</v>
      </c>
      <c r="C175" s="29"/>
      <c r="D175" s="65">
        <f>IFERROR(__xludf.DUMMYFUNCTION("""COMPUTED_VALUE"""),2434.04)</f>
        <v>2434.04</v>
      </c>
    </row>
    <row r="176">
      <c r="A176" s="29" t="str">
        <f>IFERROR(__xludf.DUMMYFUNCTION("""COMPUTED_VALUE"""),"SFP-10G-ER-S=")</f>
        <v>SFP-10G-ER-S=</v>
      </c>
      <c r="B176" s="65">
        <f>IFERROR(__xludf.DUMMYFUNCTION("""COMPUTED_VALUE"""),9614.44)</f>
        <v>9614.44</v>
      </c>
      <c r="C176" s="29"/>
      <c r="D176" s="65">
        <f>IFERROR(__xludf.DUMMYFUNCTION("""COMPUTED_VALUE"""),9614.44)</f>
        <v>9614.44</v>
      </c>
    </row>
    <row r="177">
      <c r="A177" s="29" t="str">
        <f>IFERROR(__xludf.DUMMYFUNCTION("""COMPUTED_VALUE"""),"SFP-10G-ZR-S=")</f>
        <v>SFP-10G-ZR-S=</v>
      </c>
      <c r="B177" s="65">
        <f>IFERROR(__xludf.DUMMYFUNCTION("""COMPUTED_VALUE"""),13265.5)</f>
        <v>13265.5</v>
      </c>
      <c r="C177" s="29"/>
      <c r="D177" s="65">
        <f>IFERROR(__xludf.DUMMYFUNCTION("""COMPUTED_VALUE"""),13265.5)</f>
        <v>13265.5</v>
      </c>
    </row>
    <row r="178">
      <c r="A178" s="29" t="str">
        <f>IFERROR(__xludf.DUMMYFUNCTION("""COMPUTED_VALUE"""),"GLC-SX-MMD=")</f>
        <v>GLC-SX-MMD=</v>
      </c>
      <c r="B178" s="65">
        <f>IFERROR(__xludf.DUMMYFUNCTION("""COMPUTED_VALUE"""),608.51)</f>
        <v>608.51</v>
      </c>
      <c r="C178" s="29"/>
      <c r="D178" s="65">
        <f>IFERROR(__xludf.DUMMYFUNCTION("""COMPUTED_VALUE"""),608.51)</f>
        <v>608.51</v>
      </c>
    </row>
    <row r="179">
      <c r="A179" s="29" t="str">
        <f>IFERROR(__xludf.DUMMYFUNCTION("""COMPUTED_VALUE"""),"C9136I")</f>
        <v>C9136I</v>
      </c>
      <c r="B179" s="65">
        <f>IFERROR(__xludf.DUMMYFUNCTION("""COMPUTED_VALUE"""),4892.02)</f>
        <v>4892.02</v>
      </c>
      <c r="C179" s="29"/>
      <c r="D179" s="65">
        <f>IFERROR(__xludf.DUMMYFUNCTION("""COMPUTED_VALUE"""),4892.02)</f>
        <v>4892.02</v>
      </c>
    </row>
    <row r="180">
      <c r="A180" s="29" t="str">
        <f>IFERROR(__xludf.DUMMYFUNCTION("""COMPUTED_VALUE"""),"CW9162I")</f>
        <v>CW9162I</v>
      </c>
      <c r="B180" s="65">
        <f>IFERROR(__xludf.DUMMYFUNCTION("""COMPUTED_VALUE"""),2476.36)</f>
        <v>2476.36</v>
      </c>
      <c r="C180" s="29"/>
      <c r="D180" s="65">
        <f>IFERROR(__xludf.DUMMYFUNCTION("""COMPUTED_VALUE"""),2476.36)</f>
        <v>2476.36</v>
      </c>
    </row>
    <row r="181">
      <c r="A181" s="29" t="str">
        <f>IFERROR(__xludf.DUMMYFUNCTION("""COMPUTED_VALUE"""),"CW9164I")</f>
        <v>CW9164I</v>
      </c>
      <c r="B181" s="65">
        <f>IFERROR(__xludf.DUMMYFUNCTION("""COMPUTED_VALUE"""),3786.46)</f>
        <v>3786.46</v>
      </c>
      <c r="C181" s="29"/>
      <c r="D181" s="65">
        <f>IFERROR(__xludf.DUMMYFUNCTION("""COMPUTED_VALUE"""),3786.46)</f>
        <v>3786.46</v>
      </c>
    </row>
    <row r="182">
      <c r="A182" s="29" t="str">
        <f>IFERROR(__xludf.DUMMYFUNCTION("""COMPUTED_VALUE"""),"CW9166I")</f>
        <v>CW9166I</v>
      </c>
      <c r="B182" s="65">
        <f>IFERROR(__xludf.DUMMYFUNCTION("""COMPUTED_VALUE"""),4201.05)</f>
        <v>4201.05</v>
      </c>
      <c r="C182" s="29"/>
      <c r="D182" s="65">
        <f>IFERROR(__xludf.DUMMYFUNCTION("""COMPUTED_VALUE"""),4201.05)</f>
        <v>4201.05</v>
      </c>
    </row>
    <row r="183">
      <c r="A183" s="29" t="str">
        <f>IFERROR(__xludf.DUMMYFUNCTION("""COMPUTED_VALUE"""),"CW9166D1")</f>
        <v>CW9166D1</v>
      </c>
      <c r="B183" s="65">
        <f>IFERROR(__xludf.DUMMYFUNCTION("""COMPUTED_VALUE"""),4615.63)</f>
        <v>4615.63</v>
      </c>
      <c r="C183" s="29"/>
      <c r="D183" s="65">
        <f>IFERROR(__xludf.DUMMYFUNCTION("""COMPUTED_VALUE"""),4615.63)</f>
        <v>4615.63</v>
      </c>
    </row>
    <row r="184">
      <c r="A184" s="29" t="str">
        <f>IFERROR(__xludf.DUMMYFUNCTION("""COMPUTED_VALUE"""),"CW9172I")</f>
        <v>CW9172I</v>
      </c>
      <c r="B184" s="65">
        <f>IFERROR(__xludf.DUMMYFUNCTION("""COMPUTED_VALUE"""),2643.68)</f>
        <v>2643.68</v>
      </c>
      <c r="C184" s="29"/>
      <c r="D184" s="65">
        <f>IFERROR(__xludf.DUMMYFUNCTION("""COMPUTED_VALUE"""),2643.68)</f>
        <v>2643.68</v>
      </c>
    </row>
    <row r="185">
      <c r="A185" s="29" t="str">
        <f>IFERROR(__xludf.DUMMYFUNCTION("""COMPUTED_VALUE"""),"CW9172H")</f>
        <v>CW9172H</v>
      </c>
      <c r="B185" s="65">
        <f>IFERROR(__xludf.DUMMYFUNCTION("""COMPUTED_VALUE"""),2350.28)</f>
        <v>2350.28</v>
      </c>
      <c r="C185" s="29"/>
      <c r="D185" s="65">
        <f>IFERROR(__xludf.DUMMYFUNCTION("""COMPUTED_VALUE"""),2350.28)</f>
        <v>2350.28</v>
      </c>
    </row>
    <row r="186">
      <c r="A186" s="29" t="str">
        <f>IFERROR(__xludf.DUMMYFUNCTION("""COMPUTED_VALUE"""),"CW9176I")</f>
        <v>CW9176I</v>
      </c>
      <c r="B186" s="65">
        <f>IFERROR(__xludf.DUMMYFUNCTION("""COMPUTED_VALUE"""),4414.0599999999995)</f>
        <v>4414.06</v>
      </c>
      <c r="C186" s="29"/>
      <c r="D186" s="65">
        <f>IFERROR(__xludf.DUMMYFUNCTION("""COMPUTED_VALUE"""),4414.0599999999995)</f>
        <v>4414.06</v>
      </c>
    </row>
    <row r="187">
      <c r="A187" s="29" t="str">
        <f>IFERROR(__xludf.DUMMYFUNCTION("""COMPUTED_VALUE"""),"CW9176D1")</f>
        <v>CW9176D1</v>
      </c>
      <c r="B187" s="65">
        <f>IFERROR(__xludf.DUMMYFUNCTION("""COMPUTED_VALUE"""),4854.66)</f>
        <v>4854.66</v>
      </c>
      <c r="C187" s="29"/>
      <c r="D187" s="65">
        <f>IFERROR(__xludf.DUMMYFUNCTION("""COMPUTED_VALUE"""),4854.66)</f>
        <v>4854.66</v>
      </c>
    </row>
    <row r="188">
      <c r="A188" s="29" t="str">
        <f>IFERROR(__xludf.DUMMYFUNCTION("""COMPUTED_VALUE"""),"CW9178I")</f>
        <v>CW9178I</v>
      </c>
      <c r="B188" s="65">
        <f>IFERROR(__xludf.DUMMYFUNCTION("""COMPUTED_VALUE"""),5149.29)</f>
        <v>5149.29</v>
      </c>
      <c r="C188" s="29"/>
      <c r="D188" s="65">
        <f>IFERROR(__xludf.DUMMYFUNCTION("""COMPUTED_VALUE"""),5149.29)</f>
        <v>5149.29</v>
      </c>
    </row>
    <row r="189">
      <c r="A189" s="29" t="str">
        <f>IFERROR(__xludf.DUMMYFUNCTION("""COMPUTED_VALUE"""),"C9124AXI")</f>
        <v>C9124AXI</v>
      </c>
      <c r="B189" s="65">
        <f>IFERROR(__xludf.DUMMYFUNCTION("""COMPUTED_VALUE"""),4605.48)</f>
        <v>4605.48</v>
      </c>
      <c r="C189" s="29"/>
      <c r="D189" s="65">
        <f>IFERROR(__xludf.DUMMYFUNCTION("""COMPUTED_VALUE"""),4605.48)</f>
        <v>4605.48</v>
      </c>
    </row>
    <row r="190">
      <c r="A190" s="29" t="str">
        <f>IFERROR(__xludf.DUMMYFUNCTION("""COMPUTED_VALUE"""),"C9124AXD")</f>
        <v>C9124AXD</v>
      </c>
      <c r="B190" s="65">
        <f>IFERROR(__xludf.DUMMYFUNCTION("""COMPUTED_VALUE"""),4933.2)</f>
        <v>4933.2</v>
      </c>
      <c r="C190" s="29"/>
      <c r="D190" s="65">
        <f>IFERROR(__xludf.DUMMYFUNCTION("""COMPUTED_VALUE"""),4933.2)</f>
        <v>4933.2</v>
      </c>
    </row>
    <row r="191">
      <c r="A191" s="29" t="str">
        <f>IFERROR(__xludf.DUMMYFUNCTION("""COMPUTED_VALUE"""),"C9124AXE")</f>
        <v>C9124AXE</v>
      </c>
      <c r="B191" s="65">
        <f>IFERROR(__xludf.DUMMYFUNCTION("""COMPUTED_VALUE"""),4933.2)</f>
        <v>4933.2</v>
      </c>
      <c r="C191" s="29"/>
      <c r="D191" s="65">
        <f>IFERROR(__xludf.DUMMYFUNCTION("""COMPUTED_VALUE"""),4933.2)</f>
        <v>4933.2</v>
      </c>
    </row>
    <row r="192">
      <c r="A192" s="29" t="str">
        <f>IFERROR(__xludf.DUMMYFUNCTION("""COMPUTED_VALUE"""),"CW9163E")</f>
        <v>CW9163E</v>
      </c>
      <c r="B192" s="65">
        <f>IFERROR(__xludf.DUMMYFUNCTION("""COMPUTED_VALUE"""),4041.4900000000002)</f>
        <v>4041.49</v>
      </c>
      <c r="C192" s="29"/>
      <c r="D192" s="65">
        <f>IFERROR(__xludf.DUMMYFUNCTION("""COMPUTED_VALUE"""),4041.4900000000002)</f>
        <v>4041.49</v>
      </c>
    </row>
    <row r="193">
      <c r="A193" s="29" t="str">
        <f>IFERROR(__xludf.DUMMYFUNCTION("""COMPUTED_VALUE"""),"IW-PWRINJ-60RGDMG=")</f>
        <v>IW-PWRINJ-60RGDMG=</v>
      </c>
      <c r="B193" s="65">
        <f>IFERROR(__xludf.DUMMYFUNCTION("""COMPUTED_VALUE"""),1292.5)</f>
        <v>1292.5</v>
      </c>
      <c r="C193" s="29"/>
      <c r="D193" s="65">
        <f>IFERROR(__xludf.DUMMYFUNCTION("""COMPUTED_VALUE"""),1292.5)</f>
        <v>1292.5</v>
      </c>
    </row>
    <row r="194">
      <c r="A194" s="29" t="str">
        <f>IFERROR(__xludf.DUMMYFUNCTION("""COMPUTED_VALUE"""),"AIR-PWRINJ7=")</f>
        <v>AIR-PWRINJ7=</v>
      </c>
      <c r="B194" s="65">
        <f>IFERROR(__xludf.DUMMYFUNCTION("""COMPUTED_VALUE"""),483.4)</f>
        <v>483.4</v>
      </c>
      <c r="C194" s="29"/>
      <c r="D194" s="65">
        <f>IFERROR(__xludf.DUMMYFUNCTION("""COMPUTED_VALUE"""),483.4)</f>
        <v>483.4</v>
      </c>
    </row>
    <row r="195">
      <c r="A195" s="29" t="str">
        <f>IFERROR(__xludf.DUMMYFUNCTION("""COMPUTED_VALUE"""),"C9404R")</f>
        <v>C9404R</v>
      </c>
      <c r="B195" s="65">
        <f>IFERROR(__xludf.DUMMYFUNCTION("""COMPUTED_VALUE"""),117530.33)</f>
        <v>117530.33</v>
      </c>
      <c r="C195" s="29"/>
      <c r="D195" s="65">
        <f>IFERROR(__xludf.DUMMYFUNCTION("""COMPUTED_VALUE"""),117530.33)</f>
        <v>117530.33</v>
      </c>
    </row>
    <row r="196">
      <c r="A196" s="29" t="str">
        <f>IFERROR(__xludf.DUMMYFUNCTION("""COMPUTED_VALUE"""),"C9407R")</f>
        <v>C9407R</v>
      </c>
      <c r="B196" s="65">
        <f>IFERROR(__xludf.DUMMYFUNCTION("""COMPUTED_VALUE"""),136174.7)</f>
        <v>136174.7</v>
      </c>
      <c r="C196" s="29"/>
      <c r="D196" s="65">
        <f>IFERROR(__xludf.DUMMYFUNCTION("""COMPUTED_VALUE"""),136174.7)</f>
        <v>136174.7</v>
      </c>
    </row>
    <row r="197">
      <c r="A197" s="29" t="str">
        <f>IFERROR(__xludf.DUMMYFUNCTION("""COMPUTED_VALUE"""),"C9410R")</f>
        <v>C9410R</v>
      </c>
      <c r="B197" s="65">
        <f>IFERROR(__xludf.DUMMYFUNCTION("""COMPUTED_VALUE"""),144810.28)</f>
        <v>144810.28</v>
      </c>
      <c r="C197" s="29"/>
      <c r="D197" s="65">
        <f>IFERROR(__xludf.DUMMYFUNCTION("""COMPUTED_VALUE"""),144810.28)</f>
        <v>144810.28</v>
      </c>
    </row>
    <row r="198">
      <c r="A198" s="29" t="str">
        <f>IFERROR(__xludf.DUMMYFUNCTION("""COMPUTED_VALUE"""),"C9400-LC-12QC=")</f>
        <v>C9400-LC-12QC=</v>
      </c>
      <c r="B198" s="65">
        <f>IFERROR(__xludf.DUMMYFUNCTION("""COMPUTED_VALUE"""),38258.0)</f>
        <v>38258</v>
      </c>
      <c r="C198" s="29"/>
      <c r="D198" s="65">
        <f>IFERROR(__xludf.DUMMYFUNCTION("""COMPUTED_VALUE"""),38258.0)</f>
        <v>38258</v>
      </c>
    </row>
    <row r="199">
      <c r="A199" s="29" t="str">
        <f>IFERROR(__xludf.DUMMYFUNCTION("""COMPUTED_VALUE"""),"C9400-LC-48T=")</f>
        <v>C9400-LC-48T=</v>
      </c>
      <c r="B199" s="65">
        <f>IFERROR(__xludf.DUMMYFUNCTION("""COMPUTED_VALUE"""),8689.51)</f>
        <v>8689.51</v>
      </c>
      <c r="C199" s="29"/>
      <c r="D199" s="65">
        <f>IFERROR(__xludf.DUMMYFUNCTION("""COMPUTED_VALUE"""),8689.51)</f>
        <v>8689.51</v>
      </c>
    </row>
    <row r="200">
      <c r="A200" s="29" t="str">
        <f>IFERROR(__xludf.DUMMYFUNCTION("""COMPUTED_VALUE"""),"C9400-LC-48TX=")</f>
        <v>C9400-LC-48TX=</v>
      </c>
      <c r="B200" s="65">
        <f>IFERROR(__xludf.DUMMYFUNCTION("""COMPUTED_VALUE"""),19129.0)</f>
        <v>19129</v>
      </c>
      <c r="C200" s="29"/>
      <c r="D200" s="65">
        <f>IFERROR(__xludf.DUMMYFUNCTION("""COMPUTED_VALUE"""),19129.0)</f>
        <v>19129</v>
      </c>
    </row>
    <row r="201">
      <c r="A201" s="29" t="str">
        <f>IFERROR(__xludf.DUMMYFUNCTION("""COMPUTED_VALUE"""),"C9400-LC-48S=")</f>
        <v>C9400-LC-48S=</v>
      </c>
      <c r="B201" s="65">
        <f>IFERROR(__xludf.DUMMYFUNCTION("""COMPUTED_VALUE"""),30425.45)</f>
        <v>30425.45</v>
      </c>
      <c r="C201" s="29"/>
      <c r="D201" s="65">
        <f>IFERROR(__xludf.DUMMYFUNCTION("""COMPUTED_VALUE"""),30425.45)</f>
        <v>30425.45</v>
      </c>
    </row>
    <row r="202">
      <c r="A202" s="29" t="str">
        <f>IFERROR(__xludf.DUMMYFUNCTION("""COMPUTED_VALUE"""),"C9400-LC-48XS=")</f>
        <v>C9400-LC-48XS=</v>
      </c>
      <c r="B202" s="65">
        <f>IFERROR(__xludf.DUMMYFUNCTION("""COMPUTED_VALUE"""),47564.0)</f>
        <v>47564</v>
      </c>
      <c r="C202" s="29"/>
      <c r="D202" s="65">
        <f>IFERROR(__xludf.DUMMYFUNCTION("""COMPUTED_VALUE"""),47564.0)</f>
        <v>47564</v>
      </c>
    </row>
    <row r="203">
      <c r="A203" s="29" t="str">
        <f>IFERROR(__xludf.DUMMYFUNCTION("""COMPUTED_VALUE"""),"C9606R")</f>
        <v>C9606R</v>
      </c>
      <c r="B203" s="65">
        <f>IFERROR(__xludf.DUMMYFUNCTION("""COMPUTED_VALUE"""),246495.41)</f>
        <v>246495.41</v>
      </c>
      <c r="C203" s="29"/>
      <c r="D203" s="65">
        <f>IFERROR(__xludf.DUMMYFUNCTION("""COMPUTED_VALUE"""),246495.41)</f>
        <v>246495.41</v>
      </c>
    </row>
    <row r="204">
      <c r="A204" s="29" t="str">
        <f>IFERROR(__xludf.DUMMYFUNCTION("""COMPUTED_VALUE"""),"C9600-LC-48TX=")</f>
        <v>C9600-LC-48TX=</v>
      </c>
      <c r="B204" s="65">
        <f>IFERROR(__xludf.DUMMYFUNCTION("""COMPUTED_VALUE"""),28916.35)</f>
        <v>28916.35</v>
      </c>
      <c r="C204" s="29"/>
      <c r="D204" s="65">
        <f>IFERROR(__xludf.DUMMYFUNCTION("""COMPUTED_VALUE"""),28916.35)</f>
        <v>28916.35</v>
      </c>
    </row>
    <row r="205">
      <c r="A205" s="29" t="str">
        <f>IFERROR(__xludf.DUMMYFUNCTION("""COMPUTED_VALUE"""),"C9600-LC-48YL=")</f>
        <v>C9600-LC-48YL=</v>
      </c>
      <c r="B205" s="65">
        <f>IFERROR(__xludf.DUMMYFUNCTION("""COMPUTED_VALUE"""),28916.35)</f>
        <v>28916.35</v>
      </c>
      <c r="C205" s="29"/>
      <c r="D205" s="65">
        <f>IFERROR(__xludf.DUMMYFUNCTION("""COMPUTED_VALUE"""),28916.35)</f>
        <v>28916.35</v>
      </c>
    </row>
    <row r="206">
      <c r="A206" s="29" t="str">
        <f>IFERROR(__xludf.DUMMYFUNCTION("""COMPUTED_VALUE"""),"C9600-LC-40YL4CD=")</f>
        <v>C9600-LC-40YL4CD=</v>
      </c>
      <c r="B206" s="65">
        <f>IFERROR(__xludf.DUMMYFUNCTION("""COMPUTED_VALUE"""),34122.0)</f>
        <v>34122</v>
      </c>
      <c r="C206" s="29"/>
      <c r="D206" s="65">
        <f>IFERROR(__xludf.DUMMYFUNCTION("""COMPUTED_VALUE"""),34122.0)</f>
        <v>34122</v>
      </c>
    </row>
    <row r="207">
      <c r="A207" s="29" t="str">
        <f>IFERROR(__xludf.DUMMYFUNCTION("""COMPUTED_VALUE"""),"C9600-LC-24C=")</f>
        <v>C9600-LC-24C=</v>
      </c>
      <c r="B207" s="65">
        <f>IFERROR(__xludf.DUMMYFUNCTION("""COMPUTED_VALUE"""),32859.49)</f>
        <v>32859.49</v>
      </c>
      <c r="C207" s="29"/>
      <c r="D207" s="65">
        <f>IFERROR(__xludf.DUMMYFUNCTION("""COMPUTED_VALUE"""),32859.49)</f>
        <v>32859.49</v>
      </c>
    </row>
    <row r="208">
      <c r="A208" s="29" t="str">
        <f>IFERROR(__xludf.DUMMYFUNCTION("""COMPUTED_VALUE"""),"C1200-8T-D")</f>
        <v>C1200-8T-D</v>
      </c>
      <c r="B208" s="65">
        <f>IFERROR(__xludf.DUMMYFUNCTION("""COMPUTED_VALUE"""),247.3)</f>
        <v>247.3</v>
      </c>
      <c r="C208" s="65" t="str">
        <f>IFERROR(__xludf.DUMMYFUNCTION("""COMPUTED_VALUE"""),"")</f>
        <v/>
      </c>
      <c r="D208" s="65">
        <f>IFERROR(__xludf.DUMMYFUNCTION("""COMPUTED_VALUE"""),247.3)</f>
        <v>247.3</v>
      </c>
    </row>
    <row r="209">
      <c r="A209" s="29" t="str">
        <f>IFERROR(__xludf.DUMMYFUNCTION("""COMPUTED_VALUE"""),"C1200-8T-E-2G")</f>
        <v>C1200-8T-E-2G</v>
      </c>
      <c r="B209" s="65">
        <f>IFERROR(__xludf.DUMMYFUNCTION("""COMPUTED_VALUE"""),337.64)</f>
        <v>337.64</v>
      </c>
      <c r="C209" s="65" t="str">
        <f>IFERROR(__xludf.DUMMYFUNCTION("""COMPUTED_VALUE"""),"")</f>
        <v/>
      </c>
      <c r="D209" s="65">
        <f>IFERROR(__xludf.DUMMYFUNCTION("""COMPUTED_VALUE"""),337.64)</f>
        <v>337.64</v>
      </c>
    </row>
    <row r="210">
      <c r="A210" s="29" t="str">
        <f>IFERROR(__xludf.DUMMYFUNCTION("""COMPUTED_VALUE"""),"C1200-8P-E-2G")</f>
        <v>C1200-8P-E-2G</v>
      </c>
      <c r="B210" s="65">
        <f>IFERROR(__xludf.DUMMYFUNCTION("""COMPUTED_VALUE"""),454.11)</f>
        <v>454.11</v>
      </c>
      <c r="C210" s="65" t="str">
        <f>IFERROR(__xludf.DUMMYFUNCTION("""COMPUTED_VALUE"""),"")</f>
        <v/>
      </c>
      <c r="D210" s="65">
        <f>IFERROR(__xludf.DUMMYFUNCTION("""COMPUTED_VALUE"""),454.11)</f>
        <v>454.11</v>
      </c>
    </row>
    <row r="211">
      <c r="A211" s="29" t="str">
        <f>IFERROR(__xludf.DUMMYFUNCTION("""COMPUTED_VALUE"""),"C1200-8FP-2G")</f>
        <v>C1200-8FP-2G</v>
      </c>
      <c r="B211" s="65">
        <f>IFERROR(__xludf.DUMMYFUNCTION("""COMPUTED_VALUE"""),482.81)</f>
        <v>482.81</v>
      </c>
      <c r="C211" s="65" t="str">
        <f>IFERROR(__xludf.DUMMYFUNCTION("""COMPUTED_VALUE"""),"")</f>
        <v/>
      </c>
      <c r="D211" s="65">
        <f>IFERROR(__xludf.DUMMYFUNCTION("""COMPUTED_VALUE"""),482.81)</f>
        <v>482.81</v>
      </c>
    </row>
    <row r="212">
      <c r="A212" s="29" t="str">
        <f>IFERROR(__xludf.DUMMYFUNCTION("""COMPUTED_VALUE"""),"C1200-16T-2G")</f>
        <v>C1200-16T-2G</v>
      </c>
      <c r="B212" s="65">
        <f>IFERROR(__xludf.DUMMYFUNCTION("""COMPUTED_VALUE"""),454.11)</f>
        <v>454.11</v>
      </c>
      <c r="C212" s="65" t="str">
        <f>IFERROR(__xludf.DUMMYFUNCTION("""COMPUTED_VALUE"""),"")</f>
        <v/>
      </c>
      <c r="D212" s="65">
        <f>IFERROR(__xludf.DUMMYFUNCTION("""COMPUTED_VALUE"""),454.11)</f>
        <v>454.11</v>
      </c>
    </row>
    <row r="213">
      <c r="A213" s="29" t="str">
        <f>IFERROR(__xludf.DUMMYFUNCTION("""COMPUTED_VALUE"""),"C1200-16P-2G")</f>
        <v>C1200-16P-2G</v>
      </c>
      <c r="B213" s="65">
        <f>IFERROR(__xludf.DUMMYFUNCTION("""COMPUTED_VALUE"""),710.58)</f>
        <v>710.58</v>
      </c>
      <c r="C213" s="65" t="str">
        <f>IFERROR(__xludf.DUMMYFUNCTION("""COMPUTED_VALUE"""),"")</f>
        <v/>
      </c>
      <c r="D213" s="65">
        <f>IFERROR(__xludf.DUMMYFUNCTION("""COMPUTED_VALUE"""),710.58)</f>
        <v>710.58</v>
      </c>
    </row>
    <row r="214">
      <c r="A214" s="29" t="str">
        <f>IFERROR(__xludf.DUMMYFUNCTION("""COMPUTED_VALUE"""),"C1200-24T-4G")</f>
        <v>C1200-24T-4G</v>
      </c>
      <c r="B214" s="65">
        <f>IFERROR(__xludf.DUMMYFUNCTION("""COMPUTED_VALUE"""),494.58)</f>
        <v>494.58</v>
      </c>
      <c r="C214" s="65" t="str">
        <f>IFERROR(__xludf.DUMMYFUNCTION("""COMPUTED_VALUE"""),"")</f>
        <v/>
      </c>
      <c r="D214" s="65">
        <f>IFERROR(__xludf.DUMMYFUNCTION("""COMPUTED_VALUE"""),494.58)</f>
        <v>494.58</v>
      </c>
    </row>
    <row r="215">
      <c r="A215" s="29" t="str">
        <f>IFERROR(__xludf.DUMMYFUNCTION("""COMPUTED_VALUE"""),"C1200-24P-4G")</f>
        <v>C1200-24P-4G</v>
      </c>
      <c r="B215" s="65">
        <f>IFERROR(__xludf.DUMMYFUNCTION("""COMPUTED_VALUE"""),884.63)</f>
        <v>884.63</v>
      </c>
      <c r="C215" s="65" t="str">
        <f>IFERROR(__xludf.DUMMYFUNCTION("""COMPUTED_VALUE"""),"")</f>
        <v/>
      </c>
      <c r="D215" s="65">
        <f>IFERROR(__xludf.DUMMYFUNCTION("""COMPUTED_VALUE"""),884.63)</f>
        <v>884.63</v>
      </c>
    </row>
    <row r="216">
      <c r="A216" s="29" t="str">
        <f>IFERROR(__xludf.DUMMYFUNCTION("""COMPUTED_VALUE"""),"C1200-24FP-4G")</f>
        <v>C1200-24FP-4G</v>
      </c>
      <c r="B216" s="65">
        <f>IFERROR(__xludf.DUMMYFUNCTION("""COMPUTED_VALUE"""),1322.91)</f>
        <v>1322.91</v>
      </c>
      <c r="C216" s="65" t="str">
        <f>IFERROR(__xludf.DUMMYFUNCTION("""COMPUTED_VALUE"""),"")</f>
        <v/>
      </c>
      <c r="D216" s="65">
        <f>IFERROR(__xludf.DUMMYFUNCTION("""COMPUTED_VALUE"""),1322.91)</f>
        <v>1322.91</v>
      </c>
    </row>
    <row r="217">
      <c r="A217" s="29" t="str">
        <f>IFERROR(__xludf.DUMMYFUNCTION("""COMPUTED_VALUE"""),"C1200-48T-4G")</f>
        <v>C1200-48T-4G</v>
      </c>
      <c r="B217" s="65">
        <f>IFERROR(__xludf.DUMMYFUNCTION("""COMPUTED_VALUE"""),947.38)</f>
        <v>947.38</v>
      </c>
      <c r="C217" s="65" t="str">
        <f>IFERROR(__xludf.DUMMYFUNCTION("""COMPUTED_VALUE"""),"")</f>
        <v/>
      </c>
      <c r="D217" s="65">
        <f>IFERROR(__xludf.DUMMYFUNCTION("""COMPUTED_VALUE"""),947.38)</f>
        <v>947.38</v>
      </c>
    </row>
    <row r="218">
      <c r="A218" s="29" t="str">
        <f>IFERROR(__xludf.DUMMYFUNCTION("""COMPUTED_VALUE"""),"C1200-48P-4G")</f>
        <v>C1200-48P-4G</v>
      </c>
      <c r="B218" s="65">
        <f>IFERROR(__xludf.DUMMYFUNCTION("""COMPUTED_VALUE"""),1474.24)</f>
        <v>1474.24</v>
      </c>
      <c r="C218" s="65" t="str">
        <f>IFERROR(__xludf.DUMMYFUNCTION("""COMPUTED_VALUE"""),"")</f>
        <v/>
      </c>
      <c r="D218" s="65">
        <f>IFERROR(__xludf.DUMMYFUNCTION("""COMPUTED_VALUE"""),1474.24)</f>
        <v>1474.24</v>
      </c>
    </row>
    <row r="219">
      <c r="A219" s="29" t="str">
        <f>IFERROR(__xludf.DUMMYFUNCTION("""COMPUTED_VALUE"""),"C1200-24T-4X")</f>
        <v>C1200-24T-4X</v>
      </c>
      <c r="B219" s="65">
        <f>IFERROR(__xludf.DUMMYFUNCTION("""COMPUTED_VALUE"""),824.79)</f>
        <v>824.79</v>
      </c>
      <c r="C219" s="65" t="str">
        <f>IFERROR(__xludf.DUMMYFUNCTION("""COMPUTED_VALUE"""),"")</f>
        <v/>
      </c>
      <c r="D219" s="65">
        <f>IFERROR(__xludf.DUMMYFUNCTION("""COMPUTED_VALUE"""),824.79)</f>
        <v>824.79</v>
      </c>
    </row>
    <row r="220">
      <c r="A220" s="29" t="str">
        <f>IFERROR(__xludf.DUMMYFUNCTION("""COMPUTED_VALUE"""),"C1200-24P-4X")</f>
        <v>C1200-24P-4X</v>
      </c>
      <c r="B220" s="65">
        <f>IFERROR(__xludf.DUMMYFUNCTION("""COMPUTED_VALUE"""),989.01)</f>
        <v>989.01</v>
      </c>
      <c r="C220" s="65" t="str">
        <f>IFERROR(__xludf.DUMMYFUNCTION("""COMPUTED_VALUE"""),"")</f>
        <v/>
      </c>
      <c r="D220" s="65">
        <f>IFERROR(__xludf.DUMMYFUNCTION("""COMPUTED_VALUE"""),989.01)</f>
        <v>989.01</v>
      </c>
    </row>
    <row r="221">
      <c r="A221" s="29" t="str">
        <f>IFERROR(__xludf.DUMMYFUNCTION("""COMPUTED_VALUE"""),"C1200-24FP-4X")</f>
        <v>C1200-24FP-4X</v>
      </c>
      <c r="B221" s="65">
        <f>IFERROR(__xludf.DUMMYFUNCTION("""COMPUTED_VALUE"""),1404.36)</f>
        <v>1404.36</v>
      </c>
      <c r="C221" s="65" t="str">
        <f>IFERROR(__xludf.DUMMYFUNCTION("""COMPUTED_VALUE"""),"")</f>
        <v/>
      </c>
      <c r="D221" s="65">
        <f>IFERROR(__xludf.DUMMYFUNCTION("""COMPUTED_VALUE"""),1404.36)</f>
        <v>1404.36</v>
      </c>
    </row>
    <row r="222">
      <c r="A222" s="29" t="str">
        <f>IFERROR(__xludf.DUMMYFUNCTION("""COMPUTED_VALUE"""),"C1200-48T-4X")</f>
        <v>C1200-48T-4X</v>
      </c>
      <c r="B222" s="65">
        <f>IFERROR(__xludf.DUMMYFUNCTION("""COMPUTED_VALUE"""),1292.59)</f>
        <v>1292.59</v>
      </c>
      <c r="C222" s="65" t="str">
        <f>IFERROR(__xludf.DUMMYFUNCTION("""COMPUTED_VALUE"""),"")</f>
        <v/>
      </c>
      <c r="D222" s="65">
        <f>IFERROR(__xludf.DUMMYFUNCTION("""COMPUTED_VALUE"""),1292.59)</f>
        <v>1292.59</v>
      </c>
    </row>
    <row r="223">
      <c r="A223" s="29" t="str">
        <f>IFERROR(__xludf.DUMMYFUNCTION("""COMPUTED_VALUE"""),"C1200-48P-4X")</f>
        <v>C1200-48P-4X</v>
      </c>
      <c r="B223" s="65">
        <f>IFERROR(__xludf.DUMMYFUNCTION("""COMPUTED_VALUE"""),1598.11)</f>
        <v>1598.11</v>
      </c>
      <c r="C223" s="65" t="str">
        <f>IFERROR(__xludf.DUMMYFUNCTION("""COMPUTED_VALUE"""),"")</f>
        <v/>
      </c>
      <c r="D223" s="65">
        <f>IFERROR(__xludf.DUMMYFUNCTION("""COMPUTED_VALUE"""),1598.11)</f>
        <v>1598.11</v>
      </c>
    </row>
    <row r="224">
      <c r="A224" s="29" t="str">
        <f>IFERROR(__xludf.DUMMYFUNCTION("""COMPUTED_VALUE"""),"C9300X-48HX")</f>
        <v>C9300X-48HX</v>
      </c>
      <c r="B224" s="65">
        <f>IFERROR(__xludf.DUMMYFUNCTION("""COMPUTED_VALUE"""),41947.75)</f>
        <v>41947.75</v>
      </c>
      <c r="C224" s="65" t="str">
        <f>IFERROR(__xludf.DUMMYFUNCTION("""COMPUTED_VALUE"""),"")</f>
        <v/>
      </c>
      <c r="D224" s="65">
        <f>IFERROR(__xludf.DUMMYFUNCTION("""COMPUTED_VALUE"""),41947.75)</f>
        <v>41947.75</v>
      </c>
    </row>
    <row r="225">
      <c r="A225" s="29" t="str">
        <f>IFERROR(__xludf.DUMMYFUNCTION("""COMPUTED_VALUE"""),"C9300X-48TX")</f>
        <v>C9300X-48TX</v>
      </c>
      <c r="B225" s="65">
        <f>IFERROR(__xludf.DUMMYFUNCTION("""COMPUTED_VALUE"""),39313.41)</f>
        <v>39313.41</v>
      </c>
      <c r="C225" s="65" t="str">
        <f>IFERROR(__xludf.DUMMYFUNCTION("""COMPUTED_VALUE"""),"")</f>
        <v/>
      </c>
      <c r="D225" s="65">
        <f>IFERROR(__xludf.DUMMYFUNCTION("""COMPUTED_VALUE"""),39313.41)</f>
        <v>39313.41</v>
      </c>
    </row>
    <row r="226">
      <c r="A226" s="29" t="str">
        <f>IFERROR(__xludf.DUMMYFUNCTION("""COMPUTED_VALUE"""),"C9300X-48HXN")</f>
        <v>C9300X-48HXN</v>
      </c>
      <c r="B226" s="65">
        <f>IFERROR(__xludf.DUMMYFUNCTION("""COMPUTED_VALUE"""),39313.41)</f>
        <v>39313.41</v>
      </c>
      <c r="C226" s="65" t="str">
        <f>IFERROR(__xludf.DUMMYFUNCTION("""COMPUTED_VALUE"""),"")</f>
        <v/>
      </c>
      <c r="D226" s="65">
        <f>IFERROR(__xludf.DUMMYFUNCTION("""COMPUTED_VALUE"""),39313.41)</f>
        <v>39313.41</v>
      </c>
    </row>
    <row r="227">
      <c r="A227" s="29" t="str">
        <f>IFERROR(__xludf.DUMMYFUNCTION("""COMPUTED_VALUE"""),"C9300X-24HX")</f>
        <v>C9300X-24HX</v>
      </c>
      <c r="B227" s="65">
        <f>IFERROR(__xludf.DUMMYFUNCTION("""COMPUTED_VALUE"""),35493.67)</f>
        <v>35493.67</v>
      </c>
      <c r="C227" s="65" t="str">
        <f>IFERROR(__xludf.DUMMYFUNCTION("""COMPUTED_VALUE"""),"")</f>
        <v/>
      </c>
      <c r="D227" s="65">
        <f>IFERROR(__xludf.DUMMYFUNCTION("""COMPUTED_VALUE"""),35493.67)</f>
        <v>35493.67</v>
      </c>
    </row>
    <row r="228">
      <c r="A228" s="29" t="str">
        <f>IFERROR(__xludf.DUMMYFUNCTION("""COMPUTED_VALUE"""),"C9300X-12Y")</f>
        <v>C9300X-12Y</v>
      </c>
      <c r="B228" s="65">
        <f>IFERROR(__xludf.DUMMYFUNCTION("""COMPUTED_VALUE"""),43627.07)</f>
        <v>43627.07</v>
      </c>
      <c r="C228" s="65" t="str">
        <f>IFERROR(__xludf.DUMMYFUNCTION("""COMPUTED_VALUE"""),"")</f>
        <v/>
      </c>
      <c r="D228" s="65">
        <f>IFERROR(__xludf.DUMMYFUNCTION("""COMPUTED_VALUE"""),43627.07)</f>
        <v>43627.07</v>
      </c>
    </row>
    <row r="229">
      <c r="A229" s="29" t="str">
        <f>IFERROR(__xludf.DUMMYFUNCTION("""COMPUTED_VALUE"""),"C9300X-24Y")</f>
        <v>C9300X-24Y</v>
      </c>
      <c r="B229" s="65">
        <f>IFERROR(__xludf.DUMMYFUNCTION("""COMPUTED_VALUE"""),59751.4)</f>
        <v>59751.4</v>
      </c>
      <c r="C229" s="65" t="str">
        <f>IFERROR(__xludf.DUMMYFUNCTION("""COMPUTED_VALUE"""),"")</f>
        <v/>
      </c>
      <c r="D229" s="65">
        <f>IFERROR(__xludf.DUMMYFUNCTION("""COMPUTED_VALUE"""),59751.4)</f>
        <v>59751.4</v>
      </c>
    </row>
    <row r="230">
      <c r="A230" s="29" t="str">
        <f>IFERROR(__xludf.DUMMYFUNCTION("""COMPUTED_VALUE"""),"EX4200-24T")</f>
        <v>EX4200-24T</v>
      </c>
      <c r="B230" s="65">
        <f>IFERROR(__xludf.DUMMYFUNCTION("""COMPUTED_VALUE"""),10000.0)</f>
        <v>10000</v>
      </c>
      <c r="C230" s="65">
        <f>IFERROR(__xludf.DUMMYFUNCTION("""COMPUTED_VALUE"""),26500.0)</f>
        <v>26500</v>
      </c>
      <c r="D230" s="65">
        <f>IFERROR(__xludf.DUMMYFUNCTION("""COMPUTED_VALUE"""),26500.0)</f>
        <v>26500</v>
      </c>
    </row>
    <row r="231">
      <c r="A231" s="29" t="str">
        <f>IFERROR(__xludf.DUMMYFUNCTION("""COMPUTED_VALUE"""),"EX4300-48S")</f>
        <v>EX4300-48S</v>
      </c>
      <c r="B231" s="65">
        <f>IFERROR(__xludf.DUMMYFUNCTION("""COMPUTED_VALUE"""),20000.0)</f>
        <v>20000</v>
      </c>
      <c r="C231" s="65">
        <f>IFERROR(__xludf.DUMMYFUNCTION("""COMPUTED_VALUE"""),32500.0)</f>
        <v>32500</v>
      </c>
      <c r="D231" s="65">
        <f>IFERROR(__xludf.DUMMYFUNCTION("""COMPUTED_VALUE"""),32500.0)</f>
        <v>32500</v>
      </c>
    </row>
    <row r="232">
      <c r="A232" s="29" t="str">
        <f>IFERROR(__xludf.DUMMYFUNCTION("""COMPUTED_VALUE"""),"EX4600")</f>
        <v>EX4600</v>
      </c>
      <c r="B232" s="65">
        <f>IFERROR(__xludf.DUMMYFUNCTION("""COMPUTED_VALUE"""),30000.0)</f>
        <v>30000</v>
      </c>
      <c r="C232" s="65">
        <f>IFERROR(__xludf.DUMMYFUNCTION("""COMPUTED_VALUE"""),192000.0)</f>
        <v>192000</v>
      </c>
      <c r="D232" s="65">
        <f>IFERROR(__xludf.DUMMYFUNCTION("""COMPUTED_VALUE"""),192000.0)</f>
        <v>192000</v>
      </c>
    </row>
    <row r="233">
      <c r="A233" s="29" t="str">
        <f>IFERROR(__xludf.DUMMYFUNCTION("""COMPUTED_VALUE"""),"Ficer-1G-0.5km")</f>
        <v>Ficer-1G-0.5km</v>
      </c>
      <c r="B233" s="65">
        <f>IFERROR(__xludf.DUMMYFUNCTION("""COMPUTED_VALUE"""),8.0)</f>
        <v>8</v>
      </c>
      <c r="C233" s="29"/>
      <c r="D233" s="65">
        <f>IFERROR(__xludf.DUMMYFUNCTION("""COMPUTED_VALUE"""),8.0)</f>
        <v>8</v>
      </c>
    </row>
    <row r="234">
      <c r="A234" s="29" t="str">
        <f>IFERROR(__xludf.DUMMYFUNCTION("""COMPUTED_VALUE"""),"Ficer-1G-10km")</f>
        <v>Ficer-1G-10km</v>
      </c>
      <c r="B234" s="65">
        <f>IFERROR(__xludf.DUMMYFUNCTION("""COMPUTED_VALUE"""),9.0)</f>
        <v>9</v>
      </c>
      <c r="C234" s="29"/>
      <c r="D234" s="65">
        <f>IFERROR(__xludf.DUMMYFUNCTION("""COMPUTED_VALUE"""),9.0)</f>
        <v>9</v>
      </c>
    </row>
    <row r="235">
      <c r="A235" s="29" t="str">
        <f>IFERROR(__xludf.DUMMYFUNCTION("""COMPUTED_VALUE"""),"Ficer-1G-40km")</f>
        <v>Ficer-1G-40km</v>
      </c>
      <c r="B235" s="65">
        <f>IFERROR(__xludf.DUMMYFUNCTION("""COMPUTED_VALUE"""),21.0)</f>
        <v>21</v>
      </c>
      <c r="C235" s="29"/>
      <c r="D235" s="65">
        <f>IFERROR(__xludf.DUMMYFUNCTION("""COMPUTED_VALUE"""),21.0)</f>
        <v>21</v>
      </c>
    </row>
    <row r="236">
      <c r="A236" s="29" t="str">
        <f>IFERROR(__xludf.DUMMYFUNCTION("""COMPUTED_VALUE"""),"Ficer-1G-80km")</f>
        <v>Ficer-1G-80km</v>
      </c>
      <c r="B236" s="65">
        <f>IFERROR(__xludf.DUMMYFUNCTION("""COMPUTED_VALUE"""),35.0)</f>
        <v>35</v>
      </c>
      <c r="C236" s="29"/>
      <c r="D236" s="65">
        <f>IFERROR(__xludf.DUMMYFUNCTION("""COMPUTED_VALUE"""),35.0)</f>
        <v>35</v>
      </c>
    </row>
    <row r="237">
      <c r="A237" s="29" t="str">
        <f>IFERROR(__xludf.DUMMYFUNCTION("""COMPUTED_VALUE"""),"Ficer-10G-0.5km")</f>
        <v>Ficer-10G-0.5km</v>
      </c>
      <c r="B237" s="65">
        <f>IFERROR(__xludf.DUMMYFUNCTION("""COMPUTED_VALUE"""),12.5)</f>
        <v>12.5</v>
      </c>
      <c r="C237" s="29"/>
      <c r="D237" s="65">
        <f>IFERROR(__xludf.DUMMYFUNCTION("""COMPUTED_VALUE"""),12.5)</f>
        <v>12.5</v>
      </c>
    </row>
    <row r="238">
      <c r="A238" s="29" t="str">
        <f>IFERROR(__xludf.DUMMYFUNCTION("""COMPUTED_VALUE"""),"Ficer-10G-10km")</f>
        <v>Ficer-10G-10km</v>
      </c>
      <c r="B238" s="65">
        <f>IFERROR(__xludf.DUMMYFUNCTION("""COMPUTED_VALUE"""),32.0)</f>
        <v>32</v>
      </c>
      <c r="C238" s="29"/>
      <c r="D238" s="65">
        <f>IFERROR(__xludf.DUMMYFUNCTION("""COMPUTED_VALUE"""),32.0)</f>
        <v>32</v>
      </c>
    </row>
    <row r="239">
      <c r="A239" s="29" t="str">
        <f>IFERROR(__xludf.DUMMYFUNCTION("""COMPUTED_VALUE"""),"Ficer-10G-40km")</f>
        <v>Ficer-10G-40km</v>
      </c>
      <c r="B239" s="65">
        <f>IFERROR(__xludf.DUMMYFUNCTION("""COMPUTED_VALUE"""),150.0)</f>
        <v>150</v>
      </c>
      <c r="C239" s="29"/>
      <c r="D239" s="65">
        <f>IFERROR(__xludf.DUMMYFUNCTION("""COMPUTED_VALUE"""),150.0)</f>
        <v>150</v>
      </c>
    </row>
    <row r="240">
      <c r="A240" s="29" t="str">
        <f>IFERROR(__xludf.DUMMYFUNCTION("""COMPUTED_VALUE"""),"Ficer-10G-80km")</f>
        <v>Ficer-10G-80km</v>
      </c>
      <c r="B240" s="65">
        <f>IFERROR(__xludf.DUMMYFUNCTION("""COMPUTED_VALUE"""),290.0)</f>
        <v>290</v>
      </c>
      <c r="C240" s="29"/>
      <c r="D240" s="65">
        <f>IFERROR(__xludf.DUMMYFUNCTION("""COMPUTED_VALUE"""),290.0)</f>
        <v>290</v>
      </c>
    </row>
    <row r="241">
      <c r="A241" s="29" t="str">
        <f>IFERROR(__xludf.DUMMYFUNCTION("""COMPUTED_VALUE"""),"Ficer-100G-10km")</f>
        <v>Ficer-100G-10km</v>
      </c>
      <c r="B241" s="29"/>
      <c r="C241" s="65">
        <f>IFERROR(__xludf.DUMMYFUNCTION("""COMPUTED_VALUE"""),500.0)</f>
        <v>500</v>
      </c>
      <c r="D241" s="65">
        <f>IFERROR(__xludf.DUMMYFUNCTION("""COMPUTED_VALUE"""),500.0)</f>
        <v>500</v>
      </c>
    </row>
    <row r="242">
      <c r="A242" s="29" t="str">
        <f>IFERROR(__xludf.DUMMYFUNCTION("""COMPUTED_VALUE"""),"Ficer-100G-40km")</f>
        <v>Ficer-100G-40km</v>
      </c>
      <c r="B242" s="29"/>
      <c r="C242" s="65">
        <f>IFERROR(__xludf.DUMMYFUNCTION("""COMPUTED_VALUE"""),800.0)</f>
        <v>800</v>
      </c>
      <c r="D242" s="65">
        <f>IFERROR(__xludf.DUMMYFUNCTION("""COMPUTED_VALUE"""),800.0)</f>
        <v>800</v>
      </c>
    </row>
    <row r="243">
      <c r="A243" s="29" t="str">
        <f>IFERROR(__xludf.DUMMYFUNCTION("""COMPUTED_VALUE"""),"Ficer-100G-80km")</f>
        <v>Ficer-100G-80km</v>
      </c>
      <c r="B243" s="29"/>
      <c r="C243" s="65">
        <f>IFERROR(__xludf.DUMMYFUNCTION("""COMPUTED_VALUE"""),1000.0)</f>
        <v>1000</v>
      </c>
      <c r="D243" s="65">
        <f>IFERROR(__xludf.DUMMYFUNCTION("""COMPUTED_VALUE"""),1000.0)</f>
        <v>1000</v>
      </c>
    </row>
  </sheetData>
  <conditionalFormatting sqref="D2:D1000">
    <cfRule type="expression" dxfId="0" priority="1">
      <formula>B2&lt;&gt;D2</formula>
    </cfRule>
  </conditionalFormatting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27.38"/>
  </cols>
  <sheetData>
    <row r="1">
      <c r="A1" s="70" t="s">
        <v>222</v>
      </c>
      <c r="B1" s="70" t="s">
        <v>223</v>
      </c>
      <c r="C1" s="71" t="s">
        <v>224</v>
      </c>
      <c r="D1" s="71" t="s">
        <v>225</v>
      </c>
      <c r="E1" s="70" t="s">
        <v>226</v>
      </c>
      <c r="F1" s="70" t="s">
        <v>227</v>
      </c>
      <c r="G1" s="71" t="s">
        <v>228</v>
      </c>
      <c r="H1" s="70" t="s">
        <v>229</v>
      </c>
      <c r="I1" s="70" t="s">
        <v>230</v>
      </c>
      <c r="J1" s="70" t="s">
        <v>231</v>
      </c>
      <c r="K1" s="70" t="s">
        <v>232</v>
      </c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>
      <c r="A2" s="73" t="s">
        <v>233</v>
      </c>
      <c r="B2" s="73" t="s">
        <v>233</v>
      </c>
      <c r="C2" s="73" t="s">
        <v>234</v>
      </c>
      <c r="D2" s="73" t="s">
        <v>234</v>
      </c>
      <c r="E2" s="73" t="s">
        <v>235</v>
      </c>
      <c r="F2" s="73" t="s">
        <v>236</v>
      </c>
      <c r="G2" s="73" t="s">
        <v>233</v>
      </c>
      <c r="H2" s="73" t="s">
        <v>237</v>
      </c>
      <c r="I2" s="73" t="s">
        <v>238</v>
      </c>
      <c r="J2" s="73" t="s">
        <v>239</v>
      </c>
      <c r="K2" s="73" t="s">
        <v>238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</row>
    <row r="3">
      <c r="A3" s="73" t="s">
        <v>240</v>
      </c>
      <c r="B3" s="73" t="s">
        <v>240</v>
      </c>
      <c r="C3" s="73" t="s">
        <v>241</v>
      </c>
      <c r="D3" s="73" t="s">
        <v>241</v>
      </c>
      <c r="E3" s="73" t="s">
        <v>242</v>
      </c>
      <c r="F3" s="73" t="s">
        <v>243</v>
      </c>
      <c r="G3" s="73" t="s">
        <v>240</v>
      </c>
      <c r="H3" s="73" t="s">
        <v>244</v>
      </c>
      <c r="I3" s="73" t="s">
        <v>245</v>
      </c>
      <c r="J3" s="73" t="s">
        <v>246</v>
      </c>
      <c r="K3" s="73" t="s">
        <v>245</v>
      </c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</row>
    <row r="4">
      <c r="A4" s="73" t="s">
        <v>247</v>
      </c>
      <c r="B4" s="73" t="s">
        <v>247</v>
      </c>
      <c r="C4" s="73" t="s">
        <v>248</v>
      </c>
      <c r="D4" s="73" t="s">
        <v>248</v>
      </c>
      <c r="E4" s="73" t="s">
        <v>249</v>
      </c>
      <c r="F4" s="73" t="s">
        <v>250</v>
      </c>
      <c r="G4" s="73" t="s">
        <v>247</v>
      </c>
      <c r="H4" s="73" t="s">
        <v>251</v>
      </c>
      <c r="I4" s="74"/>
      <c r="J4" s="73" t="s">
        <v>252</v>
      </c>
      <c r="K4" s="73" t="s">
        <v>253</v>
      </c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</row>
    <row r="5">
      <c r="A5" s="73" t="s">
        <v>254</v>
      </c>
      <c r="B5" s="73" t="s">
        <v>254</v>
      </c>
      <c r="C5" s="73" t="s">
        <v>255</v>
      </c>
      <c r="D5" s="73" t="s">
        <v>255</v>
      </c>
      <c r="E5" s="73" t="s">
        <v>256</v>
      </c>
      <c r="F5" s="74"/>
      <c r="G5" s="73" t="s">
        <v>254</v>
      </c>
      <c r="H5" s="73" t="s">
        <v>257</v>
      </c>
      <c r="I5" s="74"/>
      <c r="J5" s="73" t="s">
        <v>258</v>
      </c>
      <c r="K5" s="73" t="s">
        <v>259</v>
      </c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</row>
    <row r="6">
      <c r="A6" s="73" t="s">
        <v>260</v>
      </c>
      <c r="B6" s="74"/>
      <c r="C6" s="75" t="s">
        <v>261</v>
      </c>
      <c r="D6" s="75" t="s">
        <v>261</v>
      </c>
      <c r="E6" s="74"/>
      <c r="F6" s="74"/>
      <c r="G6" s="74"/>
      <c r="H6" s="73" t="s">
        <v>262</v>
      </c>
      <c r="I6" s="74"/>
      <c r="J6" s="73" t="s">
        <v>263</v>
      </c>
      <c r="K6" s="74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>
      <c r="A7" s="73" t="s">
        <v>264</v>
      </c>
      <c r="B7" s="74"/>
      <c r="C7" s="75" t="s">
        <v>265</v>
      </c>
      <c r="D7" s="75" t="s">
        <v>265</v>
      </c>
      <c r="E7" s="74"/>
      <c r="F7" s="74"/>
      <c r="G7" s="74"/>
      <c r="H7" s="73" t="s">
        <v>266</v>
      </c>
      <c r="I7" s="74"/>
      <c r="J7" s="73" t="s">
        <v>267</v>
      </c>
      <c r="K7" s="74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>
      <c r="A8" s="74"/>
      <c r="B8" s="74"/>
      <c r="C8" s="73" t="s">
        <v>266</v>
      </c>
      <c r="D8" s="73" t="s">
        <v>266</v>
      </c>
      <c r="E8" s="74"/>
      <c r="F8" s="74"/>
      <c r="G8" s="74"/>
      <c r="H8" s="74"/>
      <c r="I8" s="74"/>
      <c r="J8" s="74"/>
      <c r="K8" s="74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</row>
    <row r="9">
      <c r="A9" s="73"/>
      <c r="B9" s="74"/>
      <c r="C9" s="73" t="s">
        <v>268</v>
      </c>
      <c r="D9" s="73" t="s">
        <v>268</v>
      </c>
      <c r="E9" s="74"/>
      <c r="F9" s="74"/>
      <c r="G9" s="74"/>
      <c r="H9" s="73"/>
      <c r="I9" s="74"/>
      <c r="J9" s="73"/>
      <c r="K9" s="74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>
      <c r="A10" s="74"/>
      <c r="B10" s="74"/>
      <c r="C10" s="75" t="s">
        <v>269</v>
      </c>
      <c r="D10" s="75" t="s">
        <v>269</v>
      </c>
      <c r="E10" s="74"/>
      <c r="F10" s="74"/>
      <c r="G10" s="74"/>
      <c r="H10" s="74"/>
      <c r="I10" s="74"/>
      <c r="J10" s="74"/>
      <c r="K10" s="74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</row>
    <row r="13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</row>
    <row r="18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</row>
    <row r="19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</row>
    <row r="20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</row>
    <row r="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</row>
    <row r="2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</row>
    <row r="2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</row>
    <row r="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</row>
    <row r="26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</row>
    <row r="27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</row>
    <row r="30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